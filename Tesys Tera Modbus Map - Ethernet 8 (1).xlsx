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codeName="ThisWorkbook" defaultThemeVersion="124226"/>
  <mc:AlternateContent xmlns:mc="http://schemas.openxmlformats.org/markup-compatibility/2006">
    <mc:Choice Requires="x15">
      <x15ac:absPath xmlns:x15ac="http://schemas.microsoft.com/office/spreadsheetml/2010/11/ac" url="C:\Users\SESA734495\Downloads\"/>
    </mc:Choice>
  </mc:AlternateContent>
  <xr:revisionPtr revIDLastSave="0" documentId="13_ncr:1_{D16F7462-617C-4137-8723-E45E17F13D24}" xr6:coauthVersionLast="47" xr6:coauthVersionMax="47" xr10:uidLastSave="{00000000-0000-0000-0000-000000000000}"/>
  <bookViews>
    <workbookView xWindow="-108" yWindow="-108" windowWidth="23256" windowHeight="13176" tabRatio="731" activeTab="4" xr2:uid="{00000000-000D-0000-FFFF-FFFF00000000}"/>
  </bookViews>
  <sheets>
    <sheet name="Cover" sheetId="142" r:id="rId1"/>
    <sheet name="EIP Object Overview" sheetId="155" r:id="rId2"/>
    <sheet name="TeSys T Parameters" sheetId="157" r:id="rId3"/>
    <sheet name="TeSys T Parameters_old" sheetId="145" state="hidden" r:id="rId4"/>
    <sheet name="EIP Cyclic Parameter" sheetId="152" r:id="rId5"/>
    <sheet name="Protection Settings" sheetId="131" r:id="rId6"/>
    <sheet name="General Settings" sheetId="129" r:id="rId7"/>
    <sheet name="CompLogic Settings" sheetId="139" r:id="rId8"/>
    <sheet name="DO_CompLogic_List" sheetId="148" r:id="rId9"/>
    <sheet name="Monitoring Data" sheetId="115" r:id="rId10"/>
    <sheet name="Sheet1" sheetId="158" r:id="rId11"/>
    <sheet name="Commands" sheetId="128" state="hidden" r:id="rId12"/>
    <sheet name="Status" sheetId="140" r:id="rId13"/>
    <sheet name="Data Records" sheetId="134" r:id="rId14"/>
    <sheet name="Product Info" sheetId="138" r:id="rId15"/>
    <sheet name="Product Info - Extended" sheetId="151" r:id="rId16"/>
    <sheet name="Device Identification" sheetId="143" r:id="rId17"/>
    <sheet name="Internal Data" sheetId="141" r:id="rId18"/>
    <sheet name="User defined Map" sheetId="150" r:id="rId19"/>
    <sheet name="Commercial reference" sheetId="146" r:id="rId20"/>
    <sheet name="Settings-Interlocks" sheetId="149" r:id="rId21"/>
    <sheet name="EIP DETAILS" sheetId="153" r:id="rId22"/>
    <sheet name="Ethernet settings" sheetId="154" r:id="rId23"/>
    <sheet name="Ethernet Diagnostic Data" sheetId="156" r:id="rId24"/>
    <sheet name="Sheet2" sheetId="159" r:id="rId25"/>
  </sheets>
  <definedNames>
    <definedName name="__shared_10_0_0" localSheetId="7">#REF!+#REF!</definedName>
    <definedName name="__shared_10_0_0" localSheetId="0">#REF!+#REF!</definedName>
    <definedName name="__shared_10_0_0" localSheetId="21">#REF!+#REF!</definedName>
    <definedName name="__shared_10_0_0" localSheetId="6">#REF!+#REF!</definedName>
    <definedName name="__shared_10_0_0" localSheetId="17">#REF!+#REF!</definedName>
    <definedName name="__shared_10_0_0" localSheetId="12">#REF!+#REF!</definedName>
    <definedName name="__shared_10_0_0" localSheetId="2">#REF!+#REF!</definedName>
    <definedName name="__shared_10_0_0" localSheetId="3">#REF!+#REF!</definedName>
    <definedName name="__shared_10_0_0">#REF!+#REF!</definedName>
    <definedName name="__shared_10_0_0_1" localSheetId="7">#REF!+#REF!</definedName>
    <definedName name="__shared_10_0_0_1" localSheetId="0">#REF!+#REF!</definedName>
    <definedName name="__shared_10_0_0_1" localSheetId="21">#REF!+#REF!</definedName>
    <definedName name="__shared_10_0_0_1" localSheetId="17">#REF!+#REF!</definedName>
    <definedName name="__shared_10_0_0_1" localSheetId="12">#REF!+#REF!</definedName>
    <definedName name="__shared_10_0_0_1" localSheetId="2">#REF!+#REF!</definedName>
    <definedName name="__shared_10_0_0_1" localSheetId="3">#REF!+#REF!</definedName>
    <definedName name="__shared_10_0_0_1">#REF!+#REF!</definedName>
    <definedName name="__shared_10_0_1" localSheetId="7">#REF!+#REF!</definedName>
    <definedName name="__shared_10_0_1" localSheetId="0">#REF!+#REF!</definedName>
    <definedName name="__shared_10_0_1" localSheetId="21">#REF!+#REF!</definedName>
    <definedName name="__shared_10_0_1" localSheetId="17">#REF!+#REF!</definedName>
    <definedName name="__shared_10_0_1" localSheetId="12">#REF!+#REF!</definedName>
    <definedName name="__shared_10_0_1" localSheetId="2">#REF!+#REF!</definedName>
    <definedName name="__shared_10_0_1" localSheetId="3">#REF!+#REF!</definedName>
    <definedName name="__shared_10_0_1">#REF!+#REF!</definedName>
    <definedName name="__shared_10_0_1_1" localSheetId="7">#REF!+1</definedName>
    <definedName name="__shared_10_0_1_1" localSheetId="0">#REF!+1</definedName>
    <definedName name="__shared_10_0_1_1" localSheetId="17">#REF!+1</definedName>
    <definedName name="__shared_10_0_1_1" localSheetId="12">#REF!+1</definedName>
    <definedName name="__shared_10_0_1_1" localSheetId="2">#REF!+1</definedName>
    <definedName name="__shared_10_0_1_1" localSheetId="3">#REF!+1</definedName>
    <definedName name="__shared_10_0_1_1">#REF!+1</definedName>
    <definedName name="__shared_10_0_10" localSheetId="7">#REF!+#REF!</definedName>
    <definedName name="__shared_10_0_10" localSheetId="0">#REF!+#REF!</definedName>
    <definedName name="__shared_10_0_10" localSheetId="21">#REF!+#REF!</definedName>
    <definedName name="__shared_10_0_10" localSheetId="17">#REF!+#REF!</definedName>
    <definedName name="__shared_10_0_10" localSheetId="12">#REF!+#REF!</definedName>
    <definedName name="__shared_10_0_10" localSheetId="2">#REF!+#REF!</definedName>
    <definedName name="__shared_10_0_10" localSheetId="3">#REF!+#REF!</definedName>
    <definedName name="__shared_10_0_10">#REF!+#REF!</definedName>
    <definedName name="__shared_10_0_10_1" localSheetId="7">#REF!+#REF!</definedName>
    <definedName name="__shared_10_0_10_1" localSheetId="0">#REF!+#REF!</definedName>
    <definedName name="__shared_10_0_10_1" localSheetId="21">#REF!+#REF!</definedName>
    <definedName name="__shared_10_0_10_1" localSheetId="17">#REF!+#REF!</definedName>
    <definedName name="__shared_10_0_10_1" localSheetId="12">#REF!+#REF!</definedName>
    <definedName name="__shared_10_0_10_1" localSheetId="2">#REF!+#REF!</definedName>
    <definedName name="__shared_10_0_10_1" localSheetId="3">#REF!+#REF!</definedName>
    <definedName name="__shared_10_0_10_1">#REF!+#REF!</definedName>
    <definedName name="__shared_10_0_11" localSheetId="7">#REF!+#REF!</definedName>
    <definedName name="__shared_10_0_11" localSheetId="0">#REF!+#REF!</definedName>
    <definedName name="__shared_10_0_11" localSheetId="21">#REF!+#REF!</definedName>
    <definedName name="__shared_10_0_11" localSheetId="17">#REF!+#REF!</definedName>
    <definedName name="__shared_10_0_11" localSheetId="12">#REF!+#REF!</definedName>
    <definedName name="__shared_10_0_11" localSheetId="2">#REF!+#REF!</definedName>
    <definedName name="__shared_10_0_11" localSheetId="3">#REF!+#REF!</definedName>
    <definedName name="__shared_10_0_11">#REF!+#REF!</definedName>
    <definedName name="__shared_10_0_11_1" localSheetId="7">#REF!+1</definedName>
    <definedName name="__shared_10_0_11_1" localSheetId="0">#REF!+1</definedName>
    <definedName name="__shared_10_0_11_1" localSheetId="17">#REF!+1</definedName>
    <definedName name="__shared_10_0_11_1" localSheetId="12">#REF!+1</definedName>
    <definedName name="__shared_10_0_11_1" localSheetId="2">#REF!+1</definedName>
    <definedName name="__shared_10_0_11_1" localSheetId="3">#REF!+1</definedName>
    <definedName name="__shared_10_0_11_1">#REF!+1</definedName>
    <definedName name="__shared_10_0_12" localSheetId="7">#REF!+#REF!</definedName>
    <definedName name="__shared_10_0_12" localSheetId="0">#REF!+#REF!</definedName>
    <definedName name="__shared_10_0_12" localSheetId="21">#REF!+#REF!</definedName>
    <definedName name="__shared_10_0_12" localSheetId="17">#REF!+#REF!</definedName>
    <definedName name="__shared_10_0_12" localSheetId="12">#REF!+#REF!</definedName>
    <definedName name="__shared_10_0_12" localSheetId="2">#REF!+#REF!</definedName>
    <definedName name="__shared_10_0_12" localSheetId="3">#REF!+#REF!</definedName>
    <definedName name="__shared_10_0_12">#REF!+#REF!</definedName>
    <definedName name="__shared_10_0_12_1" localSheetId="7">#REF!+#REF!</definedName>
    <definedName name="__shared_10_0_12_1" localSheetId="0">#REF!+#REF!</definedName>
    <definedName name="__shared_10_0_12_1" localSheetId="21">#REF!+#REF!</definedName>
    <definedName name="__shared_10_0_12_1" localSheetId="17">#REF!+#REF!</definedName>
    <definedName name="__shared_10_0_12_1" localSheetId="12">#REF!+#REF!</definedName>
    <definedName name="__shared_10_0_12_1" localSheetId="2">#REF!+#REF!</definedName>
    <definedName name="__shared_10_0_12_1" localSheetId="3">#REF!+#REF!</definedName>
    <definedName name="__shared_10_0_12_1">#REF!+#REF!</definedName>
    <definedName name="__shared_10_0_13" localSheetId="7">#REF!+1</definedName>
    <definedName name="__shared_10_0_13" localSheetId="0">#REF!+1</definedName>
    <definedName name="__shared_10_0_13" localSheetId="17">#REF!+1</definedName>
    <definedName name="__shared_10_0_13" localSheetId="12">#REF!+1</definedName>
    <definedName name="__shared_10_0_13" localSheetId="2">#REF!+1</definedName>
    <definedName name="__shared_10_0_13" localSheetId="3">#REF!+1</definedName>
    <definedName name="__shared_10_0_13">#REF!+1</definedName>
    <definedName name="__shared_10_0_13_1" localSheetId="7">#REF!+1</definedName>
    <definedName name="__shared_10_0_13_1" localSheetId="0">#REF!+1</definedName>
    <definedName name="__shared_10_0_13_1" localSheetId="17">#REF!+1</definedName>
    <definedName name="__shared_10_0_13_1" localSheetId="12">#REF!+1</definedName>
    <definedName name="__shared_10_0_13_1" localSheetId="2">#REF!+1</definedName>
    <definedName name="__shared_10_0_13_1" localSheetId="3">#REF!+1</definedName>
    <definedName name="__shared_10_0_13_1">#REF!+1</definedName>
    <definedName name="__shared_10_0_14" localSheetId="7">#REF!+#REF!</definedName>
    <definedName name="__shared_10_0_14" localSheetId="0">#REF!+#REF!</definedName>
    <definedName name="__shared_10_0_14" localSheetId="21">#REF!+#REF!</definedName>
    <definedName name="__shared_10_0_14" localSheetId="17">#REF!+#REF!</definedName>
    <definedName name="__shared_10_0_14" localSheetId="12">#REF!+#REF!</definedName>
    <definedName name="__shared_10_0_14" localSheetId="2">#REF!+#REF!</definedName>
    <definedName name="__shared_10_0_14" localSheetId="3">#REF!+#REF!</definedName>
    <definedName name="__shared_10_0_14">#REF!+#REF!</definedName>
    <definedName name="__shared_10_0_14_1" localSheetId="7">#REF!+#REF!</definedName>
    <definedName name="__shared_10_0_14_1" localSheetId="0">#REF!+#REF!</definedName>
    <definedName name="__shared_10_0_14_1" localSheetId="21">#REF!+#REF!</definedName>
    <definedName name="__shared_10_0_14_1" localSheetId="17">#REF!+#REF!</definedName>
    <definedName name="__shared_10_0_14_1" localSheetId="12">#REF!+#REF!</definedName>
    <definedName name="__shared_10_0_14_1" localSheetId="2">#REF!+#REF!</definedName>
    <definedName name="__shared_10_0_14_1" localSheetId="3">#REF!+#REF!</definedName>
    <definedName name="__shared_10_0_14_1">#REF!+#REF!</definedName>
    <definedName name="__shared_10_0_15" localSheetId="7">#REF!+1</definedName>
    <definedName name="__shared_10_0_15" localSheetId="0">#REF!+1</definedName>
    <definedName name="__shared_10_0_15" localSheetId="17">#REF!+1</definedName>
    <definedName name="__shared_10_0_15" localSheetId="12">#REF!+1</definedName>
    <definedName name="__shared_10_0_15" localSheetId="2">#REF!+1</definedName>
    <definedName name="__shared_10_0_15" localSheetId="3">#REF!+1</definedName>
    <definedName name="__shared_10_0_15">#REF!+1</definedName>
    <definedName name="__shared_10_0_15_1" localSheetId="7">#REF!+1</definedName>
    <definedName name="__shared_10_0_15_1" localSheetId="0">#REF!+1</definedName>
    <definedName name="__shared_10_0_15_1" localSheetId="17">#REF!+1</definedName>
    <definedName name="__shared_10_0_15_1" localSheetId="12">#REF!+1</definedName>
    <definedName name="__shared_10_0_15_1" localSheetId="2">#REF!+1</definedName>
    <definedName name="__shared_10_0_15_1" localSheetId="3">#REF!+1</definedName>
    <definedName name="__shared_10_0_15_1">#REF!+1</definedName>
    <definedName name="__shared_10_0_16" localSheetId="7">#REF!+#REF!</definedName>
    <definedName name="__shared_10_0_16" localSheetId="0">#REF!+#REF!</definedName>
    <definedName name="__shared_10_0_16" localSheetId="21">#REF!+#REF!</definedName>
    <definedName name="__shared_10_0_16" localSheetId="17">#REF!+#REF!</definedName>
    <definedName name="__shared_10_0_16" localSheetId="12">#REF!+#REF!</definedName>
    <definedName name="__shared_10_0_16" localSheetId="2">#REF!+#REF!</definedName>
    <definedName name="__shared_10_0_16" localSheetId="3">#REF!+#REF!</definedName>
    <definedName name="__shared_10_0_16">#REF!+#REF!</definedName>
    <definedName name="__shared_10_0_16_1" localSheetId="7">#REF!+#REF!</definedName>
    <definedName name="__shared_10_0_16_1" localSheetId="0">#REF!+#REF!</definedName>
    <definedName name="__shared_10_0_16_1" localSheetId="21">#REF!+#REF!</definedName>
    <definedName name="__shared_10_0_16_1" localSheetId="17">#REF!+#REF!</definedName>
    <definedName name="__shared_10_0_16_1" localSheetId="12">#REF!+#REF!</definedName>
    <definedName name="__shared_10_0_16_1" localSheetId="2">#REF!+#REF!</definedName>
    <definedName name="__shared_10_0_16_1" localSheetId="3">#REF!+#REF!</definedName>
    <definedName name="__shared_10_0_16_1">#REF!+#REF!</definedName>
    <definedName name="__shared_10_0_17" localSheetId="7">#REF!+1</definedName>
    <definedName name="__shared_10_0_17" localSheetId="0">#REF!+1</definedName>
    <definedName name="__shared_10_0_17" localSheetId="17">#REF!+1</definedName>
    <definedName name="__shared_10_0_17" localSheetId="12">#REF!+1</definedName>
    <definedName name="__shared_10_0_17" localSheetId="2">#REF!+1</definedName>
    <definedName name="__shared_10_0_17" localSheetId="3">#REF!+1</definedName>
    <definedName name="__shared_10_0_17">#REF!+1</definedName>
    <definedName name="__shared_10_0_17_1" localSheetId="7">#REF!+1</definedName>
    <definedName name="__shared_10_0_17_1" localSheetId="0">#REF!+1</definedName>
    <definedName name="__shared_10_0_17_1" localSheetId="17">#REF!+1</definedName>
    <definedName name="__shared_10_0_17_1" localSheetId="12">#REF!+1</definedName>
    <definedName name="__shared_10_0_17_1" localSheetId="2">#REF!+1</definedName>
    <definedName name="__shared_10_0_17_1" localSheetId="3">#REF!+1</definedName>
    <definedName name="__shared_10_0_17_1">#REF!+1</definedName>
    <definedName name="__shared_10_0_18" localSheetId="7">#REF!+#REF!</definedName>
    <definedName name="__shared_10_0_18" localSheetId="0">#REF!+#REF!</definedName>
    <definedName name="__shared_10_0_18" localSheetId="21">#REF!+#REF!</definedName>
    <definedName name="__shared_10_0_18" localSheetId="17">#REF!+#REF!</definedName>
    <definedName name="__shared_10_0_18" localSheetId="12">#REF!+#REF!</definedName>
    <definedName name="__shared_10_0_18" localSheetId="2">#REF!+#REF!</definedName>
    <definedName name="__shared_10_0_18" localSheetId="3">#REF!+#REF!</definedName>
    <definedName name="__shared_10_0_18">#REF!+#REF!</definedName>
    <definedName name="__shared_10_0_18_1" localSheetId="7">#REF!+#REF!</definedName>
    <definedName name="__shared_10_0_18_1" localSheetId="0">#REF!+#REF!</definedName>
    <definedName name="__shared_10_0_18_1" localSheetId="21">#REF!+#REF!</definedName>
    <definedName name="__shared_10_0_18_1" localSheetId="17">#REF!+#REF!</definedName>
    <definedName name="__shared_10_0_18_1" localSheetId="12">#REF!+#REF!</definedName>
    <definedName name="__shared_10_0_18_1" localSheetId="2">#REF!+#REF!</definedName>
    <definedName name="__shared_10_0_18_1" localSheetId="3">#REF!+#REF!</definedName>
    <definedName name="__shared_10_0_18_1">#REF!+#REF!</definedName>
    <definedName name="__shared_10_0_19" localSheetId="7">#REF!+1</definedName>
    <definedName name="__shared_10_0_19" localSheetId="0">#REF!+1</definedName>
    <definedName name="__shared_10_0_19" localSheetId="17">#REF!+1</definedName>
    <definedName name="__shared_10_0_19" localSheetId="12">#REF!+1</definedName>
    <definedName name="__shared_10_0_19" localSheetId="2">#REF!+1</definedName>
    <definedName name="__shared_10_0_19" localSheetId="3">#REF!+1</definedName>
    <definedName name="__shared_10_0_19">#REF!+1</definedName>
    <definedName name="__shared_10_0_2" localSheetId="7">#REF!+#REF!</definedName>
    <definedName name="__shared_10_0_2" localSheetId="0">#REF!+#REF!</definedName>
    <definedName name="__shared_10_0_2" localSheetId="21">#REF!+#REF!</definedName>
    <definedName name="__shared_10_0_2" localSheetId="17">#REF!+#REF!</definedName>
    <definedName name="__shared_10_0_2" localSheetId="12">#REF!+#REF!</definedName>
    <definedName name="__shared_10_0_2" localSheetId="2">#REF!+#REF!</definedName>
    <definedName name="__shared_10_0_2" localSheetId="3">#REF!+#REF!</definedName>
    <definedName name="__shared_10_0_2">#REF!+#REF!</definedName>
    <definedName name="__shared_10_0_2_1" localSheetId="7">#REF!+#REF!</definedName>
    <definedName name="__shared_10_0_2_1" localSheetId="0">#REF!+#REF!</definedName>
    <definedName name="__shared_10_0_2_1" localSheetId="21">#REF!+#REF!</definedName>
    <definedName name="__shared_10_0_2_1" localSheetId="17">#REF!+#REF!</definedName>
    <definedName name="__shared_10_0_2_1" localSheetId="12">#REF!+#REF!</definedName>
    <definedName name="__shared_10_0_2_1" localSheetId="2">#REF!+#REF!</definedName>
    <definedName name="__shared_10_0_2_1" localSheetId="3">#REF!+#REF!</definedName>
    <definedName name="__shared_10_0_2_1">#REF!+#REF!</definedName>
    <definedName name="__shared_10_0_20" localSheetId="7">#REF!+#REF!</definedName>
    <definedName name="__shared_10_0_20" localSheetId="0">#REF!+#REF!</definedName>
    <definedName name="__shared_10_0_20" localSheetId="21">#REF!+#REF!</definedName>
    <definedName name="__shared_10_0_20" localSheetId="17">#REF!+#REF!</definedName>
    <definedName name="__shared_10_0_20" localSheetId="12">#REF!+#REF!</definedName>
    <definedName name="__shared_10_0_20" localSheetId="2">#REF!+#REF!</definedName>
    <definedName name="__shared_10_0_20" localSheetId="3">#REF!+#REF!</definedName>
    <definedName name="__shared_10_0_20">#REF!+#REF!</definedName>
    <definedName name="__shared_10_0_21" localSheetId="7">#REF!+1</definedName>
    <definedName name="__shared_10_0_21" localSheetId="0">#REF!+1</definedName>
    <definedName name="__shared_10_0_21" localSheetId="17">#REF!+1</definedName>
    <definedName name="__shared_10_0_21" localSheetId="12">#REF!+1</definedName>
    <definedName name="__shared_10_0_21" localSheetId="2">#REF!+1</definedName>
    <definedName name="__shared_10_0_21" localSheetId="3">#REF!+1</definedName>
    <definedName name="__shared_10_0_21">#REF!+1</definedName>
    <definedName name="__shared_10_0_22" localSheetId="7">#REF!+#REF!</definedName>
    <definedName name="__shared_10_0_22" localSheetId="0">#REF!+#REF!</definedName>
    <definedName name="__shared_10_0_22" localSheetId="21">#REF!+#REF!</definedName>
    <definedName name="__shared_10_0_22" localSheetId="17">#REF!+#REF!</definedName>
    <definedName name="__shared_10_0_22" localSheetId="12">#REF!+#REF!</definedName>
    <definedName name="__shared_10_0_22" localSheetId="2">#REF!+#REF!</definedName>
    <definedName name="__shared_10_0_22" localSheetId="3">#REF!+#REF!</definedName>
    <definedName name="__shared_10_0_22">#REF!+#REF!</definedName>
    <definedName name="__shared_10_0_23" localSheetId="7">#REF!+1</definedName>
    <definedName name="__shared_10_0_23" localSheetId="0">#REF!+1</definedName>
    <definedName name="__shared_10_0_23" localSheetId="17">#REF!+1</definedName>
    <definedName name="__shared_10_0_23" localSheetId="12">#REF!+1</definedName>
    <definedName name="__shared_10_0_23" localSheetId="2">#REF!+1</definedName>
    <definedName name="__shared_10_0_23" localSheetId="3">#REF!+1</definedName>
    <definedName name="__shared_10_0_23">#REF!+1</definedName>
    <definedName name="__shared_10_0_24" localSheetId="7">#REF!+#REF!</definedName>
    <definedName name="__shared_10_0_24" localSheetId="0">#REF!+#REF!</definedName>
    <definedName name="__shared_10_0_24" localSheetId="21">#REF!+#REF!</definedName>
    <definedName name="__shared_10_0_24" localSheetId="17">#REF!+#REF!</definedName>
    <definedName name="__shared_10_0_24" localSheetId="12">#REF!+#REF!</definedName>
    <definedName name="__shared_10_0_24" localSheetId="2">#REF!+#REF!</definedName>
    <definedName name="__shared_10_0_24" localSheetId="3">#REF!+#REF!</definedName>
    <definedName name="__shared_10_0_24">#REF!+#REF!</definedName>
    <definedName name="__shared_10_0_25" localSheetId="7">#REF!+#REF!</definedName>
    <definedName name="__shared_10_0_25" localSheetId="0">#REF!+#REF!</definedName>
    <definedName name="__shared_10_0_25" localSheetId="21">#REF!+#REF!</definedName>
    <definedName name="__shared_10_0_25" localSheetId="17">#REF!+#REF!</definedName>
    <definedName name="__shared_10_0_25" localSheetId="12">#REF!+#REF!</definedName>
    <definedName name="__shared_10_0_25" localSheetId="2">#REF!+#REF!</definedName>
    <definedName name="__shared_10_0_25" localSheetId="3">#REF!+#REF!</definedName>
    <definedName name="__shared_10_0_25">#REF!+#REF!</definedName>
    <definedName name="__shared_10_0_3" localSheetId="7">#REF!+1</definedName>
    <definedName name="__shared_10_0_3" localSheetId="0">#REF!+1</definedName>
    <definedName name="__shared_10_0_3" localSheetId="17">#REF!+1</definedName>
    <definedName name="__shared_10_0_3" localSheetId="12">#REF!+1</definedName>
    <definedName name="__shared_10_0_3" localSheetId="2">#REF!+1</definedName>
    <definedName name="__shared_10_0_3" localSheetId="3">#REF!+1</definedName>
    <definedName name="__shared_10_0_3">#REF!+1</definedName>
    <definedName name="__shared_10_0_3_1" localSheetId="7">#REF!+1</definedName>
    <definedName name="__shared_10_0_3_1" localSheetId="0">#REF!+1</definedName>
    <definedName name="__shared_10_0_3_1" localSheetId="17">#REF!+1</definedName>
    <definedName name="__shared_10_0_3_1" localSheetId="12">#REF!+1</definedName>
    <definedName name="__shared_10_0_3_1" localSheetId="2">#REF!+1</definedName>
    <definedName name="__shared_10_0_3_1" localSheetId="3">#REF!+1</definedName>
    <definedName name="__shared_10_0_3_1">#REF!+1</definedName>
    <definedName name="__shared_10_0_4" localSheetId="7">#REF!+#REF!</definedName>
    <definedName name="__shared_10_0_4" localSheetId="0">#REF!+#REF!</definedName>
    <definedName name="__shared_10_0_4" localSheetId="21">#REF!+#REF!</definedName>
    <definedName name="__shared_10_0_4" localSheetId="17">#REF!+#REF!</definedName>
    <definedName name="__shared_10_0_4" localSheetId="12">#REF!+#REF!</definedName>
    <definedName name="__shared_10_0_4" localSheetId="2">#REF!+#REF!</definedName>
    <definedName name="__shared_10_0_4" localSheetId="3">#REF!+#REF!</definedName>
    <definedName name="__shared_10_0_4">#REF!+#REF!</definedName>
    <definedName name="__shared_10_0_4_1" localSheetId="7">#REF!+#REF!</definedName>
    <definedName name="__shared_10_0_4_1" localSheetId="0">#REF!+#REF!</definedName>
    <definedName name="__shared_10_0_4_1" localSheetId="21">#REF!+#REF!</definedName>
    <definedName name="__shared_10_0_4_1" localSheetId="17">#REF!+#REF!</definedName>
    <definedName name="__shared_10_0_4_1" localSheetId="12">#REF!+#REF!</definedName>
    <definedName name="__shared_10_0_4_1" localSheetId="2">#REF!+#REF!</definedName>
    <definedName name="__shared_10_0_4_1" localSheetId="3">#REF!+#REF!</definedName>
    <definedName name="__shared_10_0_4_1">#REF!+#REF!</definedName>
    <definedName name="__shared_10_0_5" localSheetId="7">#REF!+1</definedName>
    <definedName name="__shared_10_0_5" localSheetId="0">#REF!+1</definedName>
    <definedName name="__shared_10_0_5" localSheetId="17">#REF!+1</definedName>
    <definedName name="__shared_10_0_5" localSheetId="12">#REF!+1</definedName>
    <definedName name="__shared_10_0_5" localSheetId="2">#REF!+1</definedName>
    <definedName name="__shared_10_0_5" localSheetId="3">#REF!+1</definedName>
    <definedName name="__shared_10_0_5">#REF!+1</definedName>
    <definedName name="__shared_10_0_5_1" localSheetId="7">#REF!+1</definedName>
    <definedName name="__shared_10_0_5_1" localSheetId="0">#REF!+1</definedName>
    <definedName name="__shared_10_0_5_1" localSheetId="17">#REF!+1</definedName>
    <definedName name="__shared_10_0_5_1" localSheetId="12">#REF!+1</definedName>
    <definedName name="__shared_10_0_5_1" localSheetId="2">#REF!+1</definedName>
    <definedName name="__shared_10_0_5_1" localSheetId="3">#REF!+1</definedName>
    <definedName name="__shared_10_0_5_1">#REF!+1</definedName>
    <definedName name="__shared_10_0_6" localSheetId="7">#REF!+#REF!</definedName>
    <definedName name="__shared_10_0_6" localSheetId="0">#REF!+#REF!</definedName>
    <definedName name="__shared_10_0_6" localSheetId="21">#REF!+#REF!</definedName>
    <definedName name="__shared_10_0_6" localSheetId="17">#REF!+#REF!</definedName>
    <definedName name="__shared_10_0_6" localSheetId="12">#REF!+#REF!</definedName>
    <definedName name="__shared_10_0_6" localSheetId="2">#REF!+#REF!</definedName>
    <definedName name="__shared_10_0_6" localSheetId="3">#REF!+#REF!</definedName>
    <definedName name="__shared_10_0_6">#REF!+#REF!</definedName>
    <definedName name="__shared_10_0_6_1" localSheetId="7">#REF!+#REF!</definedName>
    <definedName name="__shared_10_0_6_1" localSheetId="0">#REF!+#REF!</definedName>
    <definedName name="__shared_10_0_6_1" localSheetId="21">#REF!+#REF!</definedName>
    <definedName name="__shared_10_0_6_1" localSheetId="17">#REF!+#REF!</definedName>
    <definedName name="__shared_10_0_6_1" localSheetId="12">#REF!+#REF!</definedName>
    <definedName name="__shared_10_0_6_1" localSheetId="2">#REF!+#REF!</definedName>
    <definedName name="__shared_10_0_6_1" localSheetId="3">#REF!+#REF!</definedName>
    <definedName name="__shared_10_0_6_1">#REF!+#REF!</definedName>
    <definedName name="__shared_10_0_7" localSheetId="7">#REF!+#REF!</definedName>
    <definedName name="__shared_10_0_7" localSheetId="0">#REF!+#REF!</definedName>
    <definedName name="__shared_10_0_7" localSheetId="21">#REF!+#REF!</definedName>
    <definedName name="__shared_10_0_7" localSheetId="17">#REF!+#REF!</definedName>
    <definedName name="__shared_10_0_7" localSheetId="12">#REF!+#REF!</definedName>
    <definedName name="__shared_10_0_7" localSheetId="2">#REF!+#REF!</definedName>
    <definedName name="__shared_10_0_7" localSheetId="3">#REF!+#REF!</definedName>
    <definedName name="__shared_10_0_7">#REF!+#REF!</definedName>
    <definedName name="__shared_10_0_7_1" localSheetId="7">#REF!+1</definedName>
    <definedName name="__shared_10_0_7_1" localSheetId="0">#REF!+1</definedName>
    <definedName name="__shared_10_0_7_1" localSheetId="17">#REF!+1</definedName>
    <definedName name="__shared_10_0_7_1" localSheetId="12">#REF!+1</definedName>
    <definedName name="__shared_10_0_7_1" localSheetId="2">#REF!+1</definedName>
    <definedName name="__shared_10_0_7_1" localSheetId="3">#REF!+1</definedName>
    <definedName name="__shared_10_0_7_1">#REF!+1</definedName>
    <definedName name="__shared_10_0_8" localSheetId="7">#REF!+#REF!</definedName>
    <definedName name="__shared_10_0_8" localSheetId="0">#REF!+#REF!</definedName>
    <definedName name="__shared_10_0_8" localSheetId="21">#REF!+#REF!</definedName>
    <definedName name="__shared_10_0_8" localSheetId="17">#REF!+#REF!</definedName>
    <definedName name="__shared_10_0_8" localSheetId="12">#REF!+#REF!</definedName>
    <definedName name="__shared_10_0_8" localSheetId="2">#REF!+#REF!</definedName>
    <definedName name="__shared_10_0_8" localSheetId="3">#REF!+#REF!</definedName>
    <definedName name="__shared_10_0_8">#REF!+#REF!</definedName>
    <definedName name="__shared_10_0_8_1" localSheetId="7">#REF!+#REF!</definedName>
    <definedName name="__shared_10_0_8_1" localSheetId="0">#REF!+#REF!</definedName>
    <definedName name="__shared_10_0_8_1" localSheetId="21">#REF!+#REF!</definedName>
    <definedName name="__shared_10_0_8_1" localSheetId="17">#REF!+#REF!</definedName>
    <definedName name="__shared_10_0_8_1" localSheetId="12">#REF!+#REF!</definedName>
    <definedName name="__shared_10_0_8_1" localSheetId="2">#REF!+#REF!</definedName>
    <definedName name="__shared_10_0_8_1" localSheetId="3">#REF!+#REF!</definedName>
    <definedName name="__shared_10_0_8_1">#REF!+#REF!</definedName>
    <definedName name="__shared_10_0_9" localSheetId="7">#REF!+#REF!</definedName>
    <definedName name="__shared_10_0_9" localSheetId="0">#REF!+#REF!</definedName>
    <definedName name="__shared_10_0_9" localSheetId="21">#REF!+#REF!</definedName>
    <definedName name="__shared_10_0_9" localSheetId="17">#REF!+#REF!</definedName>
    <definedName name="__shared_10_0_9" localSheetId="12">#REF!+#REF!</definedName>
    <definedName name="__shared_10_0_9" localSheetId="2">#REF!+#REF!</definedName>
    <definedName name="__shared_10_0_9" localSheetId="3">#REF!+#REF!</definedName>
    <definedName name="__shared_10_0_9">#REF!+#REF!</definedName>
    <definedName name="__shared_10_0_9_1" localSheetId="7">#REF!+1</definedName>
    <definedName name="__shared_10_0_9_1" localSheetId="0">#REF!+1</definedName>
    <definedName name="__shared_10_0_9_1" localSheetId="17">#REF!+1</definedName>
    <definedName name="__shared_10_0_9_1" localSheetId="12">#REF!+1</definedName>
    <definedName name="__shared_10_0_9_1" localSheetId="2">#REF!+1</definedName>
    <definedName name="__shared_10_0_9_1" localSheetId="3">#REF!+1</definedName>
    <definedName name="__shared_10_0_9_1">#REF!+1</definedName>
    <definedName name="__shared_12_0_0" localSheetId="7">#REF!+#REF!</definedName>
    <definedName name="__shared_12_0_0" localSheetId="0">#REF!+#REF!</definedName>
    <definedName name="__shared_12_0_0" localSheetId="21">#REF!+#REF!</definedName>
    <definedName name="__shared_12_0_0" localSheetId="17">#REF!+#REF!</definedName>
    <definedName name="__shared_12_0_0" localSheetId="12">#REF!+#REF!</definedName>
    <definedName name="__shared_12_0_0" localSheetId="2">#REF!+#REF!</definedName>
    <definedName name="__shared_12_0_0" localSheetId="3">#REF!+#REF!</definedName>
    <definedName name="__shared_12_0_0">#REF!+#REF!</definedName>
    <definedName name="__shared_12_0_0_1" localSheetId="7">#REF!+#REF!</definedName>
    <definedName name="__shared_12_0_0_1" localSheetId="0">#REF!+#REF!</definedName>
    <definedName name="__shared_12_0_0_1" localSheetId="21">#REF!+#REF!</definedName>
    <definedName name="__shared_12_0_0_1" localSheetId="17">#REF!+#REF!</definedName>
    <definedName name="__shared_12_0_0_1" localSheetId="12">#REF!+#REF!</definedName>
    <definedName name="__shared_12_0_0_1" localSheetId="2">#REF!+#REF!</definedName>
    <definedName name="__shared_12_0_0_1" localSheetId="3">#REF!+#REF!</definedName>
    <definedName name="__shared_12_0_0_1">#REF!+#REF!</definedName>
    <definedName name="__shared_12_0_1" localSheetId="7">#REF!+#REF!</definedName>
    <definedName name="__shared_12_0_1" localSheetId="0">#REF!+#REF!</definedName>
    <definedName name="__shared_12_0_1" localSheetId="21">#REF!+#REF!</definedName>
    <definedName name="__shared_12_0_1" localSheetId="17">#REF!+#REF!</definedName>
    <definedName name="__shared_12_0_1" localSheetId="12">#REF!+#REF!</definedName>
    <definedName name="__shared_12_0_1" localSheetId="2">#REF!+#REF!</definedName>
    <definedName name="__shared_12_0_1" localSheetId="3">#REF!+#REF!</definedName>
    <definedName name="__shared_12_0_1">#REF!+#REF!</definedName>
    <definedName name="__shared_12_0_1_1" localSheetId="7">#REF!+#REF!</definedName>
    <definedName name="__shared_12_0_1_1" localSheetId="0">#REF!+#REF!</definedName>
    <definedName name="__shared_12_0_1_1" localSheetId="17">#REF!+#REF!</definedName>
    <definedName name="__shared_12_0_1_1" localSheetId="12">#REF!+#REF!</definedName>
    <definedName name="__shared_12_0_1_1" localSheetId="2">#REF!+#REF!</definedName>
    <definedName name="__shared_12_0_1_1" localSheetId="3">#REF!+#REF!</definedName>
    <definedName name="__shared_12_0_1_1">#REF!+#REF!</definedName>
    <definedName name="__shared_12_0_2" localSheetId="7">#REF!+#REF!</definedName>
    <definedName name="__shared_12_0_2" localSheetId="0">#REF!+#REF!</definedName>
    <definedName name="__shared_12_0_2" localSheetId="17">#REF!+#REF!</definedName>
    <definedName name="__shared_12_0_2" localSheetId="12">#REF!+#REF!</definedName>
    <definedName name="__shared_12_0_2" localSheetId="2">#REF!+#REF!</definedName>
    <definedName name="__shared_12_0_2" localSheetId="3">#REF!+#REF!</definedName>
    <definedName name="__shared_12_0_2">#REF!+#REF!</definedName>
    <definedName name="__shared_12_0_2_1" localSheetId="7">#REF!+#REF!</definedName>
    <definedName name="__shared_12_0_2_1" localSheetId="0">#REF!+#REF!</definedName>
    <definedName name="__shared_12_0_2_1" localSheetId="17">#REF!+#REF!</definedName>
    <definedName name="__shared_12_0_2_1" localSheetId="12">#REF!+#REF!</definedName>
    <definedName name="__shared_12_0_2_1" localSheetId="2">#REF!+#REF!</definedName>
    <definedName name="__shared_12_0_2_1" localSheetId="3">#REF!+#REF!</definedName>
    <definedName name="__shared_12_0_2_1">#REF!+#REF!</definedName>
    <definedName name="__shared_12_0_3" localSheetId="7">#REF!+1</definedName>
    <definedName name="__shared_12_0_3" localSheetId="0">#REF!+1</definedName>
    <definedName name="__shared_12_0_3" localSheetId="17">#REF!+1</definedName>
    <definedName name="__shared_12_0_3" localSheetId="12">#REF!+1</definedName>
    <definedName name="__shared_12_0_3" localSheetId="2">#REF!+1</definedName>
    <definedName name="__shared_12_0_3" localSheetId="3">#REF!+1</definedName>
    <definedName name="__shared_12_0_3">#REF!+1</definedName>
    <definedName name="__shared_12_0_3_1" localSheetId="7">#REF!+1</definedName>
    <definedName name="__shared_12_0_3_1" localSheetId="0">#REF!+1</definedName>
    <definedName name="__shared_12_0_3_1" localSheetId="17">#REF!+1</definedName>
    <definedName name="__shared_12_0_3_1" localSheetId="12">#REF!+1</definedName>
    <definedName name="__shared_12_0_3_1" localSheetId="2">#REF!+1</definedName>
    <definedName name="__shared_12_0_3_1" localSheetId="3">#REF!+1</definedName>
    <definedName name="__shared_12_0_3_1">#REF!+1</definedName>
    <definedName name="__shared_12_0_4" localSheetId="7">#REF!+1</definedName>
    <definedName name="__shared_12_0_4" localSheetId="0">#REF!+1</definedName>
    <definedName name="__shared_12_0_4" localSheetId="17">#REF!+1</definedName>
    <definedName name="__shared_12_0_4" localSheetId="12">#REF!+1</definedName>
    <definedName name="__shared_12_0_4" localSheetId="2">#REF!+1</definedName>
    <definedName name="__shared_12_0_4" localSheetId="3">#REF!+1</definedName>
    <definedName name="__shared_12_0_4">#REF!+1</definedName>
    <definedName name="__shared_12_0_4_1" localSheetId="7">#REF!+1</definedName>
    <definedName name="__shared_12_0_4_1" localSheetId="0">#REF!+1</definedName>
    <definedName name="__shared_12_0_4_1" localSheetId="17">#REF!+1</definedName>
    <definedName name="__shared_12_0_4_1" localSheetId="12">#REF!+1</definedName>
    <definedName name="__shared_12_0_4_1" localSheetId="2">#REF!+1</definedName>
    <definedName name="__shared_12_0_4_1" localSheetId="3">#REF!+1</definedName>
    <definedName name="__shared_12_0_4_1">#REF!+1</definedName>
    <definedName name="__shared_12_0_5" localSheetId="7">#REF!+1</definedName>
    <definedName name="__shared_12_0_5" localSheetId="0">#REF!+1</definedName>
    <definedName name="__shared_12_0_5" localSheetId="17">#REF!+1</definedName>
    <definedName name="__shared_12_0_5" localSheetId="12">#REF!+1</definedName>
    <definedName name="__shared_12_0_5" localSheetId="2">#REF!+1</definedName>
    <definedName name="__shared_12_0_5" localSheetId="3">#REF!+1</definedName>
    <definedName name="__shared_12_0_5">#REF!+1</definedName>
    <definedName name="__shared_12_0_5_1" localSheetId="7">#REF!+1</definedName>
    <definedName name="__shared_12_0_5_1" localSheetId="0">#REF!+1</definedName>
    <definedName name="__shared_12_0_5_1" localSheetId="17">#REF!+1</definedName>
    <definedName name="__shared_12_0_5_1" localSheetId="12">#REF!+1</definedName>
    <definedName name="__shared_12_0_5_1" localSheetId="2">#REF!+1</definedName>
    <definedName name="__shared_12_0_5_1" localSheetId="3">#REF!+1</definedName>
    <definedName name="__shared_12_0_5_1">#REF!+1</definedName>
    <definedName name="__shared_12_0_6" localSheetId="7">#REF!+1</definedName>
    <definedName name="__shared_12_0_6" localSheetId="0">#REF!+1</definedName>
    <definedName name="__shared_12_0_6" localSheetId="17">#REF!+1</definedName>
    <definedName name="__shared_12_0_6" localSheetId="12">#REF!+1</definedName>
    <definedName name="__shared_12_0_6" localSheetId="2">#REF!+1</definedName>
    <definedName name="__shared_12_0_6" localSheetId="3">#REF!+1</definedName>
    <definedName name="__shared_12_0_6">#REF!+1</definedName>
    <definedName name="__shared_12_0_7" localSheetId="7">#REF!+1</definedName>
    <definedName name="__shared_12_0_7" localSheetId="0">#REF!+1</definedName>
    <definedName name="__shared_12_0_7" localSheetId="17">#REF!+1</definedName>
    <definedName name="__shared_12_0_7" localSheetId="12">#REF!+1</definedName>
    <definedName name="__shared_12_0_7" localSheetId="2">#REF!+1</definedName>
    <definedName name="__shared_12_0_7" localSheetId="3">#REF!+1</definedName>
    <definedName name="__shared_12_0_7">#REF!+1</definedName>
    <definedName name="__shared_12_0_8" localSheetId="7">#REF!+1</definedName>
    <definedName name="__shared_12_0_8" localSheetId="0">#REF!+1</definedName>
    <definedName name="__shared_12_0_8" localSheetId="17">#REF!+1</definedName>
    <definedName name="__shared_12_0_8" localSheetId="12">#REF!+1</definedName>
    <definedName name="__shared_12_0_8" localSheetId="2">#REF!+1</definedName>
    <definedName name="__shared_12_0_8" localSheetId="3">#REF!+1</definedName>
    <definedName name="__shared_12_0_8">#REF!+1</definedName>
    <definedName name="__shared_12_0_9" localSheetId="7">#REF!+1</definedName>
    <definedName name="__shared_12_0_9" localSheetId="0">#REF!+1</definedName>
    <definedName name="__shared_12_0_9" localSheetId="17">#REF!+1</definedName>
    <definedName name="__shared_12_0_9" localSheetId="12">#REF!+1</definedName>
    <definedName name="__shared_12_0_9" localSheetId="2">#REF!+1</definedName>
    <definedName name="__shared_12_0_9" localSheetId="3">#REF!+1</definedName>
    <definedName name="__shared_12_0_9">#REF!+1</definedName>
    <definedName name="__shared_13_0_0" localSheetId="7">#REF!+1</definedName>
    <definedName name="__shared_13_0_0" localSheetId="0">#REF!+1</definedName>
    <definedName name="__shared_13_0_0" localSheetId="17">#REF!+1</definedName>
    <definedName name="__shared_13_0_0" localSheetId="12">#REF!+1</definedName>
    <definedName name="__shared_13_0_0" localSheetId="2">#REF!+1</definedName>
    <definedName name="__shared_13_0_0" localSheetId="3">#REF!+1</definedName>
    <definedName name="__shared_13_0_0">#REF!+1</definedName>
    <definedName name="__shared_13_0_0_1" localSheetId="7">#REF!+1</definedName>
    <definedName name="__shared_13_0_0_1" localSheetId="0">#REF!+1</definedName>
    <definedName name="__shared_13_0_0_1" localSheetId="17">#REF!+1</definedName>
    <definedName name="__shared_13_0_0_1" localSheetId="12">#REF!+1</definedName>
    <definedName name="__shared_13_0_0_1" localSheetId="2">#REF!+1</definedName>
    <definedName name="__shared_13_0_0_1" localSheetId="3">#REF!+1</definedName>
    <definedName name="__shared_13_0_0_1">#REF!+1</definedName>
    <definedName name="__shared_15_0_0">2^32</definedName>
    <definedName name="__shared_15_0_0_1">2^32</definedName>
    <definedName name="__shared_15_0_1">2^32</definedName>
    <definedName name="__shared_15_0_1_1">2^32</definedName>
    <definedName name="__shared_15_0_2">2^32</definedName>
    <definedName name="__shared_15_0_3">2^32</definedName>
    <definedName name="__shared_17_0_11" localSheetId="7">#REF!+#REF!</definedName>
    <definedName name="__shared_17_0_11" localSheetId="0">#REF!+#REF!</definedName>
    <definedName name="__shared_17_0_11" localSheetId="21">#REF!+#REF!</definedName>
    <definedName name="__shared_17_0_11" localSheetId="17">#REF!+#REF!</definedName>
    <definedName name="__shared_17_0_11" localSheetId="12">#REF!+#REF!</definedName>
    <definedName name="__shared_17_0_11" localSheetId="2">#REF!+#REF!</definedName>
    <definedName name="__shared_17_0_11" localSheetId="3">#REF!+#REF!</definedName>
    <definedName name="__shared_17_0_11">#REF!+#REF!</definedName>
    <definedName name="__shared_17_0_15" localSheetId="7">#REF!+#REF!</definedName>
    <definedName name="__shared_17_0_15" localSheetId="0">#REF!+#REF!</definedName>
    <definedName name="__shared_17_0_15" localSheetId="21">#REF!+#REF!</definedName>
    <definedName name="__shared_17_0_15" localSheetId="17">#REF!+#REF!</definedName>
    <definedName name="__shared_17_0_15" localSheetId="12">#REF!+#REF!</definedName>
    <definedName name="__shared_17_0_15" localSheetId="2">#REF!+#REF!</definedName>
    <definedName name="__shared_17_0_15" localSheetId="3">#REF!+#REF!</definedName>
    <definedName name="__shared_17_0_15">#REF!+#REF!</definedName>
    <definedName name="__shared_17_0_3" localSheetId="7">#REF!+#REF!</definedName>
    <definedName name="__shared_17_0_3" localSheetId="0">#REF!+#REF!</definedName>
    <definedName name="__shared_17_0_3" localSheetId="21">#REF!+#REF!</definedName>
    <definedName name="__shared_17_0_3" localSheetId="17">#REF!+#REF!</definedName>
    <definedName name="__shared_17_0_3" localSheetId="12">#REF!+#REF!</definedName>
    <definedName name="__shared_17_0_3" localSheetId="2">#REF!+#REF!</definedName>
    <definedName name="__shared_17_0_3" localSheetId="3">#REF!+#REF!</definedName>
    <definedName name="__shared_17_0_3">#REF!+#REF!</definedName>
    <definedName name="__shared_17_0_3_1" localSheetId="7">#REF!+#REF!</definedName>
    <definedName name="__shared_17_0_3_1" localSheetId="0">#REF!+#REF!</definedName>
    <definedName name="__shared_17_0_3_1" localSheetId="17">#REF!+#REF!</definedName>
    <definedName name="__shared_17_0_3_1" localSheetId="12">#REF!+#REF!</definedName>
    <definedName name="__shared_17_0_3_1" localSheetId="2">#REF!+#REF!</definedName>
    <definedName name="__shared_17_0_3_1" localSheetId="3">#REF!+#REF!</definedName>
    <definedName name="__shared_17_0_3_1">#REF!+#REF!</definedName>
    <definedName name="__shared_17_0_5" localSheetId="7">#REF!+#REF!</definedName>
    <definedName name="__shared_17_0_5" localSheetId="0">#REF!+#REF!</definedName>
    <definedName name="__shared_17_0_5" localSheetId="17">#REF!+#REF!</definedName>
    <definedName name="__shared_17_0_5" localSheetId="12">#REF!+#REF!</definedName>
    <definedName name="__shared_17_0_5" localSheetId="2">#REF!+#REF!</definedName>
    <definedName name="__shared_17_0_5" localSheetId="3">#REF!+#REF!</definedName>
    <definedName name="__shared_17_0_5">#REF!+#REF!</definedName>
    <definedName name="__shared_17_0_7" localSheetId="7">#REF!+#REF!</definedName>
    <definedName name="__shared_17_0_7" localSheetId="0">#REF!+#REF!</definedName>
    <definedName name="__shared_17_0_7" localSheetId="17">#REF!+#REF!</definedName>
    <definedName name="__shared_17_0_7" localSheetId="12">#REF!+#REF!</definedName>
    <definedName name="__shared_17_0_7" localSheetId="2">#REF!+#REF!</definedName>
    <definedName name="__shared_17_0_7" localSheetId="3">#REF!+#REF!</definedName>
    <definedName name="__shared_17_0_7">#REF!+#REF!</definedName>
    <definedName name="__shared_2_0_10" localSheetId="7">#REF!+#REF!</definedName>
    <definedName name="__shared_2_0_10" localSheetId="0">#REF!+#REF!</definedName>
    <definedName name="__shared_2_0_10" localSheetId="17">#REF!+#REF!</definedName>
    <definedName name="__shared_2_0_10" localSheetId="12">#REF!+#REF!</definedName>
    <definedName name="__shared_2_0_10" localSheetId="2">#REF!+#REF!</definedName>
    <definedName name="__shared_2_0_10" localSheetId="3">#REF!+#REF!</definedName>
    <definedName name="__shared_2_0_10">#REF!+#REF!</definedName>
    <definedName name="__shared_2_0_10_1" localSheetId="7">#REF!+#REF!</definedName>
    <definedName name="__shared_2_0_10_1" localSheetId="0">#REF!+#REF!</definedName>
    <definedName name="__shared_2_0_10_1" localSheetId="17">#REF!+#REF!</definedName>
    <definedName name="__shared_2_0_10_1" localSheetId="12">#REF!+#REF!</definedName>
    <definedName name="__shared_2_0_10_1" localSheetId="2">#REF!+#REF!</definedName>
    <definedName name="__shared_2_0_10_1" localSheetId="3">#REF!+#REF!</definedName>
    <definedName name="__shared_2_0_10_1">#REF!+#REF!</definedName>
    <definedName name="__shared_2_0_11" localSheetId="7">#REF!+#REF!</definedName>
    <definedName name="__shared_2_0_11" localSheetId="0">#REF!+#REF!</definedName>
    <definedName name="__shared_2_0_11" localSheetId="17">#REF!+#REF!</definedName>
    <definedName name="__shared_2_0_11" localSheetId="12">#REF!+#REF!</definedName>
    <definedName name="__shared_2_0_11" localSheetId="2">#REF!+#REF!</definedName>
    <definedName name="__shared_2_0_11" localSheetId="3">#REF!+#REF!</definedName>
    <definedName name="__shared_2_0_11">#REF!+#REF!</definedName>
    <definedName name="__shared_2_0_11_1" localSheetId="7">#REF!+1</definedName>
    <definedName name="__shared_2_0_11_1" localSheetId="0">#REF!+1</definedName>
    <definedName name="__shared_2_0_11_1" localSheetId="17">#REF!+1</definedName>
    <definedName name="__shared_2_0_11_1" localSheetId="12">#REF!+1</definedName>
    <definedName name="__shared_2_0_11_1" localSheetId="2">#REF!+1</definedName>
    <definedName name="__shared_2_0_11_1" localSheetId="3">#REF!+1</definedName>
    <definedName name="__shared_2_0_11_1">#REF!+1</definedName>
    <definedName name="__shared_2_0_13" localSheetId="7">#REF!+#REF!</definedName>
    <definedName name="__shared_2_0_13" localSheetId="0">#REF!+#REF!</definedName>
    <definedName name="__shared_2_0_13" localSheetId="21">#REF!+#REF!</definedName>
    <definedName name="__shared_2_0_13" localSheetId="17">#REF!+#REF!</definedName>
    <definedName name="__shared_2_0_13" localSheetId="12">#REF!+#REF!</definedName>
    <definedName name="__shared_2_0_13" localSheetId="2">#REF!+#REF!</definedName>
    <definedName name="__shared_2_0_13" localSheetId="3">#REF!+#REF!</definedName>
    <definedName name="__shared_2_0_13">#REF!+#REF!</definedName>
    <definedName name="__shared_2_0_15" localSheetId="7">#REF!+#REF!</definedName>
    <definedName name="__shared_2_0_15" localSheetId="0">#REF!+#REF!</definedName>
    <definedName name="__shared_2_0_15" localSheetId="21">#REF!+#REF!</definedName>
    <definedName name="__shared_2_0_15" localSheetId="17">#REF!+#REF!</definedName>
    <definedName name="__shared_2_0_15" localSheetId="12">#REF!+#REF!</definedName>
    <definedName name="__shared_2_0_15" localSheetId="2">#REF!+#REF!</definedName>
    <definedName name="__shared_2_0_15" localSheetId="3">#REF!+#REF!</definedName>
    <definedName name="__shared_2_0_15">#REF!+#REF!</definedName>
    <definedName name="__shared_2_0_16" localSheetId="7">#REF!+#REF!</definedName>
    <definedName name="__shared_2_0_16" localSheetId="0">#REF!+#REF!</definedName>
    <definedName name="__shared_2_0_16" localSheetId="21">#REF!+#REF!</definedName>
    <definedName name="__shared_2_0_16" localSheetId="17">#REF!+#REF!</definedName>
    <definedName name="__shared_2_0_16" localSheetId="12">#REF!+#REF!</definedName>
    <definedName name="__shared_2_0_16" localSheetId="2">#REF!+#REF!</definedName>
    <definedName name="__shared_2_0_16" localSheetId="3">#REF!+#REF!</definedName>
    <definedName name="__shared_2_0_16">#REF!+#REF!</definedName>
    <definedName name="__shared_2_0_19" localSheetId="7">#REF!+#REF!</definedName>
    <definedName name="__shared_2_0_19" localSheetId="0">#REF!+#REF!</definedName>
    <definedName name="__shared_2_0_19" localSheetId="17">#REF!+#REF!</definedName>
    <definedName name="__shared_2_0_19" localSheetId="12">#REF!+#REF!</definedName>
    <definedName name="__shared_2_0_19" localSheetId="2">#REF!+#REF!</definedName>
    <definedName name="__shared_2_0_19" localSheetId="3">#REF!+#REF!</definedName>
    <definedName name="__shared_2_0_19">#REF!+#REF!</definedName>
    <definedName name="__shared_2_0_20_1" localSheetId="7">IF(#REF!=1,#REF!,0)</definedName>
    <definedName name="__shared_2_0_20_1" localSheetId="0">IF(#REF!=1,#REF!,0)</definedName>
    <definedName name="__shared_2_0_20_1" localSheetId="21">IF(#REF!=1,#REF!,0)</definedName>
    <definedName name="__shared_2_0_20_1" localSheetId="6">IF(#REF!=1,#REF!,0)</definedName>
    <definedName name="__shared_2_0_20_1" localSheetId="17">IF(#REF!=1,#REF!,0)</definedName>
    <definedName name="__shared_2_0_20_1" localSheetId="12">IF(#REF!=1,#REF!,0)</definedName>
    <definedName name="__shared_2_0_20_1" localSheetId="2">IF(#REF!=1,#REF!,0)</definedName>
    <definedName name="__shared_2_0_20_1" localSheetId="3">IF(#REF!=1,#REF!,0)</definedName>
    <definedName name="__shared_2_0_20_1">IF(#REF!=1,#REF!,0)</definedName>
    <definedName name="__shared_2_0_21" localSheetId="7">SUM(#REF!)</definedName>
    <definedName name="__shared_2_0_21" localSheetId="0">SUM(#REF!)</definedName>
    <definedName name="__shared_2_0_21" localSheetId="21">SUM(#REF!)</definedName>
    <definedName name="__shared_2_0_21" localSheetId="17">SUM(#REF!)</definedName>
    <definedName name="__shared_2_0_21" localSheetId="12">SUM(#REF!)</definedName>
    <definedName name="__shared_2_0_21" localSheetId="2">SUM(#REF!)</definedName>
    <definedName name="__shared_2_0_21" localSheetId="3">SUM(#REF!)</definedName>
    <definedName name="__shared_2_0_21">SUM(#REF!)</definedName>
    <definedName name="__shared_2_0_22" localSheetId="7">#REF!+#REF!</definedName>
    <definedName name="__shared_2_0_22" localSheetId="0">#REF!+#REF!</definedName>
    <definedName name="__shared_2_0_22" localSheetId="21">#REF!+#REF!</definedName>
    <definedName name="__shared_2_0_22" localSheetId="17">#REF!+#REF!</definedName>
    <definedName name="__shared_2_0_22" localSheetId="12">#REF!+#REF!</definedName>
    <definedName name="__shared_2_0_22" localSheetId="2">#REF!+#REF!</definedName>
    <definedName name="__shared_2_0_22" localSheetId="3">#REF!+#REF!</definedName>
    <definedName name="__shared_2_0_22">#REF!+#REF!</definedName>
    <definedName name="__shared_2_0_23" localSheetId="7">#REF!+#REF!</definedName>
    <definedName name="__shared_2_0_23" localSheetId="0">#REF!+#REF!</definedName>
    <definedName name="__shared_2_0_23" localSheetId="21">#REF!+#REF!</definedName>
    <definedName name="__shared_2_0_23" localSheetId="17">#REF!+#REF!</definedName>
    <definedName name="__shared_2_0_23" localSheetId="12">#REF!+#REF!</definedName>
    <definedName name="__shared_2_0_23" localSheetId="2">#REF!+#REF!</definedName>
    <definedName name="__shared_2_0_23" localSheetId="3">#REF!+#REF!</definedName>
    <definedName name="__shared_2_0_23">#REF!+#REF!</definedName>
    <definedName name="__shared_2_0_23_1" localSheetId="7">#REF!+#REF!</definedName>
    <definedName name="__shared_2_0_23_1" localSheetId="0">#REF!+#REF!</definedName>
    <definedName name="__shared_2_0_23_1" localSheetId="21">#REF!+#REF!</definedName>
    <definedName name="__shared_2_0_23_1" localSheetId="17">#REF!+#REF!</definedName>
    <definedName name="__shared_2_0_23_1" localSheetId="12">#REF!+#REF!</definedName>
    <definedName name="__shared_2_0_23_1" localSheetId="2">#REF!+#REF!</definedName>
    <definedName name="__shared_2_0_23_1" localSheetId="3">#REF!+#REF!</definedName>
    <definedName name="__shared_2_0_23_1">#REF!+#REF!</definedName>
    <definedName name="__shared_2_0_24" localSheetId="7">#REF!+#REF!</definedName>
    <definedName name="__shared_2_0_24" localSheetId="0">#REF!+#REF!</definedName>
    <definedName name="__shared_2_0_24" localSheetId="17">#REF!+#REF!</definedName>
    <definedName name="__shared_2_0_24" localSheetId="12">#REF!+#REF!</definedName>
    <definedName name="__shared_2_0_24" localSheetId="2">#REF!+#REF!</definedName>
    <definedName name="__shared_2_0_24" localSheetId="3">#REF!+#REF!</definedName>
    <definedName name="__shared_2_0_24">#REF!+#REF!</definedName>
    <definedName name="__shared_2_0_24_1" localSheetId="7">SUM(#REF!)</definedName>
    <definedName name="__shared_2_0_24_1" localSheetId="0">SUM(#REF!)</definedName>
    <definedName name="__shared_2_0_24_1" localSheetId="17">SUM(#REF!)</definedName>
    <definedName name="__shared_2_0_24_1" localSheetId="12">SUM(#REF!)</definedName>
    <definedName name="__shared_2_0_24_1" localSheetId="2">SUM(#REF!)</definedName>
    <definedName name="__shared_2_0_24_1" localSheetId="3">SUM(#REF!)</definedName>
    <definedName name="__shared_2_0_24_1">SUM(#REF!)</definedName>
    <definedName name="__shared_2_0_25" localSheetId="7">#REF!+#REF!</definedName>
    <definedName name="__shared_2_0_25" localSheetId="0">#REF!+#REF!</definedName>
    <definedName name="__shared_2_0_25" localSheetId="21">#REF!+#REF!</definedName>
    <definedName name="__shared_2_0_25" localSheetId="17">#REF!+#REF!</definedName>
    <definedName name="__shared_2_0_25" localSheetId="12">#REF!+#REF!</definedName>
    <definedName name="__shared_2_0_25" localSheetId="2">#REF!+#REF!</definedName>
    <definedName name="__shared_2_0_25" localSheetId="3">#REF!+#REF!</definedName>
    <definedName name="__shared_2_0_25">#REF!+#REF!</definedName>
    <definedName name="__shared_2_0_26" localSheetId="7">#REF!+#REF!</definedName>
    <definedName name="__shared_2_0_26" localSheetId="0">#REF!+#REF!</definedName>
    <definedName name="__shared_2_0_26" localSheetId="21">#REF!+#REF!</definedName>
    <definedName name="__shared_2_0_26" localSheetId="17">#REF!+#REF!</definedName>
    <definedName name="__shared_2_0_26" localSheetId="12">#REF!+#REF!</definedName>
    <definedName name="__shared_2_0_26" localSheetId="2">#REF!+#REF!</definedName>
    <definedName name="__shared_2_0_26" localSheetId="3">#REF!+#REF!</definedName>
    <definedName name="__shared_2_0_26">#REF!+#REF!</definedName>
    <definedName name="__shared_2_0_26_1" localSheetId="7">#REF!+#REF!</definedName>
    <definedName name="__shared_2_0_26_1" localSheetId="0">#REF!+#REF!</definedName>
    <definedName name="__shared_2_0_26_1" localSheetId="21">#REF!+#REF!</definedName>
    <definedName name="__shared_2_0_26_1" localSheetId="17">#REF!+#REF!</definedName>
    <definedName name="__shared_2_0_26_1" localSheetId="12">#REF!+#REF!</definedName>
    <definedName name="__shared_2_0_26_1" localSheetId="2">#REF!+#REF!</definedName>
    <definedName name="__shared_2_0_26_1" localSheetId="3">#REF!+#REF!</definedName>
    <definedName name="__shared_2_0_26_1">#REF!+#REF!</definedName>
    <definedName name="__shared_2_0_27" localSheetId="7">#REF!+#REF!</definedName>
    <definedName name="__shared_2_0_27" localSheetId="0">#REF!+#REF!</definedName>
    <definedName name="__shared_2_0_27" localSheetId="17">#REF!+#REF!</definedName>
    <definedName name="__shared_2_0_27" localSheetId="12">#REF!+#REF!</definedName>
    <definedName name="__shared_2_0_27" localSheetId="2">#REF!+#REF!</definedName>
    <definedName name="__shared_2_0_27" localSheetId="3">#REF!+#REF!</definedName>
    <definedName name="__shared_2_0_27">#REF!+#REF!</definedName>
    <definedName name="__shared_2_0_27_1" localSheetId="7">SUM(#REF!)/4</definedName>
    <definedName name="__shared_2_0_27_1" localSheetId="0">SUM(#REF!)/4</definedName>
    <definedName name="__shared_2_0_27_1" localSheetId="21">SUM(#REF!)/4</definedName>
    <definedName name="__shared_2_0_27_1" localSheetId="17">SUM(#REF!)/4</definedName>
    <definedName name="__shared_2_0_27_1" localSheetId="12">SUM(#REF!)/4</definedName>
    <definedName name="__shared_2_0_27_1" localSheetId="2">SUM(#REF!)/4</definedName>
    <definedName name="__shared_2_0_27_1" localSheetId="3">SUM(#REF!)/4</definedName>
    <definedName name="__shared_2_0_27_1">SUM(#REF!)/4</definedName>
    <definedName name="__shared_2_0_28" localSheetId="7">#REF!+#REF!</definedName>
    <definedName name="__shared_2_0_28" localSheetId="0">#REF!+#REF!</definedName>
    <definedName name="__shared_2_0_28" localSheetId="21">#REF!+#REF!</definedName>
    <definedName name="__shared_2_0_28" localSheetId="17">#REF!+#REF!</definedName>
    <definedName name="__shared_2_0_28" localSheetId="12">#REF!+#REF!</definedName>
    <definedName name="__shared_2_0_28" localSheetId="2">#REF!+#REF!</definedName>
    <definedName name="__shared_2_0_28" localSheetId="3">#REF!+#REF!</definedName>
    <definedName name="__shared_2_0_28">#REF!+#REF!</definedName>
    <definedName name="__shared_2_0_29_1" localSheetId="7">#REF!+#REF!</definedName>
    <definedName name="__shared_2_0_29_1" localSheetId="0">#REF!+#REF!</definedName>
    <definedName name="__shared_2_0_29_1" localSheetId="21">#REF!+#REF!</definedName>
    <definedName name="__shared_2_0_29_1" localSheetId="17">#REF!+#REF!</definedName>
    <definedName name="__shared_2_0_29_1" localSheetId="12">#REF!+#REF!</definedName>
    <definedName name="__shared_2_0_29_1" localSheetId="2">#REF!+#REF!</definedName>
    <definedName name="__shared_2_0_29_1" localSheetId="3">#REF!+#REF!</definedName>
    <definedName name="__shared_2_0_29_1">#REF!+#REF!</definedName>
    <definedName name="__shared_2_0_31" localSheetId="7">#REF!+#REF!</definedName>
    <definedName name="__shared_2_0_31" localSheetId="0">#REF!+#REF!</definedName>
    <definedName name="__shared_2_0_31" localSheetId="21">#REF!+#REF!</definedName>
    <definedName name="__shared_2_0_31" localSheetId="17">#REF!+#REF!</definedName>
    <definedName name="__shared_2_0_31" localSheetId="12">#REF!+#REF!</definedName>
    <definedName name="__shared_2_0_31" localSheetId="2">#REF!+#REF!</definedName>
    <definedName name="__shared_2_0_31" localSheetId="3">#REF!+#REF!</definedName>
    <definedName name="__shared_2_0_31">#REF!+#REF!</definedName>
    <definedName name="__shared_2_0_32" localSheetId="7">#REF!+#REF!</definedName>
    <definedName name="__shared_2_0_32" localSheetId="0">#REF!+#REF!</definedName>
    <definedName name="__shared_2_0_32" localSheetId="17">#REF!+#REF!</definedName>
    <definedName name="__shared_2_0_32" localSheetId="12">#REF!+#REF!</definedName>
    <definedName name="__shared_2_0_32" localSheetId="2">#REF!+#REF!</definedName>
    <definedName name="__shared_2_0_32" localSheetId="3">#REF!+#REF!</definedName>
    <definedName name="__shared_2_0_32">#REF!+#REF!</definedName>
    <definedName name="__shared_2_0_33" localSheetId="7">#REF!+#REF!</definedName>
    <definedName name="__shared_2_0_33" localSheetId="0">#REF!+#REF!</definedName>
    <definedName name="__shared_2_0_33" localSheetId="17">#REF!+#REF!</definedName>
    <definedName name="__shared_2_0_33" localSheetId="12">#REF!+#REF!</definedName>
    <definedName name="__shared_2_0_33" localSheetId="2">#REF!+#REF!</definedName>
    <definedName name="__shared_2_0_33" localSheetId="3">#REF!+#REF!</definedName>
    <definedName name="__shared_2_0_33">#REF!+#REF!</definedName>
    <definedName name="__shared_2_0_34" localSheetId="7">#REF!+#REF!</definedName>
    <definedName name="__shared_2_0_34" localSheetId="0">#REF!+#REF!</definedName>
    <definedName name="__shared_2_0_34" localSheetId="17">#REF!+#REF!</definedName>
    <definedName name="__shared_2_0_34" localSheetId="12">#REF!+#REF!</definedName>
    <definedName name="__shared_2_0_34" localSheetId="2">#REF!+#REF!</definedName>
    <definedName name="__shared_2_0_34" localSheetId="3">#REF!+#REF!</definedName>
    <definedName name="__shared_2_0_34">#REF!+#REF!</definedName>
    <definedName name="__shared_2_0_35" localSheetId="7">#REF!+#REF!</definedName>
    <definedName name="__shared_2_0_35" localSheetId="0">#REF!+#REF!</definedName>
    <definedName name="__shared_2_0_35" localSheetId="17">#REF!+#REF!</definedName>
    <definedName name="__shared_2_0_35" localSheetId="12">#REF!+#REF!</definedName>
    <definedName name="__shared_2_0_35" localSheetId="2">#REF!+#REF!</definedName>
    <definedName name="__shared_2_0_35" localSheetId="3">#REF!+#REF!</definedName>
    <definedName name="__shared_2_0_35">#REF!+#REF!</definedName>
    <definedName name="__shared_2_0_36" localSheetId="7">#REF!+#REF!</definedName>
    <definedName name="__shared_2_0_36" localSheetId="0">#REF!+#REF!</definedName>
    <definedName name="__shared_2_0_36" localSheetId="17">#REF!+#REF!</definedName>
    <definedName name="__shared_2_0_36" localSheetId="12">#REF!+#REF!</definedName>
    <definedName name="__shared_2_0_36" localSheetId="2">#REF!+#REF!</definedName>
    <definedName name="__shared_2_0_36" localSheetId="3">#REF!+#REF!</definedName>
    <definedName name="__shared_2_0_36">#REF!+#REF!</definedName>
    <definedName name="__shared_2_0_37" localSheetId="7">#REF!+#REF!</definedName>
    <definedName name="__shared_2_0_37" localSheetId="0">#REF!+#REF!</definedName>
    <definedName name="__shared_2_0_37" localSheetId="17">#REF!+#REF!</definedName>
    <definedName name="__shared_2_0_37" localSheetId="12">#REF!+#REF!</definedName>
    <definedName name="__shared_2_0_37" localSheetId="2">#REF!+#REF!</definedName>
    <definedName name="__shared_2_0_37" localSheetId="3">#REF!+#REF!</definedName>
    <definedName name="__shared_2_0_37">#REF!+#REF!</definedName>
    <definedName name="__shared_2_0_8" localSheetId="7">IF(#REF!=1,#REF!,0)</definedName>
    <definedName name="__shared_2_0_8" localSheetId="0">IF(#REF!=1,#REF!,0)</definedName>
    <definedName name="__shared_2_0_8" localSheetId="21">IF(#REF!=1,#REF!,0)</definedName>
    <definedName name="__shared_2_0_8" localSheetId="6">IF(#REF!=1,#REF!,0)</definedName>
    <definedName name="__shared_2_0_8" localSheetId="17">IF(#REF!=1,#REF!,0)</definedName>
    <definedName name="__shared_2_0_8" localSheetId="12">IF(#REF!=1,#REF!,0)</definedName>
    <definedName name="__shared_2_0_8" localSheetId="2">IF(#REF!=1,#REF!,0)</definedName>
    <definedName name="__shared_2_0_8" localSheetId="3">IF(#REF!=1,#REF!,0)</definedName>
    <definedName name="__shared_2_0_8">IF(#REF!=1,#REF!,0)</definedName>
    <definedName name="__shared_2_0_9" localSheetId="7">#REF!+1</definedName>
    <definedName name="__shared_2_0_9" localSheetId="0">#REF!+1</definedName>
    <definedName name="__shared_2_0_9" localSheetId="17">#REF!+1</definedName>
    <definedName name="__shared_2_0_9" localSheetId="12">#REF!+1</definedName>
    <definedName name="__shared_2_0_9" localSheetId="2">#REF!+1</definedName>
    <definedName name="__shared_2_0_9" localSheetId="3">#REF!+1</definedName>
    <definedName name="__shared_2_0_9">#REF!+1</definedName>
    <definedName name="__shared_2_0_9_1" localSheetId="7">#REF!+1</definedName>
    <definedName name="__shared_2_0_9_1" localSheetId="0">#REF!+1</definedName>
    <definedName name="__shared_2_0_9_1" localSheetId="17">#REF!+1</definedName>
    <definedName name="__shared_2_0_9_1" localSheetId="12">#REF!+1</definedName>
    <definedName name="__shared_2_0_9_1" localSheetId="2">#REF!+1</definedName>
    <definedName name="__shared_2_0_9_1" localSheetId="3">#REF!+1</definedName>
    <definedName name="__shared_2_0_9_1">#REF!+1</definedName>
    <definedName name="__shared_5_0_1" localSheetId="7">#REF!+#REF!</definedName>
    <definedName name="__shared_5_0_1" localSheetId="0">#REF!+#REF!</definedName>
    <definedName name="__shared_5_0_1" localSheetId="21">#REF!+#REF!</definedName>
    <definedName name="__shared_5_0_1" localSheetId="17">#REF!+#REF!</definedName>
    <definedName name="__shared_5_0_1" localSheetId="12">#REF!+#REF!</definedName>
    <definedName name="__shared_5_0_1" localSheetId="2">#REF!+#REF!</definedName>
    <definedName name="__shared_5_0_1" localSheetId="3">#REF!+#REF!</definedName>
    <definedName name="__shared_5_0_1">#REF!+#REF!</definedName>
    <definedName name="__shared_5_0_10" localSheetId="7">#REF!+#REF!</definedName>
    <definedName name="__shared_5_0_10" localSheetId="0">#REF!+#REF!</definedName>
    <definedName name="__shared_5_0_10" localSheetId="21">#REF!+#REF!</definedName>
    <definedName name="__shared_5_0_10" localSheetId="17">#REF!+#REF!</definedName>
    <definedName name="__shared_5_0_10" localSheetId="12">#REF!+#REF!</definedName>
    <definedName name="__shared_5_0_10" localSheetId="2">#REF!+#REF!</definedName>
    <definedName name="__shared_5_0_10" localSheetId="3">#REF!+#REF!</definedName>
    <definedName name="__shared_5_0_10">#REF!+#REF!</definedName>
    <definedName name="__shared_5_0_12" localSheetId="7">#REF!+#REF!</definedName>
    <definedName name="__shared_5_0_12" localSheetId="0">#REF!+#REF!</definedName>
    <definedName name="__shared_5_0_12" localSheetId="21">#REF!+#REF!</definedName>
    <definedName name="__shared_5_0_12" localSheetId="17">#REF!+#REF!</definedName>
    <definedName name="__shared_5_0_12" localSheetId="12">#REF!+#REF!</definedName>
    <definedName name="__shared_5_0_12" localSheetId="2">#REF!+#REF!</definedName>
    <definedName name="__shared_5_0_12" localSheetId="3">#REF!+#REF!</definedName>
    <definedName name="__shared_5_0_12">#REF!+#REF!</definedName>
    <definedName name="__shared_5_0_20" localSheetId="7">#REF!+#REF!</definedName>
    <definedName name="__shared_5_0_20" localSheetId="0">#REF!+#REF!</definedName>
    <definedName name="__shared_5_0_20" localSheetId="17">#REF!+#REF!</definedName>
    <definedName name="__shared_5_0_20" localSheetId="12">#REF!+#REF!</definedName>
    <definedName name="__shared_5_0_20" localSheetId="2">#REF!+#REF!</definedName>
    <definedName name="__shared_5_0_20" localSheetId="3">#REF!+#REF!</definedName>
    <definedName name="__shared_5_0_20">#REF!+#REF!</definedName>
    <definedName name="__shared_5_0_24" localSheetId="7">#REF!+#REF!</definedName>
    <definedName name="__shared_5_0_24" localSheetId="0">#REF!+#REF!</definedName>
    <definedName name="__shared_5_0_24" localSheetId="17">#REF!+#REF!</definedName>
    <definedName name="__shared_5_0_24" localSheetId="12">#REF!+#REF!</definedName>
    <definedName name="__shared_5_0_24" localSheetId="2">#REF!+#REF!</definedName>
    <definedName name="__shared_5_0_24" localSheetId="3">#REF!+#REF!</definedName>
    <definedName name="__shared_5_0_24">#REF!+#REF!</definedName>
    <definedName name="__shared_5_0_26" localSheetId="7">#REF!+#REF!</definedName>
    <definedName name="__shared_5_0_26" localSheetId="0">#REF!+#REF!</definedName>
    <definedName name="__shared_5_0_26" localSheetId="17">#REF!+#REF!</definedName>
    <definedName name="__shared_5_0_26" localSheetId="12">#REF!+#REF!</definedName>
    <definedName name="__shared_5_0_26" localSheetId="2">#REF!+#REF!</definedName>
    <definedName name="__shared_5_0_26" localSheetId="3">#REF!+#REF!</definedName>
    <definedName name="__shared_5_0_26">#REF!+#REF!</definedName>
    <definedName name="__shared_5_0_31" localSheetId="7">#REF!+#REF!</definedName>
    <definedName name="__shared_5_0_31" localSheetId="0">#REF!+#REF!</definedName>
    <definedName name="__shared_5_0_31" localSheetId="17">#REF!+#REF!</definedName>
    <definedName name="__shared_5_0_31" localSheetId="12">#REF!+#REF!</definedName>
    <definedName name="__shared_5_0_31" localSheetId="2">#REF!+#REF!</definedName>
    <definedName name="__shared_5_0_31" localSheetId="3">#REF!+#REF!</definedName>
    <definedName name="__shared_5_0_31">#REF!+#REF!</definedName>
    <definedName name="__shared_5_0_33" localSheetId="7">#REF!+#REF!</definedName>
    <definedName name="__shared_5_0_33" localSheetId="0">#REF!+#REF!</definedName>
    <definedName name="__shared_5_0_33" localSheetId="17">#REF!+#REF!</definedName>
    <definedName name="__shared_5_0_33" localSheetId="12">#REF!+#REF!</definedName>
    <definedName name="__shared_5_0_33" localSheetId="2">#REF!+#REF!</definedName>
    <definedName name="__shared_5_0_33" localSheetId="3">#REF!+#REF!</definedName>
    <definedName name="__shared_5_0_33">#REF!+#REF!</definedName>
    <definedName name="__shared_5_0_37" localSheetId="7">#REF!+#REF!</definedName>
    <definedName name="__shared_5_0_37" localSheetId="0">#REF!+#REF!</definedName>
    <definedName name="__shared_5_0_37" localSheetId="17">#REF!+#REF!</definedName>
    <definedName name="__shared_5_0_37" localSheetId="12">#REF!+#REF!</definedName>
    <definedName name="__shared_5_0_37" localSheetId="2">#REF!+#REF!</definedName>
    <definedName name="__shared_5_0_37" localSheetId="3">#REF!+#REF!</definedName>
    <definedName name="__shared_5_0_37">#REF!+#REF!</definedName>
    <definedName name="__shared_5_0_39" localSheetId="7">#REF!+#REF!</definedName>
    <definedName name="__shared_5_0_39" localSheetId="0">#REF!+#REF!</definedName>
    <definedName name="__shared_5_0_39" localSheetId="17">#REF!+#REF!</definedName>
    <definedName name="__shared_5_0_39" localSheetId="12">#REF!+#REF!</definedName>
    <definedName name="__shared_5_0_39" localSheetId="2">#REF!+#REF!</definedName>
    <definedName name="__shared_5_0_39" localSheetId="3">#REF!+#REF!</definedName>
    <definedName name="__shared_5_0_39">#REF!+#REF!</definedName>
    <definedName name="__shared_5_0_41" localSheetId="7">#REF!+#REF!</definedName>
    <definedName name="__shared_5_0_41" localSheetId="0">#REF!+#REF!</definedName>
    <definedName name="__shared_5_0_41" localSheetId="17">#REF!+#REF!</definedName>
    <definedName name="__shared_5_0_41" localSheetId="12">#REF!+#REF!</definedName>
    <definedName name="__shared_5_0_41" localSheetId="2">#REF!+#REF!</definedName>
    <definedName name="__shared_5_0_41" localSheetId="3">#REF!+#REF!</definedName>
    <definedName name="__shared_5_0_41">#REF!+#REF!</definedName>
    <definedName name="__shared_5_0_44" localSheetId="7">#REF!+#REF!</definedName>
    <definedName name="__shared_5_0_44" localSheetId="0">#REF!+#REF!</definedName>
    <definedName name="__shared_5_0_44" localSheetId="17">#REF!+#REF!</definedName>
    <definedName name="__shared_5_0_44" localSheetId="12">#REF!+#REF!</definedName>
    <definedName name="__shared_5_0_44" localSheetId="2">#REF!+#REF!</definedName>
    <definedName name="__shared_5_0_44" localSheetId="3">#REF!+#REF!</definedName>
    <definedName name="__shared_5_0_44">#REF!+#REF!</definedName>
    <definedName name="__shared_5_0_52" localSheetId="7">#REF!+#REF!</definedName>
    <definedName name="__shared_5_0_52" localSheetId="0">#REF!+#REF!</definedName>
    <definedName name="__shared_5_0_52" localSheetId="17">#REF!+#REF!</definedName>
    <definedName name="__shared_5_0_52" localSheetId="12">#REF!+#REF!</definedName>
    <definedName name="__shared_5_0_52" localSheetId="2">#REF!+#REF!</definedName>
    <definedName name="__shared_5_0_52" localSheetId="3">#REF!+#REF!</definedName>
    <definedName name="__shared_5_0_52">#REF!+#REF!</definedName>
    <definedName name="__shared_5_0_54" localSheetId="7">#REF!+#REF!</definedName>
    <definedName name="__shared_5_0_54" localSheetId="0">#REF!+#REF!</definedName>
    <definedName name="__shared_5_0_54" localSheetId="17">#REF!+#REF!</definedName>
    <definedName name="__shared_5_0_54" localSheetId="12">#REF!+#REF!</definedName>
    <definedName name="__shared_5_0_54" localSheetId="2">#REF!+#REF!</definedName>
    <definedName name="__shared_5_0_54" localSheetId="3">#REF!+#REF!</definedName>
    <definedName name="__shared_5_0_54">#REF!+#REF!</definedName>
    <definedName name="__shared_5_0_55" localSheetId="7">#REF!+#REF!</definedName>
    <definedName name="__shared_5_0_55" localSheetId="0">#REF!+#REF!</definedName>
    <definedName name="__shared_5_0_55" localSheetId="17">#REF!+#REF!</definedName>
    <definedName name="__shared_5_0_55" localSheetId="12">#REF!+#REF!</definedName>
    <definedName name="__shared_5_0_55" localSheetId="2">#REF!+#REF!</definedName>
    <definedName name="__shared_5_0_55" localSheetId="3">#REF!+#REF!</definedName>
    <definedName name="__shared_5_0_55">#REF!+#REF!</definedName>
    <definedName name="__shared_5_0_65" localSheetId="7">#REF!+#REF!</definedName>
    <definedName name="__shared_5_0_65" localSheetId="0">#REF!+#REF!</definedName>
    <definedName name="__shared_5_0_65" localSheetId="17">#REF!+#REF!</definedName>
    <definedName name="__shared_5_0_65" localSheetId="12">#REF!+#REF!</definedName>
    <definedName name="__shared_5_0_65" localSheetId="2">#REF!+#REF!</definedName>
    <definedName name="__shared_5_0_65" localSheetId="3">#REF!+#REF!</definedName>
    <definedName name="__shared_5_0_65">#REF!+#REF!</definedName>
    <definedName name="__shared_5_0_66" localSheetId="7">#REF!+#REF!</definedName>
    <definedName name="__shared_5_0_66" localSheetId="0">#REF!+#REF!</definedName>
    <definedName name="__shared_5_0_66" localSheetId="17">#REF!+#REF!</definedName>
    <definedName name="__shared_5_0_66" localSheetId="12">#REF!+#REF!</definedName>
    <definedName name="__shared_5_0_66" localSheetId="2">#REF!+#REF!</definedName>
    <definedName name="__shared_5_0_66" localSheetId="3">#REF!+#REF!</definedName>
    <definedName name="__shared_5_0_66">#REF!+#REF!</definedName>
    <definedName name="__shared_5_0_67" localSheetId="7">#REF!+#REF!</definedName>
    <definedName name="__shared_5_0_67" localSheetId="0">#REF!+#REF!</definedName>
    <definedName name="__shared_5_0_67" localSheetId="17">#REF!+#REF!</definedName>
    <definedName name="__shared_5_0_67" localSheetId="12">#REF!+#REF!</definedName>
    <definedName name="__shared_5_0_67" localSheetId="2">#REF!+#REF!</definedName>
    <definedName name="__shared_5_0_67" localSheetId="3">#REF!+#REF!</definedName>
    <definedName name="__shared_5_0_67">#REF!+#REF!</definedName>
    <definedName name="__shared_5_0_68" localSheetId="7">#REF!+#REF!</definedName>
    <definedName name="__shared_5_0_68" localSheetId="0">#REF!+#REF!</definedName>
    <definedName name="__shared_5_0_68" localSheetId="17">#REF!+#REF!</definedName>
    <definedName name="__shared_5_0_68" localSheetId="12">#REF!+#REF!</definedName>
    <definedName name="__shared_5_0_68" localSheetId="2">#REF!+#REF!</definedName>
    <definedName name="__shared_5_0_68" localSheetId="3">#REF!+#REF!</definedName>
    <definedName name="__shared_5_0_68">#REF!+#REF!</definedName>
    <definedName name="__shared_5_0_70" localSheetId="7">#REF!+#REF!</definedName>
    <definedName name="__shared_5_0_70" localSheetId="0">#REF!+#REF!</definedName>
    <definedName name="__shared_5_0_70" localSheetId="17">#REF!+#REF!</definedName>
    <definedName name="__shared_5_0_70" localSheetId="12">#REF!+#REF!</definedName>
    <definedName name="__shared_5_0_70" localSheetId="2">#REF!+#REF!</definedName>
    <definedName name="__shared_5_0_70" localSheetId="3">#REF!+#REF!</definedName>
    <definedName name="__shared_5_0_70">#REF!+#REF!</definedName>
    <definedName name="__shared_5_0_73" localSheetId="7">#REF!+#REF!</definedName>
    <definedName name="__shared_5_0_73" localSheetId="0">#REF!+#REF!</definedName>
    <definedName name="__shared_5_0_73" localSheetId="17">#REF!+#REF!</definedName>
    <definedName name="__shared_5_0_73" localSheetId="12">#REF!+#REF!</definedName>
    <definedName name="__shared_5_0_73" localSheetId="2">#REF!+#REF!</definedName>
    <definedName name="__shared_5_0_73" localSheetId="3">#REF!+#REF!</definedName>
    <definedName name="__shared_5_0_73">#REF!+#REF!</definedName>
    <definedName name="__shared_5_0_75" localSheetId="7">#REF!+#REF!</definedName>
    <definedName name="__shared_5_0_75" localSheetId="0">#REF!+#REF!</definedName>
    <definedName name="__shared_5_0_75" localSheetId="17">#REF!+#REF!</definedName>
    <definedName name="__shared_5_0_75" localSheetId="12">#REF!+#REF!</definedName>
    <definedName name="__shared_5_0_75" localSheetId="2">#REF!+#REF!</definedName>
    <definedName name="__shared_5_0_75" localSheetId="3">#REF!+#REF!</definedName>
    <definedName name="__shared_5_0_75">#REF!+#REF!</definedName>
    <definedName name="__shared_5_0_78" localSheetId="7">#REF!+#REF!</definedName>
    <definedName name="__shared_5_0_78" localSheetId="0">#REF!+#REF!</definedName>
    <definedName name="__shared_5_0_78" localSheetId="17">#REF!+#REF!</definedName>
    <definedName name="__shared_5_0_78" localSheetId="12">#REF!+#REF!</definedName>
    <definedName name="__shared_5_0_78" localSheetId="2">#REF!+#REF!</definedName>
    <definedName name="__shared_5_0_78" localSheetId="3">#REF!+#REF!</definedName>
    <definedName name="__shared_5_0_78">#REF!+#REF!</definedName>
    <definedName name="__shared_5_0_80" localSheetId="7">#REF!+#REF!</definedName>
    <definedName name="__shared_5_0_80" localSheetId="0">#REF!+#REF!</definedName>
    <definedName name="__shared_5_0_80" localSheetId="17">#REF!+#REF!</definedName>
    <definedName name="__shared_5_0_80" localSheetId="12">#REF!+#REF!</definedName>
    <definedName name="__shared_5_0_80" localSheetId="2">#REF!+#REF!</definedName>
    <definedName name="__shared_5_0_80" localSheetId="3">#REF!+#REF!</definedName>
    <definedName name="__shared_5_0_80">#REF!+#REF!</definedName>
    <definedName name="__shared_5_0_83" localSheetId="7">#REF!+#REF!</definedName>
    <definedName name="__shared_5_0_83" localSheetId="0">#REF!+#REF!</definedName>
    <definedName name="__shared_5_0_83" localSheetId="17">#REF!+#REF!</definedName>
    <definedName name="__shared_5_0_83" localSheetId="12">#REF!+#REF!</definedName>
    <definedName name="__shared_5_0_83" localSheetId="2">#REF!+#REF!</definedName>
    <definedName name="__shared_5_0_83" localSheetId="3">#REF!+#REF!</definedName>
    <definedName name="__shared_5_0_83">#REF!+#REF!</definedName>
    <definedName name="__shared_5_0_85" localSheetId="7">#REF!+#REF!</definedName>
    <definedName name="__shared_5_0_85" localSheetId="0">#REF!+#REF!</definedName>
    <definedName name="__shared_5_0_85" localSheetId="17">#REF!+#REF!</definedName>
    <definedName name="__shared_5_0_85" localSheetId="12">#REF!+#REF!</definedName>
    <definedName name="__shared_5_0_85" localSheetId="2">#REF!+#REF!</definedName>
    <definedName name="__shared_5_0_85" localSheetId="3">#REF!+#REF!</definedName>
    <definedName name="__shared_5_0_85">#REF!+#REF!</definedName>
    <definedName name="__shared_5_0_86" localSheetId="7">#REF!+#REF!</definedName>
    <definedName name="__shared_5_0_86" localSheetId="0">#REF!+#REF!</definedName>
    <definedName name="__shared_5_0_86" localSheetId="17">#REF!+#REF!</definedName>
    <definedName name="__shared_5_0_86" localSheetId="12">#REF!+#REF!</definedName>
    <definedName name="__shared_5_0_86" localSheetId="2">#REF!+#REF!</definedName>
    <definedName name="__shared_5_0_86" localSheetId="3">#REF!+#REF!</definedName>
    <definedName name="__shared_5_0_86">#REF!+#REF!</definedName>
    <definedName name="__shared_5_0_89" localSheetId="7">#REF!+#REF!</definedName>
    <definedName name="__shared_5_0_89" localSheetId="0">#REF!+#REF!</definedName>
    <definedName name="__shared_5_0_89" localSheetId="17">#REF!+#REF!</definedName>
    <definedName name="__shared_5_0_89" localSheetId="12">#REF!+#REF!</definedName>
    <definedName name="__shared_5_0_89" localSheetId="2">#REF!+#REF!</definedName>
    <definedName name="__shared_5_0_89" localSheetId="3">#REF!+#REF!</definedName>
    <definedName name="__shared_5_0_89">#REF!+#REF!</definedName>
    <definedName name="__shared_5_0_96" localSheetId="7">#REF!+#REF!</definedName>
    <definedName name="__shared_5_0_96" localSheetId="0">#REF!+#REF!</definedName>
    <definedName name="__shared_5_0_96" localSheetId="17">#REF!+#REF!</definedName>
    <definedName name="__shared_5_0_96" localSheetId="12">#REF!+#REF!</definedName>
    <definedName name="__shared_5_0_96" localSheetId="2">#REF!+#REF!</definedName>
    <definedName name="__shared_5_0_96" localSheetId="3">#REF!+#REF!</definedName>
    <definedName name="__shared_5_0_96">#REF!+#REF!</definedName>
    <definedName name="__shared_5_0_97" localSheetId="7">SUM(#REF!)</definedName>
    <definedName name="__shared_5_0_97" localSheetId="0">SUM(#REF!)</definedName>
    <definedName name="__shared_5_0_97" localSheetId="17">SUM(#REF!)</definedName>
    <definedName name="__shared_5_0_97" localSheetId="12">SUM(#REF!)</definedName>
    <definedName name="__shared_5_0_97" localSheetId="2">SUM(#REF!)</definedName>
    <definedName name="__shared_5_0_97" localSheetId="3">SUM(#REF!)</definedName>
    <definedName name="__shared_5_0_97">SUM(#REF!)</definedName>
    <definedName name="__shared_5_0_99" localSheetId="7">#REF!+#REF!</definedName>
    <definedName name="__shared_5_0_99" localSheetId="0">#REF!+#REF!</definedName>
    <definedName name="__shared_5_0_99" localSheetId="21">#REF!+#REF!</definedName>
    <definedName name="__shared_5_0_99" localSheetId="17">#REF!+#REF!</definedName>
    <definedName name="__shared_5_0_99" localSheetId="12">#REF!+#REF!</definedName>
    <definedName name="__shared_5_0_99" localSheetId="2">#REF!+#REF!</definedName>
    <definedName name="__shared_5_0_99" localSheetId="3">#REF!+#REF!</definedName>
    <definedName name="__shared_5_0_99">#REF!+#REF!</definedName>
    <definedName name="__shared_6_0_1" localSheetId="7">#REF!+#REF!</definedName>
    <definedName name="__shared_6_0_1" localSheetId="0">#REF!+#REF!</definedName>
    <definedName name="__shared_6_0_1" localSheetId="21">#REF!+#REF!</definedName>
    <definedName name="__shared_6_0_1" localSheetId="17">#REF!+#REF!</definedName>
    <definedName name="__shared_6_0_1" localSheetId="12">#REF!+#REF!</definedName>
    <definedName name="__shared_6_0_1" localSheetId="2">#REF!+#REF!</definedName>
    <definedName name="__shared_6_0_1" localSheetId="3">#REF!+#REF!</definedName>
    <definedName name="__shared_6_0_1">#REF!+#REF!</definedName>
    <definedName name="__shared_6_0_1_1" localSheetId="7">#REF!+#REF!</definedName>
    <definedName name="__shared_6_0_1_1" localSheetId="0">#REF!+#REF!</definedName>
    <definedName name="__shared_6_0_1_1" localSheetId="21">#REF!+#REF!</definedName>
    <definedName name="__shared_6_0_1_1" localSheetId="17">#REF!+#REF!</definedName>
    <definedName name="__shared_6_0_1_1" localSheetId="12">#REF!+#REF!</definedName>
    <definedName name="__shared_6_0_1_1" localSheetId="2">#REF!+#REF!</definedName>
    <definedName name="__shared_6_0_1_1" localSheetId="3">#REF!+#REF!</definedName>
    <definedName name="__shared_6_0_1_1">#REF!+#REF!</definedName>
    <definedName name="__shared_7_0_10" localSheetId="7">#REF!+#REF!</definedName>
    <definedName name="__shared_7_0_10" localSheetId="0">#REF!+#REF!</definedName>
    <definedName name="__shared_7_0_10" localSheetId="17">#REF!+#REF!</definedName>
    <definedName name="__shared_7_0_10" localSheetId="12">#REF!+#REF!</definedName>
    <definedName name="__shared_7_0_10" localSheetId="2">#REF!+#REF!</definedName>
    <definedName name="__shared_7_0_10" localSheetId="3">#REF!+#REF!</definedName>
    <definedName name="__shared_7_0_10">#REF!+#REF!</definedName>
    <definedName name="__shared_7_0_11" localSheetId="7">#REF!+#REF!</definedName>
    <definedName name="__shared_7_0_11" localSheetId="0">#REF!+#REF!</definedName>
    <definedName name="__shared_7_0_11" localSheetId="17">#REF!+#REF!</definedName>
    <definedName name="__shared_7_0_11" localSheetId="12">#REF!+#REF!</definedName>
    <definedName name="__shared_7_0_11" localSheetId="2">#REF!+#REF!</definedName>
    <definedName name="__shared_7_0_11" localSheetId="3">#REF!+#REF!</definedName>
    <definedName name="__shared_7_0_11">#REF!+#REF!</definedName>
    <definedName name="__shared_7_0_15" localSheetId="7">#REF!+#REF!</definedName>
    <definedName name="__shared_7_0_15" localSheetId="0">#REF!+#REF!</definedName>
    <definedName name="__shared_7_0_15" localSheetId="17">#REF!+#REF!</definedName>
    <definedName name="__shared_7_0_15" localSheetId="12">#REF!+#REF!</definedName>
    <definedName name="__shared_7_0_15" localSheetId="2">#REF!+#REF!</definedName>
    <definedName name="__shared_7_0_15" localSheetId="3">#REF!+#REF!</definedName>
    <definedName name="__shared_7_0_15">#REF!+#REF!</definedName>
    <definedName name="__shared_7_0_17" localSheetId="7">#REF!+#REF!</definedName>
    <definedName name="__shared_7_0_17" localSheetId="0">#REF!+#REF!</definedName>
    <definedName name="__shared_7_0_17" localSheetId="17">#REF!+#REF!</definedName>
    <definedName name="__shared_7_0_17" localSheetId="12">#REF!+#REF!</definedName>
    <definedName name="__shared_7_0_17" localSheetId="2">#REF!+#REF!</definedName>
    <definedName name="__shared_7_0_17" localSheetId="3">#REF!+#REF!</definedName>
    <definedName name="__shared_7_0_17">#REF!+#REF!</definedName>
    <definedName name="__shared_7_0_19" localSheetId="7">#REF!+#REF!</definedName>
    <definedName name="__shared_7_0_19" localSheetId="0">#REF!+#REF!</definedName>
    <definedName name="__shared_7_0_19" localSheetId="17">#REF!+#REF!</definedName>
    <definedName name="__shared_7_0_19" localSheetId="12">#REF!+#REF!</definedName>
    <definedName name="__shared_7_0_19" localSheetId="2">#REF!+#REF!</definedName>
    <definedName name="__shared_7_0_19" localSheetId="3">#REF!+#REF!</definedName>
    <definedName name="__shared_7_0_19">#REF!+#REF!</definedName>
    <definedName name="__shared_7_0_3" localSheetId="7">#REF!+#REF!</definedName>
    <definedName name="__shared_7_0_3" localSheetId="0">#REF!+#REF!</definedName>
    <definedName name="__shared_7_0_3" localSheetId="17">#REF!+#REF!</definedName>
    <definedName name="__shared_7_0_3" localSheetId="12">#REF!+#REF!</definedName>
    <definedName name="__shared_7_0_3" localSheetId="2">#REF!+#REF!</definedName>
    <definedName name="__shared_7_0_3" localSheetId="3">#REF!+#REF!</definedName>
    <definedName name="__shared_7_0_3">#REF!+#REF!</definedName>
    <definedName name="__shared_7_0_3_1" localSheetId="7">#REF!+#REF!</definedName>
    <definedName name="__shared_7_0_3_1" localSheetId="0">#REF!+#REF!</definedName>
    <definedName name="__shared_7_0_3_1" localSheetId="17">#REF!+#REF!</definedName>
    <definedName name="__shared_7_0_3_1" localSheetId="12">#REF!+#REF!</definedName>
    <definedName name="__shared_7_0_3_1" localSheetId="2">#REF!+#REF!</definedName>
    <definedName name="__shared_7_0_3_1" localSheetId="3">#REF!+#REF!</definedName>
    <definedName name="__shared_7_0_3_1">#REF!+#REF!</definedName>
    <definedName name="__shared_7_0_7" localSheetId="7">#REF!+#REF!</definedName>
    <definedName name="__shared_7_0_7" localSheetId="0">#REF!+#REF!</definedName>
    <definedName name="__shared_7_0_7" localSheetId="17">#REF!+#REF!</definedName>
    <definedName name="__shared_7_0_7" localSheetId="12">#REF!+#REF!</definedName>
    <definedName name="__shared_7_0_7" localSheetId="2">#REF!+#REF!</definedName>
    <definedName name="__shared_7_0_7" localSheetId="3">#REF!+#REF!</definedName>
    <definedName name="__shared_7_0_7">#REF!+#REF!</definedName>
    <definedName name="__shared_8_0_11" localSheetId="7">#REF!+#REF!</definedName>
    <definedName name="__shared_8_0_11" localSheetId="0">#REF!+#REF!</definedName>
    <definedName name="__shared_8_0_11" localSheetId="17">#REF!+#REF!</definedName>
    <definedName name="__shared_8_0_11" localSheetId="12">#REF!+#REF!</definedName>
    <definedName name="__shared_8_0_11" localSheetId="2">#REF!+#REF!</definedName>
    <definedName name="__shared_8_0_11" localSheetId="3">#REF!+#REF!</definedName>
    <definedName name="__shared_8_0_11">#REF!+#REF!</definedName>
    <definedName name="__shared_8_0_11_1" localSheetId="7">#REF!+#REF!</definedName>
    <definedName name="__shared_8_0_11_1" localSheetId="0">#REF!+#REF!</definedName>
    <definedName name="__shared_8_0_11_1" localSheetId="17">#REF!+#REF!</definedName>
    <definedName name="__shared_8_0_11_1" localSheetId="12">#REF!+#REF!</definedName>
    <definedName name="__shared_8_0_11_1" localSheetId="2">#REF!+#REF!</definedName>
    <definedName name="__shared_8_0_11_1" localSheetId="3">#REF!+#REF!</definedName>
    <definedName name="__shared_8_0_11_1">#REF!+#REF!</definedName>
    <definedName name="__shared_8_0_15" localSheetId="7">#REF!+#REF!</definedName>
    <definedName name="__shared_8_0_15" localSheetId="0">#REF!+#REF!</definedName>
    <definedName name="__shared_8_0_15" localSheetId="17">#REF!+#REF!</definedName>
    <definedName name="__shared_8_0_15" localSheetId="12">#REF!+#REF!</definedName>
    <definedName name="__shared_8_0_15" localSheetId="2">#REF!+#REF!</definedName>
    <definedName name="__shared_8_0_15" localSheetId="3">#REF!+#REF!</definedName>
    <definedName name="__shared_8_0_15">#REF!+#REF!</definedName>
    <definedName name="__shared_8_0_15_1" localSheetId="7">#REF!+#REF!</definedName>
    <definedName name="__shared_8_0_15_1" localSheetId="0">#REF!+#REF!</definedName>
    <definedName name="__shared_8_0_15_1" localSheetId="17">#REF!+#REF!</definedName>
    <definedName name="__shared_8_0_15_1" localSheetId="12">#REF!+#REF!</definedName>
    <definedName name="__shared_8_0_15_1" localSheetId="2">#REF!+#REF!</definedName>
    <definedName name="__shared_8_0_15_1" localSheetId="3">#REF!+#REF!</definedName>
    <definedName name="__shared_8_0_15_1">#REF!+#REF!</definedName>
    <definedName name="__shared_8_0_19" localSheetId="7">#REF!+#REF!</definedName>
    <definedName name="__shared_8_0_19" localSheetId="0">#REF!+#REF!</definedName>
    <definedName name="__shared_8_0_19" localSheetId="17">#REF!+#REF!</definedName>
    <definedName name="__shared_8_0_19" localSheetId="12">#REF!+#REF!</definedName>
    <definedName name="__shared_8_0_19" localSheetId="2">#REF!+#REF!</definedName>
    <definedName name="__shared_8_0_19" localSheetId="3">#REF!+#REF!</definedName>
    <definedName name="__shared_8_0_19">#REF!+#REF!</definedName>
    <definedName name="__shared_8_0_2" localSheetId="7">#REF!+#REF!</definedName>
    <definedName name="__shared_8_0_2" localSheetId="0">#REF!+#REF!</definedName>
    <definedName name="__shared_8_0_2" localSheetId="17">#REF!+#REF!</definedName>
    <definedName name="__shared_8_0_2" localSheetId="12">#REF!+#REF!</definedName>
    <definedName name="__shared_8_0_2" localSheetId="2">#REF!+#REF!</definedName>
    <definedName name="__shared_8_0_2" localSheetId="3">#REF!+#REF!</definedName>
    <definedName name="__shared_8_0_2">#REF!+#REF!</definedName>
    <definedName name="__shared_8_0_20" localSheetId="7">#REF!+#REF!</definedName>
    <definedName name="__shared_8_0_20" localSheetId="0">#REF!+#REF!</definedName>
    <definedName name="__shared_8_0_20" localSheetId="17">#REF!+#REF!</definedName>
    <definedName name="__shared_8_0_20" localSheetId="12">#REF!+#REF!</definedName>
    <definedName name="__shared_8_0_20" localSheetId="2">#REF!+#REF!</definedName>
    <definedName name="__shared_8_0_20" localSheetId="3">#REF!+#REF!</definedName>
    <definedName name="__shared_8_0_20">#REF!+#REF!</definedName>
    <definedName name="__shared_8_0_23" localSheetId="7">#REF!+#REF!</definedName>
    <definedName name="__shared_8_0_23" localSheetId="0">#REF!+#REF!</definedName>
    <definedName name="__shared_8_0_23" localSheetId="17">#REF!+#REF!</definedName>
    <definedName name="__shared_8_0_23" localSheetId="12">#REF!+#REF!</definedName>
    <definedName name="__shared_8_0_23" localSheetId="2">#REF!+#REF!</definedName>
    <definedName name="__shared_8_0_23" localSheetId="3">#REF!+#REF!</definedName>
    <definedName name="__shared_8_0_23">#REF!+#REF!</definedName>
    <definedName name="__shared_8_0_26" localSheetId="7">#REF!+#REF!</definedName>
    <definedName name="__shared_8_0_26" localSheetId="0">#REF!+#REF!</definedName>
    <definedName name="__shared_8_0_26" localSheetId="17">#REF!+#REF!</definedName>
    <definedName name="__shared_8_0_26" localSheetId="12">#REF!+#REF!</definedName>
    <definedName name="__shared_8_0_26" localSheetId="2">#REF!+#REF!</definedName>
    <definedName name="__shared_8_0_26" localSheetId="3">#REF!+#REF!</definedName>
    <definedName name="__shared_8_0_26">#REF!+#REF!</definedName>
    <definedName name="__shared_8_0_27" localSheetId="7">#REF!+#REF!</definedName>
    <definedName name="__shared_8_0_27" localSheetId="0">#REF!+#REF!</definedName>
    <definedName name="__shared_8_0_27" localSheetId="17">#REF!+#REF!</definedName>
    <definedName name="__shared_8_0_27" localSheetId="12">#REF!+#REF!</definedName>
    <definedName name="__shared_8_0_27" localSheetId="2">#REF!+#REF!</definedName>
    <definedName name="__shared_8_0_27" localSheetId="3">#REF!+#REF!</definedName>
    <definedName name="__shared_8_0_27">#REF!+#REF!</definedName>
    <definedName name="__shared_8_0_3" localSheetId="7">#REF!+#REF!</definedName>
    <definedName name="__shared_8_0_3" localSheetId="0">#REF!+#REF!</definedName>
    <definedName name="__shared_8_0_3" localSheetId="17">#REF!+#REF!</definedName>
    <definedName name="__shared_8_0_3" localSheetId="12">#REF!+#REF!</definedName>
    <definedName name="__shared_8_0_3" localSheetId="2">#REF!+#REF!</definedName>
    <definedName name="__shared_8_0_3" localSheetId="3">#REF!+#REF!</definedName>
    <definedName name="__shared_8_0_3">#REF!+#REF!</definedName>
    <definedName name="__shared_8_0_31" localSheetId="7">#REF!+#REF!</definedName>
    <definedName name="__shared_8_0_31" localSheetId="0">#REF!+#REF!</definedName>
    <definedName name="__shared_8_0_31" localSheetId="17">#REF!+#REF!</definedName>
    <definedName name="__shared_8_0_31" localSheetId="12">#REF!+#REF!</definedName>
    <definedName name="__shared_8_0_31" localSheetId="2">#REF!+#REF!</definedName>
    <definedName name="__shared_8_0_31" localSheetId="3">#REF!+#REF!</definedName>
    <definedName name="__shared_8_0_31">#REF!+#REF!</definedName>
    <definedName name="__shared_8_0_31_1" localSheetId="7">#REF!+#REF!</definedName>
    <definedName name="__shared_8_0_31_1" localSheetId="0">#REF!+#REF!</definedName>
    <definedName name="__shared_8_0_31_1" localSheetId="17">#REF!+#REF!</definedName>
    <definedName name="__shared_8_0_31_1" localSheetId="12">#REF!+#REF!</definedName>
    <definedName name="__shared_8_0_31_1" localSheetId="2">#REF!+#REF!</definedName>
    <definedName name="__shared_8_0_31_1" localSheetId="3">#REF!+#REF!</definedName>
    <definedName name="__shared_8_0_31_1">#REF!+#REF!</definedName>
    <definedName name="__shared_8_0_35" localSheetId="7">#REF!+#REF!</definedName>
    <definedName name="__shared_8_0_35" localSheetId="0">#REF!+#REF!</definedName>
    <definedName name="__shared_8_0_35" localSheetId="17">#REF!+#REF!</definedName>
    <definedName name="__shared_8_0_35" localSheetId="12">#REF!+#REF!</definedName>
    <definedName name="__shared_8_0_35" localSheetId="2">#REF!+#REF!</definedName>
    <definedName name="__shared_8_0_35" localSheetId="3">#REF!+#REF!</definedName>
    <definedName name="__shared_8_0_35">#REF!+#REF!</definedName>
    <definedName name="__shared_8_0_37" localSheetId="7">#REF!+#REF!</definedName>
    <definedName name="__shared_8_0_37" localSheetId="0">#REF!+#REF!</definedName>
    <definedName name="__shared_8_0_37" localSheetId="17">#REF!+#REF!</definedName>
    <definedName name="__shared_8_0_37" localSheetId="12">#REF!+#REF!</definedName>
    <definedName name="__shared_8_0_37" localSheetId="2">#REF!+#REF!</definedName>
    <definedName name="__shared_8_0_37" localSheetId="3">#REF!+#REF!</definedName>
    <definedName name="__shared_8_0_37">#REF!+#REF!</definedName>
    <definedName name="__shared_8_0_39" localSheetId="7">#REF!+#REF!</definedName>
    <definedName name="__shared_8_0_39" localSheetId="0">#REF!+#REF!</definedName>
    <definedName name="__shared_8_0_39" localSheetId="17">#REF!+#REF!</definedName>
    <definedName name="__shared_8_0_39" localSheetId="12">#REF!+#REF!</definedName>
    <definedName name="__shared_8_0_39" localSheetId="2">#REF!+#REF!</definedName>
    <definedName name="__shared_8_0_39" localSheetId="3">#REF!+#REF!</definedName>
    <definedName name="__shared_8_0_39">#REF!+#REF!</definedName>
    <definedName name="__shared_8_0_39_1" localSheetId="7">#REF!+#REF!</definedName>
    <definedName name="__shared_8_0_39_1" localSheetId="0">#REF!+#REF!</definedName>
    <definedName name="__shared_8_0_39_1" localSheetId="17">#REF!+#REF!</definedName>
    <definedName name="__shared_8_0_39_1" localSheetId="12">#REF!+#REF!</definedName>
    <definedName name="__shared_8_0_39_1" localSheetId="2">#REF!+#REF!</definedName>
    <definedName name="__shared_8_0_39_1" localSheetId="3">#REF!+#REF!</definedName>
    <definedName name="__shared_8_0_39_1">#REF!+#REF!</definedName>
    <definedName name="__shared_8_0_43" localSheetId="7">#REF!+#REF!</definedName>
    <definedName name="__shared_8_0_43" localSheetId="0">#REF!+#REF!</definedName>
    <definedName name="__shared_8_0_43" localSheetId="17">#REF!+#REF!</definedName>
    <definedName name="__shared_8_0_43" localSheetId="12">#REF!+#REF!</definedName>
    <definedName name="__shared_8_0_43" localSheetId="2">#REF!+#REF!</definedName>
    <definedName name="__shared_8_0_43" localSheetId="3">#REF!+#REF!</definedName>
    <definedName name="__shared_8_0_43">#REF!+#REF!</definedName>
    <definedName name="__shared_8_0_47" localSheetId="7">#REF!+#REF!</definedName>
    <definedName name="__shared_8_0_47" localSheetId="0">#REF!+#REF!</definedName>
    <definedName name="__shared_8_0_47" localSheetId="17">#REF!+#REF!</definedName>
    <definedName name="__shared_8_0_47" localSheetId="12">#REF!+#REF!</definedName>
    <definedName name="__shared_8_0_47" localSheetId="2">#REF!+#REF!</definedName>
    <definedName name="__shared_8_0_47" localSheetId="3">#REF!+#REF!</definedName>
    <definedName name="__shared_8_0_47">#REF!+#REF!</definedName>
    <definedName name="__shared_8_0_51" localSheetId="7">#REF!+#REF!</definedName>
    <definedName name="__shared_8_0_51" localSheetId="0">#REF!+#REF!</definedName>
    <definedName name="__shared_8_0_51" localSheetId="17">#REF!+#REF!</definedName>
    <definedName name="__shared_8_0_51" localSheetId="12">#REF!+#REF!</definedName>
    <definedName name="__shared_8_0_51" localSheetId="2">#REF!+#REF!</definedName>
    <definedName name="__shared_8_0_51" localSheetId="3">#REF!+#REF!</definedName>
    <definedName name="__shared_8_0_51">#REF!+#REF!</definedName>
    <definedName name="__shared_8_0_6" localSheetId="7">#REF!+#REF!</definedName>
    <definedName name="__shared_8_0_6" localSheetId="0">#REF!+#REF!</definedName>
    <definedName name="__shared_8_0_6" localSheetId="17">#REF!+#REF!</definedName>
    <definedName name="__shared_8_0_6" localSheetId="12">#REF!+#REF!</definedName>
    <definedName name="__shared_8_0_6" localSheetId="2">#REF!+#REF!</definedName>
    <definedName name="__shared_8_0_6" localSheetId="3">#REF!+#REF!</definedName>
    <definedName name="__shared_8_0_6">#REF!+#REF!</definedName>
    <definedName name="__shared_8_0_7" localSheetId="7">#REF!+#REF!</definedName>
    <definedName name="__shared_8_0_7" localSheetId="0">#REF!+#REF!</definedName>
    <definedName name="__shared_8_0_7" localSheetId="17">#REF!+#REF!</definedName>
    <definedName name="__shared_8_0_7" localSheetId="12">#REF!+#REF!</definedName>
    <definedName name="__shared_8_0_7" localSheetId="2">#REF!+#REF!</definedName>
    <definedName name="__shared_8_0_7" localSheetId="3">#REF!+#REF!</definedName>
    <definedName name="__shared_8_0_7">#REF!+#REF!</definedName>
    <definedName name="__shared_9_0_0" localSheetId="7">#REF!+1</definedName>
    <definedName name="__shared_9_0_0" localSheetId="0">#REF!+1</definedName>
    <definedName name="__shared_9_0_0" localSheetId="17">#REF!+1</definedName>
    <definedName name="__shared_9_0_0" localSheetId="12">#REF!+1</definedName>
    <definedName name="__shared_9_0_0" localSheetId="2">#REF!+1</definedName>
    <definedName name="__shared_9_0_0" localSheetId="3">#REF!+1</definedName>
    <definedName name="__shared_9_0_0">#REF!+1</definedName>
    <definedName name="__shared_9_0_0_1" localSheetId="7">#REF!+1</definedName>
    <definedName name="__shared_9_0_0_1" localSheetId="0">#REF!+1</definedName>
    <definedName name="__shared_9_0_0_1" localSheetId="17">#REF!+1</definedName>
    <definedName name="__shared_9_0_0_1" localSheetId="12">#REF!+1</definedName>
    <definedName name="__shared_9_0_0_1" localSheetId="2">#REF!+1</definedName>
    <definedName name="__shared_9_0_0_1" localSheetId="3">#REF!+1</definedName>
    <definedName name="__shared_9_0_0_1">#REF!+1</definedName>
    <definedName name="__shared_9_0_1" localSheetId="7">#REF!+#REF!</definedName>
    <definedName name="__shared_9_0_1" localSheetId="0">#REF!+#REF!</definedName>
    <definedName name="__shared_9_0_1" localSheetId="21">#REF!+#REF!</definedName>
    <definedName name="__shared_9_0_1" localSheetId="17">#REF!+#REF!</definedName>
    <definedName name="__shared_9_0_1" localSheetId="12">#REF!+#REF!</definedName>
    <definedName name="__shared_9_0_1" localSheetId="2">#REF!+#REF!</definedName>
    <definedName name="__shared_9_0_1" localSheetId="3">#REF!+#REF!</definedName>
    <definedName name="__shared_9_0_1">#REF!+#REF!</definedName>
    <definedName name="__shared_9_0_1_1" localSheetId="7">#REF!+#REF!</definedName>
    <definedName name="__shared_9_0_1_1" localSheetId="0">#REF!+#REF!</definedName>
    <definedName name="__shared_9_0_1_1" localSheetId="21">#REF!+#REF!</definedName>
    <definedName name="__shared_9_0_1_1" localSheetId="17">#REF!+#REF!</definedName>
    <definedName name="__shared_9_0_1_1" localSheetId="12">#REF!+#REF!</definedName>
    <definedName name="__shared_9_0_1_1" localSheetId="2">#REF!+#REF!</definedName>
    <definedName name="__shared_9_0_1_1" localSheetId="3">#REF!+#REF!</definedName>
    <definedName name="__shared_9_0_1_1">#REF!+#REF!</definedName>
    <definedName name="__shared_9_0_10" localSheetId="7">#REF!+1</definedName>
    <definedName name="__shared_9_0_10" localSheetId="0">#REF!+1</definedName>
    <definedName name="__shared_9_0_10" localSheetId="17">#REF!+1</definedName>
    <definedName name="__shared_9_0_10" localSheetId="12">#REF!+1</definedName>
    <definedName name="__shared_9_0_10" localSheetId="2">#REF!+1</definedName>
    <definedName name="__shared_9_0_10" localSheetId="3">#REF!+1</definedName>
    <definedName name="__shared_9_0_10">#REF!+1</definedName>
    <definedName name="__shared_9_0_10_1" localSheetId="7">#REF!+1</definedName>
    <definedName name="__shared_9_0_10_1" localSheetId="0">#REF!+1</definedName>
    <definedName name="__shared_9_0_10_1" localSheetId="17">#REF!+1</definedName>
    <definedName name="__shared_9_0_10_1" localSheetId="12">#REF!+1</definedName>
    <definedName name="__shared_9_0_10_1" localSheetId="2">#REF!+1</definedName>
    <definedName name="__shared_9_0_10_1" localSheetId="3">#REF!+1</definedName>
    <definedName name="__shared_9_0_10_1">#REF!+1</definedName>
    <definedName name="__shared_9_0_11" localSheetId="7">#REF!+#REF!</definedName>
    <definedName name="__shared_9_0_11" localSheetId="0">#REF!+#REF!</definedName>
    <definedName name="__shared_9_0_11" localSheetId="21">#REF!+#REF!</definedName>
    <definedName name="__shared_9_0_11" localSheetId="17">#REF!+#REF!</definedName>
    <definedName name="__shared_9_0_11" localSheetId="12">#REF!+#REF!</definedName>
    <definedName name="__shared_9_0_11" localSheetId="2">#REF!+#REF!</definedName>
    <definedName name="__shared_9_0_11" localSheetId="3">#REF!+#REF!</definedName>
    <definedName name="__shared_9_0_11">#REF!+#REF!</definedName>
    <definedName name="__shared_9_0_11_1" localSheetId="7">#REF!+#REF!</definedName>
    <definedName name="__shared_9_0_11_1" localSheetId="0">#REF!+#REF!</definedName>
    <definedName name="__shared_9_0_11_1" localSheetId="21">#REF!+#REF!</definedName>
    <definedName name="__shared_9_0_11_1" localSheetId="17">#REF!+#REF!</definedName>
    <definedName name="__shared_9_0_11_1" localSheetId="12">#REF!+#REF!</definedName>
    <definedName name="__shared_9_0_11_1" localSheetId="2">#REF!+#REF!</definedName>
    <definedName name="__shared_9_0_11_1" localSheetId="3">#REF!+#REF!</definedName>
    <definedName name="__shared_9_0_11_1">#REF!+#REF!</definedName>
    <definedName name="__shared_9_0_12" localSheetId="7">#REF!+1</definedName>
    <definedName name="__shared_9_0_12" localSheetId="0">#REF!+1</definedName>
    <definedName name="__shared_9_0_12" localSheetId="17">#REF!+1</definedName>
    <definedName name="__shared_9_0_12" localSheetId="12">#REF!+1</definedName>
    <definedName name="__shared_9_0_12" localSheetId="2">#REF!+1</definedName>
    <definedName name="__shared_9_0_12" localSheetId="3">#REF!+1</definedName>
    <definedName name="__shared_9_0_12">#REF!+1</definedName>
    <definedName name="__shared_9_0_12_1" localSheetId="7">#REF!+1</definedName>
    <definedName name="__shared_9_0_12_1" localSheetId="0">#REF!+1</definedName>
    <definedName name="__shared_9_0_12_1" localSheetId="17">#REF!+1</definedName>
    <definedName name="__shared_9_0_12_1" localSheetId="12">#REF!+1</definedName>
    <definedName name="__shared_9_0_12_1" localSheetId="2">#REF!+1</definedName>
    <definedName name="__shared_9_0_12_1" localSheetId="3">#REF!+1</definedName>
    <definedName name="__shared_9_0_12_1">#REF!+1</definedName>
    <definedName name="__shared_9_0_13" localSheetId="7">#REF!+#REF!</definedName>
    <definedName name="__shared_9_0_13" localSheetId="0">#REF!+#REF!</definedName>
    <definedName name="__shared_9_0_13" localSheetId="21">#REF!+#REF!</definedName>
    <definedName name="__shared_9_0_13" localSheetId="17">#REF!+#REF!</definedName>
    <definedName name="__shared_9_0_13" localSheetId="12">#REF!+#REF!</definedName>
    <definedName name="__shared_9_0_13" localSheetId="2">#REF!+#REF!</definedName>
    <definedName name="__shared_9_0_13" localSheetId="3">#REF!+#REF!</definedName>
    <definedName name="__shared_9_0_13">#REF!+#REF!</definedName>
    <definedName name="__shared_9_0_13_1" localSheetId="7">#REF!+#REF!</definedName>
    <definedName name="__shared_9_0_13_1" localSheetId="0">#REF!+#REF!</definedName>
    <definedName name="__shared_9_0_13_1" localSheetId="21">#REF!+#REF!</definedName>
    <definedName name="__shared_9_0_13_1" localSheetId="17">#REF!+#REF!</definedName>
    <definedName name="__shared_9_0_13_1" localSheetId="12">#REF!+#REF!</definedName>
    <definedName name="__shared_9_0_13_1" localSheetId="2">#REF!+#REF!</definedName>
    <definedName name="__shared_9_0_13_1" localSheetId="3">#REF!+#REF!</definedName>
    <definedName name="__shared_9_0_13_1">#REF!+#REF!</definedName>
    <definedName name="__shared_9_0_14" localSheetId="7">#REF!+1</definedName>
    <definedName name="__shared_9_0_14" localSheetId="0">#REF!+1</definedName>
    <definedName name="__shared_9_0_14" localSheetId="17">#REF!+1</definedName>
    <definedName name="__shared_9_0_14" localSheetId="12">#REF!+1</definedName>
    <definedName name="__shared_9_0_14" localSheetId="2">#REF!+1</definedName>
    <definedName name="__shared_9_0_14" localSheetId="3">#REF!+1</definedName>
    <definedName name="__shared_9_0_14">#REF!+1</definedName>
    <definedName name="__shared_9_0_14_1" localSheetId="7">#REF!+1</definedName>
    <definedName name="__shared_9_0_14_1" localSheetId="0">#REF!+1</definedName>
    <definedName name="__shared_9_0_14_1" localSheetId="17">#REF!+1</definedName>
    <definedName name="__shared_9_0_14_1" localSheetId="12">#REF!+1</definedName>
    <definedName name="__shared_9_0_14_1" localSheetId="2">#REF!+1</definedName>
    <definedName name="__shared_9_0_14_1" localSheetId="3">#REF!+1</definedName>
    <definedName name="__shared_9_0_14_1">#REF!+1</definedName>
    <definedName name="__shared_9_0_15" localSheetId="7">#REF!+#REF!</definedName>
    <definedName name="__shared_9_0_15" localSheetId="0">#REF!+#REF!</definedName>
    <definedName name="__shared_9_0_15" localSheetId="21">#REF!+#REF!</definedName>
    <definedName name="__shared_9_0_15" localSheetId="17">#REF!+#REF!</definedName>
    <definedName name="__shared_9_0_15" localSheetId="12">#REF!+#REF!</definedName>
    <definedName name="__shared_9_0_15" localSheetId="2">#REF!+#REF!</definedName>
    <definedName name="__shared_9_0_15" localSheetId="3">#REF!+#REF!</definedName>
    <definedName name="__shared_9_0_15">#REF!+#REF!</definedName>
    <definedName name="__shared_9_0_15_1" localSheetId="7">#REF!+#REF!</definedName>
    <definedName name="__shared_9_0_15_1" localSheetId="0">#REF!+#REF!</definedName>
    <definedName name="__shared_9_0_15_1" localSheetId="21">#REF!+#REF!</definedName>
    <definedName name="__shared_9_0_15_1" localSheetId="17">#REF!+#REF!</definedName>
    <definedName name="__shared_9_0_15_1" localSheetId="12">#REF!+#REF!</definedName>
    <definedName name="__shared_9_0_15_1" localSheetId="2">#REF!+#REF!</definedName>
    <definedName name="__shared_9_0_15_1" localSheetId="3">#REF!+#REF!</definedName>
    <definedName name="__shared_9_0_15_1">#REF!+#REF!</definedName>
    <definedName name="__shared_9_0_16" localSheetId="7">#REF!+1</definedName>
    <definedName name="__shared_9_0_16" localSheetId="0">#REF!+1</definedName>
    <definedName name="__shared_9_0_16" localSheetId="17">#REF!+1</definedName>
    <definedName name="__shared_9_0_16" localSheetId="12">#REF!+1</definedName>
    <definedName name="__shared_9_0_16" localSheetId="2">#REF!+1</definedName>
    <definedName name="__shared_9_0_16" localSheetId="3">#REF!+1</definedName>
    <definedName name="__shared_9_0_16">#REF!+1</definedName>
    <definedName name="__shared_9_0_16_1" localSheetId="7">#REF!+1</definedName>
    <definedName name="__shared_9_0_16_1" localSheetId="0">#REF!+1</definedName>
    <definedName name="__shared_9_0_16_1" localSheetId="17">#REF!+1</definedName>
    <definedName name="__shared_9_0_16_1" localSheetId="12">#REF!+1</definedName>
    <definedName name="__shared_9_0_16_1" localSheetId="2">#REF!+1</definedName>
    <definedName name="__shared_9_0_16_1" localSheetId="3">#REF!+1</definedName>
    <definedName name="__shared_9_0_16_1">#REF!+1</definedName>
    <definedName name="__shared_9_0_17" localSheetId="7">#REF!+#REF!</definedName>
    <definedName name="__shared_9_0_17" localSheetId="0">#REF!+#REF!</definedName>
    <definedName name="__shared_9_0_17" localSheetId="21">#REF!+#REF!</definedName>
    <definedName name="__shared_9_0_17" localSheetId="17">#REF!+#REF!</definedName>
    <definedName name="__shared_9_0_17" localSheetId="12">#REF!+#REF!</definedName>
    <definedName name="__shared_9_0_17" localSheetId="2">#REF!+#REF!</definedName>
    <definedName name="__shared_9_0_17" localSheetId="3">#REF!+#REF!</definedName>
    <definedName name="__shared_9_0_17">#REF!+#REF!</definedName>
    <definedName name="__shared_9_0_17_1" localSheetId="7">#REF!+#REF!</definedName>
    <definedName name="__shared_9_0_17_1" localSheetId="0">#REF!+#REF!</definedName>
    <definedName name="__shared_9_0_17_1" localSheetId="21">#REF!+#REF!</definedName>
    <definedName name="__shared_9_0_17_1" localSheetId="17">#REF!+#REF!</definedName>
    <definedName name="__shared_9_0_17_1" localSheetId="12">#REF!+#REF!</definedName>
    <definedName name="__shared_9_0_17_1" localSheetId="2">#REF!+#REF!</definedName>
    <definedName name="__shared_9_0_17_1" localSheetId="3">#REF!+#REF!</definedName>
    <definedName name="__shared_9_0_17_1">#REF!+#REF!</definedName>
    <definedName name="__shared_9_0_18" localSheetId="7">#REF!+1</definedName>
    <definedName name="__shared_9_0_18" localSheetId="0">#REF!+1</definedName>
    <definedName name="__shared_9_0_18" localSheetId="17">#REF!+1</definedName>
    <definedName name="__shared_9_0_18" localSheetId="12">#REF!+1</definedName>
    <definedName name="__shared_9_0_18" localSheetId="2">#REF!+1</definedName>
    <definedName name="__shared_9_0_18" localSheetId="3">#REF!+1</definedName>
    <definedName name="__shared_9_0_18">#REF!+1</definedName>
    <definedName name="__shared_9_0_18_1" localSheetId="7">#REF!+1</definedName>
    <definedName name="__shared_9_0_18_1" localSheetId="0">#REF!+1</definedName>
    <definedName name="__shared_9_0_18_1" localSheetId="17">#REF!+1</definedName>
    <definedName name="__shared_9_0_18_1" localSheetId="12">#REF!+1</definedName>
    <definedName name="__shared_9_0_18_1" localSheetId="2">#REF!+1</definedName>
    <definedName name="__shared_9_0_18_1" localSheetId="3">#REF!+1</definedName>
    <definedName name="__shared_9_0_18_1">#REF!+1</definedName>
    <definedName name="__shared_9_0_19" localSheetId="7">#REF!+#REF!</definedName>
    <definedName name="__shared_9_0_19" localSheetId="0">#REF!+#REF!</definedName>
    <definedName name="__shared_9_0_19" localSheetId="21">#REF!+#REF!</definedName>
    <definedName name="__shared_9_0_19" localSheetId="17">#REF!+#REF!</definedName>
    <definedName name="__shared_9_0_19" localSheetId="12">#REF!+#REF!</definedName>
    <definedName name="__shared_9_0_19" localSheetId="2">#REF!+#REF!</definedName>
    <definedName name="__shared_9_0_19" localSheetId="3">#REF!+#REF!</definedName>
    <definedName name="__shared_9_0_19">#REF!+#REF!</definedName>
    <definedName name="__shared_9_0_19_1" localSheetId="7">#REF!+#REF!</definedName>
    <definedName name="__shared_9_0_19_1" localSheetId="0">#REF!+#REF!</definedName>
    <definedName name="__shared_9_0_19_1" localSheetId="21">#REF!+#REF!</definedName>
    <definedName name="__shared_9_0_19_1" localSheetId="17">#REF!+#REF!</definedName>
    <definedName name="__shared_9_0_19_1" localSheetId="12">#REF!+#REF!</definedName>
    <definedName name="__shared_9_0_19_1" localSheetId="2">#REF!+#REF!</definedName>
    <definedName name="__shared_9_0_19_1" localSheetId="3">#REF!+#REF!</definedName>
    <definedName name="__shared_9_0_19_1">#REF!+#REF!</definedName>
    <definedName name="__shared_9_0_2" localSheetId="7">#REF!+1</definedName>
    <definedName name="__shared_9_0_2" localSheetId="0">#REF!+1</definedName>
    <definedName name="__shared_9_0_2" localSheetId="17">#REF!+1</definedName>
    <definedName name="__shared_9_0_2" localSheetId="12">#REF!+1</definedName>
    <definedName name="__shared_9_0_2" localSheetId="2">#REF!+1</definedName>
    <definedName name="__shared_9_0_2" localSheetId="3">#REF!+1</definedName>
    <definedName name="__shared_9_0_2">#REF!+1</definedName>
    <definedName name="__shared_9_0_2_1" localSheetId="7">#REF!+1</definedName>
    <definedName name="__shared_9_0_2_1" localSheetId="0">#REF!+1</definedName>
    <definedName name="__shared_9_0_2_1" localSheetId="17">#REF!+1</definedName>
    <definedName name="__shared_9_0_2_1" localSheetId="12">#REF!+1</definedName>
    <definedName name="__shared_9_0_2_1" localSheetId="2">#REF!+1</definedName>
    <definedName name="__shared_9_0_2_1" localSheetId="3">#REF!+1</definedName>
    <definedName name="__shared_9_0_2_1">#REF!+1</definedName>
    <definedName name="__shared_9_0_20" localSheetId="7">#REF!+1</definedName>
    <definedName name="__shared_9_0_20" localSheetId="0">#REF!+1</definedName>
    <definedName name="__shared_9_0_20" localSheetId="17">#REF!+1</definedName>
    <definedName name="__shared_9_0_20" localSheetId="12">#REF!+1</definedName>
    <definedName name="__shared_9_0_20" localSheetId="2">#REF!+1</definedName>
    <definedName name="__shared_9_0_20" localSheetId="3">#REF!+1</definedName>
    <definedName name="__shared_9_0_20">#REF!+1</definedName>
    <definedName name="__shared_9_0_20_1" localSheetId="7">#REF!+1</definedName>
    <definedName name="__shared_9_0_20_1" localSheetId="0">#REF!+1</definedName>
    <definedName name="__shared_9_0_20_1" localSheetId="17">#REF!+1</definedName>
    <definedName name="__shared_9_0_20_1" localSheetId="12">#REF!+1</definedName>
    <definedName name="__shared_9_0_20_1" localSheetId="2">#REF!+1</definedName>
    <definedName name="__shared_9_0_20_1" localSheetId="3">#REF!+1</definedName>
    <definedName name="__shared_9_0_20_1">#REF!+1</definedName>
    <definedName name="__shared_9_0_21" localSheetId="7">#REF!+#REF!</definedName>
    <definedName name="__shared_9_0_21" localSheetId="0">#REF!+#REF!</definedName>
    <definedName name="__shared_9_0_21" localSheetId="21">#REF!+#REF!</definedName>
    <definedName name="__shared_9_0_21" localSheetId="17">#REF!+#REF!</definedName>
    <definedName name="__shared_9_0_21" localSheetId="12">#REF!+#REF!</definedName>
    <definedName name="__shared_9_0_21" localSheetId="2">#REF!+#REF!</definedName>
    <definedName name="__shared_9_0_21" localSheetId="3">#REF!+#REF!</definedName>
    <definedName name="__shared_9_0_21">#REF!+#REF!</definedName>
    <definedName name="__shared_9_0_21_1" localSheetId="7">#REF!+#REF!</definedName>
    <definedName name="__shared_9_0_21_1" localSheetId="0">#REF!+#REF!</definedName>
    <definedName name="__shared_9_0_21_1" localSheetId="21">#REF!+#REF!</definedName>
    <definedName name="__shared_9_0_21_1" localSheetId="17">#REF!+#REF!</definedName>
    <definedName name="__shared_9_0_21_1" localSheetId="12">#REF!+#REF!</definedName>
    <definedName name="__shared_9_0_21_1" localSheetId="2">#REF!+#REF!</definedName>
    <definedName name="__shared_9_0_21_1" localSheetId="3">#REF!+#REF!</definedName>
    <definedName name="__shared_9_0_21_1">#REF!+#REF!</definedName>
    <definedName name="__shared_9_0_22" localSheetId="7">#REF!+1</definedName>
    <definedName name="__shared_9_0_22" localSheetId="0">#REF!+1</definedName>
    <definedName name="__shared_9_0_22" localSheetId="17">#REF!+1</definedName>
    <definedName name="__shared_9_0_22" localSheetId="12">#REF!+1</definedName>
    <definedName name="__shared_9_0_22" localSheetId="2">#REF!+1</definedName>
    <definedName name="__shared_9_0_22" localSheetId="3">#REF!+1</definedName>
    <definedName name="__shared_9_0_22">#REF!+1</definedName>
    <definedName name="__shared_9_0_22_1" localSheetId="7">#REF!+#REF!</definedName>
    <definedName name="__shared_9_0_22_1" localSheetId="0">#REF!+#REF!</definedName>
    <definedName name="__shared_9_0_22_1" localSheetId="21">#REF!+#REF!</definedName>
    <definedName name="__shared_9_0_22_1" localSheetId="17">#REF!+#REF!</definedName>
    <definedName name="__shared_9_0_22_1" localSheetId="12">#REF!+#REF!</definedName>
    <definedName name="__shared_9_0_22_1" localSheetId="2">#REF!+#REF!</definedName>
    <definedName name="__shared_9_0_22_1" localSheetId="3">#REF!+#REF!</definedName>
    <definedName name="__shared_9_0_22_1">#REF!+#REF!</definedName>
    <definedName name="__shared_9_0_23" localSheetId="7">#REF!+#REF!</definedName>
    <definedName name="__shared_9_0_23" localSheetId="0">#REF!+#REF!</definedName>
    <definedName name="__shared_9_0_23" localSheetId="21">#REF!+#REF!</definedName>
    <definedName name="__shared_9_0_23" localSheetId="17">#REF!+#REF!</definedName>
    <definedName name="__shared_9_0_23" localSheetId="12">#REF!+#REF!</definedName>
    <definedName name="__shared_9_0_23" localSheetId="2">#REF!+#REF!</definedName>
    <definedName name="__shared_9_0_23" localSheetId="3">#REF!+#REF!</definedName>
    <definedName name="__shared_9_0_23">#REF!+#REF!</definedName>
    <definedName name="__shared_9_0_23_1" localSheetId="7">#REF!+1</definedName>
    <definedName name="__shared_9_0_23_1" localSheetId="0">#REF!+1</definedName>
    <definedName name="__shared_9_0_23_1" localSheetId="17">#REF!+1</definedName>
    <definedName name="__shared_9_0_23_1" localSheetId="12">#REF!+1</definedName>
    <definedName name="__shared_9_0_23_1" localSheetId="2">#REF!+1</definedName>
    <definedName name="__shared_9_0_23_1" localSheetId="3">#REF!+1</definedName>
    <definedName name="__shared_9_0_23_1">#REF!+1</definedName>
    <definedName name="__shared_9_0_24" localSheetId="7">#REF!+1</definedName>
    <definedName name="__shared_9_0_24" localSheetId="0">#REF!+1</definedName>
    <definedName name="__shared_9_0_24" localSheetId="17">#REF!+1</definedName>
    <definedName name="__shared_9_0_24" localSheetId="12">#REF!+1</definedName>
    <definedName name="__shared_9_0_24" localSheetId="2">#REF!+1</definedName>
    <definedName name="__shared_9_0_24" localSheetId="3">#REF!+1</definedName>
    <definedName name="__shared_9_0_24">#REF!+1</definedName>
    <definedName name="__shared_9_0_24_1" localSheetId="7">#REF!+#REF!</definedName>
    <definedName name="__shared_9_0_24_1" localSheetId="0">#REF!+#REF!</definedName>
    <definedName name="__shared_9_0_24_1" localSheetId="21">#REF!+#REF!</definedName>
    <definedName name="__shared_9_0_24_1" localSheetId="17">#REF!+#REF!</definedName>
    <definedName name="__shared_9_0_24_1" localSheetId="12">#REF!+#REF!</definedName>
    <definedName name="__shared_9_0_24_1" localSheetId="2">#REF!+#REF!</definedName>
    <definedName name="__shared_9_0_24_1" localSheetId="3">#REF!+#REF!</definedName>
    <definedName name="__shared_9_0_24_1">#REF!+#REF!</definedName>
    <definedName name="__shared_9_0_25" localSheetId="7">#REF!+#REF!</definedName>
    <definedName name="__shared_9_0_25" localSheetId="0">#REF!+#REF!</definedName>
    <definedName name="__shared_9_0_25" localSheetId="21">#REF!+#REF!</definedName>
    <definedName name="__shared_9_0_25" localSheetId="17">#REF!+#REF!</definedName>
    <definedName name="__shared_9_0_25" localSheetId="12">#REF!+#REF!</definedName>
    <definedName name="__shared_9_0_25" localSheetId="2">#REF!+#REF!</definedName>
    <definedName name="__shared_9_0_25" localSheetId="3">#REF!+#REF!</definedName>
    <definedName name="__shared_9_0_25">#REF!+#REF!</definedName>
    <definedName name="__shared_9_0_25_1" localSheetId="7">#REF!+1</definedName>
    <definedName name="__shared_9_0_25_1" localSheetId="0">#REF!+1</definedName>
    <definedName name="__shared_9_0_25_1" localSheetId="17">#REF!+1</definedName>
    <definedName name="__shared_9_0_25_1" localSheetId="12">#REF!+1</definedName>
    <definedName name="__shared_9_0_25_1" localSheetId="2">#REF!+1</definedName>
    <definedName name="__shared_9_0_25_1" localSheetId="3">#REF!+1</definedName>
    <definedName name="__shared_9_0_25_1">#REF!+1</definedName>
    <definedName name="__shared_9_0_26" localSheetId="7">#REF!+1</definedName>
    <definedName name="__shared_9_0_26" localSheetId="0">#REF!+1</definedName>
    <definedName name="__shared_9_0_26" localSheetId="17">#REF!+1</definedName>
    <definedName name="__shared_9_0_26" localSheetId="12">#REF!+1</definedName>
    <definedName name="__shared_9_0_26" localSheetId="2">#REF!+1</definedName>
    <definedName name="__shared_9_0_26" localSheetId="3">#REF!+1</definedName>
    <definedName name="__shared_9_0_26">#REF!+1</definedName>
    <definedName name="__shared_9_0_26_1" localSheetId="7">#REF!+#REF!</definedName>
    <definedName name="__shared_9_0_26_1" localSheetId="0">#REF!+#REF!</definedName>
    <definedName name="__shared_9_0_26_1" localSheetId="21">#REF!+#REF!</definedName>
    <definedName name="__shared_9_0_26_1" localSheetId="17">#REF!+#REF!</definedName>
    <definedName name="__shared_9_0_26_1" localSheetId="12">#REF!+#REF!</definedName>
    <definedName name="__shared_9_0_26_1" localSheetId="2">#REF!+#REF!</definedName>
    <definedName name="__shared_9_0_26_1" localSheetId="3">#REF!+#REF!</definedName>
    <definedName name="__shared_9_0_26_1">#REF!+#REF!</definedName>
    <definedName name="__shared_9_0_27" localSheetId="7">#REF!+#REF!</definedName>
    <definedName name="__shared_9_0_27" localSheetId="0">#REF!+#REF!</definedName>
    <definedName name="__shared_9_0_27" localSheetId="21">#REF!+#REF!</definedName>
    <definedName name="__shared_9_0_27" localSheetId="17">#REF!+#REF!</definedName>
    <definedName name="__shared_9_0_27" localSheetId="12">#REF!+#REF!</definedName>
    <definedName name="__shared_9_0_27" localSheetId="2">#REF!+#REF!</definedName>
    <definedName name="__shared_9_0_27" localSheetId="3">#REF!+#REF!</definedName>
    <definedName name="__shared_9_0_27">#REF!+#REF!</definedName>
    <definedName name="__shared_9_0_27_1" localSheetId="7">#REF!+1</definedName>
    <definedName name="__shared_9_0_27_1" localSheetId="0">#REF!+1</definedName>
    <definedName name="__shared_9_0_27_1" localSheetId="17">#REF!+1</definedName>
    <definedName name="__shared_9_0_27_1" localSheetId="12">#REF!+1</definedName>
    <definedName name="__shared_9_0_27_1" localSheetId="2">#REF!+1</definedName>
    <definedName name="__shared_9_0_27_1" localSheetId="3">#REF!+1</definedName>
    <definedName name="__shared_9_0_27_1">#REF!+1</definedName>
    <definedName name="__shared_9_0_28" localSheetId="7">#REF!+1</definedName>
    <definedName name="__shared_9_0_28" localSheetId="0">#REF!+1</definedName>
    <definedName name="__shared_9_0_28" localSheetId="17">#REF!+1</definedName>
    <definedName name="__shared_9_0_28" localSheetId="12">#REF!+1</definedName>
    <definedName name="__shared_9_0_28" localSheetId="2">#REF!+1</definedName>
    <definedName name="__shared_9_0_28" localSheetId="3">#REF!+1</definedName>
    <definedName name="__shared_9_0_28">#REF!+1</definedName>
    <definedName name="__shared_9_0_28_1" localSheetId="7">#REF!+#REF!</definedName>
    <definedName name="__shared_9_0_28_1" localSheetId="0">#REF!+#REF!</definedName>
    <definedName name="__shared_9_0_28_1" localSheetId="21">#REF!+#REF!</definedName>
    <definedName name="__shared_9_0_28_1" localSheetId="17">#REF!+#REF!</definedName>
    <definedName name="__shared_9_0_28_1" localSheetId="12">#REF!+#REF!</definedName>
    <definedName name="__shared_9_0_28_1" localSheetId="2">#REF!+#REF!</definedName>
    <definedName name="__shared_9_0_28_1" localSheetId="3">#REF!+#REF!</definedName>
    <definedName name="__shared_9_0_28_1">#REF!+#REF!</definedName>
    <definedName name="__shared_9_0_29" localSheetId="7">#REF!+#REF!</definedName>
    <definedName name="__shared_9_0_29" localSheetId="0">#REF!+#REF!</definedName>
    <definedName name="__shared_9_0_29" localSheetId="21">#REF!+#REF!</definedName>
    <definedName name="__shared_9_0_29" localSheetId="17">#REF!+#REF!</definedName>
    <definedName name="__shared_9_0_29" localSheetId="12">#REF!+#REF!</definedName>
    <definedName name="__shared_9_0_29" localSheetId="2">#REF!+#REF!</definedName>
    <definedName name="__shared_9_0_29" localSheetId="3">#REF!+#REF!</definedName>
    <definedName name="__shared_9_0_29">#REF!+#REF!</definedName>
    <definedName name="__shared_9_0_29_1" localSheetId="7">#REF!+1</definedName>
    <definedName name="__shared_9_0_29_1" localSheetId="0">#REF!+1</definedName>
    <definedName name="__shared_9_0_29_1" localSheetId="17">#REF!+1</definedName>
    <definedName name="__shared_9_0_29_1" localSheetId="12">#REF!+1</definedName>
    <definedName name="__shared_9_0_29_1" localSheetId="2">#REF!+1</definedName>
    <definedName name="__shared_9_0_29_1" localSheetId="3">#REF!+1</definedName>
    <definedName name="__shared_9_0_29_1">#REF!+1</definedName>
    <definedName name="__shared_9_0_30" localSheetId="7">#REF!+1</definedName>
    <definedName name="__shared_9_0_30" localSheetId="0">#REF!+1</definedName>
    <definedName name="__shared_9_0_30" localSheetId="17">#REF!+1</definedName>
    <definedName name="__shared_9_0_30" localSheetId="12">#REF!+1</definedName>
    <definedName name="__shared_9_0_30" localSheetId="2">#REF!+1</definedName>
    <definedName name="__shared_9_0_30" localSheetId="3">#REF!+1</definedName>
    <definedName name="__shared_9_0_30">#REF!+1</definedName>
    <definedName name="__shared_9_0_30_1" localSheetId="7">#REF!+#REF!</definedName>
    <definedName name="__shared_9_0_30_1" localSheetId="0">#REF!+#REF!</definedName>
    <definedName name="__shared_9_0_30_1" localSheetId="21">#REF!+#REF!</definedName>
    <definedName name="__shared_9_0_30_1" localSheetId="17">#REF!+#REF!</definedName>
    <definedName name="__shared_9_0_30_1" localSheetId="12">#REF!+#REF!</definedName>
    <definedName name="__shared_9_0_30_1" localSheetId="2">#REF!+#REF!</definedName>
    <definedName name="__shared_9_0_30_1" localSheetId="3">#REF!+#REF!</definedName>
    <definedName name="__shared_9_0_30_1">#REF!+#REF!</definedName>
    <definedName name="__shared_9_0_31" localSheetId="7">#REF!+#REF!</definedName>
    <definedName name="__shared_9_0_31" localSheetId="0">#REF!+#REF!</definedName>
    <definedName name="__shared_9_0_31" localSheetId="21">#REF!+#REF!</definedName>
    <definedName name="__shared_9_0_31" localSheetId="17">#REF!+#REF!</definedName>
    <definedName name="__shared_9_0_31" localSheetId="12">#REF!+#REF!</definedName>
    <definedName name="__shared_9_0_31" localSheetId="2">#REF!+#REF!</definedName>
    <definedName name="__shared_9_0_31" localSheetId="3">#REF!+#REF!</definedName>
    <definedName name="__shared_9_0_31">#REF!+#REF!</definedName>
    <definedName name="__shared_9_0_31_1" localSheetId="7">#REF!+1</definedName>
    <definedName name="__shared_9_0_31_1" localSheetId="0">#REF!+1</definedName>
    <definedName name="__shared_9_0_31_1" localSheetId="17">#REF!+1</definedName>
    <definedName name="__shared_9_0_31_1" localSheetId="12">#REF!+1</definedName>
    <definedName name="__shared_9_0_31_1" localSheetId="2">#REF!+1</definedName>
    <definedName name="__shared_9_0_31_1" localSheetId="3">#REF!+1</definedName>
    <definedName name="__shared_9_0_31_1">#REF!+1</definedName>
    <definedName name="__shared_9_0_32" localSheetId="7">#REF!+1</definedName>
    <definedName name="__shared_9_0_32" localSheetId="0">#REF!+1</definedName>
    <definedName name="__shared_9_0_32" localSheetId="17">#REF!+1</definedName>
    <definedName name="__shared_9_0_32" localSheetId="12">#REF!+1</definedName>
    <definedName name="__shared_9_0_32" localSheetId="2">#REF!+1</definedName>
    <definedName name="__shared_9_0_32" localSheetId="3">#REF!+1</definedName>
    <definedName name="__shared_9_0_32">#REF!+1</definedName>
    <definedName name="__shared_9_0_32_1" localSheetId="7">#REF!+#REF!</definedName>
    <definedName name="__shared_9_0_32_1" localSheetId="0">#REF!+#REF!</definedName>
    <definedName name="__shared_9_0_32_1" localSheetId="21">#REF!+#REF!</definedName>
    <definedName name="__shared_9_0_32_1" localSheetId="17">#REF!+#REF!</definedName>
    <definedName name="__shared_9_0_32_1" localSheetId="12">#REF!+#REF!</definedName>
    <definedName name="__shared_9_0_32_1" localSheetId="2">#REF!+#REF!</definedName>
    <definedName name="__shared_9_0_32_1" localSheetId="3">#REF!+#REF!</definedName>
    <definedName name="__shared_9_0_32_1">#REF!+#REF!</definedName>
    <definedName name="__shared_9_0_33" localSheetId="7">#REF!+1</definedName>
    <definedName name="__shared_9_0_33" localSheetId="0">#REF!+1</definedName>
    <definedName name="__shared_9_0_33" localSheetId="17">#REF!+1</definedName>
    <definedName name="__shared_9_0_33" localSheetId="12">#REF!+1</definedName>
    <definedName name="__shared_9_0_33" localSheetId="2">#REF!+1</definedName>
    <definedName name="__shared_9_0_33" localSheetId="3">#REF!+1</definedName>
    <definedName name="__shared_9_0_33">#REF!+1</definedName>
    <definedName name="__shared_9_0_33_1" localSheetId="7">#REF!+1</definedName>
    <definedName name="__shared_9_0_33_1" localSheetId="0">#REF!+1</definedName>
    <definedName name="__shared_9_0_33_1" localSheetId="17">#REF!+1</definedName>
    <definedName name="__shared_9_0_33_1" localSheetId="12">#REF!+1</definedName>
    <definedName name="__shared_9_0_33_1" localSheetId="2">#REF!+1</definedName>
    <definedName name="__shared_9_0_33_1" localSheetId="3">#REF!+1</definedName>
    <definedName name="__shared_9_0_33_1">#REF!+1</definedName>
    <definedName name="__shared_9_0_34" localSheetId="7">#REF!+#REF!</definedName>
    <definedName name="__shared_9_0_34" localSheetId="0">#REF!+#REF!</definedName>
    <definedName name="__shared_9_0_34" localSheetId="21">#REF!+#REF!</definedName>
    <definedName name="__shared_9_0_34" localSheetId="17">#REF!+#REF!</definedName>
    <definedName name="__shared_9_0_34" localSheetId="12">#REF!+#REF!</definedName>
    <definedName name="__shared_9_0_34" localSheetId="2">#REF!+#REF!</definedName>
    <definedName name="__shared_9_0_34" localSheetId="3">#REF!+#REF!</definedName>
    <definedName name="__shared_9_0_34">#REF!+#REF!</definedName>
    <definedName name="__shared_9_0_34_1" localSheetId="7">#REF!+1</definedName>
    <definedName name="__shared_9_0_34_1" localSheetId="0">#REF!+1</definedName>
    <definedName name="__shared_9_0_34_1" localSheetId="17">#REF!+1</definedName>
    <definedName name="__shared_9_0_34_1" localSheetId="12">#REF!+1</definedName>
    <definedName name="__shared_9_0_34_1" localSheetId="2">#REF!+1</definedName>
    <definedName name="__shared_9_0_34_1" localSheetId="3">#REF!+1</definedName>
    <definedName name="__shared_9_0_34_1">#REF!+1</definedName>
    <definedName name="__shared_9_0_35" localSheetId="7">#REF!+1</definedName>
    <definedName name="__shared_9_0_35" localSheetId="0">#REF!+1</definedName>
    <definedName name="__shared_9_0_35" localSheetId="17">#REF!+1</definedName>
    <definedName name="__shared_9_0_35" localSheetId="12">#REF!+1</definedName>
    <definedName name="__shared_9_0_35" localSheetId="2">#REF!+1</definedName>
    <definedName name="__shared_9_0_35" localSheetId="3">#REF!+1</definedName>
    <definedName name="__shared_9_0_35">#REF!+1</definedName>
    <definedName name="__shared_9_0_35_1" localSheetId="7">#REF!+#REF!</definedName>
    <definedName name="__shared_9_0_35_1" localSheetId="0">#REF!+#REF!</definedName>
    <definedName name="__shared_9_0_35_1" localSheetId="21">#REF!+#REF!</definedName>
    <definedName name="__shared_9_0_35_1" localSheetId="17">#REF!+#REF!</definedName>
    <definedName name="__shared_9_0_35_1" localSheetId="12">#REF!+#REF!</definedName>
    <definedName name="__shared_9_0_35_1" localSheetId="2">#REF!+#REF!</definedName>
    <definedName name="__shared_9_0_35_1" localSheetId="3">#REF!+#REF!</definedName>
    <definedName name="__shared_9_0_35_1">#REF!+#REF!</definedName>
    <definedName name="__shared_9_0_36" localSheetId="7">#REF!+#REF!</definedName>
    <definedName name="__shared_9_0_36" localSheetId="0">#REF!+#REF!</definedName>
    <definedName name="__shared_9_0_36" localSheetId="21">#REF!+#REF!</definedName>
    <definedName name="__shared_9_0_36" localSheetId="17">#REF!+#REF!</definedName>
    <definedName name="__shared_9_0_36" localSheetId="12">#REF!+#REF!</definedName>
    <definedName name="__shared_9_0_36" localSheetId="2">#REF!+#REF!</definedName>
    <definedName name="__shared_9_0_36" localSheetId="3">#REF!+#REF!</definedName>
    <definedName name="__shared_9_0_36">#REF!+#REF!</definedName>
    <definedName name="__shared_9_0_36_1" localSheetId="7">#REF!+1</definedName>
    <definedName name="__shared_9_0_36_1" localSheetId="0">#REF!+1</definedName>
    <definedName name="__shared_9_0_36_1" localSheetId="17">#REF!+1</definedName>
    <definedName name="__shared_9_0_36_1" localSheetId="12">#REF!+1</definedName>
    <definedName name="__shared_9_0_36_1" localSheetId="2">#REF!+1</definedName>
    <definedName name="__shared_9_0_36_1" localSheetId="3">#REF!+1</definedName>
    <definedName name="__shared_9_0_36_1">#REF!+1</definedName>
    <definedName name="__shared_9_0_37" localSheetId="7">#REF!+1</definedName>
    <definedName name="__shared_9_0_37" localSheetId="0">#REF!+1</definedName>
    <definedName name="__shared_9_0_37" localSheetId="17">#REF!+1</definedName>
    <definedName name="__shared_9_0_37" localSheetId="12">#REF!+1</definedName>
    <definedName name="__shared_9_0_37" localSheetId="2">#REF!+1</definedName>
    <definedName name="__shared_9_0_37" localSheetId="3">#REF!+1</definedName>
    <definedName name="__shared_9_0_37">#REF!+1</definedName>
    <definedName name="__shared_9_0_37_1" localSheetId="7">#REF!+#REF!</definedName>
    <definedName name="__shared_9_0_37_1" localSheetId="0">#REF!+#REF!</definedName>
    <definedName name="__shared_9_0_37_1" localSheetId="21">#REF!+#REF!</definedName>
    <definedName name="__shared_9_0_37_1" localSheetId="17">#REF!+#REF!</definedName>
    <definedName name="__shared_9_0_37_1" localSheetId="12">#REF!+#REF!</definedName>
    <definedName name="__shared_9_0_37_1" localSheetId="2">#REF!+#REF!</definedName>
    <definedName name="__shared_9_0_37_1" localSheetId="3">#REF!+#REF!</definedName>
    <definedName name="__shared_9_0_37_1">#REF!+#REF!</definedName>
    <definedName name="__shared_9_0_38" localSheetId="7">#REF!+#REF!</definedName>
    <definedName name="__shared_9_0_38" localSheetId="0">#REF!+#REF!</definedName>
    <definedName name="__shared_9_0_38" localSheetId="21">#REF!+#REF!</definedName>
    <definedName name="__shared_9_0_38" localSheetId="17">#REF!+#REF!</definedName>
    <definedName name="__shared_9_0_38" localSheetId="12">#REF!+#REF!</definedName>
    <definedName name="__shared_9_0_38" localSheetId="2">#REF!+#REF!</definedName>
    <definedName name="__shared_9_0_38" localSheetId="3">#REF!+#REF!</definedName>
    <definedName name="__shared_9_0_38">#REF!+#REF!</definedName>
    <definedName name="__shared_9_0_38_1" localSheetId="7">#REF!+1</definedName>
    <definedName name="__shared_9_0_38_1" localSheetId="0">#REF!+1</definedName>
    <definedName name="__shared_9_0_38_1" localSheetId="17">#REF!+1</definedName>
    <definedName name="__shared_9_0_38_1" localSheetId="12">#REF!+1</definedName>
    <definedName name="__shared_9_0_38_1" localSheetId="2">#REF!+1</definedName>
    <definedName name="__shared_9_0_38_1" localSheetId="3">#REF!+1</definedName>
    <definedName name="__shared_9_0_38_1">#REF!+1</definedName>
    <definedName name="__shared_9_0_39" localSheetId="7">#REF!+1</definedName>
    <definedName name="__shared_9_0_39" localSheetId="0">#REF!+1</definedName>
    <definedName name="__shared_9_0_39" localSheetId="17">#REF!+1</definedName>
    <definedName name="__shared_9_0_39" localSheetId="12">#REF!+1</definedName>
    <definedName name="__shared_9_0_39" localSheetId="2">#REF!+1</definedName>
    <definedName name="__shared_9_0_39" localSheetId="3">#REF!+1</definedName>
    <definedName name="__shared_9_0_39">#REF!+1</definedName>
    <definedName name="__shared_9_0_39_1" localSheetId="7">#REF!+#REF!</definedName>
    <definedName name="__shared_9_0_39_1" localSheetId="0">#REF!+#REF!</definedName>
    <definedName name="__shared_9_0_39_1" localSheetId="21">#REF!+#REF!</definedName>
    <definedName name="__shared_9_0_39_1" localSheetId="17">#REF!+#REF!</definedName>
    <definedName name="__shared_9_0_39_1" localSheetId="12">#REF!+#REF!</definedName>
    <definedName name="__shared_9_0_39_1" localSheetId="2">#REF!+#REF!</definedName>
    <definedName name="__shared_9_0_39_1" localSheetId="3">#REF!+#REF!</definedName>
    <definedName name="__shared_9_0_39_1">#REF!+#REF!</definedName>
    <definedName name="__shared_9_0_4" localSheetId="7">#REF!+1</definedName>
    <definedName name="__shared_9_0_4" localSheetId="0">#REF!+1</definedName>
    <definedName name="__shared_9_0_4" localSheetId="17">#REF!+1</definedName>
    <definedName name="__shared_9_0_4" localSheetId="12">#REF!+1</definedName>
    <definedName name="__shared_9_0_4" localSheetId="2">#REF!+1</definedName>
    <definedName name="__shared_9_0_4" localSheetId="3">#REF!+1</definedName>
    <definedName name="__shared_9_0_4">#REF!+1</definedName>
    <definedName name="__shared_9_0_4_1" localSheetId="7">#REF!+1</definedName>
    <definedName name="__shared_9_0_4_1" localSheetId="0">#REF!+1</definedName>
    <definedName name="__shared_9_0_4_1" localSheetId="17">#REF!+1</definedName>
    <definedName name="__shared_9_0_4_1" localSheetId="12">#REF!+1</definedName>
    <definedName name="__shared_9_0_4_1" localSheetId="2">#REF!+1</definedName>
    <definedName name="__shared_9_0_4_1" localSheetId="3">#REF!+1</definedName>
    <definedName name="__shared_9_0_4_1">#REF!+1</definedName>
    <definedName name="__shared_9_0_40" localSheetId="7">#REF!+#REF!</definedName>
    <definedName name="__shared_9_0_40" localSheetId="0">#REF!+#REF!</definedName>
    <definedName name="__shared_9_0_40" localSheetId="21">#REF!+#REF!</definedName>
    <definedName name="__shared_9_0_40" localSheetId="17">#REF!+#REF!</definedName>
    <definedName name="__shared_9_0_40" localSheetId="12">#REF!+#REF!</definedName>
    <definedName name="__shared_9_0_40" localSheetId="2">#REF!+#REF!</definedName>
    <definedName name="__shared_9_0_40" localSheetId="3">#REF!+#REF!</definedName>
    <definedName name="__shared_9_0_40">#REF!+#REF!</definedName>
    <definedName name="__shared_9_0_40_1" localSheetId="7">#REF!+1</definedName>
    <definedName name="__shared_9_0_40_1" localSheetId="0">#REF!+1</definedName>
    <definedName name="__shared_9_0_40_1" localSheetId="17">#REF!+1</definedName>
    <definedName name="__shared_9_0_40_1" localSheetId="12">#REF!+1</definedName>
    <definedName name="__shared_9_0_40_1" localSheetId="2">#REF!+1</definedName>
    <definedName name="__shared_9_0_40_1" localSheetId="3">#REF!+1</definedName>
    <definedName name="__shared_9_0_40_1">#REF!+1</definedName>
    <definedName name="__shared_9_0_41" localSheetId="7">#REF!+1</definedName>
    <definedName name="__shared_9_0_41" localSheetId="0">#REF!+1</definedName>
    <definedName name="__shared_9_0_41" localSheetId="17">#REF!+1</definedName>
    <definedName name="__shared_9_0_41" localSheetId="12">#REF!+1</definedName>
    <definedName name="__shared_9_0_41" localSheetId="2">#REF!+1</definedName>
    <definedName name="__shared_9_0_41" localSheetId="3">#REF!+1</definedName>
    <definedName name="__shared_9_0_41">#REF!+1</definedName>
    <definedName name="__shared_9_0_41_1" localSheetId="7">#REF!+#REF!</definedName>
    <definedName name="__shared_9_0_41_1" localSheetId="0">#REF!+#REF!</definedName>
    <definedName name="__shared_9_0_41_1" localSheetId="21">#REF!+#REF!</definedName>
    <definedName name="__shared_9_0_41_1" localSheetId="17">#REF!+#REF!</definedName>
    <definedName name="__shared_9_0_41_1" localSheetId="12">#REF!+#REF!</definedName>
    <definedName name="__shared_9_0_41_1" localSheetId="2">#REF!+#REF!</definedName>
    <definedName name="__shared_9_0_41_1" localSheetId="3">#REF!+#REF!</definedName>
    <definedName name="__shared_9_0_41_1">#REF!+#REF!</definedName>
    <definedName name="__shared_9_0_42" localSheetId="7">#REF!+#REF!</definedName>
    <definedName name="__shared_9_0_42" localSheetId="0">#REF!+#REF!</definedName>
    <definedName name="__shared_9_0_42" localSheetId="21">#REF!+#REF!</definedName>
    <definedName name="__shared_9_0_42" localSheetId="17">#REF!+#REF!</definedName>
    <definedName name="__shared_9_0_42" localSheetId="12">#REF!+#REF!</definedName>
    <definedName name="__shared_9_0_42" localSheetId="2">#REF!+#REF!</definedName>
    <definedName name="__shared_9_0_42" localSheetId="3">#REF!+#REF!</definedName>
    <definedName name="__shared_9_0_42">#REF!+#REF!</definedName>
    <definedName name="__shared_9_0_42_1" localSheetId="7">#REF!+1</definedName>
    <definedName name="__shared_9_0_42_1" localSheetId="0">#REF!+1</definedName>
    <definedName name="__shared_9_0_42_1" localSheetId="17">#REF!+1</definedName>
    <definedName name="__shared_9_0_42_1" localSheetId="12">#REF!+1</definedName>
    <definedName name="__shared_9_0_42_1" localSheetId="2">#REF!+1</definedName>
    <definedName name="__shared_9_0_42_1" localSheetId="3">#REF!+1</definedName>
    <definedName name="__shared_9_0_42_1">#REF!+1</definedName>
    <definedName name="__shared_9_0_43" localSheetId="7">#REF!+1</definedName>
    <definedName name="__shared_9_0_43" localSheetId="0">#REF!+1</definedName>
    <definedName name="__shared_9_0_43" localSheetId="17">#REF!+1</definedName>
    <definedName name="__shared_9_0_43" localSheetId="12">#REF!+1</definedName>
    <definedName name="__shared_9_0_43" localSheetId="2">#REF!+1</definedName>
    <definedName name="__shared_9_0_43" localSheetId="3">#REF!+1</definedName>
    <definedName name="__shared_9_0_43">#REF!+1</definedName>
    <definedName name="__shared_9_0_43_1" localSheetId="7">#REF!+#REF!</definedName>
    <definedName name="__shared_9_0_43_1" localSheetId="0">#REF!+#REF!</definedName>
    <definedName name="__shared_9_0_43_1" localSheetId="21">#REF!+#REF!</definedName>
    <definedName name="__shared_9_0_43_1" localSheetId="17">#REF!+#REF!</definedName>
    <definedName name="__shared_9_0_43_1" localSheetId="12">#REF!+#REF!</definedName>
    <definedName name="__shared_9_0_43_1" localSheetId="2">#REF!+#REF!</definedName>
    <definedName name="__shared_9_0_43_1" localSheetId="3">#REF!+#REF!</definedName>
    <definedName name="__shared_9_0_43_1">#REF!+#REF!</definedName>
    <definedName name="__shared_9_0_44" localSheetId="7">#REF!+#REF!</definedName>
    <definedName name="__shared_9_0_44" localSheetId="0">#REF!+#REF!</definedName>
    <definedName name="__shared_9_0_44" localSheetId="21">#REF!+#REF!</definedName>
    <definedName name="__shared_9_0_44" localSheetId="17">#REF!+#REF!</definedName>
    <definedName name="__shared_9_0_44" localSheetId="12">#REF!+#REF!</definedName>
    <definedName name="__shared_9_0_44" localSheetId="2">#REF!+#REF!</definedName>
    <definedName name="__shared_9_0_44" localSheetId="3">#REF!+#REF!</definedName>
    <definedName name="__shared_9_0_44">#REF!+#REF!</definedName>
    <definedName name="__shared_9_0_44_1" localSheetId="7">#REF!+1</definedName>
    <definedName name="__shared_9_0_44_1" localSheetId="0">#REF!+1</definedName>
    <definedName name="__shared_9_0_44_1" localSheetId="17">#REF!+1</definedName>
    <definedName name="__shared_9_0_44_1" localSheetId="12">#REF!+1</definedName>
    <definedName name="__shared_9_0_44_1" localSheetId="2">#REF!+1</definedName>
    <definedName name="__shared_9_0_44_1" localSheetId="3">#REF!+1</definedName>
    <definedName name="__shared_9_0_44_1">#REF!+1</definedName>
    <definedName name="__shared_9_0_45" localSheetId="7">#REF!+1</definedName>
    <definedName name="__shared_9_0_45" localSheetId="0">#REF!+1</definedName>
    <definedName name="__shared_9_0_45" localSheetId="17">#REF!+1</definedName>
    <definedName name="__shared_9_0_45" localSheetId="12">#REF!+1</definedName>
    <definedName name="__shared_9_0_45" localSheetId="2">#REF!+1</definedName>
    <definedName name="__shared_9_0_45" localSheetId="3">#REF!+1</definedName>
    <definedName name="__shared_9_0_45">#REF!+1</definedName>
    <definedName name="__shared_9_0_45_1" localSheetId="7">#REF!+#REF!</definedName>
    <definedName name="__shared_9_0_45_1" localSheetId="0">#REF!+#REF!</definedName>
    <definedName name="__shared_9_0_45_1" localSheetId="21">#REF!+#REF!</definedName>
    <definedName name="__shared_9_0_45_1" localSheetId="17">#REF!+#REF!</definedName>
    <definedName name="__shared_9_0_45_1" localSheetId="12">#REF!+#REF!</definedName>
    <definedName name="__shared_9_0_45_1" localSheetId="2">#REF!+#REF!</definedName>
    <definedName name="__shared_9_0_45_1" localSheetId="3">#REF!+#REF!</definedName>
    <definedName name="__shared_9_0_45_1">#REF!+#REF!</definedName>
    <definedName name="__shared_9_0_46" localSheetId="7">#REF!+#REF!</definedName>
    <definedName name="__shared_9_0_46" localSheetId="0">#REF!+#REF!</definedName>
    <definedName name="__shared_9_0_46" localSheetId="21">#REF!+#REF!</definedName>
    <definedName name="__shared_9_0_46" localSheetId="17">#REF!+#REF!</definedName>
    <definedName name="__shared_9_0_46" localSheetId="12">#REF!+#REF!</definedName>
    <definedName name="__shared_9_0_46" localSheetId="2">#REF!+#REF!</definedName>
    <definedName name="__shared_9_0_46" localSheetId="3">#REF!+#REF!</definedName>
    <definedName name="__shared_9_0_46">#REF!+#REF!</definedName>
    <definedName name="__shared_9_0_46_1" localSheetId="7">#REF!+1</definedName>
    <definedName name="__shared_9_0_46_1" localSheetId="0">#REF!+1</definedName>
    <definedName name="__shared_9_0_46_1" localSheetId="17">#REF!+1</definedName>
    <definedName name="__shared_9_0_46_1" localSheetId="12">#REF!+1</definedName>
    <definedName name="__shared_9_0_46_1" localSheetId="2">#REF!+1</definedName>
    <definedName name="__shared_9_0_46_1" localSheetId="3">#REF!+1</definedName>
    <definedName name="__shared_9_0_46_1">#REF!+1</definedName>
    <definedName name="__shared_9_0_47" localSheetId="7">#REF!+1</definedName>
    <definedName name="__shared_9_0_47" localSheetId="0">#REF!+1</definedName>
    <definedName name="__shared_9_0_47" localSheetId="17">#REF!+1</definedName>
    <definedName name="__shared_9_0_47" localSheetId="12">#REF!+1</definedName>
    <definedName name="__shared_9_0_47" localSheetId="2">#REF!+1</definedName>
    <definedName name="__shared_9_0_47" localSheetId="3">#REF!+1</definedName>
    <definedName name="__shared_9_0_47">#REF!+1</definedName>
    <definedName name="__shared_9_0_47_1" localSheetId="7">#REF!+#REF!</definedName>
    <definedName name="__shared_9_0_47_1" localSheetId="0">#REF!+#REF!</definedName>
    <definedName name="__shared_9_0_47_1" localSheetId="21">#REF!+#REF!</definedName>
    <definedName name="__shared_9_0_47_1" localSheetId="17">#REF!+#REF!</definedName>
    <definedName name="__shared_9_0_47_1" localSheetId="12">#REF!+#REF!</definedName>
    <definedName name="__shared_9_0_47_1" localSheetId="2">#REF!+#REF!</definedName>
    <definedName name="__shared_9_0_47_1" localSheetId="3">#REF!+#REF!</definedName>
    <definedName name="__shared_9_0_47_1">#REF!+#REF!</definedName>
    <definedName name="__shared_9_0_48" localSheetId="7">#REF!+#REF!</definedName>
    <definedName name="__shared_9_0_48" localSheetId="0">#REF!+#REF!</definedName>
    <definedName name="__shared_9_0_48" localSheetId="21">#REF!+#REF!</definedName>
    <definedName name="__shared_9_0_48" localSheetId="17">#REF!+#REF!</definedName>
    <definedName name="__shared_9_0_48" localSheetId="12">#REF!+#REF!</definedName>
    <definedName name="__shared_9_0_48" localSheetId="2">#REF!+#REF!</definedName>
    <definedName name="__shared_9_0_48" localSheetId="3">#REF!+#REF!</definedName>
    <definedName name="__shared_9_0_48">#REF!+#REF!</definedName>
    <definedName name="__shared_9_0_48_1" localSheetId="7">#REF!+1</definedName>
    <definedName name="__shared_9_0_48_1" localSheetId="0">#REF!+1</definedName>
    <definedName name="__shared_9_0_48_1" localSheetId="17">#REF!+1</definedName>
    <definedName name="__shared_9_0_48_1" localSheetId="12">#REF!+1</definedName>
    <definedName name="__shared_9_0_48_1" localSheetId="2">#REF!+1</definedName>
    <definedName name="__shared_9_0_48_1" localSheetId="3">#REF!+1</definedName>
    <definedName name="__shared_9_0_48_1">#REF!+1</definedName>
    <definedName name="__shared_9_0_49" localSheetId="7">#REF!+1</definedName>
    <definedName name="__shared_9_0_49" localSheetId="0">#REF!+1</definedName>
    <definedName name="__shared_9_0_49" localSheetId="17">#REF!+1</definedName>
    <definedName name="__shared_9_0_49" localSheetId="12">#REF!+1</definedName>
    <definedName name="__shared_9_0_49" localSheetId="2">#REF!+1</definedName>
    <definedName name="__shared_9_0_49" localSheetId="3">#REF!+1</definedName>
    <definedName name="__shared_9_0_49">#REF!+1</definedName>
    <definedName name="__shared_9_0_49_1" localSheetId="7">#REF!+#REF!</definedName>
    <definedName name="__shared_9_0_49_1" localSheetId="0">#REF!+#REF!</definedName>
    <definedName name="__shared_9_0_49_1" localSheetId="21">#REF!+#REF!</definedName>
    <definedName name="__shared_9_0_49_1" localSheetId="17">#REF!+#REF!</definedName>
    <definedName name="__shared_9_0_49_1" localSheetId="12">#REF!+#REF!</definedName>
    <definedName name="__shared_9_0_49_1" localSheetId="2">#REF!+#REF!</definedName>
    <definedName name="__shared_9_0_49_1" localSheetId="3">#REF!+#REF!</definedName>
    <definedName name="__shared_9_0_49_1">#REF!+#REF!</definedName>
    <definedName name="__shared_9_0_5" localSheetId="7">#REF!+#REF!</definedName>
    <definedName name="__shared_9_0_5" localSheetId="0">#REF!+#REF!</definedName>
    <definedName name="__shared_9_0_5" localSheetId="21">#REF!+#REF!</definedName>
    <definedName name="__shared_9_0_5" localSheetId="17">#REF!+#REF!</definedName>
    <definedName name="__shared_9_0_5" localSheetId="12">#REF!+#REF!</definedName>
    <definedName name="__shared_9_0_5" localSheetId="2">#REF!+#REF!</definedName>
    <definedName name="__shared_9_0_5" localSheetId="3">#REF!+#REF!</definedName>
    <definedName name="__shared_9_0_5">#REF!+#REF!</definedName>
    <definedName name="__shared_9_0_5_1" localSheetId="7">#REF!+#REF!</definedName>
    <definedName name="__shared_9_0_5_1" localSheetId="0">#REF!+#REF!</definedName>
    <definedName name="__shared_9_0_5_1" localSheetId="21">#REF!+#REF!</definedName>
    <definedName name="__shared_9_0_5_1" localSheetId="17">#REF!+#REF!</definedName>
    <definedName name="__shared_9_0_5_1" localSheetId="12">#REF!+#REF!</definedName>
    <definedName name="__shared_9_0_5_1" localSheetId="2">#REF!+#REF!</definedName>
    <definedName name="__shared_9_0_5_1" localSheetId="3">#REF!+#REF!</definedName>
    <definedName name="__shared_9_0_5_1">#REF!+#REF!</definedName>
    <definedName name="__shared_9_0_50" localSheetId="7">#REF!+#REF!</definedName>
    <definedName name="__shared_9_0_50" localSheetId="0">#REF!+#REF!</definedName>
    <definedName name="__shared_9_0_50" localSheetId="17">#REF!+#REF!</definedName>
    <definedName name="__shared_9_0_50" localSheetId="12">#REF!+#REF!</definedName>
    <definedName name="__shared_9_0_50" localSheetId="2">#REF!+#REF!</definedName>
    <definedName name="__shared_9_0_50" localSheetId="3">#REF!+#REF!</definedName>
    <definedName name="__shared_9_0_50">#REF!+#REF!</definedName>
    <definedName name="__shared_9_0_50_1" localSheetId="7">#REF!+1</definedName>
    <definedName name="__shared_9_0_50_1" localSheetId="0">#REF!+1</definedName>
    <definedName name="__shared_9_0_50_1" localSheetId="17">#REF!+1</definedName>
    <definedName name="__shared_9_0_50_1" localSheetId="12">#REF!+1</definedName>
    <definedName name="__shared_9_0_50_1" localSheetId="2">#REF!+1</definedName>
    <definedName name="__shared_9_0_50_1" localSheetId="3">#REF!+1</definedName>
    <definedName name="__shared_9_0_50_1">#REF!+1</definedName>
    <definedName name="__shared_9_0_51" localSheetId="7">#REF!+1</definedName>
    <definedName name="__shared_9_0_51" localSheetId="0">#REF!+1</definedName>
    <definedName name="__shared_9_0_51" localSheetId="17">#REF!+1</definedName>
    <definedName name="__shared_9_0_51" localSheetId="12">#REF!+1</definedName>
    <definedName name="__shared_9_0_51" localSheetId="2">#REF!+1</definedName>
    <definedName name="__shared_9_0_51" localSheetId="3">#REF!+1</definedName>
    <definedName name="__shared_9_0_51">#REF!+1</definedName>
    <definedName name="__shared_9_0_51_1" localSheetId="7">#REF!+#REF!</definedName>
    <definedName name="__shared_9_0_51_1" localSheetId="0">#REF!+#REF!</definedName>
    <definedName name="__shared_9_0_51_1" localSheetId="21">#REF!+#REF!</definedName>
    <definedName name="__shared_9_0_51_1" localSheetId="17">#REF!+#REF!</definedName>
    <definedName name="__shared_9_0_51_1" localSheetId="12">#REF!+#REF!</definedName>
    <definedName name="__shared_9_0_51_1" localSheetId="2">#REF!+#REF!</definedName>
    <definedName name="__shared_9_0_51_1" localSheetId="3">#REF!+#REF!</definedName>
    <definedName name="__shared_9_0_51_1">#REF!+#REF!</definedName>
    <definedName name="__shared_9_0_52" localSheetId="7">#REF!+#REF!</definedName>
    <definedName name="__shared_9_0_52" localSheetId="0">#REF!+#REF!</definedName>
    <definedName name="__shared_9_0_52" localSheetId="21">#REF!+#REF!</definedName>
    <definedName name="__shared_9_0_52" localSheetId="17">#REF!+#REF!</definedName>
    <definedName name="__shared_9_0_52" localSheetId="12">#REF!+#REF!</definedName>
    <definedName name="__shared_9_0_52" localSheetId="2">#REF!+#REF!</definedName>
    <definedName name="__shared_9_0_52" localSheetId="3">#REF!+#REF!</definedName>
    <definedName name="__shared_9_0_52">#REF!+#REF!</definedName>
    <definedName name="__shared_9_0_52_1" localSheetId="7">#REF!+1</definedName>
    <definedName name="__shared_9_0_52_1" localSheetId="0">#REF!+1</definedName>
    <definedName name="__shared_9_0_52_1" localSheetId="17">#REF!+1</definedName>
    <definedName name="__shared_9_0_52_1" localSheetId="12">#REF!+1</definedName>
    <definedName name="__shared_9_0_52_1" localSheetId="2">#REF!+1</definedName>
    <definedName name="__shared_9_0_52_1" localSheetId="3">#REF!+1</definedName>
    <definedName name="__shared_9_0_52_1">#REF!+1</definedName>
    <definedName name="__shared_9_0_53" localSheetId="7">#REF!+1</definedName>
    <definedName name="__shared_9_0_53" localSheetId="0">#REF!+1</definedName>
    <definedName name="__shared_9_0_53" localSheetId="17">#REF!+1</definedName>
    <definedName name="__shared_9_0_53" localSheetId="12">#REF!+1</definedName>
    <definedName name="__shared_9_0_53" localSheetId="2">#REF!+1</definedName>
    <definedName name="__shared_9_0_53" localSheetId="3">#REF!+1</definedName>
    <definedName name="__shared_9_0_53">#REF!+1</definedName>
    <definedName name="__shared_9_0_53_1" localSheetId="7">#REF!+#REF!</definedName>
    <definedName name="__shared_9_0_53_1" localSheetId="0">#REF!+#REF!</definedName>
    <definedName name="__shared_9_0_53_1" localSheetId="21">#REF!+#REF!</definedName>
    <definedName name="__shared_9_0_53_1" localSheetId="17">#REF!+#REF!</definedName>
    <definedName name="__shared_9_0_53_1" localSheetId="12">#REF!+#REF!</definedName>
    <definedName name="__shared_9_0_53_1" localSheetId="2">#REF!+#REF!</definedName>
    <definedName name="__shared_9_0_53_1" localSheetId="3">#REF!+#REF!</definedName>
    <definedName name="__shared_9_0_53_1">#REF!+#REF!</definedName>
    <definedName name="__shared_9_0_54" localSheetId="7">#REF!+#REF!</definedName>
    <definedName name="__shared_9_0_54" localSheetId="0">#REF!+#REF!</definedName>
    <definedName name="__shared_9_0_54" localSheetId="21">#REF!+#REF!</definedName>
    <definedName name="__shared_9_0_54" localSheetId="17">#REF!+#REF!</definedName>
    <definedName name="__shared_9_0_54" localSheetId="12">#REF!+#REF!</definedName>
    <definedName name="__shared_9_0_54" localSheetId="2">#REF!+#REF!</definedName>
    <definedName name="__shared_9_0_54" localSheetId="3">#REF!+#REF!</definedName>
    <definedName name="__shared_9_0_54">#REF!+#REF!</definedName>
    <definedName name="__shared_9_0_54_1" localSheetId="7">#REF!+1</definedName>
    <definedName name="__shared_9_0_54_1" localSheetId="0">#REF!+1</definedName>
    <definedName name="__shared_9_0_54_1" localSheetId="17">#REF!+1</definedName>
    <definedName name="__shared_9_0_54_1" localSheetId="12">#REF!+1</definedName>
    <definedName name="__shared_9_0_54_1" localSheetId="2">#REF!+1</definedName>
    <definedName name="__shared_9_0_54_1" localSheetId="3">#REF!+1</definedName>
    <definedName name="__shared_9_0_54_1">#REF!+1</definedName>
    <definedName name="__shared_9_0_55" localSheetId="7">#REF!+1</definedName>
    <definedName name="__shared_9_0_55" localSheetId="0">#REF!+1</definedName>
    <definedName name="__shared_9_0_55" localSheetId="17">#REF!+1</definedName>
    <definedName name="__shared_9_0_55" localSheetId="12">#REF!+1</definedName>
    <definedName name="__shared_9_0_55" localSheetId="2">#REF!+1</definedName>
    <definedName name="__shared_9_0_55" localSheetId="3">#REF!+1</definedName>
    <definedName name="__shared_9_0_55">#REF!+1</definedName>
    <definedName name="__shared_9_0_55_1" localSheetId="7">#REF!+#REF!</definedName>
    <definedName name="__shared_9_0_55_1" localSheetId="0">#REF!+#REF!</definedName>
    <definedName name="__shared_9_0_55_1" localSheetId="21">#REF!+#REF!</definedName>
    <definedName name="__shared_9_0_55_1" localSheetId="17">#REF!+#REF!</definedName>
    <definedName name="__shared_9_0_55_1" localSheetId="12">#REF!+#REF!</definedName>
    <definedName name="__shared_9_0_55_1" localSheetId="2">#REF!+#REF!</definedName>
    <definedName name="__shared_9_0_55_1" localSheetId="3">#REF!+#REF!</definedName>
    <definedName name="__shared_9_0_55_1">#REF!+#REF!</definedName>
    <definedName name="__shared_9_0_56" localSheetId="7">#REF!+#REF!</definedName>
    <definedName name="__shared_9_0_56" localSheetId="0">#REF!+#REF!</definedName>
    <definedName name="__shared_9_0_56" localSheetId="21">#REF!+#REF!</definedName>
    <definedName name="__shared_9_0_56" localSheetId="17">#REF!+#REF!</definedName>
    <definedName name="__shared_9_0_56" localSheetId="12">#REF!+#REF!</definedName>
    <definedName name="__shared_9_0_56" localSheetId="2">#REF!+#REF!</definedName>
    <definedName name="__shared_9_0_56" localSheetId="3">#REF!+#REF!</definedName>
    <definedName name="__shared_9_0_56">#REF!+#REF!</definedName>
    <definedName name="__shared_9_0_56_1" localSheetId="7">#REF!+1</definedName>
    <definedName name="__shared_9_0_56_1" localSheetId="0">#REF!+1</definedName>
    <definedName name="__shared_9_0_56_1" localSheetId="17">#REF!+1</definedName>
    <definedName name="__shared_9_0_56_1" localSheetId="12">#REF!+1</definedName>
    <definedName name="__shared_9_0_56_1" localSheetId="2">#REF!+1</definedName>
    <definedName name="__shared_9_0_56_1" localSheetId="3">#REF!+1</definedName>
    <definedName name="__shared_9_0_56_1">#REF!+1</definedName>
    <definedName name="__shared_9_0_57" localSheetId="7">#REF!+1</definedName>
    <definedName name="__shared_9_0_57" localSheetId="0">#REF!+1</definedName>
    <definedName name="__shared_9_0_57" localSheetId="17">#REF!+1</definedName>
    <definedName name="__shared_9_0_57" localSheetId="12">#REF!+1</definedName>
    <definedName name="__shared_9_0_57" localSheetId="2">#REF!+1</definedName>
    <definedName name="__shared_9_0_57" localSheetId="3">#REF!+1</definedName>
    <definedName name="__shared_9_0_57">#REF!+1</definedName>
    <definedName name="__shared_9_0_57_1" localSheetId="7">#REF!+#REF!</definedName>
    <definedName name="__shared_9_0_57_1" localSheetId="0">#REF!+#REF!</definedName>
    <definedName name="__shared_9_0_57_1" localSheetId="21">#REF!+#REF!</definedName>
    <definedName name="__shared_9_0_57_1" localSheetId="17">#REF!+#REF!</definedName>
    <definedName name="__shared_9_0_57_1" localSheetId="12">#REF!+#REF!</definedName>
    <definedName name="__shared_9_0_57_1" localSheetId="2">#REF!+#REF!</definedName>
    <definedName name="__shared_9_0_57_1" localSheetId="3">#REF!+#REF!</definedName>
    <definedName name="__shared_9_0_57_1">#REF!+#REF!</definedName>
    <definedName name="__shared_9_0_58" localSheetId="7">#REF!+#REF!</definedName>
    <definedName name="__shared_9_0_58" localSheetId="0">#REF!+#REF!</definedName>
    <definedName name="__shared_9_0_58" localSheetId="21">#REF!+#REF!</definedName>
    <definedName name="__shared_9_0_58" localSheetId="17">#REF!+#REF!</definedName>
    <definedName name="__shared_9_0_58" localSheetId="12">#REF!+#REF!</definedName>
    <definedName name="__shared_9_0_58" localSheetId="2">#REF!+#REF!</definedName>
    <definedName name="__shared_9_0_58" localSheetId="3">#REF!+#REF!</definedName>
    <definedName name="__shared_9_0_58">#REF!+#REF!</definedName>
    <definedName name="__shared_9_0_58_1" localSheetId="7">#REF!+1</definedName>
    <definedName name="__shared_9_0_58_1" localSheetId="0">#REF!+1</definedName>
    <definedName name="__shared_9_0_58_1" localSheetId="17">#REF!+1</definedName>
    <definedName name="__shared_9_0_58_1" localSheetId="12">#REF!+1</definedName>
    <definedName name="__shared_9_0_58_1" localSheetId="2">#REF!+1</definedName>
    <definedName name="__shared_9_0_58_1" localSheetId="3">#REF!+1</definedName>
    <definedName name="__shared_9_0_58_1">#REF!+1</definedName>
    <definedName name="__shared_9_0_59" localSheetId="7">#REF!+1</definedName>
    <definedName name="__shared_9_0_59" localSheetId="0">#REF!+1</definedName>
    <definedName name="__shared_9_0_59" localSheetId="17">#REF!+1</definedName>
    <definedName name="__shared_9_0_59" localSheetId="12">#REF!+1</definedName>
    <definedName name="__shared_9_0_59" localSheetId="2">#REF!+1</definedName>
    <definedName name="__shared_9_0_59" localSheetId="3">#REF!+1</definedName>
    <definedName name="__shared_9_0_59">#REF!+1</definedName>
    <definedName name="__shared_9_0_59_1" localSheetId="7">#REF!+#REF!</definedName>
    <definedName name="__shared_9_0_59_1" localSheetId="0">#REF!+#REF!</definedName>
    <definedName name="__shared_9_0_59_1" localSheetId="21">#REF!+#REF!</definedName>
    <definedName name="__shared_9_0_59_1" localSheetId="17">#REF!+#REF!</definedName>
    <definedName name="__shared_9_0_59_1" localSheetId="12">#REF!+#REF!</definedName>
    <definedName name="__shared_9_0_59_1" localSheetId="2">#REF!+#REF!</definedName>
    <definedName name="__shared_9_0_59_1" localSheetId="3">#REF!+#REF!</definedName>
    <definedName name="__shared_9_0_59_1">#REF!+#REF!</definedName>
    <definedName name="__shared_9_0_6" localSheetId="7">#REF!+1</definedName>
    <definedName name="__shared_9_0_6" localSheetId="0">#REF!+1</definedName>
    <definedName name="__shared_9_0_6" localSheetId="17">#REF!+1</definedName>
    <definedName name="__shared_9_0_6" localSheetId="12">#REF!+1</definedName>
    <definedName name="__shared_9_0_6" localSheetId="2">#REF!+1</definedName>
    <definedName name="__shared_9_0_6" localSheetId="3">#REF!+1</definedName>
    <definedName name="__shared_9_0_6">#REF!+1</definedName>
    <definedName name="__shared_9_0_6_1" localSheetId="7">#REF!+1</definedName>
    <definedName name="__shared_9_0_6_1" localSheetId="0">#REF!+1</definedName>
    <definedName name="__shared_9_0_6_1" localSheetId="17">#REF!+1</definedName>
    <definedName name="__shared_9_0_6_1" localSheetId="12">#REF!+1</definedName>
    <definedName name="__shared_9_0_6_1" localSheetId="2">#REF!+1</definedName>
    <definedName name="__shared_9_0_6_1" localSheetId="3">#REF!+1</definedName>
    <definedName name="__shared_9_0_6_1">#REF!+1</definedName>
    <definedName name="__shared_9_0_60" localSheetId="7">#REF!+#REF!</definedName>
    <definedName name="__shared_9_0_60" localSheetId="0">#REF!+#REF!</definedName>
    <definedName name="__shared_9_0_60" localSheetId="21">#REF!+#REF!</definedName>
    <definedName name="__shared_9_0_60" localSheetId="17">#REF!+#REF!</definedName>
    <definedName name="__shared_9_0_60" localSheetId="12">#REF!+#REF!</definedName>
    <definedName name="__shared_9_0_60" localSheetId="2">#REF!+#REF!</definedName>
    <definedName name="__shared_9_0_60" localSheetId="3">#REF!+#REF!</definedName>
    <definedName name="__shared_9_0_60">#REF!+#REF!</definedName>
    <definedName name="__shared_9_0_60_1" localSheetId="7">#REF!+1</definedName>
    <definedName name="__shared_9_0_60_1" localSheetId="0">#REF!+1</definedName>
    <definedName name="__shared_9_0_60_1" localSheetId="17">#REF!+1</definedName>
    <definedName name="__shared_9_0_60_1" localSheetId="12">#REF!+1</definedName>
    <definedName name="__shared_9_0_60_1" localSheetId="2">#REF!+1</definedName>
    <definedName name="__shared_9_0_60_1" localSheetId="3">#REF!+1</definedName>
    <definedName name="__shared_9_0_60_1">#REF!+1</definedName>
    <definedName name="__shared_9_0_61" localSheetId="7">#REF!+1</definedName>
    <definedName name="__shared_9_0_61" localSheetId="0">#REF!+1</definedName>
    <definedName name="__shared_9_0_61" localSheetId="17">#REF!+1</definedName>
    <definedName name="__shared_9_0_61" localSheetId="12">#REF!+1</definedName>
    <definedName name="__shared_9_0_61" localSheetId="2">#REF!+1</definedName>
    <definedName name="__shared_9_0_61" localSheetId="3">#REF!+1</definedName>
    <definedName name="__shared_9_0_61">#REF!+1</definedName>
    <definedName name="__shared_9_0_61_1" localSheetId="7">#REF!+#REF!</definedName>
    <definedName name="__shared_9_0_61_1" localSheetId="0">#REF!+#REF!</definedName>
    <definedName name="__shared_9_0_61_1" localSheetId="21">#REF!+#REF!</definedName>
    <definedName name="__shared_9_0_61_1" localSheetId="17">#REF!+#REF!</definedName>
    <definedName name="__shared_9_0_61_1" localSheetId="12">#REF!+#REF!</definedName>
    <definedName name="__shared_9_0_61_1" localSheetId="2">#REF!+#REF!</definedName>
    <definedName name="__shared_9_0_61_1" localSheetId="3">#REF!+#REF!</definedName>
    <definedName name="__shared_9_0_61_1">#REF!+#REF!</definedName>
    <definedName name="__shared_9_0_62" localSheetId="7">#REF!+#REF!</definedName>
    <definedName name="__shared_9_0_62" localSheetId="0">#REF!+#REF!</definedName>
    <definedName name="__shared_9_0_62" localSheetId="21">#REF!+#REF!</definedName>
    <definedName name="__shared_9_0_62" localSheetId="17">#REF!+#REF!</definedName>
    <definedName name="__shared_9_0_62" localSheetId="12">#REF!+#REF!</definedName>
    <definedName name="__shared_9_0_62" localSheetId="2">#REF!+#REF!</definedName>
    <definedName name="__shared_9_0_62" localSheetId="3">#REF!+#REF!</definedName>
    <definedName name="__shared_9_0_62">#REF!+#REF!</definedName>
    <definedName name="__shared_9_0_62_1" localSheetId="7">#REF!+1</definedName>
    <definedName name="__shared_9_0_62_1" localSheetId="0">#REF!+1</definedName>
    <definedName name="__shared_9_0_62_1" localSheetId="17">#REF!+1</definedName>
    <definedName name="__shared_9_0_62_1" localSheetId="12">#REF!+1</definedName>
    <definedName name="__shared_9_0_62_1" localSheetId="2">#REF!+1</definedName>
    <definedName name="__shared_9_0_62_1" localSheetId="3">#REF!+1</definedName>
    <definedName name="__shared_9_0_62_1">#REF!+1</definedName>
    <definedName name="__shared_9_0_63" localSheetId="7">#REF!+1</definedName>
    <definedName name="__shared_9_0_63" localSheetId="0">#REF!+1</definedName>
    <definedName name="__shared_9_0_63" localSheetId="17">#REF!+1</definedName>
    <definedName name="__shared_9_0_63" localSheetId="12">#REF!+1</definedName>
    <definedName name="__shared_9_0_63" localSheetId="2">#REF!+1</definedName>
    <definedName name="__shared_9_0_63" localSheetId="3">#REF!+1</definedName>
    <definedName name="__shared_9_0_63">#REF!+1</definedName>
    <definedName name="__shared_9_0_63_1" localSheetId="7">#REF!+#REF!</definedName>
    <definedName name="__shared_9_0_63_1" localSheetId="0">#REF!+#REF!</definedName>
    <definedName name="__shared_9_0_63_1" localSheetId="21">#REF!+#REF!</definedName>
    <definedName name="__shared_9_0_63_1" localSheetId="17">#REF!+#REF!</definedName>
    <definedName name="__shared_9_0_63_1" localSheetId="12">#REF!+#REF!</definedName>
    <definedName name="__shared_9_0_63_1" localSheetId="2">#REF!+#REF!</definedName>
    <definedName name="__shared_9_0_63_1" localSheetId="3">#REF!+#REF!</definedName>
    <definedName name="__shared_9_0_63_1">#REF!+#REF!</definedName>
    <definedName name="__shared_9_0_64" localSheetId="7">#REF!+#REF!</definedName>
    <definedName name="__shared_9_0_64" localSheetId="0">#REF!+#REF!</definedName>
    <definedName name="__shared_9_0_64" localSheetId="21">#REF!+#REF!</definedName>
    <definedName name="__shared_9_0_64" localSheetId="17">#REF!+#REF!</definedName>
    <definedName name="__shared_9_0_64" localSheetId="12">#REF!+#REF!</definedName>
    <definedName name="__shared_9_0_64" localSheetId="2">#REF!+#REF!</definedName>
    <definedName name="__shared_9_0_64" localSheetId="3">#REF!+#REF!</definedName>
    <definedName name="__shared_9_0_64">#REF!+#REF!</definedName>
    <definedName name="__shared_9_0_64_1" localSheetId="7">#REF!+1</definedName>
    <definedName name="__shared_9_0_64_1" localSheetId="0">#REF!+1</definedName>
    <definedName name="__shared_9_0_64_1" localSheetId="17">#REF!+1</definedName>
    <definedName name="__shared_9_0_64_1" localSheetId="12">#REF!+1</definedName>
    <definedName name="__shared_9_0_64_1" localSheetId="2">#REF!+1</definedName>
    <definedName name="__shared_9_0_64_1" localSheetId="3">#REF!+1</definedName>
    <definedName name="__shared_9_0_64_1">#REF!+1</definedName>
    <definedName name="__shared_9_0_65" localSheetId="7">#REF!+1</definedName>
    <definedName name="__shared_9_0_65" localSheetId="0">#REF!+1</definedName>
    <definedName name="__shared_9_0_65" localSheetId="17">#REF!+1</definedName>
    <definedName name="__shared_9_0_65" localSheetId="12">#REF!+1</definedName>
    <definedName name="__shared_9_0_65" localSheetId="2">#REF!+1</definedName>
    <definedName name="__shared_9_0_65" localSheetId="3">#REF!+1</definedName>
    <definedName name="__shared_9_0_65">#REF!+1</definedName>
    <definedName name="__shared_9_0_65_1" localSheetId="7">#REF!+#REF!</definedName>
    <definedName name="__shared_9_0_65_1" localSheetId="0">#REF!+#REF!</definedName>
    <definedName name="__shared_9_0_65_1" localSheetId="21">#REF!+#REF!</definedName>
    <definedName name="__shared_9_0_65_1" localSheetId="17">#REF!+#REF!</definedName>
    <definedName name="__shared_9_0_65_1" localSheetId="12">#REF!+#REF!</definedName>
    <definedName name="__shared_9_0_65_1" localSheetId="2">#REF!+#REF!</definedName>
    <definedName name="__shared_9_0_65_1" localSheetId="3">#REF!+#REF!</definedName>
    <definedName name="__shared_9_0_65_1">#REF!+#REF!</definedName>
    <definedName name="__shared_9_0_66" localSheetId="7">#REF!+#REF!</definedName>
    <definedName name="__shared_9_0_66" localSheetId="0">#REF!+#REF!</definedName>
    <definedName name="__shared_9_0_66" localSheetId="21">#REF!+#REF!</definedName>
    <definedName name="__shared_9_0_66" localSheetId="17">#REF!+#REF!</definedName>
    <definedName name="__shared_9_0_66" localSheetId="12">#REF!+#REF!</definedName>
    <definedName name="__shared_9_0_66" localSheetId="2">#REF!+#REF!</definedName>
    <definedName name="__shared_9_0_66" localSheetId="3">#REF!+#REF!</definedName>
    <definedName name="__shared_9_0_66">#REF!+#REF!</definedName>
    <definedName name="__shared_9_0_66_1" localSheetId="7">#REF!+1</definedName>
    <definedName name="__shared_9_0_66_1" localSheetId="0">#REF!+1</definedName>
    <definedName name="__shared_9_0_66_1" localSheetId="17">#REF!+1</definedName>
    <definedName name="__shared_9_0_66_1" localSheetId="12">#REF!+1</definedName>
    <definedName name="__shared_9_0_66_1" localSheetId="2">#REF!+1</definedName>
    <definedName name="__shared_9_0_66_1" localSheetId="3">#REF!+1</definedName>
    <definedName name="__shared_9_0_66_1">#REF!+1</definedName>
    <definedName name="__shared_9_0_67" localSheetId="7">#REF!+1</definedName>
    <definedName name="__shared_9_0_67" localSheetId="0">#REF!+1</definedName>
    <definedName name="__shared_9_0_67" localSheetId="17">#REF!+1</definedName>
    <definedName name="__shared_9_0_67" localSheetId="12">#REF!+1</definedName>
    <definedName name="__shared_9_0_67" localSheetId="2">#REF!+1</definedName>
    <definedName name="__shared_9_0_67" localSheetId="3">#REF!+1</definedName>
    <definedName name="__shared_9_0_67">#REF!+1</definedName>
    <definedName name="__shared_9_0_67_1" localSheetId="7">#REF!+#REF!</definedName>
    <definedName name="__shared_9_0_67_1" localSheetId="0">#REF!+#REF!</definedName>
    <definedName name="__shared_9_0_67_1" localSheetId="21">#REF!+#REF!</definedName>
    <definedName name="__shared_9_0_67_1" localSheetId="17">#REF!+#REF!</definedName>
    <definedName name="__shared_9_0_67_1" localSheetId="12">#REF!+#REF!</definedName>
    <definedName name="__shared_9_0_67_1" localSheetId="2">#REF!+#REF!</definedName>
    <definedName name="__shared_9_0_67_1" localSheetId="3">#REF!+#REF!</definedName>
    <definedName name="__shared_9_0_67_1">#REF!+#REF!</definedName>
    <definedName name="__shared_9_0_68" localSheetId="7">#REF!+#REF!</definedName>
    <definedName name="__shared_9_0_68" localSheetId="0">#REF!+#REF!</definedName>
    <definedName name="__shared_9_0_68" localSheetId="21">#REF!+#REF!</definedName>
    <definedName name="__shared_9_0_68" localSheetId="17">#REF!+#REF!</definedName>
    <definedName name="__shared_9_0_68" localSheetId="12">#REF!+#REF!</definedName>
    <definedName name="__shared_9_0_68" localSheetId="2">#REF!+#REF!</definedName>
    <definedName name="__shared_9_0_68" localSheetId="3">#REF!+#REF!</definedName>
    <definedName name="__shared_9_0_68">#REF!+#REF!</definedName>
    <definedName name="__shared_9_0_68_1" localSheetId="7">#REF!+1</definedName>
    <definedName name="__shared_9_0_68_1" localSheetId="0">#REF!+1</definedName>
    <definedName name="__shared_9_0_68_1" localSheetId="17">#REF!+1</definedName>
    <definedName name="__shared_9_0_68_1" localSheetId="12">#REF!+1</definedName>
    <definedName name="__shared_9_0_68_1" localSheetId="2">#REF!+1</definedName>
    <definedName name="__shared_9_0_68_1" localSheetId="3">#REF!+1</definedName>
    <definedName name="__shared_9_0_68_1">#REF!+1</definedName>
    <definedName name="__shared_9_0_69" localSheetId="7">#REF!+#REF!</definedName>
    <definedName name="__shared_9_0_69" localSheetId="0">#REF!+#REF!</definedName>
    <definedName name="__shared_9_0_69" localSheetId="21">#REF!+#REF!</definedName>
    <definedName name="__shared_9_0_69" localSheetId="17">#REF!+#REF!</definedName>
    <definedName name="__shared_9_0_69" localSheetId="12">#REF!+#REF!</definedName>
    <definedName name="__shared_9_0_69" localSheetId="2">#REF!+#REF!</definedName>
    <definedName name="__shared_9_0_69" localSheetId="3">#REF!+#REF!</definedName>
    <definedName name="__shared_9_0_69">#REF!+#REF!</definedName>
    <definedName name="__shared_9_0_7" localSheetId="7">#REF!+#REF!</definedName>
    <definedName name="__shared_9_0_7" localSheetId="0">#REF!+#REF!</definedName>
    <definedName name="__shared_9_0_7" localSheetId="21">#REF!+#REF!</definedName>
    <definedName name="__shared_9_0_7" localSheetId="17">#REF!+#REF!</definedName>
    <definedName name="__shared_9_0_7" localSheetId="12">#REF!+#REF!</definedName>
    <definedName name="__shared_9_0_7" localSheetId="2">#REF!+#REF!</definedName>
    <definedName name="__shared_9_0_7" localSheetId="3">#REF!+#REF!</definedName>
    <definedName name="__shared_9_0_7">#REF!+#REF!</definedName>
    <definedName name="__shared_9_0_7_1" localSheetId="7">#REF!+#REF!</definedName>
    <definedName name="__shared_9_0_7_1" localSheetId="0">#REF!+#REF!</definedName>
    <definedName name="__shared_9_0_7_1" localSheetId="21">#REF!+#REF!</definedName>
    <definedName name="__shared_9_0_7_1" localSheetId="17">#REF!+#REF!</definedName>
    <definedName name="__shared_9_0_7_1" localSheetId="12">#REF!+#REF!</definedName>
    <definedName name="__shared_9_0_7_1" localSheetId="2">#REF!+#REF!</definedName>
    <definedName name="__shared_9_0_7_1" localSheetId="3">#REF!+#REF!</definedName>
    <definedName name="__shared_9_0_7_1">#REF!+#REF!</definedName>
    <definedName name="__shared_9_0_8" localSheetId="7">#REF!+1</definedName>
    <definedName name="__shared_9_0_8" localSheetId="0">#REF!+1</definedName>
    <definedName name="__shared_9_0_8" localSheetId="17">#REF!+1</definedName>
    <definedName name="__shared_9_0_8" localSheetId="12">#REF!+1</definedName>
    <definedName name="__shared_9_0_8" localSheetId="2">#REF!+1</definedName>
    <definedName name="__shared_9_0_8" localSheetId="3">#REF!+1</definedName>
    <definedName name="__shared_9_0_8">#REF!+1</definedName>
    <definedName name="__shared_9_0_8_1" localSheetId="7">#REF!+1</definedName>
    <definedName name="__shared_9_0_8_1" localSheetId="0">#REF!+1</definedName>
    <definedName name="__shared_9_0_8_1" localSheetId="17">#REF!+1</definedName>
    <definedName name="__shared_9_0_8_1" localSheetId="12">#REF!+1</definedName>
    <definedName name="__shared_9_0_8_1" localSheetId="2">#REF!+1</definedName>
    <definedName name="__shared_9_0_8_1" localSheetId="3">#REF!+1</definedName>
    <definedName name="__shared_9_0_8_1">#REF!+1</definedName>
    <definedName name="__shared_9_0_9" localSheetId="7">#REF!+#REF!</definedName>
    <definedName name="__shared_9_0_9" localSheetId="0">#REF!+#REF!</definedName>
    <definedName name="__shared_9_0_9" localSheetId="21">#REF!+#REF!</definedName>
    <definedName name="__shared_9_0_9" localSheetId="17">#REF!+#REF!</definedName>
    <definedName name="__shared_9_0_9" localSheetId="12">#REF!+#REF!</definedName>
    <definedName name="__shared_9_0_9" localSheetId="2">#REF!+#REF!</definedName>
    <definedName name="__shared_9_0_9" localSheetId="3">#REF!+#REF!</definedName>
    <definedName name="__shared_9_0_9">#REF!+#REF!</definedName>
    <definedName name="__shared_9_0_9_1" localSheetId="7">#REF!+#REF!</definedName>
    <definedName name="__shared_9_0_9_1" localSheetId="0">#REF!+#REF!</definedName>
    <definedName name="__shared_9_0_9_1" localSheetId="21">#REF!+#REF!</definedName>
    <definedName name="__shared_9_0_9_1" localSheetId="17">#REF!+#REF!</definedName>
    <definedName name="__shared_9_0_9_1" localSheetId="12">#REF!+#REF!</definedName>
    <definedName name="__shared_9_0_9_1" localSheetId="2">#REF!+#REF!</definedName>
    <definedName name="__shared_9_0_9_1" localSheetId="3">#REF!+#REF!</definedName>
    <definedName name="__shared_9_0_9_1">#REF!+#REF!</definedName>
    <definedName name="_xlnm._FilterDatabase" localSheetId="2" hidden="1">'TeSys T Parameters'!$D$1:$D$489</definedName>
    <definedName name="_xlnm._FilterDatabase" localSheetId="3" hidden="1">'TeSys T Parameters_old'!$D$1:$D$489</definedName>
    <definedName name="TeSys™_T_LTMR_" localSheetId="4">'EIP Cyclic Parameter'!$F$45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1" i="115" l="1"/>
  <c r="T50" i="115"/>
  <c r="T49" i="115"/>
  <c r="T48" i="115"/>
  <c r="T47" i="115"/>
  <c r="T46" i="115"/>
  <c r="T45" i="115"/>
  <c r="T44" i="115"/>
  <c r="T43" i="115"/>
  <c r="T42" i="115"/>
  <c r="T41" i="115"/>
  <c r="T40" i="115"/>
  <c r="T39" i="115"/>
  <c r="T38" i="115"/>
  <c r="T123" i="115"/>
  <c r="T122" i="115"/>
  <c r="T121" i="115"/>
  <c r="T120" i="115"/>
  <c r="T119" i="115"/>
  <c r="T118" i="115"/>
  <c r="T117" i="115"/>
  <c r="T116" i="115"/>
  <c r="T115" i="115"/>
  <c r="T114" i="115"/>
  <c r="T113" i="115"/>
  <c r="T112" i="115"/>
  <c r="T111" i="115"/>
  <c r="T110" i="115"/>
  <c r="T109" i="115"/>
  <c r="T108" i="115"/>
  <c r="T107" i="115"/>
  <c r="T106" i="115"/>
  <c r="T105" i="115"/>
  <c r="T104" i="115"/>
  <c r="T103" i="115"/>
  <c r="T102" i="115"/>
  <c r="T101" i="115"/>
  <c r="T100" i="115"/>
  <c r="T99" i="115"/>
  <c r="T98" i="115"/>
  <c r="T97" i="115"/>
  <c r="T96" i="115"/>
  <c r="T95" i="115"/>
  <c r="T94" i="115"/>
  <c r="T93" i="115"/>
  <c r="T92" i="115"/>
  <c r="L6" i="129"/>
  <c r="K503" i="157" l="1"/>
  <c r="E503" i="157"/>
  <c r="K502" i="157"/>
  <c r="E502" i="157"/>
  <c r="K501" i="157"/>
  <c r="E501" i="157"/>
  <c r="K500" i="157"/>
  <c r="E500" i="157"/>
  <c r="K499" i="157"/>
  <c r="E499" i="157"/>
  <c r="K498" i="157"/>
  <c r="E498" i="157"/>
  <c r="K497" i="157"/>
  <c r="E497" i="157"/>
  <c r="K496" i="157"/>
  <c r="E496" i="157"/>
  <c r="R495" i="157"/>
  <c r="K495" i="157"/>
  <c r="E495" i="157"/>
  <c r="Q496" i="157" s="1"/>
  <c r="E489" i="157"/>
  <c r="E488" i="157"/>
  <c r="E487" i="157"/>
  <c r="E486" i="157"/>
  <c r="E485" i="157"/>
  <c r="E484" i="157"/>
  <c r="E483" i="157"/>
  <c r="E482" i="157"/>
  <c r="E481" i="157"/>
  <c r="E480" i="157"/>
  <c r="E479" i="157"/>
  <c r="E478" i="157"/>
  <c r="E477" i="157"/>
  <c r="E476" i="157"/>
  <c r="E475" i="157"/>
  <c r="E474" i="157"/>
  <c r="E473" i="157"/>
  <c r="E472" i="157"/>
  <c r="E471" i="157"/>
  <c r="E470" i="157"/>
  <c r="E469" i="157"/>
  <c r="E468" i="157"/>
  <c r="E467" i="157"/>
  <c r="E466" i="157"/>
  <c r="E465" i="157"/>
  <c r="E464" i="157"/>
  <c r="E463" i="157"/>
  <c r="E462" i="157"/>
  <c r="E461" i="157"/>
  <c r="E460" i="157"/>
  <c r="E459" i="157"/>
  <c r="E458" i="157"/>
  <c r="E457" i="157"/>
  <c r="E456" i="157"/>
  <c r="E455" i="157"/>
  <c r="E454" i="157"/>
  <c r="E453" i="157"/>
  <c r="E452" i="157"/>
  <c r="E451" i="157"/>
  <c r="E450" i="157"/>
  <c r="E449" i="157"/>
  <c r="E448" i="157"/>
  <c r="E447" i="157"/>
  <c r="E446" i="157"/>
  <c r="E445" i="157"/>
  <c r="E444" i="157"/>
  <c r="E443" i="157"/>
  <c r="E442" i="157"/>
  <c r="E441" i="157"/>
  <c r="E440" i="157"/>
  <c r="E439" i="157"/>
  <c r="E438" i="157"/>
  <c r="E437" i="157"/>
  <c r="E436" i="157"/>
  <c r="E435" i="157"/>
  <c r="E434" i="157"/>
  <c r="E433" i="157"/>
  <c r="E432" i="157"/>
  <c r="E431" i="157"/>
  <c r="E430" i="157"/>
  <c r="E429" i="157"/>
  <c r="E428" i="157"/>
  <c r="E427" i="157"/>
  <c r="E426" i="157"/>
  <c r="E425" i="157"/>
  <c r="E424" i="157"/>
  <c r="E423" i="157"/>
  <c r="E422" i="157"/>
  <c r="E421" i="157"/>
  <c r="E420" i="157"/>
  <c r="E419" i="157"/>
  <c r="E418" i="157"/>
  <c r="E417" i="157"/>
  <c r="E416" i="157"/>
  <c r="E415" i="157"/>
  <c r="E414" i="157"/>
  <c r="E413" i="157"/>
  <c r="E412" i="157"/>
  <c r="E411" i="157"/>
  <c r="E410" i="157"/>
  <c r="E409" i="157"/>
  <c r="E408" i="157"/>
  <c r="E407" i="157"/>
  <c r="E406" i="157"/>
  <c r="E405" i="157"/>
  <c r="E404" i="157"/>
  <c r="E403" i="157"/>
  <c r="E402" i="157"/>
  <c r="E401" i="157"/>
  <c r="E400" i="157"/>
  <c r="E399" i="157"/>
  <c r="E398" i="157"/>
  <c r="E397" i="157"/>
  <c r="E396" i="157"/>
  <c r="E395" i="157"/>
  <c r="E394" i="157"/>
  <c r="E393" i="157"/>
  <c r="E392" i="157"/>
  <c r="E391" i="157"/>
  <c r="E390" i="157"/>
  <c r="E389" i="157"/>
  <c r="E388" i="157"/>
  <c r="E387" i="157"/>
  <c r="E386" i="157"/>
  <c r="E385" i="157"/>
  <c r="E384" i="157"/>
  <c r="E383" i="157"/>
  <c r="E382" i="157"/>
  <c r="E381" i="157"/>
  <c r="E380" i="157"/>
  <c r="E379" i="157"/>
  <c r="E378" i="157"/>
  <c r="E377" i="157"/>
  <c r="E376" i="157"/>
  <c r="E374" i="157"/>
  <c r="E373" i="157"/>
  <c r="E372" i="157"/>
  <c r="E370" i="157"/>
  <c r="E369" i="157"/>
  <c r="E368" i="157"/>
  <c r="E367" i="157"/>
  <c r="E366" i="157"/>
  <c r="E365" i="157"/>
  <c r="E364" i="157"/>
  <c r="E363" i="157"/>
  <c r="E362" i="157"/>
  <c r="E361" i="157"/>
  <c r="E360" i="157"/>
  <c r="E359" i="157"/>
  <c r="E358" i="157"/>
  <c r="E357" i="157"/>
  <c r="E356" i="157"/>
  <c r="E355" i="157"/>
  <c r="E354" i="157"/>
  <c r="E353" i="157"/>
  <c r="E352" i="157"/>
  <c r="E351" i="157"/>
  <c r="E350" i="157"/>
  <c r="E349" i="157"/>
  <c r="E348" i="157"/>
  <c r="E347" i="157"/>
  <c r="E346" i="157"/>
  <c r="E345" i="157"/>
  <c r="E344" i="157"/>
  <c r="E343" i="157"/>
  <c r="E342" i="157"/>
  <c r="E341" i="157"/>
  <c r="E340" i="157"/>
  <c r="E339" i="157"/>
  <c r="E338" i="157"/>
  <c r="E337" i="157"/>
  <c r="E336" i="157"/>
  <c r="E335" i="157"/>
  <c r="E334" i="157"/>
  <c r="E333" i="157"/>
  <c r="E332" i="157"/>
  <c r="E331" i="157"/>
  <c r="E330" i="157"/>
  <c r="E329" i="157"/>
  <c r="E328" i="157"/>
  <c r="E327" i="157"/>
  <c r="E326" i="157"/>
  <c r="E325" i="157"/>
  <c r="E324" i="157"/>
  <c r="E323" i="157"/>
  <c r="E322" i="157"/>
  <c r="E321" i="157"/>
  <c r="E320" i="157"/>
  <c r="E319" i="157"/>
  <c r="E318" i="157"/>
  <c r="E317" i="157"/>
  <c r="E316" i="157"/>
  <c r="E315" i="157"/>
  <c r="E314" i="157"/>
  <c r="E313" i="157"/>
  <c r="E312" i="157"/>
  <c r="E311" i="157"/>
  <c r="E310" i="157"/>
  <c r="E309" i="157"/>
  <c r="E308" i="157"/>
  <c r="E307" i="157"/>
  <c r="E306" i="157"/>
  <c r="E305" i="157"/>
  <c r="E304" i="157"/>
  <c r="E303" i="157"/>
  <c r="E302" i="157"/>
  <c r="E301" i="157"/>
  <c r="E300" i="157"/>
  <c r="E299" i="157"/>
  <c r="E298" i="157"/>
  <c r="E297" i="157"/>
  <c r="E296" i="157"/>
  <c r="E295" i="157"/>
  <c r="E294" i="157"/>
  <c r="E293" i="157"/>
  <c r="E292" i="157"/>
  <c r="E291" i="157"/>
  <c r="E290" i="157"/>
  <c r="E289" i="157"/>
  <c r="E288" i="157"/>
  <c r="E287" i="157"/>
  <c r="E286" i="157"/>
  <c r="E285" i="157"/>
  <c r="E284" i="157"/>
  <c r="E283" i="157"/>
  <c r="E282" i="157"/>
  <c r="E281" i="157"/>
  <c r="E280" i="157"/>
  <c r="E279" i="157"/>
  <c r="E278" i="157"/>
  <c r="E277" i="157"/>
  <c r="E276" i="157"/>
  <c r="E275" i="157"/>
  <c r="E274" i="157"/>
  <c r="E273" i="157"/>
  <c r="E272" i="157"/>
  <c r="E271" i="157"/>
  <c r="E269" i="157"/>
  <c r="E268" i="157"/>
  <c r="E267" i="157"/>
  <c r="E266" i="157"/>
  <c r="E265" i="157"/>
  <c r="E264" i="157"/>
  <c r="E263" i="157"/>
  <c r="E262" i="157"/>
  <c r="E261" i="157"/>
  <c r="E260" i="157"/>
  <c r="E259" i="157"/>
  <c r="E258" i="157"/>
  <c r="E257" i="157"/>
  <c r="E256" i="157"/>
  <c r="E255" i="157"/>
  <c r="E254" i="157"/>
  <c r="E253" i="157"/>
  <c r="E252" i="157"/>
  <c r="E251" i="157"/>
  <c r="E250" i="157"/>
  <c r="E249" i="157"/>
  <c r="E248" i="157"/>
  <c r="E247" i="157"/>
  <c r="E246" i="157"/>
  <c r="E245" i="157"/>
  <c r="E244" i="157"/>
  <c r="E243" i="157"/>
  <c r="E242" i="157"/>
  <c r="E241" i="157"/>
  <c r="E240" i="157"/>
  <c r="E239" i="157"/>
  <c r="E238" i="157"/>
  <c r="E237" i="157"/>
  <c r="E236" i="157"/>
  <c r="E235" i="157"/>
  <c r="E234" i="157"/>
  <c r="E233" i="157"/>
  <c r="E232" i="157"/>
  <c r="E231" i="157"/>
  <c r="E230" i="157"/>
  <c r="E229" i="157"/>
  <c r="E228" i="157"/>
  <c r="E227" i="157"/>
  <c r="E226" i="157"/>
  <c r="E225" i="157"/>
  <c r="E224" i="157"/>
  <c r="E223" i="157"/>
  <c r="E222" i="157"/>
  <c r="E221" i="157"/>
  <c r="E220" i="157"/>
  <c r="E219" i="157"/>
  <c r="E218" i="157"/>
  <c r="E217" i="157"/>
  <c r="E216" i="157"/>
  <c r="E215" i="157"/>
  <c r="E214" i="157"/>
  <c r="E213" i="157"/>
  <c r="E212" i="157"/>
  <c r="E211" i="157"/>
  <c r="E210" i="157"/>
  <c r="E209" i="157"/>
  <c r="E208" i="157"/>
  <c r="E207" i="157"/>
  <c r="E206" i="157"/>
  <c r="E205" i="157"/>
  <c r="E204" i="157"/>
  <c r="E203" i="157"/>
  <c r="E202" i="157"/>
  <c r="E201" i="157"/>
  <c r="E200" i="157"/>
  <c r="E199" i="157"/>
  <c r="E198" i="157"/>
  <c r="E197" i="157"/>
  <c r="E196" i="157"/>
  <c r="E195" i="157"/>
  <c r="E194" i="157"/>
  <c r="E193" i="157"/>
  <c r="E192" i="157"/>
  <c r="E191" i="157"/>
  <c r="E190" i="157"/>
  <c r="E189" i="157"/>
  <c r="E188" i="157"/>
  <c r="E187" i="157"/>
  <c r="E186" i="157"/>
  <c r="E185" i="157"/>
  <c r="E184" i="157"/>
  <c r="E183" i="157"/>
  <c r="E182" i="157"/>
  <c r="E181" i="157"/>
  <c r="E180" i="157"/>
  <c r="E179" i="157"/>
  <c r="E178" i="157"/>
  <c r="E177" i="157"/>
  <c r="E176" i="157"/>
  <c r="E175" i="157"/>
  <c r="E174" i="157"/>
  <c r="E173" i="157"/>
  <c r="E172" i="157"/>
  <c r="E171" i="157"/>
  <c r="E170" i="157"/>
  <c r="E168" i="157"/>
  <c r="E167" i="157"/>
  <c r="E166" i="157"/>
  <c r="E165" i="157"/>
  <c r="E164" i="157"/>
  <c r="E163" i="157"/>
  <c r="E162" i="157"/>
  <c r="E160" i="157"/>
  <c r="E159" i="157"/>
  <c r="E158" i="157"/>
  <c r="E157" i="157"/>
  <c r="E156" i="157"/>
  <c r="E155" i="157"/>
  <c r="E154" i="157"/>
  <c r="E153" i="157"/>
  <c r="E152" i="157"/>
  <c r="E151" i="157"/>
  <c r="E150" i="157"/>
  <c r="E148" i="157"/>
  <c r="E147" i="157"/>
  <c r="E146" i="157"/>
  <c r="E145" i="157"/>
  <c r="E144" i="157"/>
  <c r="E143" i="157"/>
  <c r="E142" i="157"/>
  <c r="E141" i="157"/>
  <c r="E140" i="157"/>
  <c r="E139" i="157"/>
  <c r="E138" i="157"/>
  <c r="E137" i="157"/>
  <c r="E136" i="157"/>
  <c r="E135" i="157"/>
  <c r="E134" i="157"/>
  <c r="E133" i="157"/>
  <c r="E132" i="157"/>
  <c r="E131" i="157"/>
  <c r="E130" i="157"/>
  <c r="E129" i="157"/>
  <c r="E128" i="157"/>
  <c r="E127" i="157"/>
  <c r="E126" i="157"/>
  <c r="E124" i="157"/>
  <c r="E123" i="157"/>
  <c r="E122" i="157"/>
  <c r="E121" i="157"/>
  <c r="E120" i="157"/>
  <c r="E119" i="157"/>
  <c r="E118" i="157"/>
  <c r="E117" i="157"/>
  <c r="E116" i="157"/>
  <c r="E115" i="157"/>
  <c r="E114" i="157"/>
  <c r="E113" i="157"/>
  <c r="E112" i="157"/>
  <c r="E111" i="157"/>
  <c r="E110" i="157"/>
  <c r="E109" i="157"/>
  <c r="E108" i="157"/>
  <c r="E107" i="157"/>
  <c r="E106" i="157"/>
  <c r="E105" i="157"/>
  <c r="E104" i="157"/>
  <c r="E103" i="157"/>
  <c r="E102" i="157"/>
  <c r="E101" i="157"/>
  <c r="E100" i="157"/>
  <c r="E99" i="157"/>
  <c r="E98" i="157"/>
  <c r="E97" i="157"/>
  <c r="E96" i="157"/>
  <c r="E95" i="157"/>
  <c r="E94" i="157"/>
  <c r="E93" i="157"/>
  <c r="E92" i="157"/>
  <c r="E91" i="157"/>
  <c r="E90" i="157"/>
  <c r="E89" i="157"/>
  <c r="E88" i="157"/>
  <c r="E87" i="157"/>
  <c r="E86" i="157"/>
  <c r="E85" i="157"/>
  <c r="E84" i="157"/>
  <c r="E83" i="157"/>
  <c r="E82" i="157"/>
  <c r="E81" i="157"/>
  <c r="E80" i="157"/>
  <c r="E79" i="157"/>
  <c r="E78" i="157"/>
  <c r="E77" i="157"/>
  <c r="E76" i="157"/>
  <c r="E75" i="157"/>
  <c r="E74" i="157"/>
  <c r="E73" i="157"/>
  <c r="E72" i="157"/>
  <c r="E71" i="157"/>
  <c r="E70" i="157"/>
  <c r="E69" i="157"/>
  <c r="E68" i="157"/>
  <c r="E67" i="157"/>
  <c r="E66" i="157"/>
  <c r="E65" i="157"/>
  <c r="E64" i="157"/>
  <c r="E63" i="157"/>
  <c r="E62" i="157"/>
  <c r="E60" i="157"/>
  <c r="E59" i="157"/>
  <c r="E58" i="157"/>
  <c r="E57" i="157"/>
  <c r="E56" i="157"/>
  <c r="E54" i="157"/>
  <c r="E53" i="157"/>
  <c r="E52" i="157"/>
  <c r="E51" i="157"/>
  <c r="E50" i="157"/>
  <c r="E48" i="157"/>
  <c r="E47" i="157"/>
  <c r="E46" i="157"/>
  <c r="E45" i="157"/>
  <c r="E44" i="157"/>
  <c r="E43" i="157"/>
  <c r="E42" i="157"/>
  <c r="E41" i="157"/>
  <c r="E40" i="157"/>
  <c r="E39" i="157"/>
  <c r="E38" i="157"/>
  <c r="E37" i="157"/>
  <c r="E36" i="157"/>
  <c r="E35" i="157"/>
  <c r="E34" i="157"/>
  <c r="E33" i="157"/>
  <c r="E32" i="157"/>
  <c r="E31" i="157"/>
  <c r="E30" i="157"/>
  <c r="E29" i="157"/>
  <c r="E28" i="157"/>
  <c r="E27" i="157"/>
  <c r="E26" i="157"/>
  <c r="E25" i="157"/>
  <c r="E23" i="157"/>
  <c r="E22" i="157"/>
  <c r="E21" i="157"/>
  <c r="E20" i="157"/>
  <c r="E19" i="157"/>
  <c r="E18" i="157"/>
  <c r="E17" i="157"/>
  <c r="E16" i="157"/>
  <c r="E15" i="157"/>
  <c r="E14" i="157"/>
  <c r="E13" i="157"/>
  <c r="E12" i="157"/>
  <c r="E11" i="157"/>
  <c r="E10" i="157"/>
  <c r="E9" i="157"/>
  <c r="E8" i="157"/>
  <c r="E7" i="157"/>
  <c r="L6" i="157"/>
  <c r="K6" i="157" s="1"/>
  <c r="E6" i="157"/>
  <c r="E5" i="157"/>
  <c r="K4" i="157"/>
  <c r="E4" i="157"/>
  <c r="L5" i="157" s="1"/>
  <c r="K5" i="157" s="1"/>
  <c r="T5" i="115"/>
  <c r="T6" i="115"/>
  <c r="T7" i="115"/>
  <c r="T8" i="115"/>
  <c r="T9" i="115"/>
  <c r="T10" i="115"/>
  <c r="T11" i="115"/>
  <c r="T12" i="115"/>
  <c r="T13" i="115"/>
  <c r="T14" i="115"/>
  <c r="T15" i="115"/>
  <c r="T16" i="115"/>
  <c r="T17" i="115"/>
  <c r="T18" i="115"/>
  <c r="T19" i="115"/>
  <c r="T20" i="115"/>
  <c r="T21" i="115"/>
  <c r="T22" i="115"/>
  <c r="T23" i="115"/>
  <c r="T24" i="115"/>
  <c r="T25" i="115"/>
  <c r="T26" i="115"/>
  <c r="T27" i="115"/>
  <c r="T28" i="115"/>
  <c r="T29" i="115"/>
  <c r="T30" i="115"/>
  <c r="T31" i="115"/>
  <c r="T32" i="115"/>
  <c r="T33" i="115"/>
  <c r="T34" i="115"/>
  <c r="T35" i="115"/>
  <c r="T36" i="115"/>
  <c r="T4" i="115"/>
  <c r="J167" i="141"/>
  <c r="J166" i="141"/>
  <c r="D166" i="141"/>
  <c r="S172" i="154"/>
  <c r="R172" i="154"/>
  <c r="K172" i="154"/>
  <c r="L172" i="154" s="1"/>
  <c r="M172" i="154" s="1"/>
  <c r="E172" i="154"/>
  <c r="E52" i="154"/>
  <c r="E171" i="154"/>
  <c r="D104" i="156"/>
  <c r="D103" i="156"/>
  <c r="D102" i="156"/>
  <c r="D101" i="156"/>
  <c r="D100" i="156"/>
  <c r="D99" i="156"/>
  <c r="D98" i="156"/>
  <c r="D97" i="156"/>
  <c r="D96" i="156"/>
  <c r="D95" i="156"/>
  <c r="D94" i="156"/>
  <c r="D93" i="156"/>
  <c r="D92" i="156"/>
  <c r="D91" i="156"/>
  <c r="D90" i="156"/>
  <c r="D89" i="156"/>
  <c r="D88" i="156"/>
  <c r="D87" i="156"/>
  <c r="D86" i="156"/>
  <c r="D85" i="156"/>
  <c r="D84" i="156"/>
  <c r="D83" i="156"/>
  <c r="D82" i="156"/>
  <c r="D81" i="156"/>
  <c r="D80" i="156"/>
  <c r="D79" i="156"/>
  <c r="D78" i="156"/>
  <c r="D77" i="156"/>
  <c r="Q497" i="157" l="1"/>
  <c r="R496" i="157"/>
  <c r="L7" i="157"/>
  <c r="D108" i="156"/>
  <c r="D107" i="156"/>
  <c r="D106" i="156"/>
  <c r="D75" i="156"/>
  <c r="D74" i="156"/>
  <c r="D73" i="156"/>
  <c r="D72" i="156"/>
  <c r="D71" i="156"/>
  <c r="D70" i="156"/>
  <c r="D68" i="156"/>
  <c r="D67" i="156"/>
  <c r="D66" i="156"/>
  <c r="D65" i="156"/>
  <c r="D64" i="156"/>
  <c r="D63" i="156"/>
  <c r="D62" i="156"/>
  <c r="D61" i="156"/>
  <c r="D60" i="156"/>
  <c r="D59" i="156"/>
  <c r="D58" i="156"/>
  <c r="D57" i="156"/>
  <c r="D56" i="156"/>
  <c r="D55" i="156"/>
  <c r="D54" i="156"/>
  <c r="D53" i="156"/>
  <c r="D52" i="156"/>
  <c r="D51" i="156"/>
  <c r="D50" i="156"/>
  <c r="D49" i="156"/>
  <c r="D48" i="156"/>
  <c r="D47" i="156"/>
  <c r="D46" i="156"/>
  <c r="D45" i="156"/>
  <c r="D44" i="156"/>
  <c r="D43" i="156"/>
  <c r="D42" i="156"/>
  <c r="D41" i="156"/>
  <c r="D40" i="156"/>
  <c r="D39" i="156"/>
  <c r="D38" i="156"/>
  <c r="D37" i="156"/>
  <c r="D36" i="156"/>
  <c r="D35" i="156"/>
  <c r="D34" i="156"/>
  <c r="D33" i="156"/>
  <c r="D32" i="156"/>
  <c r="D31" i="156"/>
  <c r="D30" i="156"/>
  <c r="D29" i="156"/>
  <c r="D28" i="156"/>
  <c r="D27" i="156"/>
  <c r="D26" i="156"/>
  <c r="D25" i="156"/>
  <c r="D24" i="156"/>
  <c r="D23" i="156"/>
  <c r="D22" i="156"/>
  <c r="D21" i="156"/>
  <c r="D19" i="156"/>
  <c r="D18" i="156"/>
  <c r="D17" i="156"/>
  <c r="D16" i="156"/>
  <c r="D14" i="156"/>
  <c r="D13" i="156"/>
  <c r="D11" i="156"/>
  <c r="D10" i="156"/>
  <c r="D8" i="156"/>
  <c r="D7" i="156"/>
  <c r="D6" i="156"/>
  <c r="D5" i="156"/>
  <c r="J6" i="156" s="1"/>
  <c r="E170" i="154"/>
  <c r="E169" i="154"/>
  <c r="E84" i="154"/>
  <c r="E83" i="154"/>
  <c r="E82" i="154"/>
  <c r="E81" i="154"/>
  <c r="Q498" i="157" l="1"/>
  <c r="R497" i="157"/>
  <c r="L8" i="157"/>
  <c r="K7" i="157"/>
  <c r="J7" i="156"/>
  <c r="J8" i="156" s="1"/>
  <c r="J10" i="156" s="1"/>
  <c r="J11" i="156" s="1"/>
  <c r="J13" i="156" s="1"/>
  <c r="J14" i="156" s="1"/>
  <c r="J16" i="156" s="1"/>
  <c r="J17" i="156" s="1"/>
  <c r="J18" i="156" s="1"/>
  <c r="J19" i="156" s="1"/>
  <c r="J21" i="156" s="1"/>
  <c r="J22" i="156" s="1"/>
  <c r="J23" i="156" s="1"/>
  <c r="J24" i="156" s="1"/>
  <c r="J25" i="156" s="1"/>
  <c r="J26" i="156" s="1"/>
  <c r="J27" i="156" s="1"/>
  <c r="J28" i="156" s="1"/>
  <c r="J29" i="156" s="1"/>
  <c r="J30" i="156" s="1"/>
  <c r="J31" i="156" s="1"/>
  <c r="J32" i="156" s="1"/>
  <c r="J33" i="156" s="1"/>
  <c r="J34" i="156" s="1"/>
  <c r="J35" i="156" s="1"/>
  <c r="J36" i="156" s="1"/>
  <c r="J37" i="156" s="1"/>
  <c r="J38" i="156" s="1"/>
  <c r="J39" i="156" s="1"/>
  <c r="J40" i="156" s="1"/>
  <c r="J41" i="156" s="1"/>
  <c r="J42" i="156" s="1"/>
  <c r="J43" i="156" s="1"/>
  <c r="J44" i="156" s="1"/>
  <c r="J45" i="156" s="1"/>
  <c r="J46" i="156" s="1"/>
  <c r="J47" i="156" s="1"/>
  <c r="J48" i="156" s="1"/>
  <c r="J49" i="156" s="1"/>
  <c r="J50" i="156" s="1"/>
  <c r="J51" i="156" s="1"/>
  <c r="J52" i="156" s="1"/>
  <c r="J53" i="156" s="1"/>
  <c r="J54" i="156" s="1"/>
  <c r="J55" i="156" s="1"/>
  <c r="J56" i="156" s="1"/>
  <c r="J57" i="156" s="1"/>
  <c r="J58" i="156" s="1"/>
  <c r="J59" i="156" s="1"/>
  <c r="J60" i="156" s="1"/>
  <c r="J61" i="156" s="1"/>
  <c r="J62" i="156" s="1"/>
  <c r="J63" i="156" s="1"/>
  <c r="J64" i="156" s="1"/>
  <c r="J65" i="156" s="1"/>
  <c r="J66" i="156" s="1"/>
  <c r="J67" i="156" s="1"/>
  <c r="J68" i="156" s="1"/>
  <c r="J70" i="156" s="1"/>
  <c r="J71" i="156" s="1"/>
  <c r="J72" i="156" s="1"/>
  <c r="J73" i="156" s="1"/>
  <c r="J74" i="156" s="1"/>
  <c r="J75" i="156" s="1"/>
  <c r="J77" i="156" s="1"/>
  <c r="J78" i="156" s="1"/>
  <c r="J79" i="156" s="1"/>
  <c r="J80" i="156" s="1"/>
  <c r="J81" i="156" s="1"/>
  <c r="J82" i="156" s="1"/>
  <c r="J83" i="156" s="1"/>
  <c r="J84" i="156" s="1"/>
  <c r="J85" i="156" s="1"/>
  <c r="J86" i="156" s="1"/>
  <c r="J87" i="156" s="1"/>
  <c r="J88" i="156" s="1"/>
  <c r="J89" i="156" s="1"/>
  <c r="J90" i="156" s="1"/>
  <c r="J91" i="156" s="1"/>
  <c r="J92" i="156" s="1"/>
  <c r="J93" i="156" s="1"/>
  <c r="J94" i="156" s="1"/>
  <c r="J95" i="156" s="1"/>
  <c r="J96" i="156" s="1"/>
  <c r="J97" i="156" s="1"/>
  <c r="J98" i="156" s="1"/>
  <c r="J99" i="156" s="1"/>
  <c r="J100" i="156" s="1"/>
  <c r="J101" i="156" s="1"/>
  <c r="J102" i="156" s="1"/>
  <c r="J103" i="156" s="1"/>
  <c r="Q499" i="157" l="1"/>
  <c r="R498" i="157"/>
  <c r="L9" i="157"/>
  <c r="K8" i="157"/>
  <c r="J104" i="156"/>
  <c r="J106" i="156" s="1"/>
  <c r="J107" i="156" s="1"/>
  <c r="J108" i="156" s="1"/>
  <c r="E154" i="154"/>
  <c r="Q500" i="157" l="1"/>
  <c r="R499" i="157"/>
  <c r="K9" i="157"/>
  <c r="L10" i="157"/>
  <c r="E206" i="115"/>
  <c r="E205" i="115"/>
  <c r="E204" i="115"/>
  <c r="E234" i="115"/>
  <c r="E233" i="115"/>
  <c r="Q501" i="157" l="1"/>
  <c r="R500" i="157"/>
  <c r="L11" i="157"/>
  <c r="K10" i="157"/>
  <c r="K502" i="145"/>
  <c r="E502" i="145"/>
  <c r="K501" i="145"/>
  <c r="E501" i="145"/>
  <c r="K500" i="145"/>
  <c r="E500" i="145"/>
  <c r="K499" i="145"/>
  <c r="E499" i="145"/>
  <c r="K498" i="145"/>
  <c r="E498" i="145"/>
  <c r="K497" i="145"/>
  <c r="E497" i="145"/>
  <c r="K496" i="145"/>
  <c r="E496" i="145"/>
  <c r="K495" i="145"/>
  <c r="E495" i="145"/>
  <c r="R494" i="145"/>
  <c r="K494" i="145"/>
  <c r="E494" i="145"/>
  <c r="Q495" i="145" s="1"/>
  <c r="Q502" i="157" l="1"/>
  <c r="R501" i="157"/>
  <c r="L12" i="157"/>
  <c r="K11" i="157"/>
  <c r="Q496" i="145"/>
  <c r="R495" i="145"/>
  <c r="Q503" i="157" l="1"/>
  <c r="R503" i="157" s="1"/>
  <c r="R502" i="157"/>
  <c r="L13" i="157"/>
  <c r="K12" i="157"/>
  <c r="R496" i="145"/>
  <c r="Q497" i="145"/>
  <c r="K13" i="157" l="1"/>
  <c r="L14" i="157"/>
  <c r="R497" i="145"/>
  <c r="Q498" i="145"/>
  <c r="L15" i="157" l="1"/>
  <c r="K14" i="157"/>
  <c r="Q499" i="145"/>
  <c r="R498" i="145"/>
  <c r="L16" i="157" l="1"/>
  <c r="K15" i="157"/>
  <c r="R499" i="145"/>
  <c r="Q500" i="145"/>
  <c r="L17" i="157" l="1"/>
  <c r="K16" i="157"/>
  <c r="Q501" i="145"/>
  <c r="R500" i="145"/>
  <c r="K17" i="157" l="1"/>
  <c r="L18" i="157"/>
  <c r="Q502" i="145"/>
  <c r="R502" i="145" s="1"/>
  <c r="R501" i="145"/>
  <c r="K18" i="157" l="1"/>
  <c r="L19" i="157"/>
  <c r="S66" i="138"/>
  <c r="E66" i="138"/>
  <c r="S65" i="138"/>
  <c r="E65" i="138"/>
  <c r="S64" i="138"/>
  <c r="E64" i="138"/>
  <c r="S63" i="138"/>
  <c r="K63" i="138"/>
  <c r="L63" i="138" s="1"/>
  <c r="M63" i="138" s="1"/>
  <c r="E63" i="138"/>
  <c r="D162" i="141"/>
  <c r="D160" i="141"/>
  <c r="D159" i="141"/>
  <c r="D158" i="141"/>
  <c r="D157" i="141"/>
  <c r="D156" i="141"/>
  <c r="D155" i="141"/>
  <c r="D153" i="141"/>
  <c r="D152" i="141"/>
  <c r="D151" i="141"/>
  <c r="D150" i="141"/>
  <c r="D149" i="141"/>
  <c r="D148" i="141"/>
  <c r="E167" i="154"/>
  <c r="E166" i="154"/>
  <c r="E165" i="154"/>
  <c r="E164" i="154"/>
  <c r="E163" i="154"/>
  <c r="E162" i="154"/>
  <c r="E161" i="154"/>
  <c r="E160" i="154"/>
  <c r="E159" i="154"/>
  <c r="E157" i="154"/>
  <c r="E156" i="154"/>
  <c r="E153" i="154"/>
  <c r="E152" i="154"/>
  <c r="E151" i="154"/>
  <c r="E150" i="154"/>
  <c r="E149" i="154"/>
  <c r="E148" i="154"/>
  <c r="E146" i="154"/>
  <c r="E144" i="154"/>
  <c r="E143" i="154"/>
  <c r="E142" i="154"/>
  <c r="E141" i="154"/>
  <c r="E140" i="154"/>
  <c r="E139" i="154"/>
  <c r="E137" i="154"/>
  <c r="E136" i="154"/>
  <c r="E135" i="154"/>
  <c r="E134" i="154"/>
  <c r="E133" i="154"/>
  <c r="E132" i="154"/>
  <c r="E130" i="154"/>
  <c r="E129" i="154"/>
  <c r="E128" i="154"/>
  <c r="E127" i="154"/>
  <c r="E126" i="154"/>
  <c r="E125" i="154"/>
  <c r="E124" i="154"/>
  <c r="E123" i="154"/>
  <c r="E122" i="154"/>
  <c r="E121" i="154"/>
  <c r="E120" i="154"/>
  <c r="E119" i="154"/>
  <c r="E118" i="154"/>
  <c r="E117" i="154"/>
  <c r="E116" i="154"/>
  <c r="E115" i="154"/>
  <c r="E114" i="154"/>
  <c r="E113" i="154"/>
  <c r="E112" i="154"/>
  <c r="E111" i="154"/>
  <c r="E110" i="154"/>
  <c r="E109" i="154"/>
  <c r="E108" i="154"/>
  <c r="E107" i="154"/>
  <c r="E106" i="154"/>
  <c r="E105" i="154"/>
  <c r="E104" i="154"/>
  <c r="E103" i="154"/>
  <c r="E102" i="154"/>
  <c r="E101" i="154"/>
  <c r="E100" i="154"/>
  <c r="E99" i="154"/>
  <c r="E98" i="154"/>
  <c r="E97" i="154"/>
  <c r="E96" i="154"/>
  <c r="E95" i="154"/>
  <c r="E94" i="154"/>
  <c r="E93" i="154"/>
  <c r="E92" i="154"/>
  <c r="E91" i="154"/>
  <c r="E90" i="154"/>
  <c r="E89" i="154"/>
  <c r="E88" i="154"/>
  <c r="E87" i="154"/>
  <c r="E86" i="154"/>
  <c r="E80" i="154"/>
  <c r="E79" i="154"/>
  <c r="E78" i="154"/>
  <c r="E77" i="154"/>
  <c r="E76" i="154"/>
  <c r="E74" i="154"/>
  <c r="E72" i="154"/>
  <c r="E71" i="154"/>
  <c r="E70" i="154"/>
  <c r="E69" i="154"/>
  <c r="E68" i="154"/>
  <c r="E67" i="154"/>
  <c r="E66" i="154"/>
  <c r="E65" i="154"/>
  <c r="E64" i="154"/>
  <c r="E62" i="154"/>
  <c r="E61" i="154"/>
  <c r="E60" i="154"/>
  <c r="E58" i="154"/>
  <c r="E57" i="154"/>
  <c r="E56" i="154"/>
  <c r="E53" i="154"/>
  <c r="E49" i="154"/>
  <c r="E48" i="154"/>
  <c r="E47" i="154"/>
  <c r="E46" i="154"/>
  <c r="E45" i="154"/>
  <c r="E44" i="154"/>
  <c r="E43" i="154"/>
  <c r="E42" i="154"/>
  <c r="E41" i="154"/>
  <c r="E40" i="154"/>
  <c r="E39" i="154"/>
  <c r="E38" i="154"/>
  <c r="E37" i="154"/>
  <c r="E36" i="154"/>
  <c r="E35" i="154"/>
  <c r="E34" i="154"/>
  <c r="E33" i="154"/>
  <c r="E32" i="154"/>
  <c r="E30" i="154"/>
  <c r="E29" i="154"/>
  <c r="E28" i="154"/>
  <c r="E27" i="154"/>
  <c r="E26" i="154"/>
  <c r="E25" i="154"/>
  <c r="E24" i="154"/>
  <c r="E23" i="154"/>
  <c r="E22" i="154"/>
  <c r="E21" i="154"/>
  <c r="E20" i="154"/>
  <c r="E19" i="154"/>
  <c r="E18" i="154"/>
  <c r="E17" i="154"/>
  <c r="E16" i="154"/>
  <c r="E15" i="154"/>
  <c r="E14" i="154"/>
  <c r="E13" i="154"/>
  <c r="E12" i="154"/>
  <c r="E11" i="154"/>
  <c r="E10" i="154"/>
  <c r="E9" i="154"/>
  <c r="E8" i="154"/>
  <c r="S7" i="154"/>
  <c r="L7" i="154"/>
  <c r="M7" i="154" s="1"/>
  <c r="E7" i="154"/>
  <c r="K8" i="154" s="1"/>
  <c r="L8" i="154" s="1"/>
  <c r="M8" i="154" s="1"/>
  <c r="L20" i="157" l="1"/>
  <c r="K19" i="157"/>
  <c r="R8" i="154"/>
  <c r="S8" i="154" s="1"/>
  <c r="K9" i="154"/>
  <c r="K64" i="138"/>
  <c r="K10" i="154"/>
  <c r="L9" i="154"/>
  <c r="M9" i="154" s="1"/>
  <c r="L21" i="157" l="1"/>
  <c r="K20" i="157"/>
  <c r="R9" i="154"/>
  <c r="L64" i="138"/>
  <c r="M64" i="138" s="1"/>
  <c r="K65" i="138"/>
  <c r="K11" i="154"/>
  <c r="L10" i="154"/>
  <c r="M10" i="154" s="1"/>
  <c r="S9" i="154"/>
  <c r="R10" i="154"/>
  <c r="K21" i="157" l="1"/>
  <c r="L22" i="157"/>
  <c r="L65" i="138"/>
  <c r="M65" i="138" s="1"/>
  <c r="K66" i="138"/>
  <c r="L66" i="138" s="1"/>
  <c r="M66" i="138" s="1"/>
  <c r="R11" i="154"/>
  <c r="S10" i="154"/>
  <c r="K12" i="154"/>
  <c r="L11" i="154"/>
  <c r="M11" i="154" s="1"/>
  <c r="L23" i="157" l="1"/>
  <c r="K22" i="157"/>
  <c r="K13" i="154"/>
  <c r="L12" i="154"/>
  <c r="M12" i="154" s="1"/>
  <c r="S11" i="154"/>
  <c r="R12" i="154"/>
  <c r="L25" i="157" l="1"/>
  <c r="K23" i="157"/>
  <c r="R13" i="154"/>
  <c r="S12" i="154"/>
  <c r="K14" i="154"/>
  <c r="L13" i="154"/>
  <c r="M13" i="154" s="1"/>
  <c r="K25" i="157" l="1"/>
  <c r="L26" i="157"/>
  <c r="K15" i="154"/>
  <c r="L14" i="154"/>
  <c r="M14" i="154" s="1"/>
  <c r="R14" i="154"/>
  <c r="S13" i="154"/>
  <c r="K26" i="157" l="1"/>
  <c r="L27" i="157"/>
  <c r="R15" i="154"/>
  <c r="S14" i="154"/>
  <c r="K16" i="154"/>
  <c r="L15" i="154"/>
  <c r="M15" i="154" s="1"/>
  <c r="K27" i="157" l="1"/>
  <c r="L28" i="157"/>
  <c r="L16" i="154"/>
  <c r="M16" i="154" s="1"/>
  <c r="K17" i="154"/>
  <c r="S15" i="154"/>
  <c r="R16" i="154"/>
  <c r="L29" i="157" l="1"/>
  <c r="K28" i="157"/>
  <c r="R17" i="154"/>
  <c r="S16" i="154"/>
  <c r="K18" i="154"/>
  <c r="L17" i="154"/>
  <c r="M17" i="154" s="1"/>
  <c r="L30" i="157" l="1"/>
  <c r="K29" i="157"/>
  <c r="K19" i="154"/>
  <c r="L18" i="154"/>
  <c r="M18" i="154" s="1"/>
  <c r="S17" i="154"/>
  <c r="R18" i="154"/>
  <c r="K30" i="157" l="1"/>
  <c r="L31" i="157"/>
  <c r="R19" i="154"/>
  <c r="S18" i="154"/>
  <c r="K20" i="154"/>
  <c r="L19" i="154"/>
  <c r="M19" i="154" s="1"/>
  <c r="K31" i="157" l="1"/>
  <c r="L32" i="157"/>
  <c r="L20" i="154"/>
  <c r="M20" i="154" s="1"/>
  <c r="K21" i="154"/>
  <c r="S19" i="154"/>
  <c r="R20" i="154"/>
  <c r="L33" i="157" l="1"/>
  <c r="K32" i="157"/>
  <c r="S20" i="154"/>
  <c r="R21" i="154"/>
  <c r="K22" i="154"/>
  <c r="L21" i="154"/>
  <c r="M21" i="154" s="1"/>
  <c r="L34" i="157" l="1"/>
  <c r="K33" i="157"/>
  <c r="L22" i="154"/>
  <c r="M22" i="154" s="1"/>
  <c r="K23" i="154"/>
  <c r="S21" i="154"/>
  <c r="R22" i="154"/>
  <c r="K34" i="157" l="1"/>
  <c r="L35" i="157"/>
  <c r="K24" i="154"/>
  <c r="L23" i="154"/>
  <c r="M23" i="154" s="1"/>
  <c r="R23" i="154"/>
  <c r="S22" i="154"/>
  <c r="L36" i="157" l="1"/>
  <c r="K35" i="157"/>
  <c r="R24" i="154"/>
  <c r="S23" i="154"/>
  <c r="L24" i="154"/>
  <c r="M24" i="154" s="1"/>
  <c r="K25" i="154"/>
  <c r="L37" i="157" l="1"/>
  <c r="K36" i="157"/>
  <c r="K26" i="154"/>
  <c r="L25" i="154"/>
  <c r="M25" i="154" s="1"/>
  <c r="S24" i="154"/>
  <c r="R25" i="154"/>
  <c r="L38" i="157" l="1"/>
  <c r="K37" i="157"/>
  <c r="R26" i="154"/>
  <c r="S25" i="154"/>
  <c r="L26" i="154"/>
  <c r="M26" i="154" s="1"/>
  <c r="K27" i="154"/>
  <c r="K38" i="157" l="1"/>
  <c r="L39" i="157"/>
  <c r="K28" i="154"/>
  <c r="L27" i="154"/>
  <c r="M27" i="154" s="1"/>
  <c r="S26" i="154"/>
  <c r="R27" i="154"/>
  <c r="L40" i="157" l="1"/>
  <c r="K39" i="157"/>
  <c r="R28" i="154"/>
  <c r="S27" i="154"/>
  <c r="K29" i="154"/>
  <c r="L28" i="154"/>
  <c r="M28" i="154" s="1"/>
  <c r="L41" i="157" l="1"/>
  <c r="K40" i="157"/>
  <c r="K30" i="154"/>
  <c r="L29" i="154"/>
  <c r="M29" i="154" s="1"/>
  <c r="S28" i="154"/>
  <c r="R29" i="154"/>
  <c r="L42" i="157" l="1"/>
  <c r="K41" i="157"/>
  <c r="R30" i="154"/>
  <c r="S29" i="154"/>
  <c r="K32" i="154"/>
  <c r="L30" i="154"/>
  <c r="M30" i="154" s="1"/>
  <c r="K42" i="157" l="1"/>
  <c r="L43" i="157"/>
  <c r="S30" i="154"/>
  <c r="R32" i="154"/>
  <c r="K33" i="154"/>
  <c r="L32" i="154"/>
  <c r="M32" i="154" s="1"/>
  <c r="K43" i="157" l="1"/>
  <c r="L44" i="157"/>
  <c r="K34" i="154"/>
  <c r="L33" i="154"/>
  <c r="M33" i="154" s="1"/>
  <c r="R33" i="154"/>
  <c r="S32" i="154"/>
  <c r="L45" i="157" l="1"/>
  <c r="K44" i="157"/>
  <c r="S33" i="154"/>
  <c r="R34" i="154"/>
  <c r="K35" i="154"/>
  <c r="L34" i="154"/>
  <c r="M34" i="154" s="1"/>
  <c r="L46" i="157" l="1"/>
  <c r="K45" i="157"/>
  <c r="S34" i="154"/>
  <c r="R35" i="154"/>
  <c r="K36" i="154"/>
  <c r="L35" i="154"/>
  <c r="M35" i="154" s="1"/>
  <c r="K46" i="157" l="1"/>
  <c r="L47" i="157"/>
  <c r="K37" i="154"/>
  <c r="L36" i="154"/>
  <c r="M36" i="154" s="1"/>
  <c r="R36" i="154"/>
  <c r="S35" i="154"/>
  <c r="L48" i="157" l="1"/>
  <c r="K47" i="157"/>
  <c r="S36" i="154"/>
  <c r="R37" i="154"/>
  <c r="K38" i="154"/>
  <c r="L37" i="154"/>
  <c r="M37" i="154" s="1"/>
  <c r="L50" i="157" l="1"/>
  <c r="K48" i="157"/>
  <c r="K39" i="154"/>
  <c r="L38" i="154"/>
  <c r="M38" i="154" s="1"/>
  <c r="R38" i="154"/>
  <c r="S37" i="154"/>
  <c r="L51" i="157" l="1"/>
  <c r="K50" i="157"/>
  <c r="R39" i="154"/>
  <c r="S38" i="154"/>
  <c r="K40" i="154"/>
  <c r="L39" i="154"/>
  <c r="M39" i="154" s="1"/>
  <c r="K51" i="157" l="1"/>
  <c r="L52" i="157"/>
  <c r="K41" i="154"/>
  <c r="L40" i="154"/>
  <c r="M40" i="154" s="1"/>
  <c r="R40" i="154"/>
  <c r="S39" i="154"/>
  <c r="L53" i="157" l="1"/>
  <c r="K52" i="157"/>
  <c r="S40" i="154"/>
  <c r="R41" i="154"/>
  <c r="L41" i="154"/>
  <c r="M41" i="154" s="1"/>
  <c r="K42" i="154"/>
  <c r="L54" i="157" l="1"/>
  <c r="K53" i="157"/>
  <c r="K43" i="154"/>
  <c r="L42" i="154"/>
  <c r="M42" i="154" s="1"/>
  <c r="R42" i="154"/>
  <c r="S41" i="154"/>
  <c r="L56" i="157" l="1"/>
  <c r="K54" i="157"/>
  <c r="S42" i="154"/>
  <c r="R43" i="154"/>
  <c r="K44" i="154"/>
  <c r="L43" i="154"/>
  <c r="M43" i="154" s="1"/>
  <c r="K56" i="157" l="1"/>
  <c r="L57" i="157"/>
  <c r="K45" i="154"/>
  <c r="L44" i="154"/>
  <c r="M44" i="154" s="1"/>
  <c r="R44" i="154"/>
  <c r="S43" i="154"/>
  <c r="K57" i="157" l="1"/>
  <c r="L58" i="157"/>
  <c r="S44" i="154"/>
  <c r="R45" i="154"/>
  <c r="L45" i="154"/>
  <c r="M45" i="154" s="1"/>
  <c r="K46" i="154"/>
  <c r="L59" i="157" l="1"/>
  <c r="K58" i="157"/>
  <c r="K47" i="154"/>
  <c r="L46" i="154"/>
  <c r="M46" i="154" s="1"/>
  <c r="S45" i="154"/>
  <c r="R46" i="154"/>
  <c r="L60" i="157" l="1"/>
  <c r="K59" i="157"/>
  <c r="S46" i="154"/>
  <c r="R47" i="154"/>
  <c r="L47" i="154"/>
  <c r="M47" i="154" s="1"/>
  <c r="K48" i="154"/>
  <c r="K60" i="157" l="1"/>
  <c r="L62" i="157"/>
  <c r="K49" i="154"/>
  <c r="L48" i="154"/>
  <c r="M48" i="154" s="1"/>
  <c r="R48" i="154"/>
  <c r="S47" i="154"/>
  <c r="L63" i="157" l="1"/>
  <c r="K62" i="157"/>
  <c r="R49" i="154"/>
  <c r="S48" i="154"/>
  <c r="L49" i="154"/>
  <c r="M49" i="154" s="1"/>
  <c r="K52" i="154"/>
  <c r="L64" i="157" l="1"/>
  <c r="K63" i="157"/>
  <c r="K53" i="154"/>
  <c r="L52" i="154"/>
  <c r="M52" i="154" s="1"/>
  <c r="R52" i="154"/>
  <c r="R50" i="154"/>
  <c r="S50" i="154" s="1"/>
  <c r="S49" i="154"/>
  <c r="L65" i="157" l="1"/>
  <c r="K64" i="157"/>
  <c r="S52" i="154"/>
  <c r="R53" i="154"/>
  <c r="L53" i="154"/>
  <c r="M53" i="154" s="1"/>
  <c r="K56" i="154"/>
  <c r="K65" i="157" l="1"/>
  <c r="L66" i="157"/>
  <c r="K57" i="154"/>
  <c r="L56" i="154"/>
  <c r="M56" i="154" s="1"/>
  <c r="R56" i="154"/>
  <c r="S53" i="154"/>
  <c r="L67" i="157" l="1"/>
  <c r="K66" i="157"/>
  <c r="L57" i="154"/>
  <c r="M57" i="154" s="1"/>
  <c r="K58" i="154"/>
  <c r="S56" i="154"/>
  <c r="R57" i="154"/>
  <c r="L68" i="157" l="1"/>
  <c r="K67" i="157"/>
  <c r="R58" i="154"/>
  <c r="S57" i="154"/>
  <c r="K60" i="154"/>
  <c r="L58" i="154"/>
  <c r="M58" i="154" s="1"/>
  <c r="L69" i="157" l="1"/>
  <c r="K68" i="157"/>
  <c r="K61" i="154"/>
  <c r="L60" i="154"/>
  <c r="M60" i="154" s="1"/>
  <c r="S58" i="154"/>
  <c r="R60" i="154"/>
  <c r="K69" i="157" l="1"/>
  <c r="L70" i="157"/>
  <c r="R61" i="154"/>
  <c r="S60" i="154"/>
  <c r="L61" i="154"/>
  <c r="M61" i="154" s="1"/>
  <c r="K62" i="154"/>
  <c r="K70" i="157" l="1"/>
  <c r="L71" i="157"/>
  <c r="K64" i="154"/>
  <c r="L62" i="154"/>
  <c r="M62" i="154" s="1"/>
  <c r="S61" i="154"/>
  <c r="R62" i="154"/>
  <c r="L72" i="157" l="1"/>
  <c r="K71" i="157"/>
  <c r="R64" i="154"/>
  <c r="S62" i="154"/>
  <c r="L64" i="154"/>
  <c r="M64" i="154" s="1"/>
  <c r="K65" i="154"/>
  <c r="L73" i="157" l="1"/>
  <c r="K72" i="157"/>
  <c r="L65" i="154"/>
  <c r="M65" i="154" s="1"/>
  <c r="K66" i="154"/>
  <c r="S64" i="154"/>
  <c r="R65" i="154"/>
  <c r="K73" i="157" l="1"/>
  <c r="L74" i="157"/>
  <c r="R66" i="154"/>
  <c r="S65" i="154"/>
  <c r="K67" i="154"/>
  <c r="L66" i="154"/>
  <c r="M66" i="154" s="1"/>
  <c r="L75" i="157" l="1"/>
  <c r="K74" i="157"/>
  <c r="L67" i="154"/>
  <c r="M67" i="154" s="1"/>
  <c r="K68" i="154"/>
  <c r="S66" i="154"/>
  <c r="R67" i="154"/>
  <c r="L76" i="157" l="1"/>
  <c r="K75" i="157"/>
  <c r="R68" i="154"/>
  <c r="S67" i="154"/>
  <c r="K69" i="154"/>
  <c r="L68" i="154"/>
  <c r="M68" i="154" s="1"/>
  <c r="L77" i="157" l="1"/>
  <c r="K76" i="157"/>
  <c r="L69" i="154"/>
  <c r="M69" i="154" s="1"/>
  <c r="K70" i="154"/>
  <c r="S68" i="154"/>
  <c r="R69" i="154"/>
  <c r="K77" i="157" l="1"/>
  <c r="L78" i="157"/>
  <c r="R70" i="154"/>
  <c r="S69" i="154"/>
  <c r="K71" i="154"/>
  <c r="L70" i="154"/>
  <c r="M70" i="154" s="1"/>
  <c r="L79" i="157" l="1"/>
  <c r="K78" i="157"/>
  <c r="L71" i="154"/>
  <c r="M71" i="154" s="1"/>
  <c r="K72" i="154"/>
  <c r="S70" i="154"/>
  <c r="R71" i="154"/>
  <c r="L80" i="157" l="1"/>
  <c r="K79" i="157"/>
  <c r="R72" i="154"/>
  <c r="S71" i="154"/>
  <c r="L72" i="154"/>
  <c r="M72" i="154" s="1"/>
  <c r="K74" i="154"/>
  <c r="L81" i="157" l="1"/>
  <c r="K80" i="157"/>
  <c r="K76" i="154"/>
  <c r="L74" i="154"/>
  <c r="M74" i="154" s="1"/>
  <c r="S72" i="154"/>
  <c r="R74" i="154"/>
  <c r="K81" i="157" l="1"/>
  <c r="L82" i="157"/>
  <c r="R76" i="154"/>
  <c r="S74" i="154"/>
  <c r="L76" i="154"/>
  <c r="M76" i="154" s="1"/>
  <c r="K77" i="154"/>
  <c r="K82" i="157" l="1"/>
  <c r="L83" i="157"/>
  <c r="K78" i="154"/>
  <c r="L77" i="154"/>
  <c r="M77" i="154" s="1"/>
  <c r="S76" i="154"/>
  <c r="R77" i="154"/>
  <c r="L84" i="157" l="1"/>
  <c r="K83" i="157"/>
  <c r="R78" i="154"/>
  <c r="S77" i="154"/>
  <c r="L78" i="154"/>
  <c r="M78" i="154" s="1"/>
  <c r="K79" i="154"/>
  <c r="L85" i="157" l="1"/>
  <c r="K84" i="157"/>
  <c r="K80" i="154"/>
  <c r="K81" i="154" s="1"/>
  <c r="L79" i="154"/>
  <c r="M79" i="154" s="1"/>
  <c r="S78" i="154"/>
  <c r="R79" i="154"/>
  <c r="K85" i="157" l="1"/>
  <c r="L86" i="157"/>
  <c r="L81" i="154"/>
  <c r="M81" i="154" s="1"/>
  <c r="K82" i="154"/>
  <c r="R80" i="154"/>
  <c r="R81" i="154" s="1"/>
  <c r="S79" i="154"/>
  <c r="L80" i="154"/>
  <c r="M80" i="154" s="1"/>
  <c r="L87" i="157" l="1"/>
  <c r="K86" i="157"/>
  <c r="L82" i="154"/>
  <c r="M82" i="154" s="1"/>
  <c r="K83" i="154"/>
  <c r="R82" i="154"/>
  <c r="S81" i="154"/>
  <c r="S80" i="154"/>
  <c r="L88" i="157" l="1"/>
  <c r="K87" i="157"/>
  <c r="L83" i="154"/>
  <c r="M83" i="154" s="1"/>
  <c r="K84" i="154"/>
  <c r="L84" i="154" s="1"/>
  <c r="M84" i="154" s="1"/>
  <c r="R83" i="154"/>
  <c r="S82" i="154"/>
  <c r="K86" i="154"/>
  <c r="L89" i="157" l="1"/>
  <c r="K88" i="157"/>
  <c r="R84" i="154"/>
  <c r="S84" i="154" s="1"/>
  <c r="S83" i="154"/>
  <c r="L86" i="154"/>
  <c r="M86" i="154" s="1"/>
  <c r="K87" i="154"/>
  <c r="R86" i="154"/>
  <c r="K89" i="157" l="1"/>
  <c r="L90" i="157"/>
  <c r="R87" i="154"/>
  <c r="S86" i="154"/>
  <c r="K88" i="154"/>
  <c r="L87" i="154"/>
  <c r="M87" i="154" s="1"/>
  <c r="K90" i="157" l="1"/>
  <c r="L91" i="157"/>
  <c r="K89" i="154"/>
  <c r="L88" i="154"/>
  <c r="M88" i="154" s="1"/>
  <c r="S87" i="154"/>
  <c r="R88" i="154"/>
  <c r="L92" i="157" l="1"/>
  <c r="K91" i="157"/>
  <c r="R89" i="154"/>
  <c r="S88" i="154"/>
  <c r="L89" i="154"/>
  <c r="M89" i="154" s="1"/>
  <c r="K90" i="154"/>
  <c r="L93" i="157" l="1"/>
  <c r="K92" i="157"/>
  <c r="K91" i="154"/>
  <c r="L90" i="154"/>
  <c r="M90" i="154" s="1"/>
  <c r="S89" i="154"/>
  <c r="R90" i="154"/>
  <c r="K93" i="157" l="1"/>
  <c r="L94" i="157"/>
  <c r="R91" i="154"/>
  <c r="S90" i="154"/>
  <c r="L91" i="154"/>
  <c r="M91" i="154" s="1"/>
  <c r="K92" i="154"/>
  <c r="K94" i="157" l="1"/>
  <c r="L95" i="157"/>
  <c r="L92" i="154"/>
  <c r="M92" i="154" s="1"/>
  <c r="K93" i="154"/>
  <c r="S91" i="154"/>
  <c r="R92" i="154"/>
  <c r="L96" i="157" l="1"/>
  <c r="K95" i="157"/>
  <c r="L93" i="154"/>
  <c r="M93" i="154" s="1"/>
  <c r="K94" i="154"/>
  <c r="R93" i="154"/>
  <c r="S92" i="154"/>
  <c r="L97" i="157" l="1"/>
  <c r="K96" i="157"/>
  <c r="S93" i="154"/>
  <c r="R94" i="154"/>
  <c r="L94" i="154"/>
  <c r="M94" i="154" s="1"/>
  <c r="K95" i="154"/>
  <c r="K97" i="157" l="1"/>
  <c r="L98" i="157"/>
  <c r="R95" i="154"/>
  <c r="S94" i="154"/>
  <c r="K96" i="154"/>
  <c r="L95" i="154"/>
  <c r="M95" i="154" s="1"/>
  <c r="L99" i="157" l="1"/>
  <c r="K98" i="157"/>
  <c r="L96" i="154"/>
  <c r="M96" i="154" s="1"/>
  <c r="K97" i="154"/>
  <c r="S95" i="154"/>
  <c r="R96" i="154"/>
  <c r="L100" i="157" l="1"/>
  <c r="K99" i="157"/>
  <c r="R97" i="154"/>
  <c r="S96" i="154"/>
  <c r="L97" i="154"/>
  <c r="M97" i="154" s="1"/>
  <c r="K98" i="154"/>
  <c r="L101" i="157" l="1"/>
  <c r="K100" i="157"/>
  <c r="L98" i="154"/>
  <c r="M98" i="154" s="1"/>
  <c r="K99" i="154"/>
  <c r="S97" i="154"/>
  <c r="R98" i="154"/>
  <c r="K101" i="157" l="1"/>
  <c r="L102" i="157"/>
  <c r="R99" i="154"/>
  <c r="S98" i="154"/>
  <c r="K100" i="154"/>
  <c r="L99" i="154"/>
  <c r="M99" i="154" s="1"/>
  <c r="L103" i="157" l="1"/>
  <c r="K102" i="157"/>
  <c r="K101" i="154"/>
  <c r="L100" i="154"/>
  <c r="M100" i="154" s="1"/>
  <c r="S99" i="154"/>
  <c r="R100" i="154"/>
  <c r="L104" i="157" l="1"/>
  <c r="K103" i="157"/>
  <c r="R101" i="154"/>
  <c r="S100" i="154"/>
  <c r="L101" i="154"/>
  <c r="M101" i="154" s="1"/>
  <c r="K102" i="154"/>
  <c r="L105" i="157" l="1"/>
  <c r="K104" i="157"/>
  <c r="K103" i="154"/>
  <c r="L102" i="154"/>
  <c r="M102" i="154" s="1"/>
  <c r="S101" i="154"/>
  <c r="R102" i="154"/>
  <c r="K105" i="157" l="1"/>
  <c r="L106" i="157"/>
  <c r="R103" i="154"/>
  <c r="S102" i="154"/>
  <c r="L103" i="154"/>
  <c r="M103" i="154" s="1"/>
  <c r="K104" i="154"/>
  <c r="K106" i="157" l="1"/>
  <c r="L107" i="157"/>
  <c r="K105" i="154"/>
  <c r="L104" i="154"/>
  <c r="M104" i="154" s="1"/>
  <c r="S103" i="154"/>
  <c r="R104" i="154"/>
  <c r="L108" i="157" l="1"/>
  <c r="K107" i="157"/>
  <c r="R105" i="154"/>
  <c r="S104" i="154"/>
  <c r="L105" i="154"/>
  <c r="M105" i="154" s="1"/>
  <c r="K106" i="154"/>
  <c r="L109" i="157" l="1"/>
  <c r="K108" i="157"/>
  <c r="L106" i="154"/>
  <c r="M106" i="154" s="1"/>
  <c r="K107" i="154"/>
  <c r="S105" i="154"/>
  <c r="R106" i="154"/>
  <c r="K109" i="157" l="1"/>
  <c r="L110" i="157"/>
  <c r="R107" i="154"/>
  <c r="S106" i="154"/>
  <c r="K108" i="154"/>
  <c r="L107" i="154"/>
  <c r="M107" i="154" s="1"/>
  <c r="L111" i="157" l="1"/>
  <c r="K110" i="157"/>
  <c r="L108" i="154"/>
  <c r="M108" i="154" s="1"/>
  <c r="K109" i="154"/>
  <c r="S107" i="154"/>
  <c r="R108" i="154"/>
  <c r="L112" i="157" l="1"/>
  <c r="K111" i="157"/>
  <c r="R109" i="154"/>
  <c r="S108" i="154"/>
  <c r="L109" i="154"/>
  <c r="M109" i="154" s="1"/>
  <c r="K110" i="154"/>
  <c r="L113" i="157" l="1"/>
  <c r="K112" i="157"/>
  <c r="L110" i="154"/>
  <c r="M110" i="154" s="1"/>
  <c r="K111" i="154"/>
  <c r="S109" i="154"/>
  <c r="R110" i="154"/>
  <c r="K113" i="157" l="1"/>
  <c r="L114" i="157"/>
  <c r="R111" i="154"/>
  <c r="S110" i="154"/>
  <c r="L111" i="154"/>
  <c r="M111" i="154" s="1"/>
  <c r="K112" i="154"/>
  <c r="L115" i="157" l="1"/>
  <c r="K114" i="157"/>
  <c r="K113" i="154"/>
  <c r="L112" i="154"/>
  <c r="M112" i="154" s="1"/>
  <c r="S111" i="154"/>
  <c r="R112" i="154"/>
  <c r="L116" i="157" l="1"/>
  <c r="K115" i="157"/>
  <c r="R113" i="154"/>
  <c r="S112" i="154"/>
  <c r="L113" i="154"/>
  <c r="M113" i="154" s="1"/>
  <c r="K114" i="154"/>
  <c r="L117" i="157" l="1"/>
  <c r="K116" i="157"/>
  <c r="K115" i="154"/>
  <c r="L114" i="154"/>
  <c r="M114" i="154" s="1"/>
  <c r="S113" i="154"/>
  <c r="R114" i="154"/>
  <c r="K117" i="157" l="1"/>
  <c r="L118" i="157"/>
  <c r="R115" i="154"/>
  <c r="S114" i="154"/>
  <c r="L115" i="154"/>
  <c r="M115" i="154" s="1"/>
  <c r="K116" i="154"/>
  <c r="K118" i="157" l="1"/>
  <c r="L119" i="157"/>
  <c r="K117" i="154"/>
  <c r="L116" i="154"/>
  <c r="M116" i="154" s="1"/>
  <c r="S115" i="154"/>
  <c r="R116" i="154"/>
  <c r="L120" i="157" l="1"/>
  <c r="K119" i="157"/>
  <c r="R117" i="154"/>
  <c r="S116" i="154"/>
  <c r="L117" i="154"/>
  <c r="M117" i="154" s="1"/>
  <c r="K118" i="154"/>
  <c r="L121" i="157" l="1"/>
  <c r="K120" i="157"/>
  <c r="L118" i="154"/>
  <c r="M118" i="154" s="1"/>
  <c r="K119" i="154"/>
  <c r="S117" i="154"/>
  <c r="R118" i="154"/>
  <c r="K121" i="157" l="1"/>
  <c r="L122" i="157"/>
  <c r="R119" i="154"/>
  <c r="S118" i="154"/>
  <c r="K120" i="154"/>
  <c r="L119" i="154"/>
  <c r="M119" i="154" s="1"/>
  <c r="L123" i="157" l="1"/>
  <c r="K122" i="157"/>
  <c r="L120" i="154"/>
  <c r="M120" i="154" s="1"/>
  <c r="K121" i="154"/>
  <c r="S119" i="154"/>
  <c r="R120" i="154"/>
  <c r="L124" i="157" l="1"/>
  <c r="K123" i="157"/>
  <c r="R121" i="154"/>
  <c r="S120" i="154"/>
  <c r="L121" i="154"/>
  <c r="M121" i="154" s="1"/>
  <c r="K122" i="154"/>
  <c r="L126" i="157" l="1"/>
  <c r="K124" i="157"/>
  <c r="L122" i="154"/>
  <c r="M122" i="154" s="1"/>
  <c r="K123" i="154"/>
  <c r="S121" i="154"/>
  <c r="R122" i="154"/>
  <c r="K126" i="157" l="1"/>
  <c r="L127" i="157"/>
  <c r="R123" i="154"/>
  <c r="S122" i="154"/>
  <c r="L123" i="154"/>
  <c r="M123" i="154" s="1"/>
  <c r="K124" i="154"/>
  <c r="K127" i="157" l="1"/>
  <c r="L128" i="157"/>
  <c r="K125" i="154"/>
  <c r="L124" i="154"/>
  <c r="M124" i="154" s="1"/>
  <c r="S123" i="154"/>
  <c r="R124" i="154"/>
  <c r="L129" i="157" l="1"/>
  <c r="K128" i="157"/>
  <c r="R125" i="154"/>
  <c r="S124" i="154"/>
  <c r="L125" i="154"/>
  <c r="M125" i="154" s="1"/>
  <c r="K126" i="154"/>
  <c r="L130" i="157" l="1"/>
  <c r="K129" i="157"/>
  <c r="K127" i="154"/>
  <c r="L126" i="154"/>
  <c r="M126" i="154" s="1"/>
  <c r="S125" i="154"/>
  <c r="R126" i="154"/>
  <c r="K130" i="157" l="1"/>
  <c r="L131" i="157"/>
  <c r="R127" i="154"/>
  <c r="S126" i="154"/>
  <c r="L127" i="154"/>
  <c r="M127" i="154" s="1"/>
  <c r="K128" i="154"/>
  <c r="K131" i="157" l="1"/>
  <c r="L132" i="157"/>
  <c r="L128" i="154"/>
  <c r="M128" i="154" s="1"/>
  <c r="K129" i="154"/>
  <c r="S127" i="154"/>
  <c r="R128" i="154"/>
  <c r="L133" i="157" l="1"/>
  <c r="K132" i="157"/>
  <c r="R129" i="154"/>
  <c r="S128" i="154"/>
  <c r="K130" i="154"/>
  <c r="L129" i="154"/>
  <c r="M129" i="154" s="1"/>
  <c r="L134" i="157" l="1"/>
  <c r="K133" i="157"/>
  <c r="L130" i="154"/>
  <c r="M130" i="154" s="1"/>
  <c r="K132" i="154"/>
  <c r="S129" i="154"/>
  <c r="R130" i="154"/>
  <c r="K134" i="157" l="1"/>
  <c r="L135" i="157"/>
  <c r="R132" i="154"/>
  <c r="S130" i="154"/>
  <c r="K133" i="154"/>
  <c r="L132" i="154"/>
  <c r="M132" i="154" s="1"/>
  <c r="L136" i="157" l="1"/>
  <c r="K135" i="157"/>
  <c r="L133" i="154"/>
  <c r="M133" i="154" s="1"/>
  <c r="K134" i="154"/>
  <c r="S132" i="154"/>
  <c r="R133" i="154"/>
  <c r="L137" i="157" l="1"/>
  <c r="K136" i="157"/>
  <c r="K135" i="154"/>
  <c r="L134" i="154"/>
  <c r="M134" i="154" s="1"/>
  <c r="R134" i="154"/>
  <c r="S133" i="154"/>
  <c r="L138" i="157" l="1"/>
  <c r="K137" i="157"/>
  <c r="S134" i="154"/>
  <c r="R135" i="154"/>
  <c r="L135" i="154"/>
  <c r="M135" i="154" s="1"/>
  <c r="K136" i="154"/>
  <c r="K138" i="157" l="1"/>
  <c r="L139" i="157"/>
  <c r="K137" i="154"/>
  <c r="L136" i="154"/>
  <c r="M136" i="154" s="1"/>
  <c r="R136" i="154"/>
  <c r="S135" i="154"/>
  <c r="L140" i="157" l="1"/>
  <c r="K139" i="157"/>
  <c r="S136" i="154"/>
  <c r="R137" i="154"/>
  <c r="K139" i="154"/>
  <c r="L137" i="154"/>
  <c r="M137" i="154" s="1"/>
  <c r="L141" i="157" l="1"/>
  <c r="K140" i="157"/>
  <c r="L139" i="154"/>
  <c r="M139" i="154" s="1"/>
  <c r="K140" i="154"/>
  <c r="R139" i="154"/>
  <c r="S137" i="154"/>
  <c r="L142" i="157" l="1"/>
  <c r="K141" i="157"/>
  <c r="S139" i="154"/>
  <c r="R140" i="154"/>
  <c r="K141" i="154"/>
  <c r="L140" i="154"/>
  <c r="M140" i="154" s="1"/>
  <c r="K142" i="157" l="1"/>
  <c r="L143" i="157"/>
  <c r="K142" i="154"/>
  <c r="L141" i="154"/>
  <c r="M141" i="154" s="1"/>
  <c r="R141" i="154"/>
  <c r="S140" i="154"/>
  <c r="K143" i="157" l="1"/>
  <c r="L144" i="157"/>
  <c r="S141" i="154"/>
  <c r="R142" i="154"/>
  <c r="L142" i="154"/>
  <c r="M142" i="154" s="1"/>
  <c r="K143" i="154"/>
  <c r="K144" i="157" l="1"/>
  <c r="L145" i="157"/>
  <c r="K144" i="154"/>
  <c r="L143" i="154"/>
  <c r="M143" i="154" s="1"/>
  <c r="R143" i="154"/>
  <c r="S142" i="154"/>
  <c r="L146" i="157" l="1"/>
  <c r="K145" i="157"/>
  <c r="S143" i="154"/>
  <c r="R144" i="154"/>
  <c r="L144" i="154"/>
  <c r="M144" i="154" s="1"/>
  <c r="K146" i="154"/>
  <c r="L147" i="157" l="1"/>
  <c r="K146" i="157"/>
  <c r="R146" i="154"/>
  <c r="S144" i="154"/>
  <c r="K148" i="154"/>
  <c r="L146" i="154"/>
  <c r="M146" i="154" s="1"/>
  <c r="K147" i="157" l="1"/>
  <c r="L148" i="157"/>
  <c r="K149" i="154"/>
  <c r="L148" i="154"/>
  <c r="M148" i="154" s="1"/>
  <c r="S146" i="154"/>
  <c r="R148" i="154"/>
  <c r="K148" i="157" l="1"/>
  <c r="L150" i="157"/>
  <c r="R149" i="154"/>
  <c r="S148" i="154"/>
  <c r="L149" i="154"/>
  <c r="M149" i="154" s="1"/>
  <c r="K150" i="154"/>
  <c r="L151" i="157" l="1"/>
  <c r="K150" i="157"/>
  <c r="K151" i="154"/>
  <c r="L150" i="154"/>
  <c r="M150" i="154" s="1"/>
  <c r="S149" i="154"/>
  <c r="R150" i="154"/>
  <c r="L152" i="157" l="1"/>
  <c r="K151" i="157"/>
  <c r="K152" i="154"/>
  <c r="K153" i="154" s="1"/>
  <c r="K154" i="154" s="1"/>
  <c r="K156" i="154" s="1"/>
  <c r="R151" i="154"/>
  <c r="S150" i="154"/>
  <c r="L151" i="154"/>
  <c r="M151" i="154" s="1"/>
  <c r="L153" i="157" l="1"/>
  <c r="K152" i="157"/>
  <c r="L154" i="154"/>
  <c r="M154" i="154" s="1"/>
  <c r="R152" i="154"/>
  <c r="R153" i="154" s="1"/>
  <c r="R154" i="154" s="1"/>
  <c r="R156" i="154" s="1"/>
  <c r="L152" i="154"/>
  <c r="M152" i="154" s="1"/>
  <c r="S151" i="154"/>
  <c r="K153" i="157" l="1"/>
  <c r="L154" i="157"/>
  <c r="S154" i="154"/>
  <c r="S152" i="154"/>
  <c r="L153" i="154"/>
  <c r="M153" i="154" s="1"/>
  <c r="L155" i="157" l="1"/>
  <c r="K154" i="157"/>
  <c r="L156" i="154"/>
  <c r="M156" i="154" s="1"/>
  <c r="K157" i="154"/>
  <c r="K159" i="154" s="1"/>
  <c r="S153" i="154"/>
  <c r="L156" i="157" l="1"/>
  <c r="K155" i="157"/>
  <c r="R157" i="154"/>
  <c r="R159" i="154" s="1"/>
  <c r="S156" i="154"/>
  <c r="L157" i="154"/>
  <c r="M157" i="154" s="1"/>
  <c r="K156" i="157" l="1"/>
  <c r="L157" i="157"/>
  <c r="S157" i="154"/>
  <c r="K157" i="157" l="1"/>
  <c r="L158" i="157"/>
  <c r="L159" i="154"/>
  <c r="M159" i="154" s="1"/>
  <c r="K160" i="154"/>
  <c r="L159" i="157" l="1"/>
  <c r="K158" i="157"/>
  <c r="K161" i="154"/>
  <c r="L160" i="154"/>
  <c r="M160" i="154" s="1"/>
  <c r="S159" i="154"/>
  <c r="R160" i="154"/>
  <c r="L160" i="157" l="1"/>
  <c r="K159" i="157"/>
  <c r="R161" i="154"/>
  <c r="S160" i="154"/>
  <c r="K162" i="154"/>
  <c r="L161" i="154"/>
  <c r="M161" i="154" s="1"/>
  <c r="L162" i="157" l="1"/>
  <c r="K160" i="157"/>
  <c r="L162" i="154"/>
  <c r="M162" i="154" s="1"/>
  <c r="K163" i="154"/>
  <c r="S161" i="154"/>
  <c r="R162" i="154"/>
  <c r="K162" i="157" l="1"/>
  <c r="L163" i="157"/>
  <c r="R163" i="154"/>
  <c r="S162" i="154"/>
  <c r="K164" i="154"/>
  <c r="L163" i="154"/>
  <c r="M163" i="154" s="1"/>
  <c r="L164" i="157" l="1"/>
  <c r="K163" i="157"/>
  <c r="L164" i="154"/>
  <c r="M164" i="154" s="1"/>
  <c r="K165" i="154"/>
  <c r="S163" i="154"/>
  <c r="R164" i="154"/>
  <c r="K164" i="157" l="1"/>
  <c r="L165" i="157"/>
  <c r="R165" i="154"/>
  <c r="S164" i="154"/>
  <c r="K166" i="154"/>
  <c r="L165" i="154"/>
  <c r="M165" i="154" s="1"/>
  <c r="L166" i="157" l="1"/>
  <c r="K165" i="157"/>
  <c r="K167" i="154"/>
  <c r="L166" i="154"/>
  <c r="M166" i="154" s="1"/>
  <c r="S165" i="154"/>
  <c r="R166" i="154"/>
  <c r="K166" i="157" l="1"/>
  <c r="L167" i="157"/>
  <c r="L167" i="154"/>
  <c r="M167" i="154" s="1"/>
  <c r="K169" i="154"/>
  <c r="R167" i="154"/>
  <c r="S166" i="154"/>
  <c r="L168" i="157" l="1"/>
  <c r="K167" i="157"/>
  <c r="S167" i="154"/>
  <c r="R169" i="154"/>
  <c r="L169" i="154"/>
  <c r="M169" i="154" s="1"/>
  <c r="K170" i="154"/>
  <c r="K21" i="151"/>
  <c r="K168" i="157" l="1"/>
  <c r="L170" i="157"/>
  <c r="L170" i="154"/>
  <c r="M170" i="154" s="1"/>
  <c r="K171" i="154"/>
  <c r="L171" i="154" s="1"/>
  <c r="M171" i="154" s="1"/>
  <c r="R170" i="154"/>
  <c r="S169" i="154"/>
  <c r="L19" i="151"/>
  <c r="M19" i="151" s="1"/>
  <c r="E19" i="151"/>
  <c r="L21" i="151" s="1"/>
  <c r="M21" i="151" s="1"/>
  <c r="E31" i="151"/>
  <c r="E29" i="151"/>
  <c r="E27" i="151"/>
  <c r="E25" i="151"/>
  <c r="E23" i="151"/>
  <c r="E21" i="151"/>
  <c r="K170" i="157" l="1"/>
  <c r="L171" i="157"/>
  <c r="R171" i="154"/>
  <c r="S171" i="154" s="1"/>
  <c r="S170" i="154"/>
  <c r="K23" i="151"/>
  <c r="K25" i="151" s="1"/>
  <c r="E387" i="131"/>
  <c r="K171" i="157" l="1"/>
  <c r="L172" i="157"/>
  <c r="L23" i="151"/>
  <c r="M23" i="151" s="1"/>
  <c r="L25" i="151"/>
  <c r="M25" i="151" s="1"/>
  <c r="K27" i="151"/>
  <c r="E576" i="131"/>
  <c r="E575" i="131"/>
  <c r="E574" i="131"/>
  <c r="E573" i="131"/>
  <c r="K572" i="131"/>
  <c r="L572" i="131" s="1"/>
  <c r="M572" i="131" s="1"/>
  <c r="E572" i="131"/>
  <c r="E571" i="131"/>
  <c r="E570" i="131"/>
  <c r="E569" i="131"/>
  <c r="E568" i="131"/>
  <c r="K567" i="131"/>
  <c r="K568" i="131" s="1"/>
  <c r="E567" i="131"/>
  <c r="K561" i="131"/>
  <c r="L561" i="131" s="1"/>
  <c r="M561" i="131" s="1"/>
  <c r="K559" i="131"/>
  <c r="L559" i="131" s="1"/>
  <c r="M559" i="131" s="1"/>
  <c r="E559" i="131"/>
  <c r="E558" i="131"/>
  <c r="K558" i="131" s="1"/>
  <c r="L558" i="131" s="1"/>
  <c r="M558" i="131" s="1"/>
  <c r="E566" i="131"/>
  <c r="E565" i="131"/>
  <c r="E564" i="131"/>
  <c r="E563" i="131"/>
  <c r="E562" i="131"/>
  <c r="E561" i="131"/>
  <c r="L173" i="157" l="1"/>
  <c r="K172" i="157"/>
  <c r="K29" i="151"/>
  <c r="L27" i="151"/>
  <c r="M27" i="151" s="1"/>
  <c r="K573" i="131"/>
  <c r="L568" i="131"/>
  <c r="M568" i="131" s="1"/>
  <c r="K569" i="131"/>
  <c r="L567" i="131"/>
  <c r="M567" i="131" s="1"/>
  <c r="K562" i="131"/>
  <c r="K563" i="131"/>
  <c r="L562" i="131"/>
  <c r="M562" i="131" s="1"/>
  <c r="E134" i="129"/>
  <c r="L174" i="157" l="1"/>
  <c r="K173" i="157"/>
  <c r="K31" i="151"/>
  <c r="L31" i="151" s="1"/>
  <c r="M31" i="151" s="1"/>
  <c r="L29" i="151"/>
  <c r="M29" i="151" s="1"/>
  <c r="L573" i="131"/>
  <c r="M573" i="131" s="1"/>
  <c r="K574" i="131"/>
  <c r="K570" i="131"/>
  <c r="L569" i="131"/>
  <c r="M569" i="131" s="1"/>
  <c r="L563" i="131"/>
  <c r="M563" i="131" s="1"/>
  <c r="K564" i="131"/>
  <c r="C19" i="149"/>
  <c r="K174" i="157" l="1"/>
  <c r="L175" i="157"/>
  <c r="K575" i="131"/>
  <c r="L574" i="131"/>
  <c r="M574" i="131" s="1"/>
  <c r="K571" i="131"/>
  <c r="L571" i="131" s="1"/>
  <c r="M571" i="131" s="1"/>
  <c r="L570" i="131"/>
  <c r="M570" i="131" s="1"/>
  <c r="K565" i="131"/>
  <c r="L564" i="131"/>
  <c r="M564" i="131" s="1"/>
  <c r="E19" i="149"/>
  <c r="C18" i="149"/>
  <c r="G18" i="149"/>
  <c r="G19" i="149"/>
  <c r="I18" i="149"/>
  <c r="I19" i="149"/>
  <c r="K175" i="157" l="1"/>
  <c r="L176" i="157"/>
  <c r="L575" i="131"/>
  <c r="M575" i="131" s="1"/>
  <c r="K576" i="131"/>
  <c r="L576" i="131" s="1"/>
  <c r="M576" i="131" s="1"/>
  <c r="K566" i="131"/>
  <c r="L566" i="131" s="1"/>
  <c r="M566" i="131" s="1"/>
  <c r="L565" i="131"/>
  <c r="M565" i="131" s="1"/>
  <c r="M44" i="138"/>
  <c r="L44" i="138"/>
  <c r="K44" i="138"/>
  <c r="E44" i="138"/>
  <c r="K40" i="138"/>
  <c r="L40" i="138" s="1"/>
  <c r="M40" i="138" s="1"/>
  <c r="E40" i="138"/>
  <c r="K36" i="138"/>
  <c r="L36" i="138" s="1"/>
  <c r="M36" i="138" s="1"/>
  <c r="E36" i="138"/>
  <c r="K32" i="138"/>
  <c r="L32" i="138" s="1"/>
  <c r="M32" i="138" s="1"/>
  <c r="E32" i="138"/>
  <c r="K28" i="138"/>
  <c r="L28" i="138" s="1"/>
  <c r="M28" i="138" s="1"/>
  <c r="E28" i="138"/>
  <c r="K24" i="138"/>
  <c r="L24" i="138" s="1"/>
  <c r="M24" i="138" s="1"/>
  <c r="E24" i="138"/>
  <c r="K20" i="138"/>
  <c r="L20" i="138" s="1"/>
  <c r="M20" i="138" s="1"/>
  <c r="E20" i="138"/>
  <c r="L177" i="157" l="1"/>
  <c r="K176" i="157"/>
  <c r="E123" i="129"/>
  <c r="E124" i="129"/>
  <c r="L178" i="157" l="1"/>
  <c r="K177" i="157"/>
  <c r="E61" i="129"/>
  <c r="L179" i="157" l="1"/>
  <c r="K178" i="157"/>
  <c r="E372" i="145"/>
  <c r="E373" i="145"/>
  <c r="E374" i="145"/>
  <c r="K179" i="157" l="1"/>
  <c r="L180" i="157"/>
  <c r="K238" i="139"/>
  <c r="L238" i="139" s="1"/>
  <c r="M238" i="139" s="1"/>
  <c r="K232" i="139"/>
  <c r="L232" i="139" s="1"/>
  <c r="M232" i="139" s="1"/>
  <c r="K226" i="139"/>
  <c r="L226" i="139" s="1"/>
  <c r="M226" i="139" s="1"/>
  <c r="L224" i="139"/>
  <c r="M224" i="139" s="1"/>
  <c r="K224" i="139"/>
  <c r="L181" i="157" l="1"/>
  <c r="K180" i="157"/>
  <c r="E101" i="115"/>
  <c r="L182" i="157" l="1"/>
  <c r="K181" i="157"/>
  <c r="E239" i="139"/>
  <c r="E238" i="139"/>
  <c r="E237" i="139"/>
  <c r="E236" i="139"/>
  <c r="E235" i="139"/>
  <c r="E234" i="139"/>
  <c r="E233" i="139"/>
  <c r="E232" i="139"/>
  <c r="E231" i="139"/>
  <c r="E230" i="139"/>
  <c r="E229" i="139"/>
  <c r="E228" i="139"/>
  <c r="E227" i="139"/>
  <c r="E226" i="139"/>
  <c r="E225" i="139"/>
  <c r="E224" i="139"/>
  <c r="E223" i="139"/>
  <c r="E222" i="139"/>
  <c r="E221" i="139"/>
  <c r="E220" i="139"/>
  <c r="E219" i="139"/>
  <c r="E218" i="139"/>
  <c r="E217" i="139"/>
  <c r="K218" i="139" s="1"/>
  <c r="K216" i="139"/>
  <c r="L216" i="139" s="1"/>
  <c r="M216" i="139" s="1"/>
  <c r="E216" i="139"/>
  <c r="K217" i="139" s="1"/>
  <c r="L217" i="139" s="1"/>
  <c r="M217" i="139" s="1"/>
  <c r="L183" i="157" l="1"/>
  <c r="K182" i="157"/>
  <c r="L218" i="139"/>
  <c r="M218" i="139" s="1"/>
  <c r="K219" i="139"/>
  <c r="L219" i="139" s="1"/>
  <c r="M219" i="139" s="1"/>
  <c r="K220" i="139"/>
  <c r="L220" i="139" s="1"/>
  <c r="M220" i="139" s="1"/>
  <c r="K221" i="139"/>
  <c r="K183" i="157" l="1"/>
  <c r="L184" i="157"/>
  <c r="L221" i="139"/>
  <c r="M221" i="139" s="1"/>
  <c r="K222" i="139"/>
  <c r="L185" i="157" l="1"/>
  <c r="K184" i="157"/>
  <c r="L222" i="139"/>
  <c r="M222" i="139" s="1"/>
  <c r="K223" i="139"/>
  <c r="L186" i="157" l="1"/>
  <c r="K185" i="157"/>
  <c r="L223" i="139"/>
  <c r="M223" i="139" s="1"/>
  <c r="L187" i="157" l="1"/>
  <c r="K186" i="157"/>
  <c r="K225" i="139"/>
  <c r="K187" i="157" l="1"/>
  <c r="L188" i="157"/>
  <c r="L225" i="139"/>
  <c r="M225" i="139" s="1"/>
  <c r="L189" i="157" l="1"/>
  <c r="K188" i="157"/>
  <c r="K227" i="139"/>
  <c r="K189" i="157" l="1"/>
  <c r="L190" i="157"/>
  <c r="L227" i="139"/>
  <c r="M227" i="139" s="1"/>
  <c r="K228" i="139"/>
  <c r="L191" i="157" l="1"/>
  <c r="K190" i="157"/>
  <c r="L228" i="139"/>
  <c r="M228" i="139" s="1"/>
  <c r="K229" i="139"/>
  <c r="K230" i="139" s="1"/>
  <c r="L230" i="139" s="1"/>
  <c r="M230" i="139" s="1"/>
  <c r="K191" i="157" l="1"/>
  <c r="L192" i="157"/>
  <c r="L229" i="139"/>
  <c r="M229" i="139" s="1"/>
  <c r="L193" i="157" l="1"/>
  <c r="K192" i="157"/>
  <c r="K231" i="139"/>
  <c r="K193" i="157" l="1"/>
  <c r="L194" i="157"/>
  <c r="L231" i="139"/>
  <c r="M231" i="139" s="1"/>
  <c r="K194" i="157" l="1"/>
  <c r="L195" i="157"/>
  <c r="K233" i="139"/>
  <c r="K195" i="157" l="1"/>
  <c r="L196" i="157"/>
  <c r="L233" i="139"/>
  <c r="M233" i="139" s="1"/>
  <c r="K234" i="139"/>
  <c r="L197" i="157" l="1"/>
  <c r="K196" i="157"/>
  <c r="L234" i="139"/>
  <c r="M234" i="139" s="1"/>
  <c r="K235" i="139"/>
  <c r="K236" i="139" s="1"/>
  <c r="L236" i="139" s="1"/>
  <c r="M236" i="139" s="1"/>
  <c r="L198" i="157" l="1"/>
  <c r="K197" i="157"/>
  <c r="L235" i="139"/>
  <c r="M235" i="139" s="1"/>
  <c r="K198" i="157" l="1"/>
  <c r="L199" i="157"/>
  <c r="K237" i="139"/>
  <c r="L200" i="157" l="1"/>
  <c r="K199" i="157"/>
  <c r="L237" i="139"/>
  <c r="M237" i="139" s="1"/>
  <c r="L201" i="157" l="1"/>
  <c r="K200" i="157"/>
  <c r="K239" i="139"/>
  <c r="L239" i="139" s="1"/>
  <c r="M239" i="139" s="1"/>
  <c r="L202" i="157" l="1"/>
  <c r="K201" i="157"/>
  <c r="E14" i="151"/>
  <c r="E12" i="151"/>
  <c r="E10" i="151"/>
  <c r="E8" i="151"/>
  <c r="E6" i="151"/>
  <c r="L4" i="151"/>
  <c r="M4" i="151" s="1"/>
  <c r="E4" i="151"/>
  <c r="K6" i="151" s="1"/>
  <c r="K202" i="157" l="1"/>
  <c r="L203" i="157"/>
  <c r="K8" i="151"/>
  <c r="L6" i="151"/>
  <c r="M6" i="151" s="1"/>
  <c r="L204" i="157" l="1"/>
  <c r="K203" i="157"/>
  <c r="L8" i="151"/>
  <c r="M8" i="151" s="1"/>
  <c r="K10" i="151"/>
  <c r="L205" i="157" l="1"/>
  <c r="K204" i="157"/>
  <c r="K12" i="151"/>
  <c r="L10" i="151"/>
  <c r="M10" i="151" s="1"/>
  <c r="K205" i="157" l="1"/>
  <c r="L206" i="157"/>
  <c r="K14" i="151"/>
  <c r="L14" i="151" s="1"/>
  <c r="M14" i="151" s="1"/>
  <c r="L12" i="151"/>
  <c r="M12" i="151" s="1"/>
  <c r="K206" i="157" l="1"/>
  <c r="L207" i="157"/>
  <c r="K203" i="139"/>
  <c r="K204" i="139" s="1"/>
  <c r="K205" i="139" s="1"/>
  <c r="K206" i="139" s="1"/>
  <c r="K207" i="139" s="1"/>
  <c r="K208" i="139" s="1"/>
  <c r="K209" i="139" s="1"/>
  <c r="K210" i="139" s="1"/>
  <c r="K211" i="139" s="1"/>
  <c r="K212" i="139" s="1"/>
  <c r="K213" i="139" s="1"/>
  <c r="K214" i="139" s="1"/>
  <c r="K202" i="139"/>
  <c r="K197" i="139"/>
  <c r="K201" i="139"/>
  <c r="E203" i="115"/>
  <c r="E202" i="115"/>
  <c r="L208" i="157" l="1"/>
  <c r="K207" i="157"/>
  <c r="E212" i="139"/>
  <c r="E211" i="139"/>
  <c r="E207" i="139"/>
  <c r="E205" i="139"/>
  <c r="E206" i="139"/>
  <c r="E208" i="139"/>
  <c r="E209" i="139"/>
  <c r="E210" i="139"/>
  <c r="E213" i="139"/>
  <c r="E214" i="139"/>
  <c r="E204" i="139"/>
  <c r="E203" i="139"/>
  <c r="E202" i="139"/>
  <c r="E201" i="139"/>
  <c r="L209" i="157" l="1"/>
  <c r="K208" i="157"/>
  <c r="J365" i="140"/>
  <c r="K365" i="140" s="1"/>
  <c r="L365" i="140" s="1"/>
  <c r="E229" i="131"/>
  <c r="E228" i="131"/>
  <c r="L210" i="157" l="1"/>
  <c r="K209" i="157"/>
  <c r="K13" i="138"/>
  <c r="K210" i="157" l="1"/>
  <c r="L211" i="157"/>
  <c r="E258" i="131"/>
  <c r="L212" i="157" l="1"/>
  <c r="K211" i="157"/>
  <c r="E230" i="131"/>
  <c r="E265" i="131"/>
  <c r="E264" i="131"/>
  <c r="E263" i="131"/>
  <c r="E262" i="131"/>
  <c r="E261" i="131"/>
  <c r="L213" i="157" l="1"/>
  <c r="K212" i="157"/>
  <c r="E37" i="129"/>
  <c r="L214" i="157" l="1"/>
  <c r="K213" i="157"/>
  <c r="E319" i="129"/>
  <c r="E308" i="129"/>
  <c r="K214" i="157" l="1"/>
  <c r="L215" i="157"/>
  <c r="E541" i="131"/>
  <c r="E530" i="131"/>
  <c r="E519" i="131"/>
  <c r="E508" i="131"/>
  <c r="E497" i="131"/>
  <c r="E486" i="131"/>
  <c r="E475" i="131"/>
  <c r="E464" i="131"/>
  <c r="E453" i="131"/>
  <c r="E442" i="131"/>
  <c r="E431" i="131"/>
  <c r="E420" i="131"/>
  <c r="E409" i="131"/>
  <c r="E398" i="131"/>
  <c r="E379" i="131"/>
  <c r="E370" i="131"/>
  <c r="E361" i="131"/>
  <c r="L216" i="157" l="1"/>
  <c r="K215" i="157"/>
  <c r="E544" i="131"/>
  <c r="E539" i="131"/>
  <c r="E533" i="131"/>
  <c r="E528" i="131"/>
  <c r="E522" i="131"/>
  <c r="E517" i="131"/>
  <c r="E511" i="131"/>
  <c r="E506" i="131"/>
  <c r="E500" i="131"/>
  <c r="E495" i="131"/>
  <c r="E489" i="131"/>
  <c r="E484" i="131"/>
  <c r="E478" i="131"/>
  <c r="E473" i="131"/>
  <c r="E467" i="131"/>
  <c r="E462" i="131"/>
  <c r="E456" i="131"/>
  <c r="E451" i="131"/>
  <c r="E445" i="131"/>
  <c r="E440" i="131"/>
  <c r="E434" i="131"/>
  <c r="E429" i="131"/>
  <c r="E423" i="131"/>
  <c r="E418" i="131"/>
  <c r="E412" i="131"/>
  <c r="E407" i="131"/>
  <c r="E401" i="131"/>
  <c r="E396" i="131"/>
  <c r="E129" i="145"/>
  <c r="D416" i="129"/>
  <c r="D417" i="129" s="1"/>
  <c r="D418" i="129" s="1"/>
  <c r="D419" i="129" s="1"/>
  <c r="D420" i="129" s="1"/>
  <c r="D421" i="129" s="1"/>
  <c r="D422" i="129" s="1"/>
  <c r="D423" i="129" s="1"/>
  <c r="D424" i="129" s="1"/>
  <c r="D425" i="129" s="1"/>
  <c r="D426" i="129" s="1"/>
  <c r="E323" i="129"/>
  <c r="E322" i="129"/>
  <c r="E321" i="129"/>
  <c r="E320" i="129"/>
  <c r="E310" i="129"/>
  <c r="E311" i="129"/>
  <c r="E312" i="129"/>
  <c r="L217" i="157" l="1"/>
  <c r="K216" i="157"/>
  <c r="E76" i="129"/>
  <c r="K217" i="157" l="1"/>
  <c r="L218" i="157"/>
  <c r="E102" i="129"/>
  <c r="E101" i="129"/>
  <c r="K218" i="157" l="1"/>
  <c r="L219" i="157"/>
  <c r="E232" i="115"/>
  <c r="E231" i="115"/>
  <c r="E230" i="115"/>
  <c r="E229" i="115"/>
  <c r="E36" i="150"/>
  <c r="E35" i="150"/>
  <c r="E34" i="150"/>
  <c r="E33" i="150"/>
  <c r="E32" i="150"/>
  <c r="E31" i="150"/>
  <c r="E30" i="150"/>
  <c r="E29" i="150"/>
  <c r="E28" i="150"/>
  <c r="E27" i="150"/>
  <c r="E26" i="150"/>
  <c r="E25" i="150"/>
  <c r="E24" i="150"/>
  <c r="E23" i="150"/>
  <c r="E22" i="150"/>
  <c r="E21" i="150"/>
  <c r="E19" i="150"/>
  <c r="E18" i="150"/>
  <c r="E17" i="150"/>
  <c r="E16" i="150"/>
  <c r="E15" i="150"/>
  <c r="E14" i="150"/>
  <c r="E13" i="150"/>
  <c r="E12" i="150"/>
  <c r="E11" i="150"/>
  <c r="E10" i="150"/>
  <c r="E9" i="150"/>
  <c r="E8" i="150"/>
  <c r="E7" i="150"/>
  <c r="E6" i="150"/>
  <c r="E5" i="150"/>
  <c r="E4" i="150"/>
  <c r="K5" i="150" s="1"/>
  <c r="L4" i="150"/>
  <c r="M4" i="150" s="1"/>
  <c r="L220" i="157" l="1"/>
  <c r="K219" i="157"/>
  <c r="K6" i="150"/>
  <c r="L5" i="150"/>
  <c r="M5" i="150" s="1"/>
  <c r="E44" i="129"/>
  <c r="L221" i="157" l="1"/>
  <c r="K220" i="157"/>
  <c r="L6" i="150"/>
  <c r="M6" i="150" s="1"/>
  <c r="K7" i="150"/>
  <c r="L210" i="115"/>
  <c r="M210" i="115" s="1"/>
  <c r="E217" i="115"/>
  <c r="L222" i="157" l="1"/>
  <c r="K221" i="157"/>
  <c r="K8" i="150"/>
  <c r="L7" i="150"/>
  <c r="M7" i="150" s="1"/>
  <c r="E228" i="115"/>
  <c r="E227" i="115"/>
  <c r="E226" i="115"/>
  <c r="E225" i="115"/>
  <c r="E224" i="115"/>
  <c r="E223" i="115"/>
  <c r="E222" i="115"/>
  <c r="E221" i="115"/>
  <c r="E220" i="115"/>
  <c r="E219" i="115"/>
  <c r="E218" i="115"/>
  <c r="E216" i="115"/>
  <c r="E215" i="115"/>
  <c r="E214" i="115"/>
  <c r="E213" i="115"/>
  <c r="E212" i="115"/>
  <c r="E211" i="115"/>
  <c r="E210" i="115"/>
  <c r="K211" i="115" s="1"/>
  <c r="L211" i="115" s="1"/>
  <c r="M211" i="115" s="1"/>
  <c r="K222" i="157" l="1"/>
  <c r="L223" i="157"/>
  <c r="K9" i="150"/>
  <c r="L8" i="150"/>
  <c r="M8" i="150" s="1"/>
  <c r="K212" i="115"/>
  <c r="E39" i="129"/>
  <c r="L224" i="157" l="1"/>
  <c r="K223" i="157"/>
  <c r="K213" i="115"/>
  <c r="L212" i="115"/>
  <c r="M212" i="115" s="1"/>
  <c r="L9" i="150"/>
  <c r="M9" i="150" s="1"/>
  <c r="K10" i="150"/>
  <c r="E18" i="149"/>
  <c r="L225" i="157" l="1"/>
  <c r="K224" i="157"/>
  <c r="K214" i="115"/>
  <c r="L213" i="115"/>
  <c r="M213" i="115" s="1"/>
  <c r="K11" i="150"/>
  <c r="L10" i="150"/>
  <c r="M10" i="150" s="1"/>
  <c r="A3" i="146"/>
  <c r="A4" i="146" s="1"/>
  <c r="A5" i="146" s="1"/>
  <c r="A6" i="146" s="1"/>
  <c r="A7" i="146" s="1"/>
  <c r="A8" i="146" s="1"/>
  <c r="A9" i="146" s="1"/>
  <c r="A10" i="146" s="1"/>
  <c r="A11" i="146" s="1"/>
  <c r="A12" i="146" s="1"/>
  <c r="A13" i="146" s="1"/>
  <c r="A14" i="146" s="1"/>
  <c r="A15" i="146" s="1"/>
  <c r="A16" i="146" s="1"/>
  <c r="A17" i="146" s="1"/>
  <c r="A18" i="146" s="1"/>
  <c r="A19" i="146" s="1"/>
  <c r="A20" i="146" s="1"/>
  <c r="A21" i="146" s="1"/>
  <c r="A22" i="146" s="1"/>
  <c r="A23" i="146" s="1"/>
  <c r="A24" i="146" s="1"/>
  <c r="A25" i="146" s="1"/>
  <c r="A26" i="146" s="1"/>
  <c r="A27" i="146" s="1"/>
  <c r="A28" i="146" s="1"/>
  <c r="A29" i="146" s="1"/>
  <c r="A30" i="146" s="1"/>
  <c r="A31" i="146" s="1"/>
  <c r="A32" i="146" s="1"/>
  <c r="A33" i="146" s="1"/>
  <c r="A34" i="146" s="1"/>
  <c r="A35" i="146" s="1"/>
  <c r="A36" i="146" s="1"/>
  <c r="A37" i="146" s="1"/>
  <c r="A38" i="146" s="1"/>
  <c r="A39" i="146" s="1"/>
  <c r="A40" i="146" s="1"/>
  <c r="A41" i="146" s="1"/>
  <c r="A42" i="146" s="1"/>
  <c r="A43" i="146" s="1"/>
  <c r="A44" i="146" s="1"/>
  <c r="A45" i="146" s="1"/>
  <c r="A46" i="146" s="1"/>
  <c r="A47" i="146" s="1"/>
  <c r="L226" i="157" l="1"/>
  <c r="K225" i="157"/>
  <c r="K215" i="115"/>
  <c r="L214" i="115"/>
  <c r="M214" i="115" s="1"/>
  <c r="K12" i="150"/>
  <c r="L11" i="150"/>
  <c r="M11" i="150" s="1"/>
  <c r="D171" i="141"/>
  <c r="D170" i="141"/>
  <c r="D169" i="141"/>
  <c r="K226" i="157" l="1"/>
  <c r="L227" i="157"/>
  <c r="K216" i="115"/>
  <c r="L215" i="115"/>
  <c r="M215" i="115" s="1"/>
  <c r="L12" i="150"/>
  <c r="M12" i="150" s="1"/>
  <c r="K13" i="150"/>
  <c r="D167" i="141"/>
  <c r="L228" i="157" l="1"/>
  <c r="K227" i="157"/>
  <c r="L216" i="115"/>
  <c r="M216" i="115" s="1"/>
  <c r="K217" i="115"/>
  <c r="K14" i="150"/>
  <c r="L13" i="150"/>
  <c r="M13" i="150" s="1"/>
  <c r="L229" i="157" l="1"/>
  <c r="K228" i="157"/>
  <c r="L217" i="115"/>
  <c r="M217" i="115" s="1"/>
  <c r="K218" i="115"/>
  <c r="K15" i="150"/>
  <c r="L14" i="150"/>
  <c r="M14" i="150" s="1"/>
  <c r="D145" i="141"/>
  <c r="D165" i="141"/>
  <c r="D164" i="141"/>
  <c r="L230" i="157" l="1"/>
  <c r="K229" i="157"/>
  <c r="L218" i="115"/>
  <c r="M218" i="115" s="1"/>
  <c r="K219" i="115"/>
  <c r="L15" i="150"/>
  <c r="M15" i="150" s="1"/>
  <c r="K16" i="150"/>
  <c r="E127" i="145"/>
  <c r="E128" i="145"/>
  <c r="K230" i="157" l="1"/>
  <c r="L231" i="157"/>
  <c r="K220" i="115"/>
  <c r="L219" i="115"/>
  <c r="M219" i="115" s="1"/>
  <c r="K17" i="150"/>
  <c r="L16" i="150"/>
  <c r="M16" i="150" s="1"/>
  <c r="E95" i="115"/>
  <c r="L232" i="157" l="1"/>
  <c r="K231" i="157"/>
  <c r="K221" i="115"/>
  <c r="L220" i="115"/>
  <c r="M220" i="115" s="1"/>
  <c r="K18" i="150"/>
  <c r="L17" i="150"/>
  <c r="M17" i="150" s="1"/>
  <c r="E489" i="145"/>
  <c r="E488" i="145"/>
  <c r="E487" i="145"/>
  <c r="E486" i="145"/>
  <c r="E485" i="145"/>
  <c r="E484" i="145"/>
  <c r="E483" i="145"/>
  <c r="E482" i="145"/>
  <c r="E481" i="145"/>
  <c r="E480" i="145"/>
  <c r="E479" i="145"/>
  <c r="E478" i="145"/>
  <c r="E477" i="145"/>
  <c r="E476" i="145"/>
  <c r="E475" i="145"/>
  <c r="E474" i="145"/>
  <c r="E473" i="145"/>
  <c r="E472" i="145"/>
  <c r="E471" i="145"/>
  <c r="E470" i="145"/>
  <c r="E469" i="145"/>
  <c r="E468" i="145"/>
  <c r="E467" i="145"/>
  <c r="E466" i="145"/>
  <c r="E465" i="145"/>
  <c r="E464" i="145"/>
  <c r="E463" i="145"/>
  <c r="E462" i="145"/>
  <c r="E461" i="145"/>
  <c r="E460" i="145"/>
  <c r="E459" i="145"/>
  <c r="E458" i="145"/>
  <c r="E457" i="145"/>
  <c r="E456" i="145"/>
  <c r="E455" i="145"/>
  <c r="E454" i="145"/>
  <c r="E453" i="145"/>
  <c r="E452" i="145"/>
  <c r="E451" i="145"/>
  <c r="E450" i="145"/>
  <c r="E449" i="145"/>
  <c r="E448" i="145"/>
  <c r="E447" i="145"/>
  <c r="E446" i="145"/>
  <c r="E445" i="145"/>
  <c r="E444" i="145"/>
  <c r="E443" i="145"/>
  <c r="E442" i="145"/>
  <c r="E441" i="145"/>
  <c r="E440" i="145"/>
  <c r="E439" i="145"/>
  <c r="E438" i="145"/>
  <c r="E437" i="145"/>
  <c r="E436" i="145"/>
  <c r="E435" i="145"/>
  <c r="E434" i="145"/>
  <c r="E433" i="145"/>
  <c r="E432" i="145"/>
  <c r="E431" i="145"/>
  <c r="E430" i="145"/>
  <c r="E429" i="145"/>
  <c r="E428" i="145"/>
  <c r="E427" i="145"/>
  <c r="E426" i="145"/>
  <c r="E425" i="145"/>
  <c r="E424" i="145"/>
  <c r="E423" i="145"/>
  <c r="E422" i="145"/>
  <c r="E421" i="145"/>
  <c r="E420" i="145"/>
  <c r="E419" i="145"/>
  <c r="E418" i="145"/>
  <c r="E417" i="145"/>
  <c r="E416" i="145"/>
  <c r="E415" i="145"/>
  <c r="E414" i="145"/>
  <c r="E413" i="145"/>
  <c r="E412" i="145"/>
  <c r="E411" i="145"/>
  <c r="E410" i="145"/>
  <c r="E409" i="145"/>
  <c r="E408" i="145"/>
  <c r="E407" i="145"/>
  <c r="E406" i="145"/>
  <c r="E405" i="145"/>
  <c r="E404" i="145"/>
  <c r="E403" i="145"/>
  <c r="E402" i="145"/>
  <c r="E401" i="145"/>
  <c r="E400" i="145"/>
  <c r="E399" i="145"/>
  <c r="E398" i="145"/>
  <c r="E397" i="145"/>
  <c r="E396" i="145"/>
  <c r="E395" i="145"/>
  <c r="E394" i="145"/>
  <c r="E393" i="145"/>
  <c r="E392" i="145"/>
  <c r="E391" i="145"/>
  <c r="E390" i="145"/>
  <c r="E389" i="145"/>
  <c r="E388" i="145"/>
  <c r="E387" i="145"/>
  <c r="E386" i="145"/>
  <c r="E385" i="145"/>
  <c r="E384" i="145"/>
  <c r="E383" i="145"/>
  <c r="E382" i="145"/>
  <c r="E381" i="145"/>
  <c r="E380" i="145"/>
  <c r="E379" i="145"/>
  <c r="E378" i="145"/>
  <c r="E377" i="145"/>
  <c r="E376" i="145"/>
  <c r="L233" i="157" l="1"/>
  <c r="K232" i="157"/>
  <c r="K222" i="115"/>
  <c r="L221" i="115"/>
  <c r="M221" i="115" s="1"/>
  <c r="L18" i="150"/>
  <c r="M18" i="150" s="1"/>
  <c r="K19" i="150"/>
  <c r="K21" i="150" s="1"/>
  <c r="K233" i="157" l="1"/>
  <c r="L234" i="157"/>
  <c r="K223" i="115"/>
  <c r="L222" i="115"/>
  <c r="M222" i="115" s="1"/>
  <c r="L21" i="150"/>
  <c r="M21" i="150" s="1"/>
  <c r="K22" i="150"/>
  <c r="L19" i="150"/>
  <c r="M19" i="150" s="1"/>
  <c r="K234" i="157" l="1"/>
  <c r="L235" i="157"/>
  <c r="K224" i="115"/>
  <c r="L223" i="115"/>
  <c r="M223" i="115" s="1"/>
  <c r="L22" i="150"/>
  <c r="M22" i="150" s="1"/>
  <c r="K23" i="150"/>
  <c r="D144" i="141"/>
  <c r="D143" i="141"/>
  <c r="L236" i="157" l="1"/>
  <c r="K235" i="157"/>
  <c r="K225" i="115"/>
  <c r="L224" i="115"/>
  <c r="M224" i="115" s="1"/>
  <c r="K24" i="150"/>
  <c r="L23" i="150"/>
  <c r="M23" i="150" s="1"/>
  <c r="L237" i="157" l="1"/>
  <c r="K236" i="157"/>
  <c r="K226" i="115"/>
  <c r="L225" i="115"/>
  <c r="M225" i="115" s="1"/>
  <c r="L24" i="150"/>
  <c r="M24" i="150" s="1"/>
  <c r="K25" i="150"/>
  <c r="L238" i="157" l="1"/>
  <c r="K237" i="157"/>
  <c r="K227" i="115"/>
  <c r="L226" i="115"/>
  <c r="M226" i="115" s="1"/>
  <c r="K26" i="150"/>
  <c r="L25" i="150"/>
  <c r="M25" i="150" s="1"/>
  <c r="K238" i="157" l="1"/>
  <c r="L239" i="157"/>
  <c r="K228" i="115"/>
  <c r="L227" i="115"/>
  <c r="M227" i="115" s="1"/>
  <c r="K27" i="150"/>
  <c r="L26" i="150"/>
  <c r="M26" i="150" s="1"/>
  <c r="L149" i="134"/>
  <c r="L240" i="157" l="1"/>
  <c r="K239" i="157"/>
  <c r="K229" i="115"/>
  <c r="L228" i="115"/>
  <c r="M228" i="115" s="1"/>
  <c r="L27" i="150"/>
  <c r="M27" i="150" s="1"/>
  <c r="K28" i="150"/>
  <c r="E21" i="131"/>
  <c r="E22" i="131"/>
  <c r="L241" i="157" l="1"/>
  <c r="K240" i="157"/>
  <c r="K230" i="115"/>
  <c r="L229" i="115"/>
  <c r="M229" i="115" s="1"/>
  <c r="L28" i="150"/>
  <c r="M28" i="150" s="1"/>
  <c r="K29" i="150"/>
  <c r="E208" i="131"/>
  <c r="E210" i="131"/>
  <c r="L242" i="157" l="1"/>
  <c r="K241" i="157"/>
  <c r="K231" i="115"/>
  <c r="L230" i="115"/>
  <c r="M230" i="115" s="1"/>
  <c r="K30" i="150"/>
  <c r="L29" i="150"/>
  <c r="M29" i="150" s="1"/>
  <c r="E78" i="131"/>
  <c r="E200" i="131"/>
  <c r="E199" i="131"/>
  <c r="E198" i="131"/>
  <c r="E197" i="131"/>
  <c r="E20" i="131"/>
  <c r="E19" i="131"/>
  <c r="L4" i="138"/>
  <c r="M4" i="138" s="1"/>
  <c r="K242" i="157" l="1"/>
  <c r="L243" i="157"/>
  <c r="K232" i="115"/>
  <c r="L231" i="115"/>
  <c r="M231" i="115" s="1"/>
  <c r="L30" i="150"/>
  <c r="M30" i="150" s="1"/>
  <c r="K31" i="150"/>
  <c r="L147" i="134"/>
  <c r="L127" i="134"/>
  <c r="L128" i="134"/>
  <c r="L129" i="134"/>
  <c r="L130" i="134"/>
  <c r="L131" i="134"/>
  <c r="L132" i="134"/>
  <c r="L133" i="134"/>
  <c r="L134" i="134"/>
  <c r="L135" i="134"/>
  <c r="L136" i="134"/>
  <c r="L137" i="134"/>
  <c r="L138" i="134"/>
  <c r="L139" i="134"/>
  <c r="L140" i="134"/>
  <c r="L141" i="134"/>
  <c r="L142" i="134"/>
  <c r="L143" i="134"/>
  <c r="L144" i="134"/>
  <c r="L145" i="134"/>
  <c r="L126" i="134"/>
  <c r="K126" i="134"/>
  <c r="L26" i="134"/>
  <c r="L27" i="134"/>
  <c r="L28" i="134"/>
  <c r="L29" i="134"/>
  <c r="L30" i="134"/>
  <c r="L31" i="134"/>
  <c r="L32" i="134"/>
  <c r="L33" i="134"/>
  <c r="L34" i="134"/>
  <c r="L35" i="134"/>
  <c r="L36" i="134"/>
  <c r="L37" i="134"/>
  <c r="L38" i="134"/>
  <c r="L39" i="134"/>
  <c r="L40" i="134"/>
  <c r="L41" i="134"/>
  <c r="L42" i="134"/>
  <c r="L43" i="134"/>
  <c r="L44" i="134"/>
  <c r="L45" i="134"/>
  <c r="L46" i="134"/>
  <c r="L47" i="134"/>
  <c r="L48" i="134"/>
  <c r="L49" i="134"/>
  <c r="L50" i="134"/>
  <c r="L51" i="134"/>
  <c r="L52" i="134"/>
  <c r="L53" i="134"/>
  <c r="L54" i="134"/>
  <c r="L55" i="134"/>
  <c r="L56" i="134"/>
  <c r="L57" i="134"/>
  <c r="L58" i="134"/>
  <c r="L59" i="134"/>
  <c r="L60" i="134"/>
  <c r="L61" i="134"/>
  <c r="L62" i="134"/>
  <c r="L63" i="134"/>
  <c r="L64" i="134"/>
  <c r="L65" i="134"/>
  <c r="L66" i="134"/>
  <c r="L67" i="134"/>
  <c r="L68" i="134"/>
  <c r="L69" i="134"/>
  <c r="L70" i="134"/>
  <c r="L71" i="134"/>
  <c r="L72" i="134"/>
  <c r="L73" i="134"/>
  <c r="L74" i="134"/>
  <c r="L75" i="134"/>
  <c r="L76" i="134"/>
  <c r="L77" i="134"/>
  <c r="L78" i="134"/>
  <c r="L79" i="134"/>
  <c r="L80" i="134"/>
  <c r="L81" i="134"/>
  <c r="L82" i="134"/>
  <c r="L83" i="134"/>
  <c r="L84" i="134"/>
  <c r="L85" i="134"/>
  <c r="L86" i="134"/>
  <c r="L87" i="134"/>
  <c r="L88" i="134"/>
  <c r="L89" i="134"/>
  <c r="L90" i="134"/>
  <c r="L91" i="134"/>
  <c r="L92" i="134"/>
  <c r="L93" i="134"/>
  <c r="L94" i="134"/>
  <c r="L95" i="134"/>
  <c r="L96" i="134"/>
  <c r="L97" i="134"/>
  <c r="L98" i="134"/>
  <c r="L99" i="134"/>
  <c r="L100" i="134"/>
  <c r="L101" i="134"/>
  <c r="L102" i="134"/>
  <c r="L103" i="134"/>
  <c r="L104" i="134"/>
  <c r="L105" i="134"/>
  <c r="L106" i="134"/>
  <c r="L107" i="134"/>
  <c r="L108" i="134"/>
  <c r="L109" i="134"/>
  <c r="L110" i="134"/>
  <c r="L111" i="134"/>
  <c r="L112" i="134"/>
  <c r="L113" i="134"/>
  <c r="L114" i="134"/>
  <c r="L115" i="134"/>
  <c r="L116" i="134"/>
  <c r="L117" i="134"/>
  <c r="L118" i="134"/>
  <c r="L119" i="134"/>
  <c r="L120" i="134"/>
  <c r="L121" i="134"/>
  <c r="L122" i="134"/>
  <c r="L123" i="134"/>
  <c r="L124" i="134"/>
  <c r="L25" i="134"/>
  <c r="K25" i="134"/>
  <c r="L4" i="134"/>
  <c r="L126" i="115"/>
  <c r="L92" i="115"/>
  <c r="L4" i="115"/>
  <c r="L244" i="157" l="1"/>
  <c r="K243" i="157"/>
  <c r="L232" i="115"/>
  <c r="M232" i="115" s="1"/>
  <c r="K233" i="115"/>
  <c r="K32" i="150"/>
  <c r="L31" i="150"/>
  <c r="M31" i="150" s="1"/>
  <c r="E168" i="145"/>
  <c r="E370" i="145"/>
  <c r="E269" i="145"/>
  <c r="E167" i="145"/>
  <c r="E166" i="145"/>
  <c r="E165" i="145"/>
  <c r="E164" i="145"/>
  <c r="E163" i="145"/>
  <c r="E162" i="145"/>
  <c r="E160" i="145"/>
  <c r="E159" i="145"/>
  <c r="E158" i="145"/>
  <c r="E157" i="145"/>
  <c r="E156" i="145"/>
  <c r="E155" i="145"/>
  <c r="E154" i="145"/>
  <c r="E153" i="145"/>
  <c r="E152" i="145"/>
  <c r="E151" i="145"/>
  <c r="E150" i="145"/>
  <c r="E148" i="145"/>
  <c r="E147" i="145"/>
  <c r="E146" i="145"/>
  <c r="E145" i="145"/>
  <c r="E144" i="145"/>
  <c r="E143" i="145"/>
  <c r="E142" i="145"/>
  <c r="E141" i="145"/>
  <c r="E140" i="145"/>
  <c r="E139" i="145"/>
  <c r="E138" i="145"/>
  <c r="E137" i="145"/>
  <c r="E136" i="145"/>
  <c r="E135" i="145"/>
  <c r="E134" i="145"/>
  <c r="E133" i="145"/>
  <c r="E132" i="145"/>
  <c r="E131" i="145"/>
  <c r="E130" i="145"/>
  <c r="E126" i="145"/>
  <c r="E124" i="145"/>
  <c r="E123" i="145"/>
  <c r="E122" i="145"/>
  <c r="E121" i="145"/>
  <c r="E120" i="145"/>
  <c r="E119" i="145"/>
  <c r="E118" i="145"/>
  <c r="E117" i="145"/>
  <c r="E116" i="145"/>
  <c r="E115" i="145"/>
  <c r="E114" i="145"/>
  <c r="E113" i="145"/>
  <c r="E112" i="145"/>
  <c r="E111" i="145"/>
  <c r="E110" i="145"/>
  <c r="E109" i="145"/>
  <c r="E108" i="145"/>
  <c r="E107" i="145"/>
  <c r="E106" i="145"/>
  <c r="E105" i="145"/>
  <c r="E104" i="145"/>
  <c r="E103" i="145"/>
  <c r="E64" i="145"/>
  <c r="E65" i="145"/>
  <c r="E66" i="145"/>
  <c r="E67" i="145"/>
  <c r="E68" i="145"/>
  <c r="E69" i="145"/>
  <c r="E70" i="145"/>
  <c r="E71" i="145"/>
  <c r="E72" i="145"/>
  <c r="E73" i="145"/>
  <c r="E74" i="145"/>
  <c r="E75" i="145"/>
  <c r="E76" i="145"/>
  <c r="E77" i="145"/>
  <c r="E78" i="145"/>
  <c r="E79" i="145"/>
  <c r="E80" i="145"/>
  <c r="E81" i="145"/>
  <c r="E82" i="145"/>
  <c r="E83" i="145"/>
  <c r="E84" i="145"/>
  <c r="E85" i="145"/>
  <c r="E86" i="145"/>
  <c r="E87" i="145"/>
  <c r="E88" i="145"/>
  <c r="E89" i="145"/>
  <c r="E90" i="145"/>
  <c r="E91" i="145"/>
  <c r="E92" i="145"/>
  <c r="E93" i="145"/>
  <c r="E94" i="145"/>
  <c r="E95" i="145"/>
  <c r="E96" i="145"/>
  <c r="E97" i="145"/>
  <c r="E98" i="145"/>
  <c r="E99" i="145"/>
  <c r="E100" i="145"/>
  <c r="E101" i="145"/>
  <c r="E102" i="145"/>
  <c r="E63" i="145"/>
  <c r="E54" i="145"/>
  <c r="E53" i="145"/>
  <c r="E52" i="145"/>
  <c r="E51" i="145"/>
  <c r="E50" i="145"/>
  <c r="E62" i="145"/>
  <c r="E60" i="145"/>
  <c r="E59" i="145"/>
  <c r="E58" i="145"/>
  <c r="E57" i="145"/>
  <c r="E56" i="145"/>
  <c r="E48" i="145"/>
  <c r="E47" i="145"/>
  <c r="E46" i="145"/>
  <c r="E45" i="145"/>
  <c r="E44" i="145"/>
  <c r="E43" i="145"/>
  <c r="E42" i="145"/>
  <c r="E41" i="145"/>
  <c r="E40" i="145"/>
  <c r="E39" i="145"/>
  <c r="E38" i="145"/>
  <c r="E37" i="145"/>
  <c r="E36" i="145"/>
  <c r="E35" i="145"/>
  <c r="E34" i="145"/>
  <c r="E33" i="145"/>
  <c r="E32" i="145"/>
  <c r="E31" i="145"/>
  <c r="E30" i="145"/>
  <c r="E18" i="145"/>
  <c r="E19" i="145"/>
  <c r="E20" i="145"/>
  <c r="E21" i="145"/>
  <c r="E22" i="145"/>
  <c r="E23" i="145"/>
  <c r="E25" i="145"/>
  <c r="E26" i="145"/>
  <c r="E27" i="145"/>
  <c r="E28" i="145"/>
  <c r="E29" i="145"/>
  <c r="K4" i="145"/>
  <c r="E17" i="145"/>
  <c r="E16" i="145"/>
  <c r="E15" i="145"/>
  <c r="E14" i="145"/>
  <c r="E13" i="145"/>
  <c r="E12" i="145"/>
  <c r="E11" i="145"/>
  <c r="E10" i="145"/>
  <c r="E9" i="145"/>
  <c r="E8" i="145"/>
  <c r="E7" i="145"/>
  <c r="E6" i="145"/>
  <c r="E5" i="145"/>
  <c r="E4" i="145"/>
  <c r="L5" i="145" s="1"/>
  <c r="K5" i="145" s="1"/>
  <c r="L245" i="157" l="1"/>
  <c r="K244" i="157"/>
  <c r="K234" i="115"/>
  <c r="L234" i="115" s="1"/>
  <c r="M234" i="115" s="1"/>
  <c r="L233" i="115"/>
  <c r="M233" i="115" s="1"/>
  <c r="K33" i="150"/>
  <c r="L32" i="150"/>
  <c r="M32" i="150" s="1"/>
  <c r="L6" i="145"/>
  <c r="L7" i="145" s="1"/>
  <c r="K7" i="145" s="1"/>
  <c r="E369" i="145"/>
  <c r="E368" i="145"/>
  <c r="E367" i="145"/>
  <c r="E366" i="145"/>
  <c r="E365" i="145"/>
  <c r="E364" i="145"/>
  <c r="E363" i="145"/>
  <c r="E362" i="145"/>
  <c r="E361" i="145"/>
  <c r="E360" i="145"/>
  <c r="E359" i="145"/>
  <c r="E358" i="145"/>
  <c r="E357" i="145"/>
  <c r="E356" i="145"/>
  <c r="E355" i="145"/>
  <c r="E354" i="145"/>
  <c r="E353" i="145"/>
  <c r="E352" i="145"/>
  <c r="E351" i="145"/>
  <c r="E350" i="145"/>
  <c r="E349" i="145"/>
  <c r="E348" i="145"/>
  <c r="E347" i="145"/>
  <c r="E346" i="145"/>
  <c r="E345" i="145"/>
  <c r="E344" i="145"/>
  <c r="E343" i="145"/>
  <c r="E342" i="145"/>
  <c r="E341" i="145"/>
  <c r="E340" i="145"/>
  <c r="E339" i="145"/>
  <c r="E338" i="145"/>
  <c r="E337" i="145"/>
  <c r="E336" i="145"/>
  <c r="E335" i="145"/>
  <c r="E334" i="145"/>
  <c r="E333" i="145"/>
  <c r="E332" i="145"/>
  <c r="E331" i="145"/>
  <c r="E330" i="145"/>
  <c r="E329" i="145"/>
  <c r="E328" i="145"/>
  <c r="E327" i="145"/>
  <c r="E326" i="145"/>
  <c r="E325" i="145"/>
  <c r="E324" i="145"/>
  <c r="E323" i="145"/>
  <c r="E322" i="145"/>
  <c r="E321" i="145"/>
  <c r="E320" i="145"/>
  <c r="E319" i="145"/>
  <c r="E318" i="145"/>
  <c r="E317" i="145"/>
  <c r="E316" i="145"/>
  <c r="E315" i="145"/>
  <c r="E314" i="145"/>
  <c r="E313" i="145"/>
  <c r="E312" i="145"/>
  <c r="E311" i="145"/>
  <c r="E310" i="145"/>
  <c r="E309" i="145"/>
  <c r="E308" i="145"/>
  <c r="E307" i="145"/>
  <c r="E306" i="145"/>
  <c r="E305" i="145"/>
  <c r="E304" i="145"/>
  <c r="E303" i="145"/>
  <c r="E302" i="145"/>
  <c r="E301" i="145"/>
  <c r="E300" i="145"/>
  <c r="E299" i="145"/>
  <c r="E298" i="145"/>
  <c r="E297" i="145"/>
  <c r="E296" i="145"/>
  <c r="E295" i="145"/>
  <c r="E294" i="145"/>
  <c r="E293" i="145"/>
  <c r="E292" i="145"/>
  <c r="E291" i="145"/>
  <c r="E290" i="145"/>
  <c r="E289" i="145"/>
  <c r="E288" i="145"/>
  <c r="E287" i="145"/>
  <c r="E286" i="145"/>
  <c r="E285" i="145"/>
  <c r="E284" i="145"/>
  <c r="E283" i="145"/>
  <c r="E282" i="145"/>
  <c r="E281" i="145"/>
  <c r="E280" i="145"/>
  <c r="E279" i="145"/>
  <c r="E278" i="145"/>
  <c r="E277" i="145"/>
  <c r="E276" i="145"/>
  <c r="E275" i="145"/>
  <c r="E274" i="145"/>
  <c r="E273" i="145"/>
  <c r="E272" i="145"/>
  <c r="E271" i="145"/>
  <c r="E268" i="145"/>
  <c r="E267" i="145"/>
  <c r="E266" i="145"/>
  <c r="E265" i="145"/>
  <c r="E264" i="145"/>
  <c r="E263" i="145"/>
  <c r="E262" i="145"/>
  <c r="E261" i="145"/>
  <c r="E260" i="145"/>
  <c r="E259" i="145"/>
  <c r="E258" i="145"/>
  <c r="E257" i="145"/>
  <c r="E256" i="145"/>
  <c r="E255" i="145"/>
  <c r="E254" i="145"/>
  <c r="E253" i="145"/>
  <c r="E252" i="145"/>
  <c r="E251" i="145"/>
  <c r="E250" i="145"/>
  <c r="E249" i="145"/>
  <c r="E248" i="145"/>
  <c r="E247" i="145"/>
  <c r="E246" i="145"/>
  <c r="E245" i="145"/>
  <c r="E244" i="145"/>
  <c r="E243" i="145"/>
  <c r="E242" i="145"/>
  <c r="E241" i="145"/>
  <c r="E240" i="145"/>
  <c r="E239" i="145"/>
  <c r="E238" i="145"/>
  <c r="E237" i="145"/>
  <c r="E236" i="145"/>
  <c r="E235" i="145"/>
  <c r="E234" i="145"/>
  <c r="E233" i="145"/>
  <c r="E232" i="145"/>
  <c r="E231" i="145"/>
  <c r="E230" i="145"/>
  <c r="E229" i="145"/>
  <c r="E228" i="145"/>
  <c r="E227" i="145"/>
  <c r="E226" i="145"/>
  <c r="E225" i="145"/>
  <c r="E224" i="145"/>
  <c r="E223" i="145"/>
  <c r="E222" i="145"/>
  <c r="E221" i="145"/>
  <c r="E220" i="145"/>
  <c r="E219" i="145"/>
  <c r="E218" i="145"/>
  <c r="E217" i="145"/>
  <c r="E216" i="145"/>
  <c r="E215" i="145"/>
  <c r="E214" i="145"/>
  <c r="E213" i="145"/>
  <c r="E212" i="145"/>
  <c r="E211" i="145"/>
  <c r="E210" i="145"/>
  <c r="E209" i="145"/>
  <c r="E208" i="145"/>
  <c r="E207" i="145"/>
  <c r="E206" i="145"/>
  <c r="E205" i="145"/>
  <c r="E204" i="145"/>
  <c r="E203" i="145"/>
  <c r="E202" i="145"/>
  <c r="E201" i="145"/>
  <c r="E200" i="145"/>
  <c r="E199" i="145"/>
  <c r="E198" i="145"/>
  <c r="E197" i="145"/>
  <c r="E196" i="145"/>
  <c r="E195" i="145"/>
  <c r="E194" i="145"/>
  <c r="E193" i="145"/>
  <c r="E192" i="145"/>
  <c r="E191" i="145"/>
  <c r="E190" i="145"/>
  <c r="E189" i="145"/>
  <c r="E188" i="145"/>
  <c r="E187" i="145"/>
  <c r="E186" i="145"/>
  <c r="E185" i="145"/>
  <c r="E184" i="145"/>
  <c r="E183" i="145"/>
  <c r="E182" i="145"/>
  <c r="E181" i="145"/>
  <c r="E180" i="145"/>
  <c r="E179" i="145"/>
  <c r="E178" i="145"/>
  <c r="E177" i="145"/>
  <c r="E176" i="145"/>
  <c r="E175" i="145"/>
  <c r="E174" i="145"/>
  <c r="E173" i="145"/>
  <c r="E172" i="145"/>
  <c r="E171" i="145"/>
  <c r="E170" i="145"/>
  <c r="K245" i="157" l="1"/>
  <c r="L246" i="157"/>
  <c r="L33" i="150"/>
  <c r="M33" i="150" s="1"/>
  <c r="K34" i="150"/>
  <c r="K6" i="145"/>
  <c r="L8" i="145"/>
  <c r="L9" i="145" s="1"/>
  <c r="K246" i="157" l="1"/>
  <c r="L247" i="157"/>
  <c r="K35" i="150"/>
  <c r="L34" i="150"/>
  <c r="M34" i="150" s="1"/>
  <c r="K8" i="145"/>
  <c r="L10" i="145"/>
  <c r="K9" i="145"/>
  <c r="L248" i="157" l="1"/>
  <c r="K247" i="157"/>
  <c r="K36" i="150"/>
  <c r="L36" i="150" s="1"/>
  <c r="M36" i="150" s="1"/>
  <c r="L35" i="150"/>
  <c r="M35" i="150" s="1"/>
  <c r="K10" i="145"/>
  <c r="L11" i="145"/>
  <c r="L249" i="157" l="1"/>
  <c r="K248" i="157"/>
  <c r="L12" i="145"/>
  <c r="K11" i="145"/>
  <c r="K249" i="157" l="1"/>
  <c r="L250" i="157"/>
  <c r="K12" i="145"/>
  <c r="L13" i="145"/>
  <c r="K250" i="157" l="1"/>
  <c r="L251" i="157"/>
  <c r="L14" i="145"/>
  <c r="K13" i="145"/>
  <c r="L252" i="157" l="1"/>
  <c r="K251" i="157"/>
  <c r="L15" i="145"/>
  <c r="K14" i="145"/>
  <c r="L253" i="157" l="1"/>
  <c r="K252" i="157"/>
  <c r="L16" i="145"/>
  <c r="K15" i="145"/>
  <c r="K253" i="157" l="1"/>
  <c r="L254" i="157"/>
  <c r="L17" i="145"/>
  <c r="L18" i="145" s="1"/>
  <c r="K16" i="145"/>
  <c r="K254" i="157" l="1"/>
  <c r="L255" i="157"/>
  <c r="L19" i="145"/>
  <c r="L20" i="145" s="1"/>
  <c r="L21" i="145" s="1"/>
  <c r="K18" i="145"/>
  <c r="K17" i="145"/>
  <c r="L256" i="157" l="1"/>
  <c r="K255" i="157"/>
  <c r="L22" i="145"/>
  <c r="K21" i="145"/>
  <c r="K19" i="145"/>
  <c r="L257" i="157" l="1"/>
  <c r="K256" i="157"/>
  <c r="K22" i="145"/>
  <c r="L23" i="145"/>
  <c r="K23" i="145" s="1"/>
  <c r="K20" i="145"/>
  <c r="K257" i="157" l="1"/>
  <c r="L258" i="157"/>
  <c r="L25" i="145"/>
  <c r="K258" i="157" l="1"/>
  <c r="L259" i="157"/>
  <c r="K25" i="145"/>
  <c r="L26" i="145"/>
  <c r="L260" i="157" l="1"/>
  <c r="K259" i="157"/>
  <c r="L27" i="145"/>
  <c r="K26" i="145"/>
  <c r="L261" i="157" l="1"/>
  <c r="K260" i="157"/>
  <c r="K27" i="145"/>
  <c r="L28" i="145"/>
  <c r="K261" i="157" l="1"/>
  <c r="L262" i="157"/>
  <c r="L29" i="145"/>
  <c r="K28" i="145"/>
  <c r="K262" i="157" l="1"/>
  <c r="L263" i="157"/>
  <c r="K29" i="145"/>
  <c r="L30" i="145"/>
  <c r="L264" i="157" l="1"/>
  <c r="K263" i="157"/>
  <c r="L31" i="145"/>
  <c r="K30" i="145"/>
  <c r="L265" i="157" l="1"/>
  <c r="K264" i="157"/>
  <c r="K31" i="145"/>
  <c r="L32" i="145"/>
  <c r="K265" i="157" l="1"/>
  <c r="L266" i="157"/>
  <c r="L33" i="145"/>
  <c r="K32" i="145"/>
  <c r="K266" i="157" l="1"/>
  <c r="L267" i="157"/>
  <c r="K33" i="145"/>
  <c r="L34" i="145"/>
  <c r="L268" i="157" l="1"/>
  <c r="K267" i="157"/>
  <c r="L35" i="145"/>
  <c r="K34" i="145"/>
  <c r="L269" i="157" l="1"/>
  <c r="K268" i="157"/>
  <c r="L36" i="145"/>
  <c r="K35" i="145"/>
  <c r="K269" i="157" l="1"/>
  <c r="L271" i="157"/>
  <c r="K36" i="145"/>
  <c r="L37" i="145"/>
  <c r="K271" i="157" l="1"/>
  <c r="L272" i="157"/>
  <c r="L38" i="145"/>
  <c r="K37" i="145"/>
  <c r="L273" i="157" l="1"/>
  <c r="K272" i="157"/>
  <c r="L39" i="145"/>
  <c r="K38" i="145"/>
  <c r="L274" i="157" l="1"/>
  <c r="K273" i="157"/>
  <c r="K39" i="145"/>
  <c r="L40" i="145"/>
  <c r="K274" i="157" l="1"/>
  <c r="L275" i="157"/>
  <c r="L41" i="145"/>
  <c r="K40" i="145"/>
  <c r="K275" i="157" l="1"/>
  <c r="L276" i="157"/>
  <c r="K41" i="145"/>
  <c r="L42" i="145"/>
  <c r="L277" i="157" l="1"/>
  <c r="K276" i="157"/>
  <c r="L43" i="145"/>
  <c r="K42" i="145"/>
  <c r="L278" i="157" l="1"/>
  <c r="K277" i="157"/>
  <c r="K43" i="145"/>
  <c r="L44" i="145"/>
  <c r="K278" i="157" l="1"/>
  <c r="L279" i="157"/>
  <c r="L45" i="145"/>
  <c r="K44" i="145"/>
  <c r="K279" i="157" l="1"/>
  <c r="L280" i="157"/>
  <c r="L46" i="145"/>
  <c r="K45" i="145"/>
  <c r="L281" i="157" l="1"/>
  <c r="K280" i="157"/>
  <c r="L47" i="145"/>
  <c r="K46" i="145"/>
  <c r="L282" i="157" l="1"/>
  <c r="K281" i="157"/>
  <c r="L48" i="145"/>
  <c r="K47" i="145"/>
  <c r="K282" i="157" l="1"/>
  <c r="L283" i="157"/>
  <c r="L50" i="145"/>
  <c r="L51" i="145" s="1"/>
  <c r="K48" i="145"/>
  <c r="K283" i="157" l="1"/>
  <c r="L284" i="157"/>
  <c r="K51" i="145"/>
  <c r="L52" i="145"/>
  <c r="K50" i="145"/>
  <c r="L285" i="157" l="1"/>
  <c r="K284" i="157"/>
  <c r="K52" i="145"/>
  <c r="L53" i="145"/>
  <c r="L286" i="157" l="1"/>
  <c r="K285" i="157"/>
  <c r="L54" i="145"/>
  <c r="K53" i="145"/>
  <c r="K286" i="157" l="1"/>
  <c r="L287" i="157"/>
  <c r="K54" i="145"/>
  <c r="L56" i="145"/>
  <c r="K287" i="157" l="1"/>
  <c r="L288" i="157"/>
  <c r="L57" i="145"/>
  <c r="K56" i="145"/>
  <c r="L289" i="157" l="1"/>
  <c r="K288" i="157"/>
  <c r="K57" i="145"/>
  <c r="L58" i="145"/>
  <c r="L290" i="157" l="1"/>
  <c r="K289" i="157"/>
  <c r="L59" i="145"/>
  <c r="K58" i="145"/>
  <c r="K290" i="157" l="1"/>
  <c r="L291" i="157"/>
  <c r="K59" i="145"/>
  <c r="L60" i="145"/>
  <c r="K291" i="157" l="1"/>
  <c r="L292" i="157"/>
  <c r="L62" i="145"/>
  <c r="K60" i="145"/>
  <c r="L293" i="157" l="1"/>
  <c r="K292" i="157"/>
  <c r="K62" i="145"/>
  <c r="L63" i="145"/>
  <c r="L294" i="157" l="1"/>
  <c r="K293" i="157"/>
  <c r="K63" i="145"/>
  <c r="L64" i="145"/>
  <c r="K294" i="157" l="1"/>
  <c r="L295" i="157"/>
  <c r="K64" i="145"/>
  <c r="L65" i="145"/>
  <c r="K295" i="157" l="1"/>
  <c r="L296" i="157"/>
  <c r="K65" i="145"/>
  <c r="L66" i="145"/>
  <c r="L297" i="157" l="1"/>
  <c r="K296" i="157"/>
  <c r="K66" i="145"/>
  <c r="L67" i="145"/>
  <c r="L298" i="157" l="1"/>
  <c r="K297" i="157"/>
  <c r="L68" i="145"/>
  <c r="K67" i="145"/>
  <c r="K298" i="157" l="1"/>
  <c r="L299" i="157"/>
  <c r="K68" i="145"/>
  <c r="L69" i="145"/>
  <c r="K299" i="157" l="1"/>
  <c r="L300" i="157"/>
  <c r="K69" i="145"/>
  <c r="L70" i="145"/>
  <c r="L301" i="157" l="1"/>
  <c r="K300" i="157"/>
  <c r="K70" i="145"/>
  <c r="L71" i="145"/>
  <c r="L302" i="157" l="1"/>
  <c r="K301" i="157"/>
  <c r="K71" i="145"/>
  <c r="L72" i="145"/>
  <c r="K302" i="157" l="1"/>
  <c r="L303" i="157"/>
  <c r="K72" i="145"/>
  <c r="L73" i="145"/>
  <c r="K303" i="157" l="1"/>
  <c r="L304" i="157"/>
  <c r="K73" i="145"/>
  <c r="L74" i="145"/>
  <c r="L305" i="157" l="1"/>
  <c r="K304" i="157"/>
  <c r="K74" i="145"/>
  <c r="L75" i="145"/>
  <c r="L306" i="157" l="1"/>
  <c r="K305" i="157"/>
  <c r="L76" i="145"/>
  <c r="K75" i="145"/>
  <c r="K306" i="157" l="1"/>
  <c r="L307" i="157"/>
  <c r="K76" i="145"/>
  <c r="L77" i="145"/>
  <c r="K307" i="157" l="1"/>
  <c r="L308" i="157"/>
  <c r="K77" i="145"/>
  <c r="L78" i="145"/>
  <c r="L309" i="157" l="1"/>
  <c r="K308" i="157"/>
  <c r="K78" i="145"/>
  <c r="L79" i="145"/>
  <c r="L310" i="157" l="1"/>
  <c r="K309" i="157"/>
  <c r="L80" i="145"/>
  <c r="K79" i="145"/>
  <c r="K310" i="157" l="1"/>
  <c r="L311" i="157"/>
  <c r="L81" i="145"/>
  <c r="K80" i="145"/>
  <c r="K311" i="157" l="1"/>
  <c r="L312" i="157"/>
  <c r="L82" i="145"/>
  <c r="K81" i="145"/>
  <c r="L313" i="157" l="1"/>
  <c r="K312" i="157"/>
  <c r="K82" i="145"/>
  <c r="L83" i="145"/>
  <c r="L314" i="157" l="1"/>
  <c r="K313" i="157"/>
  <c r="K83" i="145"/>
  <c r="L84" i="145"/>
  <c r="K314" i="157" l="1"/>
  <c r="L315" i="157"/>
  <c r="K84" i="145"/>
  <c r="L85" i="145"/>
  <c r="K315" i="157" l="1"/>
  <c r="L316" i="157"/>
  <c r="K85" i="145"/>
  <c r="L86" i="145"/>
  <c r="L317" i="157" l="1"/>
  <c r="K316" i="157"/>
  <c r="L87" i="145"/>
  <c r="K86" i="145"/>
  <c r="L318" i="157" l="1"/>
  <c r="K317" i="157"/>
  <c r="L88" i="145"/>
  <c r="K87" i="145"/>
  <c r="K318" i="157" l="1"/>
  <c r="L319" i="157"/>
  <c r="K88" i="145"/>
  <c r="L89" i="145"/>
  <c r="K319" i="157" l="1"/>
  <c r="L320" i="157"/>
  <c r="K89" i="145"/>
  <c r="L90" i="145"/>
  <c r="L321" i="157" l="1"/>
  <c r="K320" i="157"/>
  <c r="K90" i="145"/>
  <c r="L91" i="145"/>
  <c r="L322" i="157" l="1"/>
  <c r="K321" i="157"/>
  <c r="L92" i="145"/>
  <c r="K91" i="145"/>
  <c r="K322" i="157" l="1"/>
  <c r="L323" i="157"/>
  <c r="L93" i="145"/>
  <c r="K92" i="145"/>
  <c r="K323" i="157" l="1"/>
  <c r="L324" i="157"/>
  <c r="K93" i="145"/>
  <c r="L94" i="145"/>
  <c r="L325" i="157" l="1"/>
  <c r="K324" i="157"/>
  <c r="K94" i="145"/>
  <c r="L95" i="145"/>
  <c r="L326" i="157" l="1"/>
  <c r="K325" i="157"/>
  <c r="K95" i="145"/>
  <c r="L96" i="145"/>
  <c r="K326" i="157" l="1"/>
  <c r="L327" i="157"/>
  <c r="K96" i="145"/>
  <c r="L97" i="145"/>
  <c r="K327" i="157" l="1"/>
  <c r="L328" i="157"/>
  <c r="K97" i="145"/>
  <c r="L98" i="145"/>
  <c r="L329" i="157" l="1"/>
  <c r="K328" i="157"/>
  <c r="K98" i="145"/>
  <c r="L99" i="145"/>
  <c r="L330" i="157" l="1"/>
  <c r="K329" i="157"/>
  <c r="L100" i="145"/>
  <c r="K99" i="145"/>
  <c r="K330" i="157" l="1"/>
  <c r="L331" i="157"/>
  <c r="L101" i="145"/>
  <c r="K100" i="145"/>
  <c r="K331" i="157" l="1"/>
  <c r="L332" i="157"/>
  <c r="K101" i="145"/>
  <c r="L102" i="145"/>
  <c r="L333" i="157" l="1"/>
  <c r="K332" i="157"/>
  <c r="K102" i="145"/>
  <c r="L103" i="145"/>
  <c r="L334" i="157" l="1"/>
  <c r="K333" i="157"/>
  <c r="K103" i="145"/>
  <c r="L104" i="145"/>
  <c r="K334" i="157" l="1"/>
  <c r="L335" i="157"/>
  <c r="L105" i="145"/>
  <c r="K104" i="145"/>
  <c r="K335" i="157" l="1"/>
  <c r="L336" i="157"/>
  <c r="K105" i="145"/>
  <c r="L106" i="145"/>
  <c r="L337" i="157" l="1"/>
  <c r="K336" i="157"/>
  <c r="L107" i="145"/>
  <c r="K106" i="145"/>
  <c r="L338" i="157" l="1"/>
  <c r="K337" i="157"/>
  <c r="K107" i="145"/>
  <c r="L108" i="145"/>
  <c r="K338" i="157" l="1"/>
  <c r="L339" i="157"/>
  <c r="K108" i="145"/>
  <c r="L109" i="145"/>
  <c r="K339" i="157" l="1"/>
  <c r="L340" i="157"/>
  <c r="L110" i="145"/>
  <c r="K109" i="145"/>
  <c r="L341" i="157" l="1"/>
  <c r="K340" i="157"/>
  <c r="K110" i="145"/>
  <c r="L111" i="145"/>
  <c r="L342" i="157" l="1"/>
  <c r="K341" i="157"/>
  <c r="L112" i="145"/>
  <c r="K111" i="145"/>
  <c r="K342" i="157" l="1"/>
  <c r="L343" i="157"/>
  <c r="K112" i="145"/>
  <c r="L113" i="145"/>
  <c r="K343" i="157" l="1"/>
  <c r="L344" i="157"/>
  <c r="L114" i="145"/>
  <c r="K113" i="145"/>
  <c r="L345" i="157" l="1"/>
  <c r="K344" i="157"/>
  <c r="L115" i="145"/>
  <c r="K114" i="145"/>
  <c r="L346" i="157" l="1"/>
  <c r="K345" i="157"/>
  <c r="K115" i="145"/>
  <c r="L116" i="145"/>
  <c r="K346" i="157" l="1"/>
  <c r="L347" i="157"/>
  <c r="K116" i="145"/>
  <c r="L117" i="145"/>
  <c r="K347" i="157" l="1"/>
  <c r="L348" i="157"/>
  <c r="L118" i="145"/>
  <c r="K117" i="145"/>
  <c r="L349" i="157" l="1"/>
  <c r="K348" i="157"/>
  <c r="L119" i="145"/>
  <c r="K118" i="145"/>
  <c r="L350" i="157" l="1"/>
  <c r="K349" i="157"/>
  <c r="L120" i="145"/>
  <c r="K119" i="145"/>
  <c r="K350" i="157" l="1"/>
  <c r="L351" i="157"/>
  <c r="L121" i="145"/>
  <c r="K120" i="145"/>
  <c r="K351" i="157" l="1"/>
  <c r="L352" i="157"/>
  <c r="K121" i="145"/>
  <c r="L122" i="145"/>
  <c r="L353" i="157" l="1"/>
  <c r="K352" i="157"/>
  <c r="L123" i="145"/>
  <c r="K122" i="145"/>
  <c r="L354" i="157" l="1"/>
  <c r="K353" i="157"/>
  <c r="K123" i="145"/>
  <c r="L124" i="145"/>
  <c r="M147" i="134"/>
  <c r="M126" i="134"/>
  <c r="M25" i="134"/>
  <c r="M4" i="134"/>
  <c r="K38" i="128"/>
  <c r="L38" i="128" s="1"/>
  <c r="K39" i="128"/>
  <c r="L39" i="128"/>
  <c r="K40" i="128"/>
  <c r="L40" i="128"/>
  <c r="K41" i="128"/>
  <c r="L41" i="128"/>
  <c r="K42" i="128"/>
  <c r="L42" i="128"/>
  <c r="K43" i="128"/>
  <c r="L43" i="128"/>
  <c r="K44" i="128"/>
  <c r="L44" i="128" s="1"/>
  <c r="K45" i="128"/>
  <c r="L45" i="128"/>
  <c r="K46" i="128"/>
  <c r="L46" i="128"/>
  <c r="K47" i="128"/>
  <c r="L47" i="128"/>
  <c r="K48" i="128"/>
  <c r="L48" i="128"/>
  <c r="K49" i="128"/>
  <c r="L49" i="128"/>
  <c r="K50" i="128"/>
  <c r="L50" i="128" s="1"/>
  <c r="K51" i="128"/>
  <c r="L51" i="128"/>
  <c r="K52" i="128"/>
  <c r="L52" i="128"/>
  <c r="K53" i="128"/>
  <c r="L53" i="128"/>
  <c r="K54" i="128"/>
  <c r="L54" i="128"/>
  <c r="K55" i="128"/>
  <c r="L55" i="128"/>
  <c r="K56" i="128"/>
  <c r="L56" i="128" s="1"/>
  <c r="K57" i="128"/>
  <c r="L57" i="128"/>
  <c r="K58" i="128"/>
  <c r="L58" i="128"/>
  <c r="K59" i="128"/>
  <c r="L59" i="128"/>
  <c r="K60" i="128"/>
  <c r="L60" i="128"/>
  <c r="K61" i="128"/>
  <c r="L61" i="128"/>
  <c r="K62" i="128"/>
  <c r="L62" i="128" s="1"/>
  <c r="K63" i="128"/>
  <c r="L63" i="128"/>
  <c r="K64" i="128"/>
  <c r="L64" i="128"/>
  <c r="K65" i="128"/>
  <c r="L65" i="128"/>
  <c r="K66" i="128"/>
  <c r="L66" i="128"/>
  <c r="K67" i="128"/>
  <c r="L67" i="128"/>
  <c r="K68" i="128"/>
  <c r="L68" i="128" s="1"/>
  <c r="K37" i="128"/>
  <c r="L37" i="128" s="1"/>
  <c r="K5" i="128"/>
  <c r="L5" i="128" s="1"/>
  <c r="K6" i="128"/>
  <c r="L6" i="128"/>
  <c r="K7" i="128"/>
  <c r="L7" i="128"/>
  <c r="K8" i="128"/>
  <c r="L8" i="128"/>
  <c r="K9" i="128"/>
  <c r="L9" i="128"/>
  <c r="K10" i="128"/>
  <c r="L10" i="128"/>
  <c r="K11" i="128"/>
  <c r="L11" i="128" s="1"/>
  <c r="K12" i="128"/>
  <c r="L12" i="128"/>
  <c r="K13" i="128"/>
  <c r="L13" i="128"/>
  <c r="K14" i="128"/>
  <c r="L14" i="128"/>
  <c r="K15" i="128"/>
  <c r="L15" i="128"/>
  <c r="K16" i="128"/>
  <c r="L16" i="128"/>
  <c r="K17" i="128"/>
  <c r="L17" i="128" s="1"/>
  <c r="K18" i="128"/>
  <c r="L18" i="128"/>
  <c r="K19" i="128"/>
  <c r="L19" i="128"/>
  <c r="K20" i="128"/>
  <c r="L20" i="128"/>
  <c r="K21" i="128"/>
  <c r="L21" i="128"/>
  <c r="K22" i="128"/>
  <c r="L22" i="128"/>
  <c r="K23" i="128"/>
  <c r="L23" i="128" s="1"/>
  <c r="K24" i="128"/>
  <c r="L24" i="128"/>
  <c r="K25" i="128"/>
  <c r="L25" i="128"/>
  <c r="K26" i="128"/>
  <c r="L26" i="128"/>
  <c r="K27" i="128"/>
  <c r="L27" i="128"/>
  <c r="K28" i="128"/>
  <c r="L28" i="128"/>
  <c r="K29" i="128"/>
  <c r="L29" i="128" s="1"/>
  <c r="K30" i="128"/>
  <c r="L30" i="128"/>
  <c r="K31" i="128"/>
  <c r="L31" i="128"/>
  <c r="K32" i="128"/>
  <c r="L32" i="128"/>
  <c r="K33" i="128"/>
  <c r="L33" i="128"/>
  <c r="K34" i="128"/>
  <c r="L34" i="128"/>
  <c r="K35" i="128"/>
  <c r="L35" i="128" s="1"/>
  <c r="L4" i="128"/>
  <c r="K4" i="128"/>
  <c r="K5" i="140"/>
  <c r="L5" i="140" s="1"/>
  <c r="L4" i="140"/>
  <c r="K4" i="140"/>
  <c r="M126" i="115"/>
  <c r="M92" i="115"/>
  <c r="M4" i="115"/>
  <c r="L6" i="139"/>
  <c r="M6" i="139" s="1"/>
  <c r="L307" i="129"/>
  <c r="M307" i="129" s="1"/>
  <c r="L235" i="129"/>
  <c r="M235" i="129" s="1"/>
  <c r="L552" i="131"/>
  <c r="M552" i="131" s="1"/>
  <c r="L384" i="131"/>
  <c r="M384" i="131" s="1"/>
  <c r="L345" i="131"/>
  <c r="M345" i="131" s="1"/>
  <c r="L270" i="131"/>
  <c r="M270" i="131" s="1"/>
  <c r="L194" i="131"/>
  <c r="M194" i="131" s="1"/>
  <c r="L113" i="131"/>
  <c r="M113" i="131" s="1"/>
  <c r="L6" i="131"/>
  <c r="M6" i="131" s="1"/>
  <c r="K354" i="157" l="1"/>
  <c r="L355" i="157"/>
  <c r="L126" i="145"/>
  <c r="L127" i="145" s="1"/>
  <c r="K124" i="145"/>
  <c r="E35" i="129"/>
  <c r="K355" i="157" l="1"/>
  <c r="L356" i="157"/>
  <c r="L128" i="145"/>
  <c r="L129" i="145" s="1"/>
  <c r="K127" i="145"/>
  <c r="K126" i="145"/>
  <c r="D138" i="141"/>
  <c r="D141" i="141"/>
  <c r="D140" i="141"/>
  <c r="L357" i="157" l="1"/>
  <c r="K356" i="157"/>
  <c r="L130" i="145"/>
  <c r="K130" i="145" s="1"/>
  <c r="K129" i="145"/>
  <c r="K128" i="145"/>
  <c r="D76" i="141"/>
  <c r="J32" i="141"/>
  <c r="D75" i="141"/>
  <c r="D74" i="141"/>
  <c r="D73" i="141"/>
  <c r="D46" i="141"/>
  <c r="D47" i="141"/>
  <c r="D40" i="141"/>
  <c r="D41" i="141"/>
  <c r="D42" i="141"/>
  <c r="D43" i="141"/>
  <c r="D44" i="141"/>
  <c r="D45" i="141"/>
  <c r="D37" i="141"/>
  <c r="D38" i="141"/>
  <c r="D39" i="141"/>
  <c r="D36" i="141"/>
  <c r="L358" i="157" l="1"/>
  <c r="K357" i="157"/>
  <c r="L131" i="145"/>
  <c r="D72" i="141"/>
  <c r="D71" i="141"/>
  <c r="D70" i="141"/>
  <c r="D69" i="141"/>
  <c r="D68" i="141"/>
  <c r="D67" i="141"/>
  <c r="D66" i="141"/>
  <c r="D65" i="141"/>
  <c r="D64" i="141"/>
  <c r="D63" i="141"/>
  <c r="D62" i="141"/>
  <c r="D61" i="141"/>
  <c r="D32" i="141"/>
  <c r="D60" i="141"/>
  <c r="D59" i="141"/>
  <c r="D58" i="141"/>
  <c r="D57" i="141"/>
  <c r="D51" i="141"/>
  <c r="D50" i="141"/>
  <c r="D52" i="141"/>
  <c r="D49" i="141"/>
  <c r="D48" i="141"/>
  <c r="D56" i="141"/>
  <c r="D55" i="141"/>
  <c r="D54" i="141"/>
  <c r="D53" i="141"/>
  <c r="D35" i="141"/>
  <c r="D34" i="141"/>
  <c r="D33" i="141"/>
  <c r="K358" i="157" l="1"/>
  <c r="L359" i="157"/>
  <c r="L132" i="145"/>
  <c r="K131" i="145"/>
  <c r="E388" i="131"/>
  <c r="E399" i="131"/>
  <c r="E410" i="131"/>
  <c r="E421" i="131"/>
  <c r="E432" i="131"/>
  <c r="E443" i="131"/>
  <c r="E454" i="131"/>
  <c r="E465" i="131"/>
  <c r="E476" i="131"/>
  <c r="E542" i="131"/>
  <c r="E531" i="131"/>
  <c r="E520" i="131"/>
  <c r="E509" i="131"/>
  <c r="E498" i="131"/>
  <c r="K359" i="157" l="1"/>
  <c r="L360" i="157"/>
  <c r="L133" i="145"/>
  <c r="K132" i="145"/>
  <c r="D137" i="141"/>
  <c r="L361" i="157" l="1"/>
  <c r="K360" i="157"/>
  <c r="L134" i="145"/>
  <c r="K133" i="145"/>
  <c r="E199" i="139"/>
  <c r="E198" i="139"/>
  <c r="E197" i="139"/>
  <c r="E196" i="139"/>
  <c r="E195" i="139"/>
  <c r="D136" i="141"/>
  <c r="D135" i="141"/>
  <c r="L362" i="157" l="1"/>
  <c r="K361" i="157"/>
  <c r="K134" i="145"/>
  <c r="L135" i="145"/>
  <c r="E56" i="138"/>
  <c r="E61" i="138"/>
  <c r="E60" i="138"/>
  <c r="E59" i="138"/>
  <c r="E58" i="138"/>
  <c r="E57" i="138"/>
  <c r="E55" i="138"/>
  <c r="K362" i="157" l="1"/>
  <c r="L363" i="157"/>
  <c r="L136" i="145"/>
  <c r="K135" i="145"/>
  <c r="E12" i="138"/>
  <c r="E13" i="138"/>
  <c r="K363" i="157" l="1"/>
  <c r="L364" i="157"/>
  <c r="K136" i="145"/>
  <c r="L137" i="145"/>
  <c r="E114" i="129"/>
  <c r="E115" i="129"/>
  <c r="E116" i="129"/>
  <c r="E117" i="129"/>
  <c r="E91" i="129"/>
  <c r="E74" i="129"/>
  <c r="E62" i="129"/>
  <c r="E63" i="129"/>
  <c r="E64" i="129"/>
  <c r="E65" i="129"/>
  <c r="E66" i="129"/>
  <c r="E67" i="129"/>
  <c r="E68" i="129"/>
  <c r="E69" i="129"/>
  <c r="E70" i="129"/>
  <c r="E71" i="129"/>
  <c r="E72" i="129"/>
  <c r="E73" i="129"/>
  <c r="L365" i="157" l="1"/>
  <c r="K364" i="157"/>
  <c r="K137" i="145"/>
  <c r="L138" i="145"/>
  <c r="E147" i="134"/>
  <c r="E140" i="134"/>
  <c r="E141" i="134"/>
  <c r="E142" i="134"/>
  <c r="E143" i="134"/>
  <c r="E144" i="134"/>
  <c r="E145" i="134"/>
  <c r="L366" i="157" l="1"/>
  <c r="K365" i="157"/>
  <c r="L139" i="145"/>
  <c r="K138" i="145"/>
  <c r="E122" i="139"/>
  <c r="E121" i="139"/>
  <c r="E120" i="139"/>
  <c r="E119" i="139"/>
  <c r="E118" i="139"/>
  <c r="E117" i="139"/>
  <c r="E116" i="139"/>
  <c r="E128" i="139"/>
  <c r="E115" i="139"/>
  <c r="E114" i="139"/>
  <c r="E113" i="139"/>
  <c r="E112" i="139"/>
  <c r="E111" i="139"/>
  <c r="E108" i="139"/>
  <c r="E109" i="139"/>
  <c r="E110" i="139"/>
  <c r="E123" i="139"/>
  <c r="E124" i="139"/>
  <c r="E125" i="139"/>
  <c r="E126" i="139"/>
  <c r="E127" i="139"/>
  <c r="E129" i="139"/>
  <c r="E107" i="139"/>
  <c r="E106" i="139"/>
  <c r="E105" i="139"/>
  <c r="E104" i="139"/>
  <c r="E103" i="139"/>
  <c r="E102" i="139"/>
  <c r="E101" i="139"/>
  <c r="K366" i="157" l="1"/>
  <c r="L367" i="157"/>
  <c r="L140" i="145"/>
  <c r="K139" i="145"/>
  <c r="E62" i="139"/>
  <c r="E63" i="139"/>
  <c r="E64" i="139"/>
  <c r="E65" i="139"/>
  <c r="E66" i="139"/>
  <c r="E67" i="139"/>
  <c r="E68" i="139"/>
  <c r="E69" i="139"/>
  <c r="E70" i="139"/>
  <c r="E71" i="139"/>
  <c r="E72" i="139"/>
  <c r="E73" i="139"/>
  <c r="E74" i="139"/>
  <c r="E75" i="139"/>
  <c r="E76" i="139"/>
  <c r="E77" i="139"/>
  <c r="E78" i="139"/>
  <c r="E79" i="139"/>
  <c r="E80" i="139"/>
  <c r="E81" i="139"/>
  <c r="E82" i="139"/>
  <c r="E83" i="139"/>
  <c r="E84" i="139"/>
  <c r="E85" i="139"/>
  <c r="E86" i="139"/>
  <c r="E87" i="139"/>
  <c r="E88" i="139"/>
  <c r="E89" i="139"/>
  <c r="E90" i="139"/>
  <c r="E91" i="139"/>
  <c r="E92" i="139"/>
  <c r="E93" i="139"/>
  <c r="E94" i="139"/>
  <c r="E95" i="139"/>
  <c r="E96" i="139"/>
  <c r="E97" i="139"/>
  <c r="E98" i="139"/>
  <c r="E99" i="139"/>
  <c r="E100" i="139"/>
  <c r="E61" i="139"/>
  <c r="E37" i="139"/>
  <c r="E38" i="139"/>
  <c r="E39" i="139"/>
  <c r="E40" i="139"/>
  <c r="E41" i="139"/>
  <c r="E42" i="139"/>
  <c r="E43" i="139"/>
  <c r="E44" i="139"/>
  <c r="K367" i="157" l="1"/>
  <c r="L368" i="157"/>
  <c r="K140" i="145"/>
  <c r="L141" i="145"/>
  <c r="E18" i="131"/>
  <c r="L369" i="157" l="1"/>
  <c r="K368" i="157"/>
  <c r="L142" i="145"/>
  <c r="K141" i="145"/>
  <c r="L370" i="157" l="1"/>
  <c r="K369" i="157"/>
  <c r="L143" i="145"/>
  <c r="K142" i="145"/>
  <c r="E123" i="115"/>
  <c r="K370" i="157" l="1"/>
  <c r="L372" i="157"/>
  <c r="L144" i="145"/>
  <c r="K143" i="145"/>
  <c r="K372" i="157" l="1"/>
  <c r="L373" i="157"/>
  <c r="K144" i="145"/>
  <c r="L145" i="145"/>
  <c r="D133" i="141"/>
  <c r="D132" i="141"/>
  <c r="L374" i="157" l="1"/>
  <c r="K373" i="157"/>
  <c r="L146" i="145"/>
  <c r="K145" i="145"/>
  <c r="E88" i="115"/>
  <c r="E87" i="115"/>
  <c r="E86" i="115"/>
  <c r="E85" i="115"/>
  <c r="E84" i="115"/>
  <c r="E83" i="115"/>
  <c r="E82" i="115"/>
  <c r="E81" i="115"/>
  <c r="E80" i="115"/>
  <c r="E79" i="115"/>
  <c r="E78" i="115"/>
  <c r="E77" i="115"/>
  <c r="E76" i="115"/>
  <c r="E75" i="115"/>
  <c r="E74" i="115"/>
  <c r="E72" i="115"/>
  <c r="E71" i="115"/>
  <c r="E65" i="115"/>
  <c r="E68" i="115"/>
  <c r="E67" i="115"/>
  <c r="E66" i="115"/>
  <c r="E70" i="115"/>
  <c r="E69" i="115"/>
  <c r="E64" i="115"/>
  <c r="E63" i="115"/>
  <c r="E62" i="115"/>
  <c r="E61" i="115"/>
  <c r="L376" i="157" l="1"/>
  <c r="K374" i="157"/>
  <c r="L147" i="145"/>
  <c r="K146" i="145"/>
  <c r="E316" i="129"/>
  <c r="E315" i="129"/>
  <c r="E314" i="129"/>
  <c r="E313" i="129"/>
  <c r="E318" i="129"/>
  <c r="E328" i="129"/>
  <c r="E327" i="129"/>
  <c r="E326" i="129"/>
  <c r="E325" i="129"/>
  <c r="E324" i="129"/>
  <c r="E317" i="129"/>
  <c r="E309" i="129"/>
  <c r="E307" i="129"/>
  <c r="K308" i="129" s="1"/>
  <c r="E547" i="131"/>
  <c r="E546" i="131"/>
  <c r="E543" i="131"/>
  <c r="E538" i="131"/>
  <c r="E536" i="131"/>
  <c r="E535" i="131"/>
  <c r="E532" i="131"/>
  <c r="E527" i="131"/>
  <c r="E525" i="131"/>
  <c r="E524" i="131"/>
  <c r="E521" i="131"/>
  <c r="E516" i="131"/>
  <c r="E514" i="131"/>
  <c r="E513" i="131"/>
  <c r="E510" i="131"/>
  <c r="E505" i="131"/>
  <c r="E503" i="131"/>
  <c r="E502" i="131"/>
  <c r="E499" i="131"/>
  <c r="E494" i="131"/>
  <c r="E492" i="131"/>
  <c r="E491" i="131"/>
  <c r="E488" i="131"/>
  <c r="E487" i="131"/>
  <c r="E483" i="131"/>
  <c r="E481" i="131"/>
  <c r="E480" i="131"/>
  <c r="E477" i="131"/>
  <c r="E472" i="131"/>
  <c r="E470" i="131"/>
  <c r="E469" i="131"/>
  <c r="E466" i="131"/>
  <c r="E461" i="131"/>
  <c r="E459" i="131"/>
  <c r="E458" i="131"/>
  <c r="E455" i="131"/>
  <c r="E450" i="131"/>
  <c r="E448" i="131"/>
  <c r="E447" i="131"/>
  <c r="E444" i="131"/>
  <c r="E439" i="131"/>
  <c r="E437" i="131"/>
  <c r="E436" i="131"/>
  <c r="E433" i="131"/>
  <c r="E428" i="131"/>
  <c r="E426" i="131"/>
  <c r="E425" i="131"/>
  <c r="E422" i="131"/>
  <c r="E417" i="131"/>
  <c r="E415" i="131"/>
  <c r="E414" i="131"/>
  <c r="E411" i="131"/>
  <c r="E406" i="131"/>
  <c r="E404" i="131"/>
  <c r="E403" i="131"/>
  <c r="E400" i="131"/>
  <c r="E395" i="131"/>
  <c r="E393" i="131"/>
  <c r="E392" i="131"/>
  <c r="E390" i="131"/>
  <c r="E389" i="131"/>
  <c r="E385" i="131"/>
  <c r="E384" i="131"/>
  <c r="K385" i="131" s="1"/>
  <c r="K387" i="131" s="1"/>
  <c r="L387" i="131" s="1"/>
  <c r="M387" i="131" s="1"/>
  <c r="E373" i="131"/>
  <c r="E364" i="131"/>
  <c r="E355" i="131"/>
  <c r="E346" i="131"/>
  <c r="K376" i="157" l="1"/>
  <c r="L377" i="157"/>
  <c r="L308" i="129"/>
  <c r="M308" i="129" s="1"/>
  <c r="K309" i="129"/>
  <c r="L385" i="131"/>
  <c r="M385" i="131" s="1"/>
  <c r="K147" i="145"/>
  <c r="L148" i="145"/>
  <c r="E378" i="131"/>
  <c r="E377" i="131"/>
  <c r="E376" i="131"/>
  <c r="E375" i="131"/>
  <c r="E374" i="131"/>
  <c r="E372" i="131"/>
  <c r="E369" i="131"/>
  <c r="E368" i="131"/>
  <c r="E367" i="131"/>
  <c r="E366" i="131"/>
  <c r="E365" i="131"/>
  <c r="E363" i="131"/>
  <c r="E360" i="131"/>
  <c r="E359" i="131"/>
  <c r="E358" i="131"/>
  <c r="E357" i="131"/>
  <c r="E356" i="131"/>
  <c r="E354" i="131"/>
  <c r="E347" i="131"/>
  <c r="E348" i="131"/>
  <c r="E349" i="131"/>
  <c r="E350" i="131"/>
  <c r="E351" i="131"/>
  <c r="E352" i="131"/>
  <c r="E345" i="131"/>
  <c r="K346" i="131" s="1"/>
  <c r="K377" i="157" l="1"/>
  <c r="L378" i="157"/>
  <c r="K310" i="129"/>
  <c r="L309" i="129"/>
  <c r="M309" i="129" s="1"/>
  <c r="K388" i="131"/>
  <c r="K347" i="131"/>
  <c r="L347" i="131" s="1"/>
  <c r="M347" i="131" s="1"/>
  <c r="L346" i="131"/>
  <c r="M346" i="131" s="1"/>
  <c r="K148" i="145"/>
  <c r="L150" i="145"/>
  <c r="K348" i="131"/>
  <c r="D130" i="141"/>
  <c r="D129" i="141"/>
  <c r="D128" i="141"/>
  <c r="D127" i="141"/>
  <c r="D126" i="141"/>
  <c r="D125" i="141"/>
  <c r="D124" i="141"/>
  <c r="D123" i="141"/>
  <c r="D122" i="141"/>
  <c r="D121" i="141"/>
  <c r="D120" i="141"/>
  <c r="D119" i="141"/>
  <c r="D118" i="141"/>
  <c r="D117" i="141"/>
  <c r="D116" i="141"/>
  <c r="D115" i="141"/>
  <c r="D114" i="141"/>
  <c r="D113" i="141"/>
  <c r="D112" i="141"/>
  <c r="D111" i="141"/>
  <c r="D110" i="141"/>
  <c r="D108" i="141"/>
  <c r="D107" i="141"/>
  <c r="D106" i="141"/>
  <c r="D105" i="141"/>
  <c r="D104" i="141"/>
  <c r="D103" i="141"/>
  <c r="D102" i="141"/>
  <c r="D101" i="141"/>
  <c r="D100" i="141"/>
  <c r="D99" i="141"/>
  <c r="D98" i="141"/>
  <c r="D97" i="141"/>
  <c r="D95" i="141"/>
  <c r="D94" i="141"/>
  <c r="D93" i="141"/>
  <c r="D91" i="141"/>
  <c r="D90" i="141"/>
  <c r="D89" i="141"/>
  <c r="D88" i="141"/>
  <c r="D87" i="141"/>
  <c r="D86" i="141"/>
  <c r="D85" i="141"/>
  <c r="D84" i="141"/>
  <c r="D83" i="141"/>
  <c r="D82" i="141"/>
  <c r="D81" i="141"/>
  <c r="D80" i="141"/>
  <c r="J81" i="141" s="1"/>
  <c r="D30" i="141"/>
  <c r="D29" i="141"/>
  <c r="D28" i="141"/>
  <c r="D27" i="141"/>
  <c r="D26" i="141"/>
  <c r="D25" i="141"/>
  <c r="D24" i="141"/>
  <c r="D23" i="141"/>
  <c r="D22" i="141"/>
  <c r="D21" i="141"/>
  <c r="D20" i="141"/>
  <c r="D19" i="141"/>
  <c r="D18" i="141"/>
  <c r="D17" i="141"/>
  <c r="D16" i="141"/>
  <c r="D15" i="141"/>
  <c r="D14" i="141"/>
  <c r="D13" i="141"/>
  <c r="D12" i="141"/>
  <c r="D11" i="141"/>
  <c r="D10" i="141"/>
  <c r="D8" i="141"/>
  <c r="D7" i="141"/>
  <c r="D6" i="141"/>
  <c r="D5" i="141"/>
  <c r="J6" i="141" s="1"/>
  <c r="J5" i="140"/>
  <c r="J6" i="140" s="1"/>
  <c r="L379" i="157" l="1"/>
  <c r="K378" i="157"/>
  <c r="L310" i="129"/>
  <c r="M310" i="129" s="1"/>
  <c r="K311" i="129"/>
  <c r="J7" i="140"/>
  <c r="K6" i="140"/>
  <c r="L6" i="140" s="1"/>
  <c r="L388" i="131"/>
  <c r="M388" i="131" s="1"/>
  <c r="K389" i="131"/>
  <c r="K390" i="131" s="1"/>
  <c r="L390" i="131" s="1"/>
  <c r="M390" i="131" s="1"/>
  <c r="K349" i="131"/>
  <c r="L348" i="131"/>
  <c r="M348" i="131" s="1"/>
  <c r="L151" i="145"/>
  <c r="K150" i="145"/>
  <c r="J7" i="141"/>
  <c r="J8" i="141" s="1"/>
  <c r="J10" i="141" s="1"/>
  <c r="J11" i="141" s="1"/>
  <c r="J12" i="141" s="1"/>
  <c r="J13" i="141" s="1"/>
  <c r="J14" i="141" s="1"/>
  <c r="J15" i="141" s="1"/>
  <c r="J16" i="141" s="1"/>
  <c r="J17" i="141" s="1"/>
  <c r="J18" i="141" s="1"/>
  <c r="J19" i="141" s="1"/>
  <c r="J20" i="141" s="1"/>
  <c r="J21" i="141" s="1"/>
  <c r="J22" i="141" s="1"/>
  <c r="J23" i="141" s="1"/>
  <c r="J24" i="141" s="1"/>
  <c r="J25" i="141" s="1"/>
  <c r="J26" i="141" s="1"/>
  <c r="J27" i="141" s="1"/>
  <c r="J28" i="141" s="1"/>
  <c r="J29" i="141" s="1"/>
  <c r="J30" i="141" s="1"/>
  <c r="J33" i="141" s="1"/>
  <c r="J34" i="141" s="1"/>
  <c r="J35" i="141" s="1"/>
  <c r="J82" i="141"/>
  <c r="J83" i="141" s="1"/>
  <c r="J84" i="141" s="1"/>
  <c r="J85" i="141" s="1"/>
  <c r="J86" i="141" s="1"/>
  <c r="J87" i="141" s="1"/>
  <c r="J88" i="141" s="1"/>
  <c r="J89" i="141" s="1"/>
  <c r="J90" i="141" s="1"/>
  <c r="J91" i="141" s="1"/>
  <c r="J93" i="141" s="1"/>
  <c r="J94" i="141" s="1"/>
  <c r="J95" i="141" s="1"/>
  <c r="J97" i="141" s="1"/>
  <c r="J98" i="141" s="1"/>
  <c r="J99" i="141" s="1"/>
  <c r="J100" i="141" s="1"/>
  <c r="J101" i="141" s="1"/>
  <c r="J102" i="141" s="1"/>
  <c r="J103" i="141" s="1"/>
  <c r="J104" i="141" s="1"/>
  <c r="J105" i="141" s="1"/>
  <c r="J106" i="141" s="1"/>
  <c r="J107" i="141" s="1"/>
  <c r="J108" i="141" s="1"/>
  <c r="J110" i="141" s="1"/>
  <c r="J111" i="141" s="1"/>
  <c r="J112" i="141" s="1"/>
  <c r="J113" i="141" s="1"/>
  <c r="J114" i="141" s="1"/>
  <c r="J115" i="141" s="1"/>
  <c r="J116" i="141" s="1"/>
  <c r="J117" i="141" s="1"/>
  <c r="J118" i="141" s="1"/>
  <c r="J119" i="141" s="1"/>
  <c r="J120" i="141" s="1"/>
  <c r="J121" i="141" s="1"/>
  <c r="J122" i="141" s="1"/>
  <c r="J123" i="141" s="1"/>
  <c r="J124" i="141" s="1"/>
  <c r="J125" i="141" s="1"/>
  <c r="J126" i="141" s="1"/>
  <c r="J127" i="141" s="1"/>
  <c r="J128" i="141" s="1"/>
  <c r="J129" i="141" s="1"/>
  <c r="J130" i="141" s="1"/>
  <c r="J132" i="141" s="1"/>
  <c r="J133" i="141" s="1"/>
  <c r="J135" i="141" s="1"/>
  <c r="J136" i="141" s="1"/>
  <c r="J137" i="141" s="1"/>
  <c r="L380" i="157" l="1"/>
  <c r="K379" i="157"/>
  <c r="L311" i="129"/>
  <c r="M311" i="129" s="1"/>
  <c r="K312" i="129"/>
  <c r="J8" i="140"/>
  <c r="K7" i="140"/>
  <c r="L7" i="140" s="1"/>
  <c r="L389" i="131"/>
  <c r="M389" i="131" s="1"/>
  <c r="K350" i="131"/>
  <c r="L349" i="131"/>
  <c r="M349" i="131" s="1"/>
  <c r="L152" i="145"/>
  <c r="K151" i="145"/>
  <c r="J138" i="141"/>
  <c r="J140" i="141" s="1"/>
  <c r="J141" i="141" s="1"/>
  <c r="J143" i="141" s="1"/>
  <c r="J144" i="141" s="1"/>
  <c r="J145" i="141" s="1"/>
  <c r="J36" i="141"/>
  <c r="J37" i="141" s="1"/>
  <c r="J38" i="141" s="1"/>
  <c r="J39" i="141" s="1"/>
  <c r="J40" i="141" s="1"/>
  <c r="J41" i="141" s="1"/>
  <c r="J42" i="141" s="1"/>
  <c r="J43" i="141" s="1"/>
  <c r="J44" i="141" s="1"/>
  <c r="J45" i="141" s="1"/>
  <c r="J46" i="141" s="1"/>
  <c r="J47" i="141" s="1"/>
  <c r="J48" i="141" s="1"/>
  <c r="J49" i="141" s="1"/>
  <c r="J50" i="141" s="1"/>
  <c r="J51" i="141" s="1"/>
  <c r="J52" i="141" s="1"/>
  <c r="J53" i="141" s="1"/>
  <c r="J54" i="141" s="1"/>
  <c r="J55" i="141" s="1"/>
  <c r="J56" i="141" s="1"/>
  <c r="J57" i="141" s="1"/>
  <c r="J58" i="141" s="1"/>
  <c r="J59" i="141" s="1"/>
  <c r="J60" i="141" s="1"/>
  <c r="J61" i="141" s="1"/>
  <c r="J62" i="141" s="1"/>
  <c r="J63" i="141" s="1"/>
  <c r="J64" i="141" s="1"/>
  <c r="J65" i="141" s="1"/>
  <c r="J66" i="141" s="1"/>
  <c r="J67" i="141" s="1"/>
  <c r="J68" i="141" s="1"/>
  <c r="J69" i="141" s="1"/>
  <c r="J70" i="141" s="1"/>
  <c r="J71" i="141" s="1"/>
  <c r="J72" i="141" s="1"/>
  <c r="J73" i="141" s="1"/>
  <c r="J74" i="141" s="1"/>
  <c r="J75" i="141" s="1"/>
  <c r="J76" i="141" s="1"/>
  <c r="E49" i="138"/>
  <c r="E50" i="138"/>
  <c r="E51" i="138"/>
  <c r="E52" i="138"/>
  <c r="E53" i="138"/>
  <c r="E48" i="138"/>
  <c r="K380" i="157" l="1"/>
  <c r="L381" i="157"/>
  <c r="J164" i="141"/>
  <c r="J165" i="141" s="1"/>
  <c r="J169" i="141" s="1"/>
  <c r="J170" i="141" s="1"/>
  <c r="J171" i="141" s="1"/>
  <c r="J148" i="141"/>
  <c r="J149" i="141" s="1"/>
  <c r="J150" i="141" s="1"/>
  <c r="J151" i="141" s="1"/>
  <c r="J152" i="141" s="1"/>
  <c r="J153" i="141" s="1"/>
  <c r="J155" i="141" s="1"/>
  <c r="J156" i="141" s="1"/>
  <c r="J157" i="141" s="1"/>
  <c r="J158" i="141" s="1"/>
  <c r="J159" i="141" s="1"/>
  <c r="J160" i="141" s="1"/>
  <c r="J162" i="141" s="1"/>
  <c r="K313" i="129"/>
  <c r="L312" i="129"/>
  <c r="M312" i="129" s="1"/>
  <c r="J9" i="140"/>
  <c r="K8" i="140"/>
  <c r="L8" i="140" s="1"/>
  <c r="K392" i="131"/>
  <c r="K351" i="131"/>
  <c r="L350" i="131"/>
  <c r="M350" i="131" s="1"/>
  <c r="K152" i="145"/>
  <c r="L153" i="145"/>
  <c r="K381" i="157" l="1"/>
  <c r="L382" i="157"/>
  <c r="K314" i="129"/>
  <c r="L313" i="129"/>
  <c r="M313" i="129" s="1"/>
  <c r="J10" i="140"/>
  <c r="K9" i="140"/>
  <c r="L9" i="140" s="1"/>
  <c r="K393" i="131"/>
  <c r="L392" i="131"/>
  <c r="M392" i="131" s="1"/>
  <c r="K352" i="131"/>
  <c r="L351" i="131"/>
  <c r="M351" i="131" s="1"/>
  <c r="L154" i="145"/>
  <c r="K153" i="145"/>
  <c r="E38" i="129"/>
  <c r="L383" i="157" l="1"/>
  <c r="K382" i="157"/>
  <c r="L314" i="129"/>
  <c r="M314" i="129" s="1"/>
  <c r="K315" i="129"/>
  <c r="J11" i="140"/>
  <c r="K10" i="140"/>
  <c r="L10" i="140" s="1"/>
  <c r="L393" i="131"/>
  <c r="M393" i="131" s="1"/>
  <c r="K395" i="131"/>
  <c r="K396" i="131" s="1"/>
  <c r="K354" i="131"/>
  <c r="L352" i="131"/>
  <c r="M352" i="131" s="1"/>
  <c r="L155" i="145"/>
  <c r="K154" i="145"/>
  <c r="D358" i="129"/>
  <c r="D359" i="129" s="1"/>
  <c r="D360" i="129" s="1"/>
  <c r="D361" i="129" s="1"/>
  <c r="D362" i="129" s="1"/>
  <c r="D363" i="129" s="1"/>
  <c r="D364" i="129" s="1"/>
  <c r="D365" i="129" s="1"/>
  <c r="D366" i="129" s="1"/>
  <c r="D367" i="129" s="1"/>
  <c r="D368" i="129" s="1"/>
  <c r="D369" i="129" s="1"/>
  <c r="D370" i="129" s="1"/>
  <c r="D371" i="129" s="1"/>
  <c r="D372" i="129" s="1"/>
  <c r="D373" i="129" s="1"/>
  <c r="D374" i="129" s="1"/>
  <c r="D375" i="129" s="1"/>
  <c r="D376" i="129" s="1"/>
  <c r="D377" i="129" s="1"/>
  <c r="D378" i="129" s="1"/>
  <c r="D379" i="129" s="1"/>
  <c r="D380" i="129" s="1"/>
  <c r="D381" i="129" s="1"/>
  <c r="D382" i="129" s="1"/>
  <c r="D383" i="129" s="1"/>
  <c r="D384" i="129" s="1"/>
  <c r="D385" i="129" s="1"/>
  <c r="D386" i="129" s="1"/>
  <c r="D387" i="129" s="1"/>
  <c r="D388" i="129" s="1"/>
  <c r="D389" i="129" s="1"/>
  <c r="D390" i="129" s="1"/>
  <c r="D391" i="129" s="1"/>
  <c r="D392" i="129" s="1"/>
  <c r="D393" i="129" s="1"/>
  <c r="L384" i="157" l="1"/>
  <c r="K383" i="157"/>
  <c r="L396" i="131"/>
  <c r="M396" i="131" s="1"/>
  <c r="K398" i="131"/>
  <c r="L398" i="131" s="1"/>
  <c r="M398" i="131" s="1"/>
  <c r="K316" i="129"/>
  <c r="L315" i="129"/>
  <c r="M315" i="129" s="1"/>
  <c r="J12" i="140"/>
  <c r="K11" i="140"/>
  <c r="L11" i="140" s="1"/>
  <c r="L395" i="131"/>
  <c r="M395" i="131" s="1"/>
  <c r="L354" i="131"/>
  <c r="M354" i="131" s="1"/>
  <c r="K355" i="131"/>
  <c r="L156" i="145"/>
  <c r="K155" i="145"/>
  <c r="E139" i="131"/>
  <c r="E92" i="131"/>
  <c r="E227" i="131"/>
  <c r="E259" i="131"/>
  <c r="E257" i="131"/>
  <c r="E256" i="131"/>
  <c r="K384" i="157" l="1"/>
  <c r="L385" i="157"/>
  <c r="L316" i="129"/>
  <c r="M316" i="129" s="1"/>
  <c r="K317" i="129"/>
  <c r="J13" i="140"/>
  <c r="K12" i="140"/>
  <c r="L12" i="140" s="1"/>
  <c r="K356" i="131"/>
  <c r="L355" i="131"/>
  <c r="M355" i="131" s="1"/>
  <c r="L157" i="145"/>
  <c r="K156" i="145"/>
  <c r="E58" i="139"/>
  <c r="E52" i="139"/>
  <c r="K385" i="157" l="1"/>
  <c r="L386" i="157"/>
  <c r="L317" i="129"/>
  <c r="M317" i="129" s="1"/>
  <c r="K318" i="129"/>
  <c r="K319" i="129" s="1"/>
  <c r="K320" i="129" s="1"/>
  <c r="K321" i="129" s="1"/>
  <c r="K322" i="129" s="1"/>
  <c r="K323" i="129" s="1"/>
  <c r="K324" i="129" s="1"/>
  <c r="K325" i="129" s="1"/>
  <c r="K326" i="129" s="1"/>
  <c r="K327" i="129" s="1"/>
  <c r="K328" i="129" s="1"/>
  <c r="J14" i="140"/>
  <c r="K13" i="140"/>
  <c r="L13" i="140" s="1"/>
  <c r="K399" i="131"/>
  <c r="K357" i="131"/>
  <c r="L356" i="131"/>
  <c r="M356" i="131" s="1"/>
  <c r="L158" i="145"/>
  <c r="K157" i="145"/>
  <c r="L387" i="157" l="1"/>
  <c r="K386" i="157"/>
  <c r="L319" i="129"/>
  <c r="M319" i="129" s="1"/>
  <c r="L318" i="129"/>
  <c r="M318" i="129" s="1"/>
  <c r="J15" i="140"/>
  <c r="K14" i="140"/>
  <c r="L14" i="140" s="1"/>
  <c r="K400" i="131"/>
  <c r="K401" i="131" s="1"/>
  <c r="L401" i="131" s="1"/>
  <c r="M401" i="131" s="1"/>
  <c r="L399" i="131"/>
  <c r="M399" i="131" s="1"/>
  <c r="K358" i="131"/>
  <c r="L357" i="131"/>
  <c r="M357" i="131" s="1"/>
  <c r="K158" i="145"/>
  <c r="L159" i="145"/>
  <c r="L388" i="157" l="1"/>
  <c r="K387" i="157"/>
  <c r="L320" i="129"/>
  <c r="M320" i="129" s="1"/>
  <c r="J16" i="140"/>
  <c r="K15" i="140"/>
  <c r="L15" i="140" s="1"/>
  <c r="L400" i="131"/>
  <c r="M400" i="131" s="1"/>
  <c r="K359" i="131"/>
  <c r="L358" i="131"/>
  <c r="M358" i="131" s="1"/>
  <c r="L160" i="145"/>
  <c r="K159" i="145"/>
  <c r="E299" i="129"/>
  <c r="E298" i="129"/>
  <c r="E297" i="129"/>
  <c r="E296" i="129"/>
  <c r="E295" i="129"/>
  <c r="E294" i="129"/>
  <c r="E293" i="129"/>
  <c r="E292" i="129"/>
  <c r="E291" i="129"/>
  <c r="E290" i="129"/>
  <c r="E289" i="129"/>
  <c r="E288" i="129"/>
  <c r="E287" i="129"/>
  <c r="E286" i="129"/>
  <c r="E285" i="129"/>
  <c r="E284" i="129"/>
  <c r="E283" i="129"/>
  <c r="E282" i="129"/>
  <c r="E281" i="129"/>
  <c r="E280" i="129"/>
  <c r="E279" i="129"/>
  <c r="E278" i="129"/>
  <c r="E277" i="129"/>
  <c r="E276" i="129"/>
  <c r="E275" i="129"/>
  <c r="E274" i="129"/>
  <c r="E273" i="129"/>
  <c r="E272" i="129"/>
  <c r="E271" i="129"/>
  <c r="E270" i="129"/>
  <c r="K388" i="157" l="1"/>
  <c r="L389" i="157"/>
  <c r="L321" i="129"/>
  <c r="M321" i="129" s="1"/>
  <c r="J17" i="140"/>
  <c r="K16" i="140"/>
  <c r="L16" i="140" s="1"/>
  <c r="K403" i="131"/>
  <c r="K360" i="131"/>
  <c r="K361" i="131" s="1"/>
  <c r="L361" i="131" s="1"/>
  <c r="M361" i="131" s="1"/>
  <c r="L359" i="131"/>
  <c r="M359" i="131" s="1"/>
  <c r="K160" i="145"/>
  <c r="L162" i="145"/>
  <c r="E193" i="139"/>
  <c r="E192" i="139"/>
  <c r="E191" i="139"/>
  <c r="E189" i="139"/>
  <c r="E188" i="139"/>
  <c r="E187" i="139"/>
  <c r="E186" i="139"/>
  <c r="E185" i="139"/>
  <c r="E184" i="139"/>
  <c r="E183" i="139"/>
  <c r="E182" i="139"/>
  <c r="E181" i="139"/>
  <c r="E180" i="139"/>
  <c r="E179" i="139"/>
  <c r="E178" i="139"/>
  <c r="E177" i="139"/>
  <c r="E176" i="139"/>
  <c r="E175" i="139"/>
  <c r="E174" i="139"/>
  <c r="E172" i="139"/>
  <c r="E171" i="139"/>
  <c r="E170" i="139"/>
  <c r="E169" i="139"/>
  <c r="E168" i="139"/>
  <c r="E167" i="139"/>
  <c r="E166" i="139"/>
  <c r="E165" i="139"/>
  <c r="E164" i="139"/>
  <c r="E163" i="139"/>
  <c r="E162" i="139"/>
  <c r="E161" i="139"/>
  <c r="E159" i="139"/>
  <c r="E158" i="139"/>
  <c r="E157" i="139"/>
  <c r="E156" i="139"/>
  <c r="E155" i="139"/>
  <c r="E154" i="139"/>
  <c r="E153" i="139"/>
  <c r="E152" i="139"/>
  <c r="E151" i="139"/>
  <c r="E150" i="139"/>
  <c r="E149" i="139"/>
  <c r="E148" i="139"/>
  <c r="E146" i="139"/>
  <c r="E145" i="139"/>
  <c r="E144" i="139"/>
  <c r="E143" i="139"/>
  <c r="E142" i="139"/>
  <c r="E141" i="139"/>
  <c r="E140" i="139"/>
  <c r="E139" i="139"/>
  <c r="E138" i="139"/>
  <c r="E137" i="139"/>
  <c r="E136" i="139"/>
  <c r="E135" i="139"/>
  <c r="E134" i="139"/>
  <c r="E133" i="139"/>
  <c r="E132" i="139"/>
  <c r="E131" i="139"/>
  <c r="E59" i="139"/>
  <c r="E57" i="139"/>
  <c r="E56" i="139"/>
  <c r="E55" i="139"/>
  <c r="E54" i="139"/>
  <c r="E53" i="139"/>
  <c r="E51" i="139"/>
  <c r="E50" i="139"/>
  <c r="E49" i="139"/>
  <c r="E48" i="139"/>
  <c r="E47" i="139"/>
  <c r="E46" i="139"/>
  <c r="E36" i="139"/>
  <c r="E35" i="139"/>
  <c r="E34" i="139"/>
  <c r="E33" i="139"/>
  <c r="E32" i="139"/>
  <c r="E31" i="139"/>
  <c r="E30" i="139"/>
  <c r="E29" i="139"/>
  <c r="E28" i="139"/>
  <c r="E27" i="139"/>
  <c r="E26" i="139"/>
  <c r="E25" i="139"/>
  <c r="E24" i="139"/>
  <c r="E23" i="139"/>
  <c r="E22" i="139"/>
  <c r="E21" i="139"/>
  <c r="E20" i="139"/>
  <c r="E19" i="139"/>
  <c r="E18" i="139"/>
  <c r="E17" i="139"/>
  <c r="E16" i="139"/>
  <c r="E15" i="139"/>
  <c r="E14" i="139"/>
  <c r="E13" i="139"/>
  <c r="E11" i="139"/>
  <c r="E10" i="139"/>
  <c r="E9" i="139"/>
  <c r="E8" i="139"/>
  <c r="E7" i="139"/>
  <c r="E6" i="139"/>
  <c r="K7" i="139" s="1"/>
  <c r="K389" i="157" l="1"/>
  <c r="L390" i="157"/>
  <c r="L322" i="129"/>
  <c r="M322" i="129"/>
  <c r="J18" i="140"/>
  <c r="K17" i="140"/>
  <c r="L17" i="140" s="1"/>
  <c r="K8" i="139"/>
  <c r="L8" i="139" s="1"/>
  <c r="M8" i="139" s="1"/>
  <c r="L7" i="139"/>
  <c r="M7" i="139" s="1"/>
  <c r="K404" i="131"/>
  <c r="L403" i="131"/>
  <c r="M403" i="131" s="1"/>
  <c r="L360" i="131"/>
  <c r="M360" i="131" s="1"/>
  <c r="K162" i="145"/>
  <c r="L163" i="145"/>
  <c r="E254" i="131"/>
  <c r="E253" i="131"/>
  <c r="E252" i="131"/>
  <c r="E251" i="131"/>
  <c r="L391" i="157" l="1"/>
  <c r="K390" i="157"/>
  <c r="L323" i="129"/>
  <c r="M323" i="129" s="1"/>
  <c r="J19" i="140"/>
  <c r="K18" i="140"/>
  <c r="L18" i="140" s="1"/>
  <c r="K9" i="139"/>
  <c r="K10" i="139" s="1"/>
  <c r="K406" i="131"/>
  <c r="K407" i="131" s="1"/>
  <c r="L404" i="131"/>
  <c r="M404" i="131" s="1"/>
  <c r="K363" i="131"/>
  <c r="K163" i="145"/>
  <c r="L164" i="145"/>
  <c r="E130" i="129"/>
  <c r="E185" i="129"/>
  <c r="E232" i="129"/>
  <c r="E231" i="129"/>
  <c r="E230" i="129"/>
  <c r="E229" i="129"/>
  <c r="E228" i="129"/>
  <c r="E227" i="129"/>
  <c r="E226" i="129"/>
  <c r="E225" i="129"/>
  <c r="E224" i="129"/>
  <c r="E223" i="129"/>
  <c r="E222" i="129"/>
  <c r="E221" i="129"/>
  <c r="E220" i="129"/>
  <c r="E219" i="129"/>
  <c r="E218" i="129"/>
  <c r="E217" i="129"/>
  <c r="E216" i="129"/>
  <c r="E215" i="129"/>
  <c r="E214" i="129"/>
  <c r="E213" i="129"/>
  <c r="E212" i="129"/>
  <c r="E211" i="129"/>
  <c r="E210" i="129"/>
  <c r="E209" i="129"/>
  <c r="E208" i="129"/>
  <c r="E207" i="129"/>
  <c r="E206" i="129"/>
  <c r="E205" i="129"/>
  <c r="E204" i="129"/>
  <c r="E203" i="129"/>
  <c r="E202" i="129"/>
  <c r="E201" i="129"/>
  <c r="E200" i="129"/>
  <c r="E199" i="129"/>
  <c r="E198" i="129"/>
  <c r="E197" i="129"/>
  <c r="E196" i="129"/>
  <c r="E195" i="129"/>
  <c r="E194" i="129"/>
  <c r="E193" i="129"/>
  <c r="E192" i="129"/>
  <c r="E191" i="129"/>
  <c r="E190" i="129"/>
  <c r="E189" i="129"/>
  <c r="E188" i="129"/>
  <c r="E187" i="129"/>
  <c r="E186" i="129"/>
  <c r="E304" i="129"/>
  <c r="E303" i="129"/>
  <c r="E269" i="129"/>
  <c r="E268" i="129"/>
  <c r="E264" i="129"/>
  <c r="E263" i="129"/>
  <c r="E259" i="129"/>
  <c r="E258" i="129"/>
  <c r="E254" i="129"/>
  <c r="E253" i="129"/>
  <c r="E249" i="129"/>
  <c r="E248" i="129"/>
  <c r="E244" i="129"/>
  <c r="E243" i="129"/>
  <c r="E239" i="129"/>
  <c r="L392" i="157" l="1"/>
  <c r="K391" i="157"/>
  <c r="L407" i="131"/>
  <c r="M407" i="131" s="1"/>
  <c r="K409" i="131"/>
  <c r="L409" i="131" s="1"/>
  <c r="M409" i="131" s="1"/>
  <c r="L324" i="129"/>
  <c r="M324" i="129" s="1"/>
  <c r="J20" i="140"/>
  <c r="K19" i="140"/>
  <c r="L19" i="140" s="1"/>
  <c r="L9" i="139"/>
  <c r="M9" i="139" s="1"/>
  <c r="K11" i="139"/>
  <c r="L10" i="139"/>
  <c r="M10" i="139" s="1"/>
  <c r="L406" i="131"/>
  <c r="M406" i="131" s="1"/>
  <c r="L363" i="131"/>
  <c r="M363" i="131" s="1"/>
  <c r="K364" i="131"/>
  <c r="K164" i="145"/>
  <c r="L165" i="145"/>
  <c r="E238" i="129"/>
  <c r="E78" i="129"/>
  <c r="E77" i="129"/>
  <c r="E75" i="129"/>
  <c r="K392" i="157" l="1"/>
  <c r="L393" i="157"/>
  <c r="L325" i="129"/>
  <c r="M325" i="129"/>
  <c r="J21" i="140"/>
  <c r="K20" i="140"/>
  <c r="L20" i="140" s="1"/>
  <c r="K13" i="139"/>
  <c r="L11" i="139"/>
  <c r="M11" i="139" s="1"/>
  <c r="K365" i="131"/>
  <c r="L364" i="131"/>
  <c r="M364" i="131" s="1"/>
  <c r="L166" i="145"/>
  <c r="K165" i="145"/>
  <c r="E133" i="129"/>
  <c r="E92" i="129"/>
  <c r="E90" i="129"/>
  <c r="E89" i="129"/>
  <c r="E88" i="129"/>
  <c r="E87" i="129"/>
  <c r="E86" i="129"/>
  <c r="E85" i="129"/>
  <c r="E84" i="129"/>
  <c r="E83" i="129"/>
  <c r="E82" i="129"/>
  <c r="E81" i="129"/>
  <c r="E80" i="129"/>
  <c r="E79" i="129"/>
  <c r="K393" i="157" l="1"/>
  <c r="L394" i="157"/>
  <c r="L326" i="129"/>
  <c r="M326" i="129" s="1"/>
  <c r="J22" i="140"/>
  <c r="K21" i="140"/>
  <c r="L21" i="140" s="1"/>
  <c r="K14" i="139"/>
  <c r="L13" i="139"/>
  <c r="M13" i="139" s="1"/>
  <c r="K410" i="131"/>
  <c r="K366" i="131"/>
  <c r="L365" i="131"/>
  <c r="M365" i="131" s="1"/>
  <c r="K166" i="145"/>
  <c r="L167" i="145"/>
  <c r="E111" i="129"/>
  <c r="L395" i="157" l="1"/>
  <c r="K394" i="157"/>
  <c r="L327" i="129"/>
  <c r="M327" i="129" s="1"/>
  <c r="L328" i="129"/>
  <c r="J23" i="140"/>
  <c r="K22" i="140"/>
  <c r="L22" i="140" s="1"/>
  <c r="K15" i="139"/>
  <c r="L14" i="139"/>
  <c r="M14" i="139" s="1"/>
  <c r="K411" i="131"/>
  <c r="K412" i="131" s="1"/>
  <c r="L412" i="131" s="1"/>
  <c r="M412" i="131" s="1"/>
  <c r="L410" i="131"/>
  <c r="M410" i="131" s="1"/>
  <c r="K367" i="131"/>
  <c r="L366" i="131"/>
  <c r="M366" i="131" s="1"/>
  <c r="K167" i="145"/>
  <c r="L168" i="145"/>
  <c r="E17" i="131"/>
  <c r="E14" i="131"/>
  <c r="E13" i="131"/>
  <c r="E12" i="131"/>
  <c r="E11" i="131"/>
  <c r="E16" i="131"/>
  <c r="E15" i="131"/>
  <c r="E10" i="131"/>
  <c r="E9" i="131"/>
  <c r="E8" i="131"/>
  <c r="E7" i="131"/>
  <c r="L396" i="157" l="1"/>
  <c r="K395" i="157"/>
  <c r="M328" i="129"/>
  <c r="J24" i="140"/>
  <c r="K23" i="140"/>
  <c r="L23" i="140" s="1"/>
  <c r="K16" i="139"/>
  <c r="L15" i="139"/>
  <c r="M15" i="139" s="1"/>
  <c r="L411" i="131"/>
  <c r="M411" i="131" s="1"/>
  <c r="K368" i="131"/>
  <c r="L367" i="131"/>
  <c r="M367" i="131" s="1"/>
  <c r="K168" i="145"/>
  <c r="L170" i="145"/>
  <c r="E120" i="129"/>
  <c r="E129" i="129"/>
  <c r="E122" i="129"/>
  <c r="E121" i="129"/>
  <c r="E128" i="129"/>
  <c r="E127" i="129"/>
  <c r="E126" i="129"/>
  <c r="E125" i="129"/>
  <c r="K396" i="157" l="1"/>
  <c r="L397" i="157"/>
  <c r="J25" i="140"/>
  <c r="K24" i="140"/>
  <c r="L24" i="140" s="1"/>
  <c r="K17" i="139"/>
  <c r="L16" i="139"/>
  <c r="M16" i="139" s="1"/>
  <c r="K414" i="131"/>
  <c r="K369" i="131"/>
  <c r="K370" i="131" s="1"/>
  <c r="L370" i="131" s="1"/>
  <c r="M370" i="131" s="1"/>
  <c r="L368" i="131"/>
  <c r="M368" i="131" s="1"/>
  <c r="K170" i="145"/>
  <c r="L171" i="145"/>
  <c r="E23" i="129"/>
  <c r="E22" i="129"/>
  <c r="E21" i="129"/>
  <c r="E20" i="129"/>
  <c r="K397" i="157" l="1"/>
  <c r="L398" i="157"/>
  <c r="J26" i="140"/>
  <c r="K25" i="140"/>
  <c r="L25" i="140" s="1"/>
  <c r="K18" i="139"/>
  <c r="L17" i="139"/>
  <c r="M17" i="139" s="1"/>
  <c r="K415" i="131"/>
  <c r="L414" i="131"/>
  <c r="M414" i="131" s="1"/>
  <c r="L369" i="131"/>
  <c r="M369" i="131" s="1"/>
  <c r="L172" i="145"/>
  <c r="K171" i="145"/>
  <c r="E557" i="131"/>
  <c r="E556" i="131"/>
  <c r="E555" i="131"/>
  <c r="E554" i="131"/>
  <c r="E553" i="131"/>
  <c r="E552" i="131"/>
  <c r="K553" i="131" s="1"/>
  <c r="L553" i="131" s="1"/>
  <c r="M553" i="131" s="1"/>
  <c r="L399" i="157" l="1"/>
  <c r="K398" i="157"/>
  <c r="J27" i="140"/>
  <c r="K26" i="140"/>
  <c r="L26" i="140" s="1"/>
  <c r="K19" i="139"/>
  <c r="L18" i="139"/>
  <c r="M18" i="139" s="1"/>
  <c r="K417" i="131"/>
  <c r="K418" i="131" s="1"/>
  <c r="L415" i="131"/>
  <c r="M415" i="131" s="1"/>
  <c r="K372" i="131"/>
  <c r="L173" i="145"/>
  <c r="K172" i="145"/>
  <c r="K554" i="131"/>
  <c r="E19" i="129"/>
  <c r="E18" i="129"/>
  <c r="E17" i="129"/>
  <c r="E16" i="129"/>
  <c r="E15" i="129"/>
  <c r="E14" i="129"/>
  <c r="E13" i="129"/>
  <c r="E12" i="129"/>
  <c r="E11" i="129"/>
  <c r="E10" i="129"/>
  <c r="E9" i="129"/>
  <c r="E8" i="129"/>
  <c r="E7" i="129"/>
  <c r="E6" i="129"/>
  <c r="K7" i="129" s="1"/>
  <c r="L7" i="129" s="1"/>
  <c r="M7" i="129" s="1"/>
  <c r="L400" i="157" l="1"/>
  <c r="K399" i="157"/>
  <c r="L418" i="131"/>
  <c r="M418" i="131" s="1"/>
  <c r="K420" i="131"/>
  <c r="L420" i="131" s="1"/>
  <c r="M420" i="131" s="1"/>
  <c r="J28" i="140"/>
  <c r="K27" i="140"/>
  <c r="L27" i="140" s="1"/>
  <c r="K20" i="139"/>
  <c r="L19" i="139"/>
  <c r="M19" i="139" s="1"/>
  <c r="K555" i="131"/>
  <c r="L554" i="131"/>
  <c r="M554" i="131" s="1"/>
  <c r="L417" i="131"/>
  <c r="M417" i="131" s="1"/>
  <c r="L372" i="131"/>
  <c r="M372" i="131" s="1"/>
  <c r="K373" i="131"/>
  <c r="K173" i="145"/>
  <c r="L174" i="145"/>
  <c r="K8" i="129"/>
  <c r="E46" i="138"/>
  <c r="E45" i="138"/>
  <c r="E42" i="138"/>
  <c r="E41" i="138"/>
  <c r="E38" i="138"/>
  <c r="E37" i="138"/>
  <c r="E34" i="138"/>
  <c r="E33" i="138"/>
  <c r="E30" i="138"/>
  <c r="E29" i="138"/>
  <c r="E26" i="138"/>
  <c r="E25" i="138"/>
  <c r="E22" i="138"/>
  <c r="E21" i="138"/>
  <c r="E18" i="138"/>
  <c r="E17" i="138"/>
  <c r="E16" i="138"/>
  <c r="E14" i="138"/>
  <c r="E11" i="138"/>
  <c r="E10" i="138"/>
  <c r="E9" i="138"/>
  <c r="E8" i="138"/>
  <c r="E7" i="138"/>
  <c r="E6" i="138"/>
  <c r="E5" i="138"/>
  <c r="E4" i="138"/>
  <c r="K5" i="138" s="1"/>
  <c r="E195" i="131"/>
  <c r="E196" i="131"/>
  <c r="K400" i="157" l="1"/>
  <c r="L401" i="157"/>
  <c r="J29" i="140"/>
  <c r="K28" i="140"/>
  <c r="L28" i="140" s="1"/>
  <c r="L5" i="138"/>
  <c r="M5" i="138" s="1"/>
  <c r="K21" i="139"/>
  <c r="L20" i="139"/>
  <c r="M20" i="139" s="1"/>
  <c r="K9" i="129"/>
  <c r="L8" i="129"/>
  <c r="M8" i="129" s="1"/>
  <c r="K556" i="131"/>
  <c r="L555" i="131"/>
  <c r="M555" i="131" s="1"/>
  <c r="K374" i="131"/>
  <c r="L373" i="131"/>
  <c r="M373" i="131" s="1"/>
  <c r="L175" i="145"/>
  <c r="K174" i="145"/>
  <c r="K6" i="138"/>
  <c r="L6" i="138" s="1"/>
  <c r="K401" i="157" l="1"/>
  <c r="L402" i="157"/>
  <c r="J30" i="140"/>
  <c r="K29" i="140"/>
  <c r="L29" i="140" s="1"/>
  <c r="K7" i="138"/>
  <c r="L7" i="138" s="1"/>
  <c r="M6" i="138"/>
  <c r="K22" i="139"/>
  <c r="L21" i="139"/>
  <c r="M21" i="139" s="1"/>
  <c r="K10" i="129"/>
  <c r="L9" i="129"/>
  <c r="M9" i="129" s="1"/>
  <c r="K557" i="131"/>
  <c r="L557" i="131" s="1"/>
  <c r="M557" i="131" s="1"/>
  <c r="L556" i="131"/>
  <c r="M556" i="131" s="1"/>
  <c r="K421" i="131"/>
  <c r="K375" i="131"/>
  <c r="L374" i="131"/>
  <c r="M374" i="131" s="1"/>
  <c r="L176" i="145"/>
  <c r="K175" i="145"/>
  <c r="E50" i="115"/>
  <c r="L403" i="157" l="1"/>
  <c r="K402" i="157"/>
  <c r="J31" i="140"/>
  <c r="K30" i="140"/>
  <c r="L30" i="140" s="1"/>
  <c r="K8" i="138"/>
  <c r="L8" i="138" s="1"/>
  <c r="M7" i="138"/>
  <c r="K23" i="139"/>
  <c r="L22" i="139"/>
  <c r="M22" i="139" s="1"/>
  <c r="K11" i="129"/>
  <c r="L10" i="129"/>
  <c r="M10" i="129" s="1"/>
  <c r="K422" i="131"/>
  <c r="K423" i="131" s="1"/>
  <c r="L423" i="131" s="1"/>
  <c r="M423" i="131" s="1"/>
  <c r="L421" i="131"/>
  <c r="M421" i="131" s="1"/>
  <c r="K376" i="131"/>
  <c r="L375" i="131"/>
  <c r="M375" i="131" s="1"/>
  <c r="L177" i="145"/>
  <c r="K176" i="145"/>
  <c r="E127" i="115"/>
  <c r="E128" i="115"/>
  <c r="E129" i="115"/>
  <c r="E130" i="115"/>
  <c r="E131" i="115"/>
  <c r="E132" i="115"/>
  <c r="E133" i="115"/>
  <c r="E134" i="115"/>
  <c r="E135" i="115"/>
  <c r="E136" i="115"/>
  <c r="E137" i="115"/>
  <c r="E138" i="115"/>
  <c r="E139" i="115"/>
  <c r="E140" i="115"/>
  <c r="E141" i="115"/>
  <c r="E142" i="115"/>
  <c r="E143" i="115"/>
  <c r="E144" i="115"/>
  <c r="E145" i="115"/>
  <c r="E146" i="115"/>
  <c r="E147" i="115"/>
  <c r="E148" i="115"/>
  <c r="E149" i="115"/>
  <c r="E150" i="115"/>
  <c r="E151" i="115"/>
  <c r="E152" i="115"/>
  <c r="E153" i="115"/>
  <c r="E154" i="115"/>
  <c r="E155" i="115"/>
  <c r="E156" i="115"/>
  <c r="E157" i="115"/>
  <c r="E158" i="115"/>
  <c r="E159" i="115"/>
  <c r="E160" i="115"/>
  <c r="E161" i="115"/>
  <c r="E162" i="115"/>
  <c r="E163" i="115"/>
  <c r="E164" i="115"/>
  <c r="E165" i="115"/>
  <c r="E166" i="115"/>
  <c r="E167" i="115"/>
  <c r="E168" i="115"/>
  <c r="E169" i="115"/>
  <c r="E170" i="115"/>
  <c r="E171" i="115"/>
  <c r="E172" i="115"/>
  <c r="E173" i="115"/>
  <c r="E174" i="115"/>
  <c r="E175" i="115"/>
  <c r="E176" i="115"/>
  <c r="E177" i="115"/>
  <c r="E178" i="115"/>
  <c r="E179" i="115"/>
  <c r="E180" i="115"/>
  <c r="E181" i="115"/>
  <c r="E182" i="115"/>
  <c r="E183" i="115"/>
  <c r="E184" i="115"/>
  <c r="E185" i="115"/>
  <c r="E186" i="115"/>
  <c r="E187" i="115"/>
  <c r="E188" i="115"/>
  <c r="E189" i="115"/>
  <c r="E190" i="115"/>
  <c r="E191" i="115"/>
  <c r="E192" i="115"/>
  <c r="E193" i="115"/>
  <c r="E194" i="115"/>
  <c r="E195" i="115"/>
  <c r="E196" i="115"/>
  <c r="E197" i="115"/>
  <c r="E198" i="115"/>
  <c r="E199" i="115"/>
  <c r="E200" i="115"/>
  <c r="E201" i="115"/>
  <c r="E126" i="115"/>
  <c r="K127" i="115" s="1"/>
  <c r="L404" i="157" l="1"/>
  <c r="K403" i="157"/>
  <c r="J32" i="140"/>
  <c r="K31" i="140"/>
  <c r="L31" i="140" s="1"/>
  <c r="K9" i="138"/>
  <c r="L9" i="138" s="1"/>
  <c r="M8" i="138"/>
  <c r="L127" i="115"/>
  <c r="M127" i="115" s="1"/>
  <c r="K24" i="139"/>
  <c r="L23" i="139"/>
  <c r="M23" i="139" s="1"/>
  <c r="K12" i="129"/>
  <c r="L11" i="129"/>
  <c r="M11" i="129" s="1"/>
  <c r="L422" i="131"/>
  <c r="M422" i="131" s="1"/>
  <c r="K377" i="131"/>
  <c r="L376" i="131"/>
  <c r="M376" i="131" s="1"/>
  <c r="K177" i="145"/>
  <c r="L178" i="145"/>
  <c r="K128" i="115"/>
  <c r="L128" i="115" s="1"/>
  <c r="K404" i="157" l="1"/>
  <c r="L405" i="157"/>
  <c r="J33" i="140"/>
  <c r="K32" i="140"/>
  <c r="L32" i="140" s="1"/>
  <c r="K10" i="138"/>
  <c r="L10" i="138" s="1"/>
  <c r="M9" i="138"/>
  <c r="K129" i="115"/>
  <c r="L129" i="115" s="1"/>
  <c r="M128" i="115"/>
  <c r="K25" i="139"/>
  <c r="L24" i="139"/>
  <c r="M24" i="139" s="1"/>
  <c r="K13" i="129"/>
  <c r="L12" i="129"/>
  <c r="M12" i="129" s="1"/>
  <c r="K425" i="131"/>
  <c r="K378" i="131"/>
  <c r="K379" i="131" s="1"/>
  <c r="L379" i="131" s="1"/>
  <c r="M379" i="131" s="1"/>
  <c r="L377" i="131"/>
  <c r="M377" i="131" s="1"/>
  <c r="K178" i="145"/>
  <c r="L179" i="145"/>
  <c r="E39" i="115"/>
  <c r="E38" i="115"/>
  <c r="K405" i="157" l="1"/>
  <c r="L406" i="157"/>
  <c r="J34" i="140"/>
  <c r="K33" i="140"/>
  <c r="L33" i="140" s="1"/>
  <c r="K11" i="138"/>
  <c r="L11" i="138" s="1"/>
  <c r="M10" i="138"/>
  <c r="K130" i="115"/>
  <c r="L130" i="115" s="1"/>
  <c r="M129" i="115"/>
  <c r="K26" i="139"/>
  <c r="L25" i="139"/>
  <c r="M25" i="139" s="1"/>
  <c r="K14" i="129"/>
  <c r="L13" i="129"/>
  <c r="M13" i="129" s="1"/>
  <c r="K426" i="131"/>
  <c r="L425" i="131"/>
  <c r="M425" i="131" s="1"/>
  <c r="L378" i="131"/>
  <c r="M378" i="131" s="1"/>
  <c r="L180" i="145"/>
  <c r="K179" i="145"/>
  <c r="E43" i="115"/>
  <c r="L407" i="157" l="1"/>
  <c r="K406" i="157"/>
  <c r="J35" i="140"/>
  <c r="K34" i="140"/>
  <c r="L34" i="140" s="1"/>
  <c r="M11" i="138"/>
  <c r="K12" i="138"/>
  <c r="L12" i="138" s="1"/>
  <c r="K131" i="115"/>
  <c r="L131" i="115" s="1"/>
  <c r="M130" i="115"/>
  <c r="K27" i="139"/>
  <c r="L26" i="139"/>
  <c r="M26" i="139" s="1"/>
  <c r="K15" i="129"/>
  <c r="L14" i="129"/>
  <c r="M14" i="129" s="1"/>
  <c r="K428" i="131"/>
  <c r="K429" i="131" s="1"/>
  <c r="L426" i="131"/>
  <c r="M426" i="131" s="1"/>
  <c r="L181" i="145"/>
  <c r="K180" i="145"/>
  <c r="E23" i="134"/>
  <c r="E22" i="134"/>
  <c r="E21" i="134"/>
  <c r="E20" i="134"/>
  <c r="L408" i="157" l="1"/>
  <c r="K407" i="157"/>
  <c r="L429" i="131"/>
  <c r="M429" i="131" s="1"/>
  <c r="K431" i="131"/>
  <c r="L431" i="131" s="1"/>
  <c r="M431" i="131" s="1"/>
  <c r="J37" i="140"/>
  <c r="K35" i="140"/>
  <c r="L35" i="140" s="1"/>
  <c r="M12" i="138"/>
  <c r="K132" i="115"/>
  <c r="L132" i="115" s="1"/>
  <c r="M131" i="115"/>
  <c r="K28" i="139"/>
  <c r="L27" i="139"/>
  <c r="M27" i="139" s="1"/>
  <c r="K16" i="129"/>
  <c r="L15" i="129"/>
  <c r="M15" i="129" s="1"/>
  <c r="L428" i="131"/>
  <c r="M428" i="131" s="1"/>
  <c r="L182" i="145"/>
  <c r="K181" i="145"/>
  <c r="E184" i="129"/>
  <c r="E183" i="129"/>
  <c r="E182" i="129"/>
  <c r="E181" i="129"/>
  <c r="E180" i="129"/>
  <c r="E179" i="129"/>
  <c r="E178" i="129"/>
  <c r="E177" i="129"/>
  <c r="E176" i="129"/>
  <c r="E175" i="129"/>
  <c r="E174" i="129"/>
  <c r="E173" i="129"/>
  <c r="E172" i="129"/>
  <c r="E171" i="129"/>
  <c r="E170" i="129"/>
  <c r="E169" i="129"/>
  <c r="E168" i="129"/>
  <c r="E167" i="129"/>
  <c r="E166" i="129"/>
  <c r="E165" i="129"/>
  <c r="E164" i="129"/>
  <c r="E163" i="129"/>
  <c r="E162" i="129"/>
  <c r="E161" i="129"/>
  <c r="E160" i="129"/>
  <c r="E159" i="129"/>
  <c r="E158" i="129"/>
  <c r="E157" i="129"/>
  <c r="E156" i="129"/>
  <c r="E155" i="129"/>
  <c r="E154" i="129"/>
  <c r="E153" i="129"/>
  <c r="E152" i="129"/>
  <c r="E151" i="129"/>
  <c r="E150" i="129"/>
  <c r="E149" i="129"/>
  <c r="E148" i="129"/>
  <c r="E147" i="129"/>
  <c r="E146" i="129"/>
  <c r="E145" i="129"/>
  <c r="E144" i="129"/>
  <c r="E143" i="129"/>
  <c r="E142" i="129"/>
  <c r="E141" i="129"/>
  <c r="E140" i="129"/>
  <c r="K408" i="157" l="1"/>
  <c r="L409" i="157"/>
  <c r="J38" i="140"/>
  <c r="K37" i="140"/>
  <c r="L37" i="140" s="1"/>
  <c r="L13" i="138"/>
  <c r="K133" i="115"/>
  <c r="L133" i="115" s="1"/>
  <c r="M132" i="115"/>
  <c r="K29" i="139"/>
  <c r="L28" i="139"/>
  <c r="M28" i="139" s="1"/>
  <c r="K17" i="129"/>
  <c r="L16" i="129"/>
  <c r="M16" i="129" s="1"/>
  <c r="L183" i="145"/>
  <c r="K182" i="145"/>
  <c r="K409" i="157" l="1"/>
  <c r="L410" i="157"/>
  <c r="J39" i="140"/>
  <c r="K38" i="140"/>
  <c r="L38" i="140" s="1"/>
  <c r="K14" i="138"/>
  <c r="L14" i="138" s="1"/>
  <c r="M13" i="138"/>
  <c r="K134" i="115"/>
  <c r="L134" i="115" s="1"/>
  <c r="M133" i="115"/>
  <c r="K30" i="139"/>
  <c r="L29" i="139"/>
  <c r="M29" i="139" s="1"/>
  <c r="K18" i="129"/>
  <c r="L17" i="129"/>
  <c r="M17" i="129" s="1"/>
  <c r="K432" i="131"/>
  <c r="L184" i="145"/>
  <c r="K183" i="145"/>
  <c r="E108" i="129"/>
  <c r="E188" i="131"/>
  <c r="E187" i="131"/>
  <c r="E186" i="131"/>
  <c r="E185" i="131"/>
  <c r="E184" i="131"/>
  <c r="E183" i="131"/>
  <c r="E182" i="131"/>
  <c r="K181" i="131"/>
  <c r="E181" i="131"/>
  <c r="E180" i="131"/>
  <c r="E179" i="131"/>
  <c r="E178" i="131"/>
  <c r="E177" i="131"/>
  <c r="E176" i="131"/>
  <c r="E175" i="131"/>
  <c r="E174" i="131"/>
  <c r="K173" i="131"/>
  <c r="E173" i="131"/>
  <c r="E172" i="131"/>
  <c r="E171" i="131"/>
  <c r="E170" i="131"/>
  <c r="E169" i="131"/>
  <c r="E168" i="131"/>
  <c r="E167" i="131"/>
  <c r="E166" i="131"/>
  <c r="K165" i="131"/>
  <c r="E165" i="131"/>
  <c r="E106" i="129"/>
  <c r="E105" i="129"/>
  <c r="E107" i="129"/>
  <c r="E104" i="129"/>
  <c r="E103" i="129"/>
  <c r="L411" i="157" l="1"/>
  <c r="K410" i="157"/>
  <c r="J40" i="140"/>
  <c r="K39" i="140"/>
  <c r="L39" i="140" s="1"/>
  <c r="K16" i="138"/>
  <c r="L16" i="138" s="1"/>
  <c r="M14" i="138"/>
  <c r="K135" i="115"/>
  <c r="L135" i="115" s="1"/>
  <c r="M134" i="115"/>
  <c r="K31" i="139"/>
  <c r="L30" i="139"/>
  <c r="M30" i="139" s="1"/>
  <c r="K19" i="129"/>
  <c r="L18" i="129"/>
  <c r="M18" i="129" s="1"/>
  <c r="K433" i="131"/>
  <c r="K434" i="131" s="1"/>
  <c r="L434" i="131" s="1"/>
  <c r="M434" i="131" s="1"/>
  <c r="L432" i="131"/>
  <c r="M432" i="131" s="1"/>
  <c r="L185" i="145"/>
  <c r="K184" i="145"/>
  <c r="E247" i="131"/>
  <c r="E248" i="131"/>
  <c r="E243" i="131"/>
  <c r="E242" i="131"/>
  <c r="E249" i="131"/>
  <c r="E240" i="131"/>
  <c r="E245" i="131"/>
  <c r="E244" i="131"/>
  <c r="E239" i="131"/>
  <c r="L412" i="157" l="1"/>
  <c r="K411" i="157"/>
  <c r="J41" i="140"/>
  <c r="K40" i="140"/>
  <c r="L40" i="140" s="1"/>
  <c r="K17" i="138"/>
  <c r="L17" i="138" s="1"/>
  <c r="M16" i="138"/>
  <c r="K136" i="115"/>
  <c r="L136" i="115" s="1"/>
  <c r="M135" i="115"/>
  <c r="K32" i="139"/>
  <c r="L31" i="139"/>
  <c r="M31" i="139" s="1"/>
  <c r="K20" i="129"/>
  <c r="L19" i="129"/>
  <c r="M19" i="129" s="1"/>
  <c r="L433" i="131"/>
  <c r="M433" i="131" s="1"/>
  <c r="L186" i="145"/>
  <c r="K185" i="145"/>
  <c r="E33" i="115"/>
  <c r="K412" i="157" l="1"/>
  <c r="L413" i="157"/>
  <c r="J42" i="140"/>
  <c r="K41" i="140"/>
  <c r="L41" i="140" s="1"/>
  <c r="K18" i="138"/>
  <c r="L18" i="138" s="1"/>
  <c r="M17" i="138"/>
  <c r="K137" i="115"/>
  <c r="L137" i="115" s="1"/>
  <c r="M136" i="115"/>
  <c r="K33" i="139"/>
  <c r="L32" i="139"/>
  <c r="M32" i="139" s="1"/>
  <c r="K21" i="129"/>
  <c r="L20" i="129"/>
  <c r="M20" i="129" s="1"/>
  <c r="K436" i="131"/>
  <c r="L187" i="145"/>
  <c r="K186" i="145"/>
  <c r="E122" i="115"/>
  <c r="E121" i="115"/>
  <c r="K413" i="157" l="1"/>
  <c r="L414" i="157"/>
  <c r="J43" i="140"/>
  <c r="K42" i="140"/>
  <c r="L42" i="140" s="1"/>
  <c r="M18" i="138"/>
  <c r="K138" i="115"/>
  <c r="L138" i="115" s="1"/>
  <c r="M137" i="115"/>
  <c r="K34" i="139"/>
  <c r="L33" i="139"/>
  <c r="M33" i="139" s="1"/>
  <c r="K22" i="129"/>
  <c r="L21" i="129"/>
  <c r="M21" i="129" s="1"/>
  <c r="K437" i="131"/>
  <c r="L436" i="131"/>
  <c r="M436" i="131" s="1"/>
  <c r="L188" i="145"/>
  <c r="K187" i="145"/>
  <c r="E120" i="115"/>
  <c r="L415" i="157" l="1"/>
  <c r="K414" i="157"/>
  <c r="J44" i="140"/>
  <c r="K43" i="140"/>
  <c r="L43" i="140" s="1"/>
  <c r="K21" i="138"/>
  <c r="L21" i="138" s="1"/>
  <c r="K139" i="115"/>
  <c r="L139" i="115" s="1"/>
  <c r="M138" i="115"/>
  <c r="K35" i="139"/>
  <c r="L34" i="139"/>
  <c r="M34" i="139" s="1"/>
  <c r="K23" i="129"/>
  <c r="L22" i="129"/>
  <c r="M22" i="129" s="1"/>
  <c r="K439" i="131"/>
  <c r="K440" i="131" s="1"/>
  <c r="L437" i="131"/>
  <c r="M437" i="131" s="1"/>
  <c r="L189" i="145"/>
  <c r="K188" i="145"/>
  <c r="E104" i="131"/>
  <c r="L416" i="157" l="1"/>
  <c r="K415" i="157"/>
  <c r="L440" i="131"/>
  <c r="M440" i="131" s="1"/>
  <c r="K442" i="131"/>
  <c r="L442" i="131" s="1"/>
  <c r="M442" i="131" s="1"/>
  <c r="J45" i="140"/>
  <c r="K44" i="140"/>
  <c r="L44" i="140" s="1"/>
  <c r="K22" i="138"/>
  <c r="L22" i="138" s="1"/>
  <c r="M21" i="138"/>
  <c r="K140" i="115"/>
  <c r="L140" i="115" s="1"/>
  <c r="M139" i="115"/>
  <c r="K36" i="139"/>
  <c r="L35" i="139"/>
  <c r="M35" i="139" s="1"/>
  <c r="K26" i="129"/>
  <c r="L26" i="129" s="1"/>
  <c r="M26" i="129" s="1"/>
  <c r="L23" i="129"/>
  <c r="M23" i="129" s="1"/>
  <c r="L439" i="131"/>
  <c r="M439" i="131" s="1"/>
  <c r="K189" i="145"/>
  <c r="L190" i="145"/>
  <c r="E43" i="129"/>
  <c r="E42" i="129"/>
  <c r="K416" i="157" l="1"/>
  <c r="L417" i="157"/>
  <c r="J46" i="140"/>
  <c r="K45" i="140"/>
  <c r="L45" i="140" s="1"/>
  <c r="M22" i="138"/>
  <c r="K141" i="115"/>
  <c r="L141" i="115" s="1"/>
  <c r="M140" i="115"/>
  <c r="L36" i="139"/>
  <c r="M36" i="139" s="1"/>
  <c r="K37" i="139"/>
  <c r="L191" i="145"/>
  <c r="K190" i="145"/>
  <c r="E119" i="115"/>
  <c r="K417" i="157" l="1"/>
  <c r="L418" i="157"/>
  <c r="J47" i="140"/>
  <c r="K46" i="140"/>
  <c r="L46" i="140" s="1"/>
  <c r="K25" i="138"/>
  <c r="L25" i="138" s="1"/>
  <c r="K142" i="115"/>
  <c r="L142" i="115" s="1"/>
  <c r="M141" i="115"/>
  <c r="K38" i="139"/>
  <c r="L37" i="139"/>
  <c r="M37" i="139" s="1"/>
  <c r="K443" i="131"/>
  <c r="L192" i="145"/>
  <c r="K191" i="145"/>
  <c r="E236" i="131"/>
  <c r="E235" i="131"/>
  <c r="L419" i="157" l="1"/>
  <c r="K418" i="157"/>
  <c r="J48" i="140"/>
  <c r="K47" i="140"/>
  <c r="L47" i="140" s="1"/>
  <c r="K26" i="138"/>
  <c r="L26" i="138" s="1"/>
  <c r="M25" i="138"/>
  <c r="K143" i="115"/>
  <c r="L143" i="115" s="1"/>
  <c r="M142" i="115"/>
  <c r="K39" i="139"/>
  <c r="L38" i="139"/>
  <c r="M38" i="139" s="1"/>
  <c r="K444" i="131"/>
  <c r="K445" i="131" s="1"/>
  <c r="L445" i="131" s="1"/>
  <c r="M445" i="131" s="1"/>
  <c r="L443" i="131"/>
  <c r="M443" i="131" s="1"/>
  <c r="L193" i="145"/>
  <c r="K192" i="145"/>
  <c r="E234" i="131"/>
  <c r="E237" i="131"/>
  <c r="E233" i="131"/>
  <c r="E223" i="131"/>
  <c r="E222" i="131"/>
  <c r="E340" i="131"/>
  <c r="E339" i="131"/>
  <c r="E338" i="131"/>
  <c r="E337" i="131"/>
  <c r="E336" i="131"/>
  <c r="E334" i="131"/>
  <c r="E333" i="131"/>
  <c r="E332" i="131"/>
  <c r="E331" i="131"/>
  <c r="E330" i="131"/>
  <c r="E328" i="131"/>
  <c r="E327" i="131"/>
  <c r="E326" i="131"/>
  <c r="E325" i="131"/>
  <c r="E324" i="131"/>
  <c r="E322" i="131"/>
  <c r="E321" i="131"/>
  <c r="E320" i="131"/>
  <c r="E319" i="131"/>
  <c r="E318" i="131"/>
  <c r="E316" i="131"/>
  <c r="E315" i="131"/>
  <c r="E314" i="131"/>
  <c r="E313" i="131"/>
  <c r="E312" i="131"/>
  <c r="E310" i="131"/>
  <c r="E309" i="131"/>
  <c r="E308" i="131"/>
  <c r="E307" i="131"/>
  <c r="E306" i="131"/>
  <c r="E304" i="131"/>
  <c r="E303" i="131"/>
  <c r="E302" i="131"/>
  <c r="E301" i="131"/>
  <c r="E300" i="131"/>
  <c r="E298" i="131"/>
  <c r="E297" i="131"/>
  <c r="E296" i="131"/>
  <c r="E295" i="131"/>
  <c r="E294" i="131"/>
  <c r="E292" i="131"/>
  <c r="E291" i="131"/>
  <c r="E290" i="131"/>
  <c r="E289" i="131"/>
  <c r="E288" i="131"/>
  <c r="E286" i="131"/>
  <c r="E285" i="131"/>
  <c r="E284" i="131"/>
  <c r="E283" i="131"/>
  <c r="E282" i="131"/>
  <c r="E280" i="131"/>
  <c r="E279" i="131"/>
  <c r="E278" i="131"/>
  <c r="E277" i="131"/>
  <c r="E276" i="131"/>
  <c r="E274" i="131"/>
  <c r="E273" i="131"/>
  <c r="E272" i="131"/>
  <c r="E271" i="131"/>
  <c r="E270" i="131"/>
  <c r="K271" i="131" s="1"/>
  <c r="L420" i="157" l="1"/>
  <c r="K419" i="157"/>
  <c r="J49" i="140"/>
  <c r="K48" i="140"/>
  <c r="L48" i="140" s="1"/>
  <c r="M26" i="138"/>
  <c r="K144" i="115"/>
  <c r="L144" i="115" s="1"/>
  <c r="M143" i="115"/>
  <c r="K40" i="139"/>
  <c r="L39" i="139"/>
  <c r="M39" i="139" s="1"/>
  <c r="L444" i="131"/>
  <c r="M444" i="131" s="1"/>
  <c r="K272" i="131"/>
  <c r="L272" i="131" s="1"/>
  <c r="M272" i="131" s="1"/>
  <c r="L271" i="131"/>
  <c r="M271" i="131" s="1"/>
  <c r="L194" i="145"/>
  <c r="K193" i="145"/>
  <c r="K420" i="157" l="1"/>
  <c r="L421" i="157"/>
  <c r="J50" i="140"/>
  <c r="K49" i="140"/>
  <c r="L49" i="140" s="1"/>
  <c r="K29" i="138"/>
  <c r="L29" i="138" s="1"/>
  <c r="K145" i="115"/>
  <c r="L145" i="115" s="1"/>
  <c r="M144" i="115"/>
  <c r="K41" i="139"/>
  <c r="L40" i="139"/>
  <c r="M40" i="139" s="1"/>
  <c r="K447" i="131"/>
  <c r="K273" i="131"/>
  <c r="L195" i="145"/>
  <c r="K194" i="145"/>
  <c r="E54" i="131"/>
  <c r="E53" i="131"/>
  <c r="E52" i="131"/>
  <c r="E51" i="131"/>
  <c r="E50" i="131"/>
  <c r="E49" i="131"/>
  <c r="E48" i="131"/>
  <c r="K421" i="157" l="1"/>
  <c r="L422" i="157"/>
  <c r="J51" i="140"/>
  <c r="K50" i="140"/>
  <c r="L50" i="140" s="1"/>
  <c r="K30" i="138"/>
  <c r="L30" i="138" s="1"/>
  <c r="M29" i="138"/>
  <c r="K146" i="115"/>
  <c r="L146" i="115" s="1"/>
  <c r="M145" i="115"/>
  <c r="K42" i="139"/>
  <c r="L41" i="139"/>
  <c r="M41" i="139" s="1"/>
  <c r="K448" i="131"/>
  <c r="L447" i="131"/>
  <c r="M447" i="131" s="1"/>
  <c r="K274" i="131"/>
  <c r="L273" i="131"/>
  <c r="M273" i="131" s="1"/>
  <c r="L196" i="145"/>
  <c r="K195" i="145"/>
  <c r="E144" i="131"/>
  <c r="E130" i="131"/>
  <c r="E103" i="131"/>
  <c r="E97" i="131"/>
  <c r="E36" i="115"/>
  <c r="E35" i="115"/>
  <c r="E34" i="115"/>
  <c r="E32" i="115"/>
  <c r="L423" i="157" l="1"/>
  <c r="K422" i="157"/>
  <c r="J52" i="140"/>
  <c r="K51" i="140"/>
  <c r="L51" i="140" s="1"/>
  <c r="M30" i="138"/>
  <c r="K147" i="115"/>
  <c r="L147" i="115" s="1"/>
  <c r="M146" i="115"/>
  <c r="K43" i="139"/>
  <c r="L42" i="139"/>
  <c r="M42" i="139" s="1"/>
  <c r="K450" i="131"/>
  <c r="K451" i="131" s="1"/>
  <c r="L448" i="131"/>
  <c r="M448" i="131" s="1"/>
  <c r="K276" i="131"/>
  <c r="L274" i="131"/>
  <c r="M274" i="131" s="1"/>
  <c r="L197" i="145"/>
  <c r="K196" i="145"/>
  <c r="E118" i="115"/>
  <c r="E117" i="115"/>
  <c r="E116" i="115"/>
  <c r="E115" i="115"/>
  <c r="E114" i="115"/>
  <c r="E113" i="115"/>
  <c r="E112" i="115"/>
  <c r="E111" i="115"/>
  <c r="E110" i="115"/>
  <c r="E109" i="115"/>
  <c r="E108" i="115"/>
  <c r="E107" i="115"/>
  <c r="E106" i="115"/>
  <c r="E105" i="115"/>
  <c r="E104" i="115"/>
  <c r="E103" i="115"/>
  <c r="E102" i="115"/>
  <c r="E100" i="115"/>
  <c r="E99" i="115"/>
  <c r="E98" i="115"/>
  <c r="E97" i="115"/>
  <c r="L424" i="157" l="1"/>
  <c r="K423" i="157"/>
  <c r="L451" i="131"/>
  <c r="M451" i="131" s="1"/>
  <c r="K453" i="131"/>
  <c r="L453" i="131" s="1"/>
  <c r="M453" i="131" s="1"/>
  <c r="J53" i="140"/>
  <c r="K52" i="140"/>
  <c r="L52" i="140" s="1"/>
  <c r="K33" i="138"/>
  <c r="L33" i="138" s="1"/>
  <c r="K148" i="115"/>
  <c r="L148" i="115" s="1"/>
  <c r="M147" i="115"/>
  <c r="K44" i="139"/>
  <c r="L43" i="139"/>
  <c r="M43" i="139" s="1"/>
  <c r="L450" i="131"/>
  <c r="M450" i="131" s="1"/>
  <c r="K277" i="131"/>
  <c r="L276" i="131"/>
  <c r="M276" i="131" s="1"/>
  <c r="L198" i="145"/>
  <c r="K197" i="145"/>
  <c r="E96" i="115"/>
  <c r="E94" i="115"/>
  <c r="E93" i="115"/>
  <c r="E92" i="115"/>
  <c r="K424" i="157" l="1"/>
  <c r="L425" i="157"/>
  <c r="J54" i="140"/>
  <c r="K53" i="140"/>
  <c r="L53" i="140" s="1"/>
  <c r="K34" i="138"/>
  <c r="L34" i="138" s="1"/>
  <c r="M33" i="138"/>
  <c r="K149" i="115"/>
  <c r="L149" i="115" s="1"/>
  <c r="M148" i="115"/>
  <c r="K46" i="139"/>
  <c r="L44" i="139"/>
  <c r="M44" i="139" s="1"/>
  <c r="K278" i="131"/>
  <c r="L277" i="131"/>
  <c r="M277" i="131" s="1"/>
  <c r="L199" i="145"/>
  <c r="K198" i="145"/>
  <c r="E58" i="115"/>
  <c r="E57" i="115"/>
  <c r="E56" i="115"/>
  <c r="E55" i="115"/>
  <c r="E54" i="115"/>
  <c r="E53" i="115"/>
  <c r="E42" i="115"/>
  <c r="E51" i="115"/>
  <c r="E45" i="115"/>
  <c r="E44" i="115"/>
  <c r="E49" i="115"/>
  <c r="E48" i="115"/>
  <c r="E47" i="115"/>
  <c r="E46" i="115"/>
  <c r="E41" i="115"/>
  <c r="E40" i="115"/>
  <c r="E31" i="115"/>
  <c r="E30" i="115"/>
  <c r="E29" i="115"/>
  <c r="E28" i="115"/>
  <c r="E27" i="115"/>
  <c r="E26" i="115"/>
  <c r="E25" i="115"/>
  <c r="E24" i="115"/>
  <c r="E23" i="115"/>
  <c r="E22" i="115"/>
  <c r="E21" i="115"/>
  <c r="E20" i="115"/>
  <c r="E19" i="115"/>
  <c r="E18" i="115"/>
  <c r="E17" i="115"/>
  <c r="E16" i="115"/>
  <c r="E15" i="115"/>
  <c r="E14" i="115"/>
  <c r="E13" i="115"/>
  <c r="E12" i="115"/>
  <c r="E11" i="115"/>
  <c r="E10" i="115"/>
  <c r="E9" i="115"/>
  <c r="E8" i="115"/>
  <c r="E7" i="115"/>
  <c r="E6" i="115"/>
  <c r="E5" i="115"/>
  <c r="E4" i="115"/>
  <c r="K5" i="115" s="1"/>
  <c r="E149" i="134"/>
  <c r="E139" i="134"/>
  <c r="E138" i="134"/>
  <c r="E137" i="134"/>
  <c r="E136" i="134"/>
  <c r="E135" i="134"/>
  <c r="E134" i="134"/>
  <c r="E133" i="134"/>
  <c r="E132" i="134"/>
  <c r="E131" i="134"/>
  <c r="E130" i="134"/>
  <c r="E129" i="134"/>
  <c r="E128" i="134"/>
  <c r="E127" i="134"/>
  <c r="E126" i="134"/>
  <c r="E124" i="134"/>
  <c r="E123" i="134"/>
  <c r="E122" i="134"/>
  <c r="E121" i="134"/>
  <c r="E120" i="134"/>
  <c r="E119" i="134"/>
  <c r="E118" i="134"/>
  <c r="E117" i="134"/>
  <c r="E116" i="134"/>
  <c r="E115" i="134"/>
  <c r="E114" i="134"/>
  <c r="E113" i="134"/>
  <c r="E112" i="134"/>
  <c r="E111" i="134"/>
  <c r="E110" i="134"/>
  <c r="E109" i="134"/>
  <c r="E108" i="134"/>
  <c r="E107" i="134"/>
  <c r="E106" i="134"/>
  <c r="E105" i="134"/>
  <c r="E104" i="134"/>
  <c r="E103" i="134"/>
  <c r="E102" i="134"/>
  <c r="E101" i="134"/>
  <c r="E100" i="134"/>
  <c r="E99" i="134"/>
  <c r="E98" i="134"/>
  <c r="E97" i="134"/>
  <c r="E96" i="134"/>
  <c r="E95" i="134"/>
  <c r="E94" i="134"/>
  <c r="E93" i="134"/>
  <c r="E92" i="134"/>
  <c r="E91" i="134"/>
  <c r="E90" i="134"/>
  <c r="E89" i="134"/>
  <c r="E88" i="134"/>
  <c r="E87" i="134"/>
  <c r="E86" i="134"/>
  <c r="E85" i="134"/>
  <c r="E84" i="134"/>
  <c r="E83" i="134"/>
  <c r="E82" i="134"/>
  <c r="E81" i="134"/>
  <c r="E80" i="134"/>
  <c r="E79" i="134"/>
  <c r="E78" i="134"/>
  <c r="E77" i="134"/>
  <c r="E76" i="134"/>
  <c r="E75" i="134"/>
  <c r="E74" i="134"/>
  <c r="E73" i="134"/>
  <c r="E72" i="134"/>
  <c r="E71" i="134"/>
  <c r="E70" i="134"/>
  <c r="E69" i="134"/>
  <c r="E68" i="134"/>
  <c r="E67" i="134"/>
  <c r="E66" i="134"/>
  <c r="E65" i="134"/>
  <c r="E64" i="134"/>
  <c r="E63" i="134"/>
  <c r="E62" i="134"/>
  <c r="E61" i="134"/>
  <c r="E60" i="134"/>
  <c r="E59" i="134"/>
  <c r="E58" i="134"/>
  <c r="E57" i="134"/>
  <c r="E56" i="134"/>
  <c r="E55" i="134"/>
  <c r="E54" i="134"/>
  <c r="E53" i="134"/>
  <c r="E52" i="134"/>
  <c r="E51" i="134"/>
  <c r="E50" i="134"/>
  <c r="E49" i="134"/>
  <c r="E48" i="134"/>
  <c r="E47" i="134"/>
  <c r="E46" i="134"/>
  <c r="E45" i="134"/>
  <c r="E44" i="134"/>
  <c r="E43" i="134"/>
  <c r="E42" i="134"/>
  <c r="E41" i="134"/>
  <c r="E40" i="134"/>
  <c r="E39" i="134"/>
  <c r="E38" i="134"/>
  <c r="E37" i="134"/>
  <c r="E36" i="134"/>
  <c r="E35" i="134"/>
  <c r="E34" i="134"/>
  <c r="E33" i="134"/>
  <c r="E32" i="134"/>
  <c r="E31" i="134"/>
  <c r="E30" i="134"/>
  <c r="E29" i="134"/>
  <c r="E28" i="134"/>
  <c r="E27" i="134"/>
  <c r="E26" i="134"/>
  <c r="E25" i="134"/>
  <c r="E19" i="134"/>
  <c r="E18" i="134"/>
  <c r="E17" i="134"/>
  <c r="E16" i="134"/>
  <c r="E15" i="134"/>
  <c r="E14" i="134"/>
  <c r="E13" i="134"/>
  <c r="E12" i="134"/>
  <c r="E11" i="134"/>
  <c r="E10" i="134"/>
  <c r="E9" i="134"/>
  <c r="E8" i="134"/>
  <c r="E7" i="134"/>
  <c r="E6" i="134"/>
  <c r="E5" i="134"/>
  <c r="E4" i="134"/>
  <c r="K5" i="134" s="1"/>
  <c r="K425" i="157" l="1"/>
  <c r="L426" i="157"/>
  <c r="J55" i="140"/>
  <c r="K54" i="140"/>
  <c r="L54" i="140" s="1"/>
  <c r="M34" i="138"/>
  <c r="M5" i="134"/>
  <c r="L5" i="134"/>
  <c r="L5" i="115"/>
  <c r="M5" i="115" s="1"/>
  <c r="K150" i="115"/>
  <c r="L150" i="115" s="1"/>
  <c r="M149" i="115"/>
  <c r="K47" i="139"/>
  <c r="L46" i="139"/>
  <c r="M46" i="139" s="1"/>
  <c r="K454" i="131"/>
  <c r="K279" i="131"/>
  <c r="L278" i="131"/>
  <c r="M278" i="131" s="1"/>
  <c r="L200" i="145"/>
  <c r="K199" i="145"/>
  <c r="K127" i="134"/>
  <c r="K6" i="134"/>
  <c r="L6" i="134" s="1"/>
  <c r="K6" i="115"/>
  <c r="L6" i="115" s="1"/>
  <c r="K26" i="134"/>
  <c r="L427" i="157" l="1"/>
  <c r="K426" i="157"/>
  <c r="J56" i="140"/>
  <c r="K55" i="140"/>
  <c r="L55" i="140" s="1"/>
  <c r="K37" i="138"/>
  <c r="L37" i="138" s="1"/>
  <c r="K128" i="134"/>
  <c r="M127" i="134"/>
  <c r="K27" i="134"/>
  <c r="M26" i="134"/>
  <c r="K7" i="134"/>
  <c r="L7" i="134" s="1"/>
  <c r="M6" i="134"/>
  <c r="K151" i="115"/>
  <c r="L151" i="115" s="1"/>
  <c r="M150" i="115"/>
  <c r="K7" i="115"/>
  <c r="L7" i="115" s="1"/>
  <c r="M6" i="115"/>
  <c r="K48" i="139"/>
  <c r="L47" i="139"/>
  <c r="M47" i="139" s="1"/>
  <c r="K455" i="131"/>
  <c r="K456" i="131" s="1"/>
  <c r="L456" i="131" s="1"/>
  <c r="M456" i="131" s="1"/>
  <c r="L454" i="131"/>
  <c r="M454" i="131" s="1"/>
  <c r="K280" i="131"/>
  <c r="L279" i="131"/>
  <c r="M279" i="131" s="1"/>
  <c r="L201" i="145"/>
  <c r="K200" i="145"/>
  <c r="E74" i="131"/>
  <c r="L428" i="157" l="1"/>
  <c r="K427" i="157"/>
  <c r="J57" i="140"/>
  <c r="K56" i="140"/>
  <c r="L56" i="140" s="1"/>
  <c r="K38" i="138"/>
  <c r="L38" i="138" s="1"/>
  <c r="M37" i="138"/>
  <c r="K129" i="134"/>
  <c r="M128" i="134"/>
  <c r="K28" i="134"/>
  <c r="M27" i="134"/>
  <c r="K8" i="134"/>
  <c r="L8" i="134" s="1"/>
  <c r="M7" i="134"/>
  <c r="K152" i="115"/>
  <c r="L152" i="115" s="1"/>
  <c r="M151" i="115"/>
  <c r="K8" i="115"/>
  <c r="L8" i="115" s="1"/>
  <c r="M7" i="115"/>
  <c r="K49" i="139"/>
  <c r="L48" i="139"/>
  <c r="M48" i="139" s="1"/>
  <c r="L455" i="131"/>
  <c r="M455" i="131" s="1"/>
  <c r="K282" i="131"/>
  <c r="L280" i="131"/>
  <c r="M280" i="131" s="1"/>
  <c r="L202" i="145"/>
  <c r="K201" i="145"/>
  <c r="K428" i="157" l="1"/>
  <c r="L429" i="157"/>
  <c r="J58" i="140"/>
  <c r="K57" i="140"/>
  <c r="L57" i="140" s="1"/>
  <c r="M38" i="138"/>
  <c r="K130" i="134"/>
  <c r="M129" i="134"/>
  <c r="K29" i="134"/>
  <c r="M28" i="134"/>
  <c r="K9" i="134"/>
  <c r="L9" i="134" s="1"/>
  <c r="M8" i="134"/>
  <c r="K153" i="115"/>
  <c r="L153" i="115" s="1"/>
  <c r="M152" i="115"/>
  <c r="K9" i="115"/>
  <c r="L9" i="115" s="1"/>
  <c r="M8" i="115"/>
  <c r="K50" i="139"/>
  <c r="L49" i="139"/>
  <c r="M49" i="139" s="1"/>
  <c r="K458" i="131"/>
  <c r="K283" i="131"/>
  <c r="L282" i="131"/>
  <c r="M282" i="131" s="1"/>
  <c r="L203" i="145"/>
  <c r="K202" i="145"/>
  <c r="E266" i="129"/>
  <c r="E261" i="129"/>
  <c r="E256" i="129"/>
  <c r="E257" i="129"/>
  <c r="E251" i="129"/>
  <c r="E246" i="129"/>
  <c r="E241" i="129"/>
  <c r="E236" i="129"/>
  <c r="K429" i="157" l="1"/>
  <c r="L430" i="157"/>
  <c r="J59" i="140"/>
  <c r="K58" i="140"/>
  <c r="L58" i="140" s="1"/>
  <c r="K41" i="138"/>
  <c r="L41" i="138" s="1"/>
  <c r="K131" i="134"/>
  <c r="M130" i="134"/>
  <c r="K30" i="134"/>
  <c r="M29" i="134"/>
  <c r="K10" i="134"/>
  <c r="L10" i="134" s="1"/>
  <c r="M9" i="134"/>
  <c r="K154" i="115"/>
  <c r="L154" i="115" s="1"/>
  <c r="M153" i="115"/>
  <c r="K10" i="115"/>
  <c r="L10" i="115" s="1"/>
  <c r="M9" i="115"/>
  <c r="K51" i="139"/>
  <c r="L50" i="139"/>
  <c r="M50" i="139" s="1"/>
  <c r="K459" i="131"/>
  <c r="L458" i="131"/>
  <c r="M458" i="131" s="1"/>
  <c r="K284" i="131"/>
  <c r="L283" i="131"/>
  <c r="M283" i="131" s="1"/>
  <c r="L204" i="145"/>
  <c r="K203" i="145"/>
  <c r="E302" i="129"/>
  <c r="E301" i="129"/>
  <c r="E300" i="129"/>
  <c r="E267" i="129"/>
  <c r="E262" i="129"/>
  <c r="E252" i="129"/>
  <c r="E247" i="129"/>
  <c r="E237" i="129"/>
  <c r="E242" i="129"/>
  <c r="E265" i="129"/>
  <c r="E260" i="129"/>
  <c r="E255" i="129"/>
  <c r="E250" i="129"/>
  <c r="E245" i="129"/>
  <c r="E240" i="129"/>
  <c r="E235" i="129"/>
  <c r="E138" i="129"/>
  <c r="L431" i="157" l="1"/>
  <c r="K430" i="157"/>
  <c r="J60" i="140"/>
  <c r="K59" i="140"/>
  <c r="L59" i="140" s="1"/>
  <c r="K42" i="138"/>
  <c r="L42" i="138" s="1"/>
  <c r="M41" i="138"/>
  <c r="K132" i="134"/>
  <c r="M131" i="134"/>
  <c r="K31" i="134"/>
  <c r="M30" i="134"/>
  <c r="K11" i="134"/>
  <c r="L11" i="134" s="1"/>
  <c r="M10" i="134"/>
  <c r="K155" i="115"/>
  <c r="L155" i="115" s="1"/>
  <c r="M154" i="115"/>
  <c r="K11" i="115"/>
  <c r="L11" i="115" s="1"/>
  <c r="M10" i="115"/>
  <c r="K52" i="139"/>
  <c r="L51" i="139"/>
  <c r="M51" i="139" s="1"/>
  <c r="K461" i="131"/>
  <c r="K462" i="131" s="1"/>
  <c r="L459" i="131"/>
  <c r="M459" i="131" s="1"/>
  <c r="K285" i="131"/>
  <c r="L284" i="131"/>
  <c r="M284" i="131" s="1"/>
  <c r="L205" i="145"/>
  <c r="K204" i="145"/>
  <c r="L432" i="157" l="1"/>
  <c r="K431" i="157"/>
  <c r="L462" i="131"/>
  <c r="M462" i="131" s="1"/>
  <c r="K464" i="131"/>
  <c r="L464" i="131" s="1"/>
  <c r="M464" i="131" s="1"/>
  <c r="J61" i="140"/>
  <c r="K60" i="140"/>
  <c r="L60" i="140" s="1"/>
  <c r="M42" i="138"/>
  <c r="K133" i="134"/>
  <c r="M132" i="134"/>
  <c r="K32" i="134"/>
  <c r="M31" i="134"/>
  <c r="K12" i="134"/>
  <c r="L12" i="134" s="1"/>
  <c r="M11" i="134"/>
  <c r="K156" i="115"/>
  <c r="L156" i="115" s="1"/>
  <c r="M155" i="115"/>
  <c r="K12" i="115"/>
  <c r="L12" i="115" s="1"/>
  <c r="M11" i="115"/>
  <c r="K53" i="139"/>
  <c r="L52" i="139"/>
  <c r="M52" i="139" s="1"/>
  <c r="L461" i="131"/>
  <c r="M461" i="131" s="1"/>
  <c r="K286" i="131"/>
  <c r="L285" i="131"/>
  <c r="M285" i="131" s="1"/>
  <c r="K205" i="145"/>
  <c r="L206" i="145"/>
  <c r="K93" i="115"/>
  <c r="L93" i="115" s="1"/>
  <c r="E231" i="131"/>
  <c r="K432" i="157" l="1"/>
  <c r="L433" i="157"/>
  <c r="J62" i="140"/>
  <c r="K61" i="140"/>
  <c r="L61" i="140" s="1"/>
  <c r="K45" i="138"/>
  <c r="L45" i="138" s="1"/>
  <c r="K134" i="134"/>
  <c r="M133" i="134"/>
  <c r="K33" i="134"/>
  <c r="M32" i="134"/>
  <c r="K13" i="134"/>
  <c r="L13" i="134" s="1"/>
  <c r="M12" i="134"/>
  <c r="K157" i="115"/>
  <c r="L157" i="115" s="1"/>
  <c r="M156" i="115"/>
  <c r="K94" i="115"/>
  <c r="K95" i="115" s="1"/>
  <c r="K96" i="115" s="1"/>
  <c r="K97" i="115" s="1"/>
  <c r="K98" i="115" s="1"/>
  <c r="M93" i="115"/>
  <c r="K13" i="115"/>
  <c r="L13" i="115" s="1"/>
  <c r="M12" i="115"/>
  <c r="K54" i="139"/>
  <c r="L53" i="139"/>
  <c r="M53" i="139" s="1"/>
  <c r="K288" i="131"/>
  <c r="L286" i="131"/>
  <c r="M286" i="131" s="1"/>
  <c r="K206" i="145"/>
  <c r="L207" i="145"/>
  <c r="E225" i="131"/>
  <c r="E224" i="131"/>
  <c r="E221" i="131"/>
  <c r="E62" i="131"/>
  <c r="E61" i="131"/>
  <c r="E60" i="131"/>
  <c r="E59" i="131"/>
  <c r="E58" i="131"/>
  <c r="E57" i="131"/>
  <c r="E56" i="131"/>
  <c r="K433" i="157" l="1"/>
  <c r="L434" i="157"/>
  <c r="J63" i="140"/>
  <c r="K62" i="140"/>
  <c r="L62" i="140" s="1"/>
  <c r="L94" i="115"/>
  <c r="M94" i="115" s="1"/>
  <c r="L95" i="115"/>
  <c r="M95" i="115" s="1"/>
  <c r="K46" i="138"/>
  <c r="L46" i="138" s="1"/>
  <c r="M45" i="138"/>
  <c r="K135" i="134"/>
  <c r="M134" i="134"/>
  <c r="K34" i="134"/>
  <c r="M33" i="134"/>
  <c r="K14" i="134"/>
  <c r="L14" i="134" s="1"/>
  <c r="M13" i="134"/>
  <c r="K158" i="115"/>
  <c r="L158" i="115" s="1"/>
  <c r="M157" i="115"/>
  <c r="L96" i="115"/>
  <c r="K14" i="115"/>
  <c r="L14" i="115" s="1"/>
  <c r="M13" i="115"/>
  <c r="K55" i="139"/>
  <c r="L54" i="139"/>
  <c r="M54" i="139" s="1"/>
  <c r="K465" i="131"/>
  <c r="K289" i="131"/>
  <c r="L288" i="131"/>
  <c r="M288" i="131" s="1"/>
  <c r="L208" i="145"/>
  <c r="K207" i="145"/>
  <c r="E56" i="129"/>
  <c r="L435" i="157" l="1"/>
  <c r="K434" i="157"/>
  <c r="J64" i="140"/>
  <c r="K63" i="140"/>
  <c r="L63" i="140" s="1"/>
  <c r="K48" i="138"/>
  <c r="L48" i="138" s="1"/>
  <c r="M46" i="138"/>
  <c r="K136" i="134"/>
  <c r="M135" i="134"/>
  <c r="K35" i="134"/>
  <c r="M34" i="134"/>
  <c r="K15" i="134"/>
  <c r="L15" i="134" s="1"/>
  <c r="M14" i="134"/>
  <c r="K159" i="115"/>
  <c r="L159" i="115" s="1"/>
  <c r="M158" i="115"/>
  <c r="L97" i="115"/>
  <c r="M96" i="115"/>
  <c r="K15" i="115"/>
  <c r="L15" i="115" s="1"/>
  <c r="M14" i="115"/>
  <c r="K56" i="139"/>
  <c r="L55" i="139"/>
  <c r="M55" i="139" s="1"/>
  <c r="K466" i="131"/>
  <c r="K467" i="131" s="1"/>
  <c r="L467" i="131" s="1"/>
  <c r="M467" i="131" s="1"/>
  <c r="L465" i="131"/>
  <c r="M465" i="131" s="1"/>
  <c r="K290" i="131"/>
  <c r="L289" i="131"/>
  <c r="M289" i="131" s="1"/>
  <c r="L209" i="145"/>
  <c r="K208" i="145"/>
  <c r="E219" i="131"/>
  <c r="E218" i="131"/>
  <c r="E217" i="131"/>
  <c r="E216" i="131"/>
  <c r="E215" i="131"/>
  <c r="E214" i="131"/>
  <c r="E213" i="131"/>
  <c r="E212" i="131"/>
  <c r="E209" i="131"/>
  <c r="E207" i="131"/>
  <c r="E206" i="131"/>
  <c r="E205" i="131"/>
  <c r="E204" i="131"/>
  <c r="E203" i="131"/>
  <c r="E202" i="131"/>
  <c r="E194" i="131"/>
  <c r="K195" i="131" s="1"/>
  <c r="L195" i="131" s="1"/>
  <c r="M195" i="131" s="1"/>
  <c r="L436" i="157" l="1"/>
  <c r="K435" i="157"/>
  <c r="J65" i="140"/>
  <c r="K64" i="140"/>
  <c r="L64" i="140" s="1"/>
  <c r="K49" i="138"/>
  <c r="L49" i="138" s="1"/>
  <c r="M48" i="138"/>
  <c r="K137" i="134"/>
  <c r="M136" i="134"/>
  <c r="K36" i="134"/>
  <c r="M35" i="134"/>
  <c r="K16" i="134"/>
  <c r="L16" i="134" s="1"/>
  <c r="M15" i="134"/>
  <c r="K160" i="115"/>
  <c r="L160" i="115" s="1"/>
  <c r="M159" i="115"/>
  <c r="L98" i="115"/>
  <c r="M97" i="115"/>
  <c r="K16" i="115"/>
  <c r="L16" i="115" s="1"/>
  <c r="M15" i="115"/>
  <c r="K57" i="139"/>
  <c r="L56" i="139"/>
  <c r="M56" i="139" s="1"/>
  <c r="L466" i="131"/>
  <c r="M466" i="131" s="1"/>
  <c r="K291" i="131"/>
  <c r="L290" i="131"/>
  <c r="M290" i="131" s="1"/>
  <c r="L210" i="145"/>
  <c r="K209" i="145"/>
  <c r="K196" i="131"/>
  <c r="K197" i="131" s="1"/>
  <c r="E107" i="131"/>
  <c r="E106" i="131"/>
  <c r="E105" i="131"/>
  <c r="E102" i="131"/>
  <c r="E101" i="131"/>
  <c r="E100" i="131"/>
  <c r="E99" i="131"/>
  <c r="E98" i="131"/>
  <c r="K96" i="131"/>
  <c r="E96" i="131"/>
  <c r="K436" i="157" l="1"/>
  <c r="L437" i="157"/>
  <c r="J66" i="140"/>
  <c r="K65" i="140"/>
  <c r="L65" i="140" s="1"/>
  <c r="K198" i="131"/>
  <c r="L197" i="131"/>
  <c r="M197" i="131" s="1"/>
  <c r="K50" i="138"/>
  <c r="L50" i="138" s="1"/>
  <c r="M49" i="138"/>
  <c r="K138" i="134"/>
  <c r="M137" i="134"/>
  <c r="K37" i="134"/>
  <c r="M36" i="134"/>
  <c r="K17" i="134"/>
  <c r="L17" i="134" s="1"/>
  <c r="M16" i="134"/>
  <c r="K161" i="115"/>
  <c r="L161" i="115" s="1"/>
  <c r="M160" i="115"/>
  <c r="K99" i="115"/>
  <c r="L99" i="115" s="1"/>
  <c r="M98" i="115"/>
  <c r="K17" i="115"/>
  <c r="L17" i="115" s="1"/>
  <c r="M16" i="115"/>
  <c r="K58" i="139"/>
  <c r="L57" i="139"/>
  <c r="M57" i="139" s="1"/>
  <c r="K469" i="131"/>
  <c r="K292" i="131"/>
  <c r="L291" i="131"/>
  <c r="M291" i="131" s="1"/>
  <c r="L196" i="131"/>
  <c r="M196" i="131" s="1"/>
  <c r="L211" i="145"/>
  <c r="K210" i="145"/>
  <c r="K437" i="157" l="1"/>
  <c r="L438" i="157"/>
  <c r="J67" i="140"/>
  <c r="K66" i="140"/>
  <c r="L66" i="140" s="1"/>
  <c r="K199" i="131"/>
  <c r="L198" i="131"/>
  <c r="M198" i="131" s="1"/>
  <c r="K51" i="138"/>
  <c r="L51" i="138" s="1"/>
  <c r="M50" i="138"/>
  <c r="K139" i="134"/>
  <c r="M138" i="134"/>
  <c r="K38" i="134"/>
  <c r="M37" i="134"/>
  <c r="K18" i="134"/>
  <c r="L18" i="134" s="1"/>
  <c r="M17" i="134"/>
  <c r="K162" i="115"/>
  <c r="L162" i="115" s="1"/>
  <c r="M161" i="115"/>
  <c r="K100" i="115"/>
  <c r="K101" i="115" s="1"/>
  <c r="L101" i="115" s="1"/>
  <c r="M101" i="115" s="1"/>
  <c r="M99" i="115"/>
  <c r="K18" i="115"/>
  <c r="L18" i="115" s="1"/>
  <c r="M17" i="115"/>
  <c r="K59" i="139"/>
  <c r="L58" i="139"/>
  <c r="M58" i="139" s="1"/>
  <c r="K470" i="131"/>
  <c r="L469" i="131"/>
  <c r="M469" i="131" s="1"/>
  <c r="K294" i="131"/>
  <c r="L292" i="131"/>
  <c r="M292" i="131" s="1"/>
  <c r="L212" i="145"/>
  <c r="K211" i="145"/>
  <c r="E119" i="131"/>
  <c r="E118" i="131"/>
  <c r="E117" i="131"/>
  <c r="E116" i="131"/>
  <c r="E115" i="131"/>
  <c r="E114" i="131"/>
  <c r="E86" i="131"/>
  <c r="E85" i="131"/>
  <c r="E84" i="131"/>
  <c r="E83" i="131"/>
  <c r="E82" i="131"/>
  <c r="E81" i="131"/>
  <c r="E163" i="131"/>
  <c r="E155" i="131"/>
  <c r="E147" i="131"/>
  <c r="E141" i="131"/>
  <c r="E133" i="131"/>
  <c r="E127" i="131"/>
  <c r="E94" i="131"/>
  <c r="E77" i="131"/>
  <c r="E69" i="131"/>
  <c r="E45" i="131"/>
  <c r="E37" i="131"/>
  <c r="E30" i="131"/>
  <c r="L439" i="157" l="1"/>
  <c r="K438" i="157"/>
  <c r="J68" i="140"/>
  <c r="K67" i="140"/>
  <c r="L67" i="140" s="1"/>
  <c r="L100" i="115"/>
  <c r="M100" i="115" s="1"/>
  <c r="L199" i="131"/>
  <c r="M199" i="131" s="1"/>
  <c r="K200" i="131"/>
  <c r="K52" i="138"/>
  <c r="L52" i="138" s="1"/>
  <c r="M51" i="138"/>
  <c r="K140" i="134"/>
  <c r="M139" i="134"/>
  <c r="K39" i="134"/>
  <c r="M38" i="134"/>
  <c r="K19" i="134"/>
  <c r="L19" i="134" s="1"/>
  <c r="M18" i="134"/>
  <c r="K163" i="115"/>
  <c r="L163" i="115" s="1"/>
  <c r="M162" i="115"/>
  <c r="K19" i="115"/>
  <c r="L19" i="115" s="1"/>
  <c r="M18" i="115"/>
  <c r="L59" i="139"/>
  <c r="M59" i="139" s="1"/>
  <c r="K61" i="139"/>
  <c r="K472" i="131"/>
  <c r="K473" i="131" s="1"/>
  <c r="L470" i="131"/>
  <c r="M470" i="131" s="1"/>
  <c r="K295" i="131"/>
  <c r="L294" i="131"/>
  <c r="M294" i="131" s="1"/>
  <c r="L213" i="145"/>
  <c r="K212" i="145"/>
  <c r="L440" i="157" l="1"/>
  <c r="K439" i="157"/>
  <c r="L473" i="131"/>
  <c r="M473" i="131" s="1"/>
  <c r="K475" i="131"/>
  <c r="L475" i="131" s="1"/>
  <c r="M475" i="131" s="1"/>
  <c r="J70" i="140"/>
  <c r="K68" i="140"/>
  <c r="L68" i="140" s="1"/>
  <c r="K102" i="115"/>
  <c r="K103" i="115" s="1"/>
  <c r="K104" i="115" s="1"/>
  <c r="K105" i="115" s="1"/>
  <c r="K106" i="115" s="1"/>
  <c r="K202" i="131"/>
  <c r="L200" i="131"/>
  <c r="M200" i="131" s="1"/>
  <c r="K53" i="138"/>
  <c r="L53" i="138" s="1"/>
  <c r="M52" i="138"/>
  <c r="K141" i="134"/>
  <c r="M140" i="134"/>
  <c r="K40" i="134"/>
  <c r="M39" i="134"/>
  <c r="K20" i="134"/>
  <c r="L20" i="134" s="1"/>
  <c r="M19" i="134"/>
  <c r="K164" i="115"/>
  <c r="L164" i="115" s="1"/>
  <c r="M163" i="115"/>
  <c r="L102" i="115"/>
  <c r="K20" i="115"/>
  <c r="L20" i="115" s="1"/>
  <c r="M19" i="115"/>
  <c r="K62" i="139"/>
  <c r="L61" i="139"/>
  <c r="M61" i="139" s="1"/>
  <c r="L472" i="131"/>
  <c r="M472" i="131" s="1"/>
  <c r="K296" i="131"/>
  <c r="L295" i="131"/>
  <c r="M295" i="131" s="1"/>
  <c r="L214" i="145"/>
  <c r="K213" i="145"/>
  <c r="E164" i="131"/>
  <c r="E162" i="131"/>
  <c r="E161" i="131"/>
  <c r="E160" i="131"/>
  <c r="E159" i="131"/>
  <c r="E158" i="131"/>
  <c r="K157" i="131"/>
  <c r="E157" i="131"/>
  <c r="E156" i="131"/>
  <c r="E154" i="131"/>
  <c r="E153" i="131"/>
  <c r="E152" i="131"/>
  <c r="E151" i="131"/>
  <c r="E150" i="131"/>
  <c r="K149" i="131"/>
  <c r="E149" i="131"/>
  <c r="E148" i="131"/>
  <c r="E146" i="131"/>
  <c r="E145" i="131"/>
  <c r="E143" i="131"/>
  <c r="E142" i="131"/>
  <c r="E140" i="131"/>
  <c r="E138" i="131"/>
  <c r="E137" i="131"/>
  <c r="E136" i="131"/>
  <c r="E134" i="131"/>
  <c r="E132" i="131"/>
  <c r="E131" i="131"/>
  <c r="K129" i="131"/>
  <c r="E129" i="131"/>
  <c r="E128" i="131"/>
  <c r="E126" i="131"/>
  <c r="E125" i="131"/>
  <c r="E124" i="131"/>
  <c r="E123" i="131"/>
  <c r="E122" i="131"/>
  <c r="E120" i="131"/>
  <c r="E113" i="131"/>
  <c r="K114" i="131" s="1"/>
  <c r="E95" i="131"/>
  <c r="E93" i="131"/>
  <c r="E91" i="131"/>
  <c r="E90" i="131"/>
  <c r="E89" i="131"/>
  <c r="E87" i="131"/>
  <c r="E80" i="131"/>
  <c r="E76" i="131"/>
  <c r="E75" i="131"/>
  <c r="E73" i="131"/>
  <c r="E72" i="131"/>
  <c r="E70" i="131"/>
  <c r="E68" i="131"/>
  <c r="E67" i="131"/>
  <c r="E66" i="131"/>
  <c r="E65" i="131"/>
  <c r="E64" i="131"/>
  <c r="E46" i="131"/>
  <c r="E44" i="131"/>
  <c r="E43" i="131"/>
  <c r="E41" i="131"/>
  <c r="E40" i="131"/>
  <c r="E39" i="131"/>
  <c r="E36" i="131"/>
  <c r="E35" i="131"/>
  <c r="E34" i="131"/>
  <c r="E33" i="131"/>
  <c r="E32" i="131"/>
  <c r="E29" i="131"/>
  <c r="E28" i="131"/>
  <c r="E27" i="131"/>
  <c r="E26" i="131"/>
  <c r="E25" i="131"/>
  <c r="K24" i="131"/>
  <c r="E24" i="131"/>
  <c r="E23" i="131"/>
  <c r="E6" i="131"/>
  <c r="K5" i="131"/>
  <c r="E5" i="131"/>
  <c r="K440" i="157" l="1"/>
  <c r="L441" i="157"/>
  <c r="J71" i="140"/>
  <c r="K70" i="140"/>
  <c r="L70" i="140" s="1"/>
  <c r="K7" i="131"/>
  <c r="K8" i="131" s="1"/>
  <c r="L202" i="131"/>
  <c r="M202" i="131" s="1"/>
  <c r="K203" i="131"/>
  <c r="K55" i="138"/>
  <c r="L55" i="138" s="1"/>
  <c r="M53" i="138"/>
  <c r="K142" i="134"/>
  <c r="M141" i="134"/>
  <c r="K41" i="134"/>
  <c r="M40" i="134"/>
  <c r="K21" i="134"/>
  <c r="L21" i="134" s="1"/>
  <c r="M20" i="134"/>
  <c r="K165" i="115"/>
  <c r="L165" i="115" s="1"/>
  <c r="M164" i="115"/>
  <c r="L103" i="115"/>
  <c r="M102" i="115"/>
  <c r="K21" i="115"/>
  <c r="L21" i="115" s="1"/>
  <c r="M20" i="115"/>
  <c r="K63" i="139"/>
  <c r="L62" i="139"/>
  <c r="M62" i="139" s="1"/>
  <c r="K297" i="131"/>
  <c r="L296" i="131"/>
  <c r="M296" i="131" s="1"/>
  <c r="K115" i="131"/>
  <c r="K116" i="131" s="1"/>
  <c r="L116" i="131" s="1"/>
  <c r="M116" i="131" s="1"/>
  <c r="L114" i="131"/>
  <c r="M114" i="131" s="1"/>
  <c r="L215" i="145"/>
  <c r="K214" i="145"/>
  <c r="K102" i="131"/>
  <c r="E58" i="129"/>
  <c r="E57" i="129"/>
  <c r="E47" i="129"/>
  <c r="E46" i="129"/>
  <c r="E31" i="129"/>
  <c r="E30" i="129"/>
  <c r="K441" i="157" l="1"/>
  <c r="L442" i="157"/>
  <c r="L7" i="131"/>
  <c r="M7" i="131" s="1"/>
  <c r="J72" i="140"/>
  <c r="K71" i="140"/>
  <c r="L71" i="140" s="1"/>
  <c r="K204" i="131"/>
  <c r="L203" i="131"/>
  <c r="M203" i="131" s="1"/>
  <c r="M55" i="138"/>
  <c r="K56" i="138"/>
  <c r="L56" i="138" s="1"/>
  <c r="K143" i="134"/>
  <c r="M142" i="134"/>
  <c r="K42" i="134"/>
  <c r="M41" i="134"/>
  <c r="K22" i="134"/>
  <c r="L22" i="134" s="1"/>
  <c r="M21" i="134"/>
  <c r="K166" i="115"/>
  <c r="L166" i="115" s="1"/>
  <c r="M165" i="115"/>
  <c r="L104" i="115"/>
  <c r="M103" i="115"/>
  <c r="K22" i="115"/>
  <c r="L22" i="115" s="1"/>
  <c r="M21" i="115"/>
  <c r="K64" i="139"/>
  <c r="L63" i="139"/>
  <c r="M63" i="139" s="1"/>
  <c r="K476" i="131"/>
  <c r="K298" i="131"/>
  <c r="L297" i="131"/>
  <c r="M297" i="131" s="1"/>
  <c r="L115" i="131"/>
  <c r="M115" i="131" s="1"/>
  <c r="K9" i="131"/>
  <c r="L8" i="131"/>
  <c r="M8" i="131" s="1"/>
  <c r="L216" i="145"/>
  <c r="K215" i="145"/>
  <c r="E139" i="129"/>
  <c r="E137" i="129"/>
  <c r="E113" i="129"/>
  <c r="E112" i="129"/>
  <c r="E110" i="129"/>
  <c r="E109" i="129"/>
  <c r="E100" i="129"/>
  <c r="E99" i="129"/>
  <c r="E98" i="129"/>
  <c r="E97" i="129"/>
  <c r="E96" i="129"/>
  <c r="E55" i="129"/>
  <c r="E54" i="129"/>
  <c r="E53" i="129"/>
  <c r="E52" i="129"/>
  <c r="E51" i="129"/>
  <c r="E50" i="129"/>
  <c r="E45" i="129"/>
  <c r="E36" i="129"/>
  <c r="E34" i="129"/>
  <c r="E29" i="129"/>
  <c r="E28" i="129"/>
  <c r="E27" i="129"/>
  <c r="E26" i="129"/>
  <c r="L443" i="157" l="1"/>
  <c r="K442" i="157"/>
  <c r="J73" i="140"/>
  <c r="K72" i="140"/>
  <c r="L72" i="140" s="1"/>
  <c r="K205" i="131"/>
  <c r="L204" i="131"/>
  <c r="M204" i="131" s="1"/>
  <c r="K57" i="138"/>
  <c r="L57" i="138" s="1"/>
  <c r="M56" i="138"/>
  <c r="K144" i="134"/>
  <c r="M143" i="134"/>
  <c r="K43" i="134"/>
  <c r="M42" i="134"/>
  <c r="K23" i="134"/>
  <c r="M22" i="134"/>
  <c r="K167" i="115"/>
  <c r="L167" i="115" s="1"/>
  <c r="M166" i="115"/>
  <c r="L105" i="115"/>
  <c r="M104" i="115"/>
  <c r="K23" i="115"/>
  <c r="L23" i="115" s="1"/>
  <c r="M22" i="115"/>
  <c r="K65" i="139"/>
  <c r="L64" i="139"/>
  <c r="M64" i="139" s="1"/>
  <c r="K477" i="131"/>
  <c r="K478" i="131" s="1"/>
  <c r="L478" i="131" s="1"/>
  <c r="M478" i="131" s="1"/>
  <c r="L476" i="131"/>
  <c r="M476" i="131" s="1"/>
  <c r="K300" i="131"/>
  <c r="L298" i="131"/>
  <c r="M298" i="131" s="1"/>
  <c r="K117" i="131"/>
  <c r="K10" i="131"/>
  <c r="L9" i="131"/>
  <c r="M9" i="131" s="1"/>
  <c r="L217" i="145"/>
  <c r="K216" i="145"/>
  <c r="K27" i="129"/>
  <c r="L444" i="157" l="1"/>
  <c r="K443" i="157"/>
  <c r="J74" i="140"/>
  <c r="K73" i="140"/>
  <c r="L73" i="140" s="1"/>
  <c r="K206" i="131"/>
  <c r="L205" i="131"/>
  <c r="M205" i="131" s="1"/>
  <c r="K58" i="138"/>
  <c r="L58" i="138" s="1"/>
  <c r="M57" i="138"/>
  <c r="K145" i="134"/>
  <c r="M145" i="134" s="1"/>
  <c r="M144" i="134"/>
  <c r="K44" i="134"/>
  <c r="M43" i="134"/>
  <c r="M23" i="134"/>
  <c r="L23" i="134"/>
  <c r="K168" i="115"/>
  <c r="L168" i="115" s="1"/>
  <c r="M167" i="115"/>
  <c r="L106" i="115"/>
  <c r="M105" i="115"/>
  <c r="K24" i="115"/>
  <c r="L24" i="115" s="1"/>
  <c r="M23" i="115"/>
  <c r="K66" i="139"/>
  <c r="L65" i="139"/>
  <c r="M65" i="139" s="1"/>
  <c r="K28" i="129"/>
  <c r="L27" i="129"/>
  <c r="M27" i="129" s="1"/>
  <c r="L477" i="131"/>
  <c r="M477" i="131" s="1"/>
  <c r="K301" i="131"/>
  <c r="L300" i="131"/>
  <c r="M300" i="131" s="1"/>
  <c r="K118" i="131"/>
  <c r="L117" i="131"/>
  <c r="M117" i="131" s="1"/>
  <c r="K11" i="131"/>
  <c r="L10" i="131"/>
  <c r="M10" i="131" s="1"/>
  <c r="L218" i="145"/>
  <c r="K217" i="145"/>
  <c r="K444" i="157" l="1"/>
  <c r="L445" i="157"/>
  <c r="J75" i="140"/>
  <c r="K74" i="140"/>
  <c r="L74" i="140" s="1"/>
  <c r="K207" i="131"/>
  <c r="K208" i="131" s="1"/>
  <c r="K209" i="131" s="1"/>
  <c r="K210" i="131" s="1"/>
  <c r="L206" i="131"/>
  <c r="M206" i="131" s="1"/>
  <c r="K59" i="138"/>
  <c r="L59" i="138" s="1"/>
  <c r="M58" i="138"/>
  <c r="K45" i="134"/>
  <c r="M44" i="134"/>
  <c r="K169" i="115"/>
  <c r="L169" i="115" s="1"/>
  <c r="M168" i="115"/>
  <c r="K107" i="115"/>
  <c r="L107" i="115" s="1"/>
  <c r="M106" i="115"/>
  <c r="K25" i="115"/>
  <c r="L25" i="115" s="1"/>
  <c r="M24" i="115"/>
  <c r="K67" i="139"/>
  <c r="L66" i="139"/>
  <c r="M66" i="139" s="1"/>
  <c r="K29" i="129"/>
  <c r="L28" i="129"/>
  <c r="M28" i="129" s="1"/>
  <c r="K480" i="131"/>
  <c r="K302" i="131"/>
  <c r="L301" i="131"/>
  <c r="M301" i="131" s="1"/>
  <c r="K119" i="131"/>
  <c r="L118" i="131"/>
  <c r="M118" i="131" s="1"/>
  <c r="K12" i="131"/>
  <c r="L11" i="131"/>
  <c r="M11" i="131" s="1"/>
  <c r="L219" i="145"/>
  <c r="K218" i="145"/>
  <c r="K445" i="157" l="1"/>
  <c r="L446" i="157"/>
  <c r="L208" i="131"/>
  <c r="M208" i="131" s="1"/>
  <c r="J76" i="140"/>
  <c r="K75" i="140"/>
  <c r="L75" i="140" s="1"/>
  <c r="L207" i="131"/>
  <c r="M207" i="131" s="1"/>
  <c r="K60" i="138"/>
  <c r="L60" i="138" s="1"/>
  <c r="M59" i="138"/>
  <c r="K46" i="134"/>
  <c r="M45" i="134"/>
  <c r="K170" i="115"/>
  <c r="L170" i="115" s="1"/>
  <c r="M169" i="115"/>
  <c r="K108" i="115"/>
  <c r="L108" i="115" s="1"/>
  <c r="M107" i="115"/>
  <c r="K26" i="115"/>
  <c r="L26" i="115" s="1"/>
  <c r="M25" i="115"/>
  <c r="K68" i="139"/>
  <c r="L67" i="139"/>
  <c r="M67" i="139" s="1"/>
  <c r="K30" i="129"/>
  <c r="L29" i="129"/>
  <c r="M29" i="129" s="1"/>
  <c r="K481" i="131"/>
  <c r="L480" i="131"/>
  <c r="M480" i="131" s="1"/>
  <c r="K303" i="131"/>
  <c r="L302" i="131"/>
  <c r="M302" i="131" s="1"/>
  <c r="K120" i="131"/>
  <c r="L119" i="131"/>
  <c r="M119" i="131" s="1"/>
  <c r="K13" i="131"/>
  <c r="L12" i="131"/>
  <c r="M12" i="131" s="1"/>
  <c r="L220" i="145"/>
  <c r="K219" i="145"/>
  <c r="J5" i="128"/>
  <c r="J6" i="128" s="1"/>
  <c r="J7" i="128" s="1"/>
  <c r="J8" i="128" s="1"/>
  <c r="J9" i="128" s="1"/>
  <c r="J10" i="128" s="1"/>
  <c r="J11" i="128" s="1"/>
  <c r="J12" i="128" s="1"/>
  <c r="J13" i="128" s="1"/>
  <c r="J14" i="128" s="1"/>
  <c r="J15" i="128" s="1"/>
  <c r="J16" i="128" s="1"/>
  <c r="J17" i="128" s="1"/>
  <c r="J18" i="128" s="1"/>
  <c r="J19" i="128" s="1"/>
  <c r="J20" i="128" s="1"/>
  <c r="J21" i="128" s="1"/>
  <c r="J22" i="128" s="1"/>
  <c r="J23" i="128" s="1"/>
  <c r="J24" i="128" s="1"/>
  <c r="J25" i="128" s="1"/>
  <c r="J26" i="128" s="1"/>
  <c r="J27" i="128" s="1"/>
  <c r="J28" i="128" s="1"/>
  <c r="J29" i="128" s="1"/>
  <c r="J30" i="128" s="1"/>
  <c r="J31" i="128" s="1"/>
  <c r="J32" i="128" s="1"/>
  <c r="J33" i="128" s="1"/>
  <c r="J34" i="128" s="1"/>
  <c r="J35" i="128" s="1"/>
  <c r="J37" i="128" s="1"/>
  <c r="J38" i="128" s="1"/>
  <c r="J39" i="128" s="1"/>
  <c r="J40" i="128" s="1"/>
  <c r="J41" i="128" s="1"/>
  <c r="J42" i="128" s="1"/>
  <c r="J43" i="128" s="1"/>
  <c r="J44" i="128" s="1"/>
  <c r="J45" i="128" s="1"/>
  <c r="J46" i="128" s="1"/>
  <c r="J47" i="128" s="1"/>
  <c r="J48" i="128" s="1"/>
  <c r="J49" i="128" s="1"/>
  <c r="J50" i="128" s="1"/>
  <c r="J51" i="128" s="1"/>
  <c r="J52" i="128" s="1"/>
  <c r="J53" i="128" s="1"/>
  <c r="J54" i="128" s="1"/>
  <c r="J55" i="128" s="1"/>
  <c r="J56" i="128" s="1"/>
  <c r="J57" i="128" s="1"/>
  <c r="J58" i="128" s="1"/>
  <c r="J59" i="128" s="1"/>
  <c r="J60" i="128" s="1"/>
  <c r="J61" i="128" s="1"/>
  <c r="J62" i="128" s="1"/>
  <c r="J63" i="128" s="1"/>
  <c r="J64" i="128" s="1"/>
  <c r="J65" i="128" s="1"/>
  <c r="J66" i="128" s="1"/>
  <c r="J67" i="128" s="1"/>
  <c r="J68" i="128" s="1"/>
  <c r="L447" i="157" l="1"/>
  <c r="K446" i="157"/>
  <c r="J77" i="140"/>
  <c r="K76" i="140"/>
  <c r="L76" i="140" s="1"/>
  <c r="L210" i="131"/>
  <c r="M210" i="131" s="1"/>
  <c r="K212" i="131"/>
  <c r="L209" i="131"/>
  <c r="M209" i="131" s="1"/>
  <c r="K61" i="138"/>
  <c r="M60" i="138"/>
  <c r="K47" i="134"/>
  <c r="M46" i="134"/>
  <c r="K171" i="115"/>
  <c r="L171" i="115" s="1"/>
  <c r="M170" i="115"/>
  <c r="K109" i="115"/>
  <c r="L109" i="115" s="1"/>
  <c r="M108" i="115"/>
  <c r="K27" i="115"/>
  <c r="L27" i="115" s="1"/>
  <c r="M26" i="115"/>
  <c r="K69" i="139"/>
  <c r="L68" i="139"/>
  <c r="M68" i="139" s="1"/>
  <c r="K31" i="129"/>
  <c r="L30" i="129"/>
  <c r="M30" i="129" s="1"/>
  <c r="K483" i="131"/>
  <c r="K484" i="131" s="1"/>
  <c r="L481" i="131"/>
  <c r="M481" i="131" s="1"/>
  <c r="K304" i="131"/>
  <c r="L303" i="131"/>
  <c r="M303" i="131" s="1"/>
  <c r="L120" i="131"/>
  <c r="M120" i="131" s="1"/>
  <c r="K122" i="131"/>
  <c r="K14" i="131"/>
  <c r="L13" i="131"/>
  <c r="M13" i="131" s="1"/>
  <c r="L221" i="145"/>
  <c r="K220" i="145"/>
  <c r="L448" i="157" l="1"/>
  <c r="K447" i="157"/>
  <c r="L484" i="131"/>
  <c r="M484" i="131" s="1"/>
  <c r="K486" i="131"/>
  <c r="L486" i="131" s="1"/>
  <c r="M486" i="131" s="1"/>
  <c r="J78" i="140"/>
  <c r="K77" i="140"/>
  <c r="L77" i="140" s="1"/>
  <c r="L61" i="138"/>
  <c r="M61" i="138" s="1"/>
  <c r="L212" i="131"/>
  <c r="M212" i="131" s="1"/>
  <c r="K213" i="131"/>
  <c r="K48" i="134"/>
  <c r="M47" i="134"/>
  <c r="K172" i="115"/>
  <c r="L172" i="115" s="1"/>
  <c r="M171" i="115"/>
  <c r="K110" i="115"/>
  <c r="L110" i="115" s="1"/>
  <c r="M109" i="115"/>
  <c r="K28" i="115"/>
  <c r="L28" i="115" s="1"/>
  <c r="M27" i="115"/>
  <c r="K70" i="139"/>
  <c r="L69" i="139"/>
  <c r="M69" i="139" s="1"/>
  <c r="K34" i="129"/>
  <c r="L31" i="129"/>
  <c r="M31" i="129" s="1"/>
  <c r="L483" i="131"/>
  <c r="M483" i="131" s="1"/>
  <c r="K306" i="131"/>
  <c r="L304" i="131"/>
  <c r="M304" i="131" s="1"/>
  <c r="K123" i="131"/>
  <c r="L122" i="131"/>
  <c r="M122" i="131" s="1"/>
  <c r="K15" i="131"/>
  <c r="L14" i="131"/>
  <c r="M14" i="131" s="1"/>
  <c r="L222" i="145"/>
  <c r="K221" i="145"/>
  <c r="K448" i="157" l="1"/>
  <c r="L449" i="157"/>
  <c r="J79" i="140"/>
  <c r="K78" i="140"/>
  <c r="L78" i="140" s="1"/>
  <c r="L213" i="131"/>
  <c r="M213" i="131" s="1"/>
  <c r="K214" i="131"/>
  <c r="K49" i="134"/>
  <c r="M48" i="134"/>
  <c r="K173" i="115"/>
  <c r="L173" i="115" s="1"/>
  <c r="M172" i="115"/>
  <c r="K111" i="115"/>
  <c r="L111" i="115" s="1"/>
  <c r="M110" i="115"/>
  <c r="K29" i="115"/>
  <c r="L29" i="115" s="1"/>
  <c r="M28" i="115"/>
  <c r="K71" i="139"/>
  <c r="L70" i="139"/>
  <c r="M70" i="139" s="1"/>
  <c r="L34" i="129"/>
  <c r="M34" i="129" s="1"/>
  <c r="K35" i="129"/>
  <c r="L35" i="129" s="1"/>
  <c r="M35" i="129" s="1"/>
  <c r="K307" i="131"/>
  <c r="L306" i="131"/>
  <c r="M306" i="131" s="1"/>
  <c r="K124" i="131"/>
  <c r="K125" i="131" s="1"/>
  <c r="L125" i="131" s="1"/>
  <c r="M125" i="131" s="1"/>
  <c r="L123" i="131"/>
  <c r="M123" i="131" s="1"/>
  <c r="K16" i="131"/>
  <c r="K17" i="131" s="1"/>
  <c r="K18" i="131" s="1"/>
  <c r="L15" i="131"/>
  <c r="M15" i="131" s="1"/>
  <c r="L223" i="145"/>
  <c r="K222" i="145"/>
  <c r="AD4" i="115"/>
  <c r="AC4" i="115"/>
  <c r="AB4" i="115"/>
  <c r="AA4" i="115"/>
  <c r="X4" i="115"/>
  <c r="K449" i="157" l="1"/>
  <c r="L450" i="157"/>
  <c r="J80" i="140"/>
  <c r="K79" i="140"/>
  <c r="L79" i="140" s="1"/>
  <c r="K36" i="129"/>
  <c r="K37" i="129" s="1"/>
  <c r="L37" i="129" s="1"/>
  <c r="M37" i="129" s="1"/>
  <c r="K215" i="131"/>
  <c r="L214" i="131"/>
  <c r="M214" i="131" s="1"/>
  <c r="K19" i="131"/>
  <c r="L18" i="131"/>
  <c r="K50" i="134"/>
  <c r="M49" i="134"/>
  <c r="K174" i="115"/>
  <c r="L174" i="115" s="1"/>
  <c r="M173" i="115"/>
  <c r="K112" i="115"/>
  <c r="L112" i="115" s="1"/>
  <c r="M111" i="115"/>
  <c r="K30" i="115"/>
  <c r="L30" i="115" s="1"/>
  <c r="M29" i="115"/>
  <c r="K72" i="139"/>
  <c r="L71" i="139"/>
  <c r="M71" i="139" s="1"/>
  <c r="K487" i="131"/>
  <c r="K308" i="131"/>
  <c r="L307" i="131"/>
  <c r="M307" i="131" s="1"/>
  <c r="L124" i="131"/>
  <c r="M124" i="131" s="1"/>
  <c r="L16" i="131"/>
  <c r="M16" i="131" s="1"/>
  <c r="L224" i="145"/>
  <c r="K223" i="145"/>
  <c r="AA5" i="115"/>
  <c r="Z4" i="115"/>
  <c r="Z5" i="115"/>
  <c r="AB5" i="115"/>
  <c r="X5" i="115"/>
  <c r="AC5" i="115"/>
  <c r="AD5" i="115"/>
  <c r="L451" i="157" l="1"/>
  <c r="K450" i="157"/>
  <c r="L36" i="129"/>
  <c r="M36" i="129" s="1"/>
  <c r="J81" i="140"/>
  <c r="K80" i="140"/>
  <c r="L80" i="140" s="1"/>
  <c r="K216" i="131"/>
  <c r="L215" i="131"/>
  <c r="M215" i="131" s="1"/>
  <c r="K20" i="131"/>
  <c r="K21" i="131" s="1"/>
  <c r="L19" i="131"/>
  <c r="K51" i="134"/>
  <c r="M50" i="134"/>
  <c r="K175" i="115"/>
  <c r="L175" i="115" s="1"/>
  <c r="M174" i="115"/>
  <c r="K113" i="115"/>
  <c r="L113" i="115" s="1"/>
  <c r="M112" i="115"/>
  <c r="K31" i="115"/>
  <c r="L31" i="115" s="1"/>
  <c r="M30" i="115"/>
  <c r="K73" i="139"/>
  <c r="L72" i="139"/>
  <c r="M72" i="139" s="1"/>
  <c r="K38" i="129"/>
  <c r="K39" i="129" s="1"/>
  <c r="L39" i="129" s="1"/>
  <c r="M39" i="129" s="1"/>
  <c r="K488" i="131"/>
  <c r="K489" i="131" s="1"/>
  <c r="L489" i="131" s="1"/>
  <c r="M489" i="131" s="1"/>
  <c r="L487" i="131"/>
  <c r="M487" i="131" s="1"/>
  <c r="K309" i="131"/>
  <c r="L308" i="131"/>
  <c r="M308" i="131" s="1"/>
  <c r="K126" i="131"/>
  <c r="L17" i="131"/>
  <c r="M17" i="131" s="1"/>
  <c r="L225" i="145"/>
  <c r="K224" i="145"/>
  <c r="AA6" i="115"/>
  <c r="AD6" i="115"/>
  <c r="AC6" i="115"/>
  <c r="Z6" i="115"/>
  <c r="X6" i="115"/>
  <c r="AB6" i="115"/>
  <c r="L452" i="157" l="1"/>
  <c r="K451" i="157"/>
  <c r="J82" i="140"/>
  <c r="K81" i="140"/>
  <c r="L81" i="140" s="1"/>
  <c r="L21" i="131"/>
  <c r="M21" i="131" s="1"/>
  <c r="K22" i="131"/>
  <c r="L22" i="131" s="1"/>
  <c r="M22" i="131" s="1"/>
  <c r="L216" i="131"/>
  <c r="M216" i="131" s="1"/>
  <c r="K217" i="131"/>
  <c r="L20" i="131"/>
  <c r="M20" i="131" s="1"/>
  <c r="M19" i="131"/>
  <c r="K52" i="134"/>
  <c r="M51" i="134"/>
  <c r="K176" i="115"/>
  <c r="L176" i="115" s="1"/>
  <c r="M175" i="115"/>
  <c r="K114" i="115"/>
  <c r="L114" i="115" s="1"/>
  <c r="M113" i="115"/>
  <c r="K32" i="115"/>
  <c r="L32" i="115" s="1"/>
  <c r="M31" i="115"/>
  <c r="K74" i="139"/>
  <c r="L73" i="139"/>
  <c r="M73" i="139" s="1"/>
  <c r="L38" i="129"/>
  <c r="M38" i="129" s="1"/>
  <c r="L488" i="131"/>
  <c r="M488" i="131" s="1"/>
  <c r="K310" i="131"/>
  <c r="L309" i="131"/>
  <c r="M309" i="131" s="1"/>
  <c r="K127" i="131"/>
  <c r="L126" i="131"/>
  <c r="M126" i="131" s="1"/>
  <c r="M18" i="131"/>
  <c r="L226" i="145"/>
  <c r="K225" i="145"/>
  <c r="AC7" i="115"/>
  <c r="X7" i="115"/>
  <c r="AB7" i="115"/>
  <c r="AD7" i="115"/>
  <c r="AA7" i="115"/>
  <c r="Z7" i="115"/>
  <c r="K452" i="157" l="1"/>
  <c r="L453" i="157"/>
  <c r="J83" i="140"/>
  <c r="K82" i="140"/>
  <c r="L82" i="140" s="1"/>
  <c r="K218" i="131"/>
  <c r="L217" i="131"/>
  <c r="M217" i="131" s="1"/>
  <c r="K53" i="134"/>
  <c r="M52" i="134"/>
  <c r="K177" i="115"/>
  <c r="L177" i="115" s="1"/>
  <c r="M176" i="115"/>
  <c r="K115" i="115"/>
  <c r="L115" i="115" s="1"/>
  <c r="M114" i="115"/>
  <c r="K33" i="115"/>
  <c r="L33" i="115" s="1"/>
  <c r="M32" i="115"/>
  <c r="AA32" i="115"/>
  <c r="AD32" i="115"/>
  <c r="Z32" i="115"/>
  <c r="X32" i="115"/>
  <c r="AB32" i="115"/>
  <c r="AC32" i="115"/>
  <c r="K75" i="139"/>
  <c r="L74" i="139"/>
  <c r="M74" i="139" s="1"/>
  <c r="K42" i="129"/>
  <c r="K491" i="131"/>
  <c r="K312" i="131"/>
  <c r="L310" i="131"/>
  <c r="M310" i="131" s="1"/>
  <c r="K128" i="131"/>
  <c r="L127" i="131"/>
  <c r="M127" i="131" s="1"/>
  <c r="L227" i="145"/>
  <c r="K226" i="145"/>
  <c r="X8" i="115"/>
  <c r="AA8" i="115"/>
  <c r="AD8" i="115"/>
  <c r="AC8" i="115"/>
  <c r="AB8" i="115"/>
  <c r="Z8" i="115"/>
  <c r="K453" i="157" l="1"/>
  <c r="L454" i="157"/>
  <c r="J84" i="140"/>
  <c r="K83" i="140"/>
  <c r="L83" i="140" s="1"/>
  <c r="L218" i="131"/>
  <c r="M218" i="131" s="1"/>
  <c r="K219" i="131"/>
  <c r="K23" i="131"/>
  <c r="K54" i="134"/>
  <c r="M53" i="134"/>
  <c r="K178" i="115"/>
  <c r="L178" i="115" s="1"/>
  <c r="M177" i="115"/>
  <c r="K116" i="115"/>
  <c r="L116" i="115" s="1"/>
  <c r="M115" i="115"/>
  <c r="K34" i="115"/>
  <c r="L34" i="115" s="1"/>
  <c r="M33" i="115"/>
  <c r="AA33" i="115"/>
  <c r="Z33" i="115"/>
  <c r="AC33" i="115"/>
  <c r="X33" i="115"/>
  <c r="AD33" i="115"/>
  <c r="AB33" i="115"/>
  <c r="K76" i="139"/>
  <c r="L75" i="139"/>
  <c r="M75" i="139" s="1"/>
  <c r="L42" i="129"/>
  <c r="M42" i="129" s="1"/>
  <c r="K43" i="129"/>
  <c r="K44" i="129" s="1"/>
  <c r="L44" i="129" s="1"/>
  <c r="M44" i="129" s="1"/>
  <c r="K492" i="131"/>
  <c r="L491" i="131"/>
  <c r="M491" i="131" s="1"/>
  <c r="K313" i="131"/>
  <c r="L312" i="131"/>
  <c r="M312" i="131" s="1"/>
  <c r="L128" i="131"/>
  <c r="M128" i="131" s="1"/>
  <c r="K130" i="131"/>
  <c r="K227" i="145"/>
  <c r="L228" i="145"/>
  <c r="AD11" i="115"/>
  <c r="AC11" i="115"/>
  <c r="X11" i="115"/>
  <c r="AA11" i="115"/>
  <c r="AB11" i="115"/>
  <c r="Z11" i="115"/>
  <c r="L455" i="157" l="1"/>
  <c r="K454" i="157"/>
  <c r="J85" i="140"/>
  <c r="K84" i="140"/>
  <c r="L84" i="140" s="1"/>
  <c r="K221" i="131"/>
  <c r="L219" i="131"/>
  <c r="M219" i="131" s="1"/>
  <c r="L23" i="131"/>
  <c r="M23" i="131" s="1"/>
  <c r="K25" i="131"/>
  <c r="K55" i="134"/>
  <c r="M54" i="134"/>
  <c r="K179" i="115"/>
  <c r="L179" i="115" s="1"/>
  <c r="M178" i="115"/>
  <c r="K117" i="115"/>
  <c r="L117" i="115" s="1"/>
  <c r="M116" i="115"/>
  <c r="K35" i="115"/>
  <c r="L35" i="115" s="1"/>
  <c r="M34" i="115"/>
  <c r="AA34" i="115"/>
  <c r="AD34" i="115"/>
  <c r="Z34" i="115"/>
  <c r="X34" i="115"/>
  <c r="AC34" i="115"/>
  <c r="AB34" i="115"/>
  <c r="K77" i="139"/>
  <c r="L76" i="139"/>
  <c r="M76" i="139" s="1"/>
  <c r="L43" i="129"/>
  <c r="M43" i="129" s="1"/>
  <c r="L492" i="131"/>
  <c r="M492" i="131" s="1"/>
  <c r="K494" i="131"/>
  <c r="K495" i="131" s="1"/>
  <c r="K314" i="131"/>
  <c r="L313" i="131"/>
  <c r="M313" i="131" s="1"/>
  <c r="K131" i="131"/>
  <c r="L130" i="131"/>
  <c r="M130" i="131" s="1"/>
  <c r="L229" i="145"/>
  <c r="K228" i="145"/>
  <c r="AA12" i="115"/>
  <c r="Z12" i="115"/>
  <c r="AC12" i="115"/>
  <c r="X12" i="115"/>
  <c r="AD12" i="115"/>
  <c r="AB12" i="115"/>
  <c r="L456" i="157" l="1"/>
  <c r="K455" i="157"/>
  <c r="L495" i="131"/>
  <c r="M495" i="131" s="1"/>
  <c r="K497" i="131"/>
  <c r="L497" i="131" s="1"/>
  <c r="M497" i="131" s="1"/>
  <c r="J87" i="140"/>
  <c r="K85" i="140"/>
  <c r="L85" i="140" s="1"/>
  <c r="K143" i="131"/>
  <c r="L221" i="131"/>
  <c r="M221" i="131" s="1"/>
  <c r="K222" i="131"/>
  <c r="K26" i="131"/>
  <c r="L25" i="131"/>
  <c r="M25" i="131" s="1"/>
  <c r="K56" i="134"/>
  <c r="M55" i="134"/>
  <c r="K180" i="115"/>
  <c r="L180" i="115" s="1"/>
  <c r="M179" i="115"/>
  <c r="K118" i="115"/>
  <c r="L118" i="115" s="1"/>
  <c r="M117" i="115"/>
  <c r="K36" i="115"/>
  <c r="L36" i="115" s="1"/>
  <c r="M35" i="115"/>
  <c r="AA35" i="115"/>
  <c r="Z35" i="115"/>
  <c r="AC35" i="115"/>
  <c r="AD35" i="115"/>
  <c r="X35" i="115"/>
  <c r="AB35" i="115"/>
  <c r="K78" i="139"/>
  <c r="L77" i="139"/>
  <c r="M77" i="139" s="1"/>
  <c r="K45" i="129"/>
  <c r="L494" i="131"/>
  <c r="M494" i="131" s="1"/>
  <c r="K315" i="131"/>
  <c r="L314" i="131"/>
  <c r="M314" i="131" s="1"/>
  <c r="K132" i="131"/>
  <c r="L131" i="131"/>
  <c r="M131" i="131" s="1"/>
  <c r="L230" i="145"/>
  <c r="K229" i="145"/>
  <c r="AA13" i="115"/>
  <c r="AC13" i="115"/>
  <c r="X13" i="115"/>
  <c r="AB13" i="115"/>
  <c r="AD13" i="115"/>
  <c r="Z13" i="115"/>
  <c r="K456" i="157" l="1"/>
  <c r="L457" i="157"/>
  <c r="J88" i="140"/>
  <c r="K87" i="140"/>
  <c r="L87" i="140" s="1"/>
  <c r="K223" i="131"/>
  <c r="L222" i="131"/>
  <c r="M222" i="131" s="1"/>
  <c r="K27" i="131"/>
  <c r="K28" i="131" s="1"/>
  <c r="L28" i="131" s="1"/>
  <c r="M28" i="131" s="1"/>
  <c r="L26" i="131"/>
  <c r="M26" i="131" s="1"/>
  <c r="K57" i="134"/>
  <c r="M56" i="134"/>
  <c r="K181" i="115"/>
  <c r="L181" i="115" s="1"/>
  <c r="M180" i="115"/>
  <c r="K119" i="115"/>
  <c r="L119" i="115" s="1"/>
  <c r="M118" i="115"/>
  <c r="M36" i="115"/>
  <c r="K38" i="115"/>
  <c r="L38" i="115" s="1"/>
  <c r="AA36" i="115"/>
  <c r="AD36" i="115"/>
  <c r="AC36" i="115"/>
  <c r="AB36" i="115"/>
  <c r="Z36" i="115"/>
  <c r="X36" i="115"/>
  <c r="K79" i="139"/>
  <c r="L78" i="139"/>
  <c r="M78" i="139" s="1"/>
  <c r="K46" i="129"/>
  <c r="L45" i="129"/>
  <c r="M45" i="129" s="1"/>
  <c r="K316" i="131"/>
  <c r="L315" i="131"/>
  <c r="M315" i="131" s="1"/>
  <c r="L132" i="131"/>
  <c r="M132" i="131" s="1"/>
  <c r="K133" i="131"/>
  <c r="L231" i="145"/>
  <c r="K230" i="145"/>
  <c r="AD9" i="115"/>
  <c r="Z9" i="115"/>
  <c r="AC9" i="115"/>
  <c r="AB9" i="115"/>
  <c r="X9" i="115"/>
  <c r="AA9" i="115"/>
  <c r="K457" i="157" l="1"/>
  <c r="L458" i="157"/>
  <c r="J89" i="140"/>
  <c r="K88" i="140"/>
  <c r="L88" i="140" s="1"/>
  <c r="K224" i="131"/>
  <c r="L223" i="131"/>
  <c r="M223" i="131" s="1"/>
  <c r="L27" i="131"/>
  <c r="M27" i="131" s="1"/>
  <c r="K58" i="134"/>
  <c r="M57" i="134"/>
  <c r="K182" i="115"/>
  <c r="L182" i="115" s="1"/>
  <c r="M181" i="115"/>
  <c r="K120" i="115"/>
  <c r="L120" i="115" s="1"/>
  <c r="M119" i="115"/>
  <c r="K39" i="115"/>
  <c r="L39" i="115" s="1"/>
  <c r="M38" i="115"/>
  <c r="K80" i="139"/>
  <c r="L79" i="139"/>
  <c r="M79" i="139" s="1"/>
  <c r="K47" i="129"/>
  <c r="L46" i="129"/>
  <c r="M46" i="129" s="1"/>
  <c r="K498" i="131"/>
  <c r="K318" i="131"/>
  <c r="L316" i="131"/>
  <c r="M316" i="131" s="1"/>
  <c r="K134" i="131"/>
  <c r="L133" i="131"/>
  <c r="M133" i="131" s="1"/>
  <c r="L232" i="145"/>
  <c r="K231" i="145"/>
  <c r="AB15" i="115"/>
  <c r="AD15" i="115"/>
  <c r="X15" i="115"/>
  <c r="AC15" i="115"/>
  <c r="Z15" i="115"/>
  <c r="AA15" i="115"/>
  <c r="L459" i="157" l="1"/>
  <c r="K458" i="157"/>
  <c r="J90" i="140"/>
  <c r="K89" i="140"/>
  <c r="L89" i="140" s="1"/>
  <c r="L224" i="131"/>
  <c r="M224" i="131" s="1"/>
  <c r="K225" i="131"/>
  <c r="K227" i="131" s="1"/>
  <c r="K228" i="131" s="1"/>
  <c r="K29" i="131"/>
  <c r="K59" i="134"/>
  <c r="M58" i="134"/>
  <c r="K183" i="115"/>
  <c r="L183" i="115" s="1"/>
  <c r="M182" i="115"/>
  <c r="K121" i="115"/>
  <c r="L121" i="115" s="1"/>
  <c r="M120" i="115"/>
  <c r="K40" i="115"/>
  <c r="L40" i="115" s="1"/>
  <c r="M39" i="115"/>
  <c r="K81" i="139"/>
  <c r="L80" i="139"/>
  <c r="M80" i="139" s="1"/>
  <c r="K50" i="129"/>
  <c r="L47" i="129"/>
  <c r="M47" i="129" s="1"/>
  <c r="K499" i="131"/>
  <c r="K500" i="131" s="1"/>
  <c r="L500" i="131" s="1"/>
  <c r="M500" i="131" s="1"/>
  <c r="L498" i="131"/>
  <c r="M498" i="131" s="1"/>
  <c r="K319" i="131"/>
  <c r="L318" i="131"/>
  <c r="M318" i="131" s="1"/>
  <c r="K136" i="131"/>
  <c r="L134" i="131"/>
  <c r="M134" i="131" s="1"/>
  <c r="K232" i="145"/>
  <c r="L233" i="145"/>
  <c r="AD10" i="115"/>
  <c r="Z10" i="115"/>
  <c r="AA10" i="115"/>
  <c r="X10" i="115"/>
  <c r="AB10" i="115"/>
  <c r="AC10" i="115"/>
  <c r="L460" i="157" l="1"/>
  <c r="K459" i="157"/>
  <c r="L228" i="131"/>
  <c r="M228" i="131" s="1"/>
  <c r="K229" i="131"/>
  <c r="L229" i="131" s="1"/>
  <c r="M229" i="131" s="1"/>
  <c r="J91" i="140"/>
  <c r="K90" i="140"/>
  <c r="L90" i="140" s="1"/>
  <c r="L225" i="131"/>
  <c r="M225" i="131" s="1"/>
  <c r="K30" i="131"/>
  <c r="L29" i="131"/>
  <c r="M29" i="131" s="1"/>
  <c r="K60" i="134"/>
  <c r="M59" i="134"/>
  <c r="K184" i="115"/>
  <c r="L184" i="115" s="1"/>
  <c r="M183" i="115"/>
  <c r="K122" i="115"/>
  <c r="M121" i="115"/>
  <c r="K41" i="115"/>
  <c r="L41" i="115" s="1"/>
  <c r="M40" i="115"/>
  <c r="K82" i="139"/>
  <c r="L81" i="139"/>
  <c r="M81" i="139" s="1"/>
  <c r="L50" i="129"/>
  <c r="M50" i="129" s="1"/>
  <c r="K51" i="129"/>
  <c r="L499" i="131"/>
  <c r="M499" i="131" s="1"/>
  <c r="K320" i="131"/>
  <c r="L319" i="131"/>
  <c r="M319" i="131" s="1"/>
  <c r="K137" i="131"/>
  <c r="L136" i="131"/>
  <c r="M136" i="131" s="1"/>
  <c r="L234" i="145"/>
  <c r="K233" i="145"/>
  <c r="AB16" i="115"/>
  <c r="AC16" i="115"/>
  <c r="AA16" i="115"/>
  <c r="AD16" i="115"/>
  <c r="X16" i="115"/>
  <c r="Z16" i="115"/>
  <c r="K460" i="157" l="1"/>
  <c r="L461" i="157"/>
  <c r="L122" i="115"/>
  <c r="K123" i="115"/>
  <c r="K230" i="131"/>
  <c r="J92" i="140"/>
  <c r="K91" i="140"/>
  <c r="L91" i="140" s="1"/>
  <c r="L30" i="131"/>
  <c r="M30" i="131" s="1"/>
  <c r="K32" i="131"/>
  <c r="K61" i="134"/>
  <c r="M60" i="134"/>
  <c r="K185" i="115"/>
  <c r="L185" i="115" s="1"/>
  <c r="M184" i="115"/>
  <c r="M122" i="115"/>
  <c r="K42" i="115"/>
  <c r="L42" i="115" s="1"/>
  <c r="M41" i="115"/>
  <c r="K83" i="139"/>
  <c r="L82" i="139"/>
  <c r="M82" i="139" s="1"/>
  <c r="K52" i="129"/>
  <c r="L51" i="129"/>
  <c r="M51" i="129" s="1"/>
  <c r="K502" i="131"/>
  <c r="K321" i="131"/>
  <c r="L320" i="131"/>
  <c r="M320" i="131" s="1"/>
  <c r="K138" i="131"/>
  <c r="L137" i="131"/>
  <c r="M137" i="131" s="1"/>
  <c r="L235" i="145"/>
  <c r="K234" i="145"/>
  <c r="AB17" i="115"/>
  <c r="AD17" i="115"/>
  <c r="X17" i="115"/>
  <c r="AC17" i="115"/>
  <c r="Z17" i="115"/>
  <c r="AA17" i="115"/>
  <c r="K461" i="157" l="1"/>
  <c r="L462" i="157"/>
  <c r="K231" i="131"/>
  <c r="L230" i="131"/>
  <c r="M230" i="131" s="1"/>
  <c r="J93" i="140"/>
  <c r="K92" i="140"/>
  <c r="L92" i="140" s="1"/>
  <c r="K33" i="131"/>
  <c r="L32" i="131"/>
  <c r="M32" i="131" s="1"/>
  <c r="K62" i="134"/>
  <c r="M61" i="134"/>
  <c r="L123" i="115"/>
  <c r="M123" i="115" s="1"/>
  <c r="K186" i="115"/>
  <c r="L186" i="115" s="1"/>
  <c r="M185" i="115"/>
  <c r="K43" i="115"/>
  <c r="L43" i="115" s="1"/>
  <c r="M42" i="115"/>
  <c r="K84" i="139"/>
  <c r="L83" i="139"/>
  <c r="M83" i="139" s="1"/>
  <c r="K53" i="129"/>
  <c r="L52" i="129"/>
  <c r="M52" i="129" s="1"/>
  <c r="K503" i="131"/>
  <c r="L502" i="131"/>
  <c r="M502" i="131" s="1"/>
  <c r="K322" i="131"/>
  <c r="L321" i="131"/>
  <c r="M321" i="131" s="1"/>
  <c r="K139" i="131"/>
  <c r="L138" i="131"/>
  <c r="M138" i="131" s="1"/>
  <c r="L236" i="145"/>
  <c r="K235" i="145"/>
  <c r="AD18" i="115"/>
  <c r="Z18" i="115"/>
  <c r="AA18" i="115"/>
  <c r="X18" i="115"/>
  <c r="AB18" i="115"/>
  <c r="AC18" i="115"/>
  <c r="L463" i="157" l="1"/>
  <c r="K462" i="157"/>
  <c r="J94" i="140"/>
  <c r="K93" i="140"/>
  <c r="L93" i="140" s="1"/>
  <c r="L33" i="131"/>
  <c r="M33" i="131" s="1"/>
  <c r="K34" i="131"/>
  <c r="K35" i="131" s="1"/>
  <c r="L35" i="131" s="1"/>
  <c r="M35" i="131" s="1"/>
  <c r="K63" i="134"/>
  <c r="M62" i="134"/>
  <c r="K187" i="115"/>
  <c r="L187" i="115" s="1"/>
  <c r="M186" i="115"/>
  <c r="K44" i="115"/>
  <c r="L44" i="115" s="1"/>
  <c r="M43" i="115"/>
  <c r="K85" i="139"/>
  <c r="L84" i="139"/>
  <c r="M84" i="139" s="1"/>
  <c r="K54" i="129"/>
  <c r="L53" i="129"/>
  <c r="M53" i="129" s="1"/>
  <c r="K505" i="131"/>
  <c r="K506" i="131" s="1"/>
  <c r="L503" i="131"/>
  <c r="M503" i="131" s="1"/>
  <c r="K324" i="131"/>
  <c r="L322" i="131"/>
  <c r="M322" i="131" s="1"/>
  <c r="K140" i="131"/>
  <c r="L139" i="131"/>
  <c r="M139" i="131" s="1"/>
  <c r="L237" i="145"/>
  <c r="K236" i="145"/>
  <c r="AB19" i="115"/>
  <c r="AC19" i="115"/>
  <c r="AA19" i="115"/>
  <c r="AD19" i="115"/>
  <c r="X19" i="115"/>
  <c r="Z19" i="115"/>
  <c r="L464" i="157" l="1"/>
  <c r="K463" i="157"/>
  <c r="L506" i="131"/>
  <c r="M506" i="131" s="1"/>
  <c r="K508" i="131"/>
  <c r="L508" i="131" s="1"/>
  <c r="M508" i="131" s="1"/>
  <c r="J95" i="140"/>
  <c r="K94" i="140"/>
  <c r="L94" i="140" s="1"/>
  <c r="L34" i="131"/>
  <c r="M34" i="131" s="1"/>
  <c r="K64" i="134"/>
  <c r="M63" i="134"/>
  <c r="K188" i="115"/>
  <c r="L188" i="115" s="1"/>
  <c r="M187" i="115"/>
  <c r="K45" i="115"/>
  <c r="L45" i="115" s="1"/>
  <c r="M44" i="115"/>
  <c r="K86" i="139"/>
  <c r="L85" i="139"/>
  <c r="M85" i="139" s="1"/>
  <c r="K55" i="129"/>
  <c r="L54" i="129"/>
  <c r="M54" i="129" s="1"/>
  <c r="L505" i="131"/>
  <c r="M505" i="131" s="1"/>
  <c r="K325" i="131"/>
  <c r="L324" i="131"/>
  <c r="M324" i="131" s="1"/>
  <c r="K141" i="131"/>
  <c r="L140" i="131"/>
  <c r="M140" i="131" s="1"/>
  <c r="L238" i="145"/>
  <c r="K237" i="145"/>
  <c r="AB20" i="115"/>
  <c r="AD20" i="115"/>
  <c r="Z20" i="115"/>
  <c r="AA20" i="115"/>
  <c r="X20" i="115"/>
  <c r="AC20" i="115"/>
  <c r="K464" i="157" l="1"/>
  <c r="L465" i="157"/>
  <c r="J96" i="140"/>
  <c r="K95" i="140"/>
  <c r="L95" i="140" s="1"/>
  <c r="L231" i="131"/>
  <c r="M231" i="131" s="1"/>
  <c r="K233" i="131"/>
  <c r="K36" i="131"/>
  <c r="K65" i="134"/>
  <c r="M64" i="134"/>
  <c r="K189" i="115"/>
  <c r="L189" i="115" s="1"/>
  <c r="M188" i="115"/>
  <c r="K46" i="115"/>
  <c r="L46" i="115" s="1"/>
  <c r="M45" i="115"/>
  <c r="K87" i="139"/>
  <c r="L86" i="139"/>
  <c r="M86" i="139" s="1"/>
  <c r="K56" i="129"/>
  <c r="L55" i="129"/>
  <c r="M55" i="129" s="1"/>
  <c r="K326" i="131"/>
  <c r="L325" i="131"/>
  <c r="M325" i="131" s="1"/>
  <c r="K142" i="131"/>
  <c r="L141" i="131"/>
  <c r="M141" i="131" s="1"/>
  <c r="L239" i="145"/>
  <c r="K238" i="145"/>
  <c r="AB21" i="115"/>
  <c r="AA21" i="115"/>
  <c r="AD21" i="115"/>
  <c r="Z21" i="115"/>
  <c r="AC21" i="115"/>
  <c r="X21" i="115"/>
  <c r="K465" i="157" l="1"/>
  <c r="L466" i="157"/>
  <c r="J97" i="140"/>
  <c r="K96" i="140"/>
  <c r="L96" i="140" s="1"/>
  <c r="L233" i="131"/>
  <c r="M233" i="131" s="1"/>
  <c r="K234" i="131"/>
  <c r="K37" i="131"/>
  <c r="L36" i="131"/>
  <c r="M36" i="131" s="1"/>
  <c r="K66" i="134"/>
  <c r="M65" i="134"/>
  <c r="K190" i="115"/>
  <c r="L190" i="115" s="1"/>
  <c r="M189" i="115"/>
  <c r="K47" i="115"/>
  <c r="L47" i="115" s="1"/>
  <c r="M46" i="115"/>
  <c r="K88" i="139"/>
  <c r="L87" i="139"/>
  <c r="M87" i="139" s="1"/>
  <c r="K57" i="129"/>
  <c r="L56" i="129"/>
  <c r="M56" i="129" s="1"/>
  <c r="K509" i="131"/>
  <c r="K327" i="131"/>
  <c r="L326" i="131"/>
  <c r="M326" i="131" s="1"/>
  <c r="L142" i="131"/>
  <c r="M142" i="131" s="1"/>
  <c r="K144" i="131"/>
  <c r="L240" i="145"/>
  <c r="K239" i="145"/>
  <c r="AB22" i="115"/>
  <c r="AA22" i="115"/>
  <c r="AD22" i="115"/>
  <c r="Z22" i="115"/>
  <c r="AC22" i="115"/>
  <c r="X22" i="115"/>
  <c r="L467" i="157" l="1"/>
  <c r="K466" i="157"/>
  <c r="J98" i="140"/>
  <c r="K97" i="140"/>
  <c r="L97" i="140" s="1"/>
  <c r="K235" i="131"/>
  <c r="L234" i="131"/>
  <c r="M234" i="131" s="1"/>
  <c r="L37" i="131"/>
  <c r="M37" i="131" s="1"/>
  <c r="K39" i="131"/>
  <c r="K67" i="134"/>
  <c r="M66" i="134"/>
  <c r="K191" i="115"/>
  <c r="L191" i="115" s="1"/>
  <c r="M190" i="115"/>
  <c r="K48" i="115"/>
  <c r="L48" i="115" s="1"/>
  <c r="M47" i="115"/>
  <c r="K89" i="139"/>
  <c r="L88" i="139"/>
  <c r="M88" i="139" s="1"/>
  <c r="K58" i="129"/>
  <c r="K61" i="129" s="1"/>
  <c r="L61" i="129" s="1"/>
  <c r="M61" i="129" s="1"/>
  <c r="L57" i="129"/>
  <c r="M57" i="129" s="1"/>
  <c r="K510" i="131"/>
  <c r="K511" i="131" s="1"/>
  <c r="L511" i="131" s="1"/>
  <c r="M511" i="131" s="1"/>
  <c r="L509" i="131"/>
  <c r="M509" i="131" s="1"/>
  <c r="K328" i="131"/>
  <c r="L327" i="131"/>
  <c r="M327" i="131" s="1"/>
  <c r="L144" i="131"/>
  <c r="M144" i="131" s="1"/>
  <c r="K145" i="131"/>
  <c r="L241" i="145"/>
  <c r="K240" i="145"/>
  <c r="AD23" i="115"/>
  <c r="AB23" i="115"/>
  <c r="AA23" i="115"/>
  <c r="Z23" i="115"/>
  <c r="AC23" i="115"/>
  <c r="X23" i="115"/>
  <c r="L468" i="157" l="1"/>
  <c r="K467" i="157"/>
  <c r="J99" i="140"/>
  <c r="K98" i="140"/>
  <c r="L98" i="140" s="1"/>
  <c r="L235" i="131"/>
  <c r="M235" i="131" s="1"/>
  <c r="K236" i="131"/>
  <c r="K40" i="131"/>
  <c r="L39" i="131"/>
  <c r="M39" i="131" s="1"/>
  <c r="K68" i="134"/>
  <c r="M67" i="134"/>
  <c r="K192" i="115"/>
  <c r="L192" i="115" s="1"/>
  <c r="M191" i="115"/>
  <c r="M48" i="115"/>
  <c r="K49" i="115"/>
  <c r="L49" i="115" s="1"/>
  <c r="K90" i="139"/>
  <c r="L89" i="139"/>
  <c r="M89" i="139" s="1"/>
  <c r="L58" i="129"/>
  <c r="M58" i="129" s="1"/>
  <c r="L510" i="131"/>
  <c r="M510" i="131" s="1"/>
  <c r="K330" i="131"/>
  <c r="L328" i="131"/>
  <c r="M328" i="131" s="1"/>
  <c r="K146" i="131"/>
  <c r="L145" i="131"/>
  <c r="M145" i="131" s="1"/>
  <c r="L242" i="145"/>
  <c r="K241" i="145"/>
  <c r="AB14" i="115"/>
  <c r="AC14" i="115"/>
  <c r="AA14" i="115"/>
  <c r="Z14" i="115"/>
  <c r="AD14" i="115"/>
  <c r="X14" i="115"/>
  <c r="K468" i="157" l="1"/>
  <c r="L469" i="157"/>
  <c r="J100" i="140"/>
  <c r="K99" i="140"/>
  <c r="L99" i="140" s="1"/>
  <c r="K237" i="131"/>
  <c r="L236" i="131"/>
  <c r="M236" i="131" s="1"/>
  <c r="L40" i="131"/>
  <c r="M40" i="131" s="1"/>
  <c r="K41" i="131"/>
  <c r="K69" i="134"/>
  <c r="M68" i="134"/>
  <c r="K193" i="115"/>
  <c r="L193" i="115" s="1"/>
  <c r="M192" i="115"/>
  <c r="K50" i="115"/>
  <c r="L50" i="115" s="1"/>
  <c r="M49" i="115"/>
  <c r="K91" i="139"/>
  <c r="L90" i="139"/>
  <c r="M90" i="139" s="1"/>
  <c r="K513" i="131"/>
  <c r="K331" i="131"/>
  <c r="L330" i="131"/>
  <c r="M330" i="131" s="1"/>
  <c r="K147" i="131"/>
  <c r="L146" i="131"/>
  <c r="M146" i="131" s="1"/>
  <c r="L243" i="145"/>
  <c r="K242" i="145"/>
  <c r="AD24" i="115"/>
  <c r="Z24" i="115"/>
  <c r="X24" i="115"/>
  <c r="AC24" i="115"/>
  <c r="AB24" i="115"/>
  <c r="AA24" i="115"/>
  <c r="K469" i="157" l="1"/>
  <c r="L470" i="157"/>
  <c r="J101" i="140"/>
  <c r="K100" i="140"/>
  <c r="L100" i="140" s="1"/>
  <c r="K239" i="131"/>
  <c r="L237" i="131"/>
  <c r="M237" i="131" s="1"/>
  <c r="K42" i="131"/>
  <c r="K43" i="131" s="1"/>
  <c r="L43" i="131" s="1"/>
  <c r="M43" i="131" s="1"/>
  <c r="L41" i="131"/>
  <c r="M41" i="131" s="1"/>
  <c r="K70" i="134"/>
  <c r="M69" i="134"/>
  <c r="K194" i="115"/>
  <c r="L194" i="115" s="1"/>
  <c r="M193" i="115"/>
  <c r="K51" i="115"/>
  <c r="L51" i="115" s="1"/>
  <c r="M50" i="115"/>
  <c r="K92" i="139"/>
  <c r="L91" i="139"/>
  <c r="M91" i="139" s="1"/>
  <c r="K514" i="131"/>
  <c r="L513" i="131"/>
  <c r="M513" i="131" s="1"/>
  <c r="K332" i="131"/>
  <c r="L331" i="131"/>
  <c r="M331" i="131" s="1"/>
  <c r="K148" i="131"/>
  <c r="L147" i="131"/>
  <c r="M147" i="131" s="1"/>
  <c r="L244" i="145"/>
  <c r="K243" i="145"/>
  <c r="AB25" i="115"/>
  <c r="AA25" i="115"/>
  <c r="Z25" i="115"/>
  <c r="AD25" i="115"/>
  <c r="X25" i="115"/>
  <c r="AC25" i="115"/>
  <c r="L471" i="157" l="1"/>
  <c r="K470" i="157"/>
  <c r="J102" i="140"/>
  <c r="K101" i="140"/>
  <c r="L101" i="140" s="1"/>
  <c r="K240" i="131"/>
  <c r="L239" i="131"/>
  <c r="M239" i="131" s="1"/>
  <c r="L42" i="131"/>
  <c r="M42" i="131" s="1"/>
  <c r="K71" i="134"/>
  <c r="M70" i="134"/>
  <c r="K195" i="115"/>
  <c r="L195" i="115" s="1"/>
  <c r="M194" i="115"/>
  <c r="K53" i="115"/>
  <c r="L53" i="115" s="1"/>
  <c r="M51" i="115"/>
  <c r="K93" i="139"/>
  <c r="L92" i="139"/>
  <c r="M92" i="139" s="1"/>
  <c r="K516" i="131"/>
  <c r="K517" i="131" s="1"/>
  <c r="L514" i="131"/>
  <c r="M514" i="131" s="1"/>
  <c r="K333" i="131"/>
  <c r="L332" i="131"/>
  <c r="M332" i="131" s="1"/>
  <c r="K150" i="131"/>
  <c r="L148" i="131"/>
  <c r="M148" i="131" s="1"/>
  <c r="L245" i="145"/>
  <c r="K244" i="145"/>
  <c r="AD26" i="115"/>
  <c r="Z26" i="115"/>
  <c r="AC26" i="115"/>
  <c r="AB26" i="115"/>
  <c r="AA26" i="115"/>
  <c r="X26" i="115"/>
  <c r="L472" i="157" l="1"/>
  <c r="K471" i="157"/>
  <c r="L517" i="131"/>
  <c r="M517" i="131" s="1"/>
  <c r="K519" i="131"/>
  <c r="L519" i="131" s="1"/>
  <c r="M519" i="131" s="1"/>
  <c r="J104" i="140"/>
  <c r="K102" i="140"/>
  <c r="L102" i="140" s="1"/>
  <c r="K242" i="131"/>
  <c r="L240" i="131"/>
  <c r="M240" i="131" s="1"/>
  <c r="K44" i="131"/>
  <c r="K72" i="134"/>
  <c r="M71" i="134"/>
  <c r="K196" i="115"/>
  <c r="L196" i="115" s="1"/>
  <c r="M195" i="115"/>
  <c r="K54" i="115"/>
  <c r="L54" i="115" s="1"/>
  <c r="M53" i="115"/>
  <c r="K94" i="139"/>
  <c r="L93" i="139"/>
  <c r="M93" i="139" s="1"/>
  <c r="L516" i="131"/>
  <c r="M516" i="131" s="1"/>
  <c r="K334" i="131"/>
  <c r="L333" i="131"/>
  <c r="M333" i="131" s="1"/>
  <c r="K151" i="131"/>
  <c r="L150" i="131"/>
  <c r="M150" i="131" s="1"/>
  <c r="L246" i="145"/>
  <c r="K245" i="145"/>
  <c r="AD27" i="115"/>
  <c r="Z27" i="115"/>
  <c r="AA27" i="115"/>
  <c r="X27" i="115"/>
  <c r="AC27" i="115"/>
  <c r="AB27" i="115"/>
  <c r="K472" i="157" l="1"/>
  <c r="L473" i="157"/>
  <c r="J105" i="140"/>
  <c r="K104" i="140"/>
  <c r="L104" i="140" s="1"/>
  <c r="K243" i="131"/>
  <c r="L242" i="131"/>
  <c r="M242" i="131" s="1"/>
  <c r="K45" i="131"/>
  <c r="L44" i="131"/>
  <c r="M44" i="131" s="1"/>
  <c r="K73" i="134"/>
  <c r="M72" i="134"/>
  <c r="K197" i="115"/>
  <c r="L197" i="115" s="1"/>
  <c r="M196" i="115"/>
  <c r="K55" i="115"/>
  <c r="L55" i="115" s="1"/>
  <c r="M54" i="115"/>
  <c r="K95" i="139"/>
  <c r="L94" i="139"/>
  <c r="M94" i="139" s="1"/>
  <c r="K336" i="131"/>
  <c r="L334" i="131"/>
  <c r="M334" i="131" s="1"/>
  <c r="K152" i="131"/>
  <c r="K153" i="131" s="1"/>
  <c r="L153" i="131" s="1"/>
  <c r="M153" i="131" s="1"/>
  <c r="L151" i="131"/>
  <c r="M151" i="131" s="1"/>
  <c r="L247" i="145"/>
  <c r="K246" i="145"/>
  <c r="AD28" i="115"/>
  <c r="Z28" i="115"/>
  <c r="AC28" i="115"/>
  <c r="AB28" i="115"/>
  <c r="AA28" i="115"/>
  <c r="X28" i="115"/>
  <c r="K473" i="157" l="1"/>
  <c r="L474" i="157"/>
  <c r="J106" i="140"/>
  <c r="K105" i="140"/>
  <c r="L105" i="140" s="1"/>
  <c r="L243" i="131"/>
  <c r="M243" i="131" s="1"/>
  <c r="K244" i="131"/>
  <c r="K245" i="131" s="1"/>
  <c r="L245" i="131" s="1"/>
  <c r="M245" i="131" s="1"/>
  <c r="K46" i="131"/>
  <c r="L45" i="131"/>
  <c r="M45" i="131" s="1"/>
  <c r="K74" i="134"/>
  <c r="M73" i="134"/>
  <c r="K198" i="115"/>
  <c r="L198" i="115" s="1"/>
  <c r="M197" i="115"/>
  <c r="K56" i="115"/>
  <c r="L56" i="115" s="1"/>
  <c r="M55" i="115"/>
  <c r="K96" i="139"/>
  <c r="L95" i="139"/>
  <c r="M95" i="139" s="1"/>
  <c r="K520" i="131"/>
  <c r="K337" i="131"/>
  <c r="L336" i="131"/>
  <c r="M336" i="131" s="1"/>
  <c r="L152" i="131"/>
  <c r="M152" i="131" s="1"/>
  <c r="L248" i="145"/>
  <c r="K247" i="145"/>
  <c r="AD29" i="115"/>
  <c r="Z29" i="115"/>
  <c r="AA29" i="115"/>
  <c r="X29" i="115"/>
  <c r="AC29" i="115"/>
  <c r="AB29" i="115"/>
  <c r="L475" i="157" l="1"/>
  <c r="K474" i="157"/>
  <c r="J107" i="140"/>
  <c r="K106" i="140"/>
  <c r="L106" i="140" s="1"/>
  <c r="L244" i="131"/>
  <c r="M244" i="131" s="1"/>
  <c r="K48" i="131"/>
  <c r="L46" i="131"/>
  <c r="M46" i="131" s="1"/>
  <c r="K75" i="134"/>
  <c r="M74" i="134"/>
  <c r="K199" i="115"/>
  <c r="L199" i="115" s="1"/>
  <c r="M198" i="115"/>
  <c r="K57" i="115"/>
  <c r="L57" i="115" s="1"/>
  <c r="M56" i="115"/>
  <c r="K97" i="139"/>
  <c r="L96" i="139"/>
  <c r="M96" i="139" s="1"/>
  <c r="K521" i="131"/>
  <c r="K522" i="131" s="1"/>
  <c r="L522" i="131" s="1"/>
  <c r="M522" i="131" s="1"/>
  <c r="L520" i="131"/>
  <c r="M520" i="131" s="1"/>
  <c r="K338" i="131"/>
  <c r="L337" i="131"/>
  <c r="M337" i="131" s="1"/>
  <c r="K154" i="131"/>
  <c r="L249" i="145"/>
  <c r="K248" i="145"/>
  <c r="K236" i="129"/>
  <c r="L476" i="157" l="1"/>
  <c r="K475" i="157"/>
  <c r="J108" i="140"/>
  <c r="K107" i="140"/>
  <c r="L107" i="140" s="1"/>
  <c r="K247" i="131"/>
  <c r="L48" i="131"/>
  <c r="M48" i="131" s="1"/>
  <c r="K49" i="131"/>
  <c r="K76" i="134"/>
  <c r="M75" i="134"/>
  <c r="K200" i="115"/>
  <c r="L200" i="115" s="1"/>
  <c r="M199" i="115"/>
  <c r="K58" i="115"/>
  <c r="L58" i="115" s="1"/>
  <c r="M57" i="115"/>
  <c r="K98" i="139"/>
  <c r="L97" i="139"/>
  <c r="M97" i="139" s="1"/>
  <c r="K237" i="129"/>
  <c r="L236" i="129"/>
  <c r="M236" i="129" s="1"/>
  <c r="L521" i="131"/>
  <c r="M521" i="131" s="1"/>
  <c r="K339" i="131"/>
  <c r="L338" i="131"/>
  <c r="M338" i="131" s="1"/>
  <c r="K155" i="131"/>
  <c r="L154" i="131"/>
  <c r="M154" i="131" s="1"/>
  <c r="L250" i="145"/>
  <c r="K249" i="145"/>
  <c r="K62" i="129"/>
  <c r="K476" i="157" l="1"/>
  <c r="L477" i="157"/>
  <c r="J109" i="140"/>
  <c r="K108" i="140"/>
  <c r="L108" i="140" s="1"/>
  <c r="K248" i="131"/>
  <c r="L247" i="131"/>
  <c r="M247" i="131" s="1"/>
  <c r="K50" i="131"/>
  <c r="K51" i="131" s="1"/>
  <c r="L51" i="131" s="1"/>
  <c r="M51" i="131" s="1"/>
  <c r="L49" i="131"/>
  <c r="M49" i="131" s="1"/>
  <c r="K77" i="134"/>
  <c r="M76" i="134"/>
  <c r="K201" i="115"/>
  <c r="K202" i="115" s="1"/>
  <c r="M200" i="115"/>
  <c r="K59" i="115"/>
  <c r="L59" i="115" s="1"/>
  <c r="M58" i="115"/>
  <c r="K99" i="139"/>
  <c r="L98" i="139"/>
  <c r="M98" i="139" s="1"/>
  <c r="K238" i="129"/>
  <c r="L237" i="129"/>
  <c r="M237" i="129" s="1"/>
  <c r="K63" i="129"/>
  <c r="L62" i="129"/>
  <c r="M62" i="129" s="1"/>
  <c r="K524" i="131"/>
  <c r="K340" i="131"/>
  <c r="L340" i="131" s="1"/>
  <c r="M340" i="131" s="1"/>
  <c r="L339" i="131"/>
  <c r="M339" i="131" s="1"/>
  <c r="K156" i="131"/>
  <c r="L155" i="131"/>
  <c r="M155" i="131" s="1"/>
  <c r="L251" i="145"/>
  <c r="K250" i="145"/>
  <c r="K477" i="157" l="1"/>
  <c r="L478" i="157"/>
  <c r="K203" i="115"/>
  <c r="L202" i="115"/>
  <c r="M202" i="115" s="1"/>
  <c r="J110" i="140"/>
  <c r="K109" i="140"/>
  <c r="L109" i="140" s="1"/>
  <c r="K249" i="131"/>
  <c r="L248" i="131"/>
  <c r="M248" i="131" s="1"/>
  <c r="L50" i="131"/>
  <c r="M50" i="131" s="1"/>
  <c r="K78" i="134"/>
  <c r="M77" i="134"/>
  <c r="L201" i="115"/>
  <c r="M201" i="115" s="1"/>
  <c r="M59" i="115"/>
  <c r="K61" i="115"/>
  <c r="L61" i="115" s="1"/>
  <c r="K100" i="139"/>
  <c r="L99" i="139"/>
  <c r="M99" i="139" s="1"/>
  <c r="K239" i="129"/>
  <c r="L238" i="129"/>
  <c r="M238" i="129" s="1"/>
  <c r="K64" i="129"/>
  <c r="L63" i="129"/>
  <c r="M63" i="129" s="1"/>
  <c r="K525" i="131"/>
  <c r="L524" i="131"/>
  <c r="M524" i="131" s="1"/>
  <c r="L156" i="131"/>
  <c r="M156" i="131" s="1"/>
  <c r="K158" i="131"/>
  <c r="L252" i="145"/>
  <c r="K251" i="145"/>
  <c r="L479" i="157" l="1"/>
  <c r="K478" i="157"/>
  <c r="L203" i="115"/>
  <c r="M203" i="115" s="1"/>
  <c r="K204" i="115"/>
  <c r="J111" i="140"/>
  <c r="K110" i="140"/>
  <c r="L110" i="140" s="1"/>
  <c r="K251" i="131"/>
  <c r="L249" i="131"/>
  <c r="M249" i="131" s="1"/>
  <c r="K52" i="131"/>
  <c r="K79" i="134"/>
  <c r="M78" i="134"/>
  <c r="K62" i="115"/>
  <c r="L62" i="115" s="1"/>
  <c r="M61" i="115"/>
  <c r="K101" i="139"/>
  <c r="L100" i="139"/>
  <c r="M100" i="139" s="1"/>
  <c r="K240" i="129"/>
  <c r="L239" i="129"/>
  <c r="M239" i="129" s="1"/>
  <c r="K65" i="129"/>
  <c r="L64" i="129"/>
  <c r="M64" i="129" s="1"/>
  <c r="K527" i="131"/>
  <c r="K528" i="131" s="1"/>
  <c r="L525" i="131"/>
  <c r="M525" i="131" s="1"/>
  <c r="K159" i="131"/>
  <c r="L158" i="131"/>
  <c r="M158" i="131" s="1"/>
  <c r="K252" i="145"/>
  <c r="L253" i="145"/>
  <c r="L480" i="157" l="1"/>
  <c r="K479" i="157"/>
  <c r="K205" i="115"/>
  <c r="L204" i="115"/>
  <c r="M204" i="115" s="1"/>
  <c r="L528" i="131"/>
  <c r="M528" i="131" s="1"/>
  <c r="K530" i="131"/>
  <c r="L530" i="131" s="1"/>
  <c r="M530" i="131" s="1"/>
  <c r="J112" i="140"/>
  <c r="K111" i="140"/>
  <c r="L111" i="140" s="1"/>
  <c r="L251" i="131"/>
  <c r="M251" i="131" s="1"/>
  <c r="K252" i="131"/>
  <c r="K53" i="131"/>
  <c r="L52" i="131"/>
  <c r="M52" i="131" s="1"/>
  <c r="K80" i="134"/>
  <c r="M79" i="134"/>
  <c r="K63" i="115"/>
  <c r="L63" i="115" s="1"/>
  <c r="M62" i="115"/>
  <c r="K102" i="139"/>
  <c r="L101" i="139"/>
  <c r="M101" i="139" s="1"/>
  <c r="K241" i="129"/>
  <c r="L240" i="129"/>
  <c r="M240" i="129" s="1"/>
  <c r="K66" i="129"/>
  <c r="L65" i="129"/>
  <c r="M65" i="129" s="1"/>
  <c r="L527" i="131"/>
  <c r="M527" i="131" s="1"/>
  <c r="K160" i="131"/>
  <c r="K161" i="131" s="1"/>
  <c r="L161" i="131" s="1"/>
  <c r="M161" i="131" s="1"/>
  <c r="L159" i="131"/>
  <c r="M159" i="131" s="1"/>
  <c r="L254" i="145"/>
  <c r="K253" i="145"/>
  <c r="K480" i="157" l="1"/>
  <c r="L481" i="157"/>
  <c r="L205" i="115"/>
  <c r="M205" i="115" s="1"/>
  <c r="K206" i="115"/>
  <c r="L206" i="115" s="1"/>
  <c r="M206" i="115" s="1"/>
  <c r="J113" i="140"/>
  <c r="K112" i="140"/>
  <c r="L112" i="140" s="1"/>
  <c r="K253" i="131"/>
  <c r="L252" i="131"/>
  <c r="M252" i="131" s="1"/>
  <c r="K54" i="131"/>
  <c r="L53" i="131"/>
  <c r="M53" i="131" s="1"/>
  <c r="K81" i="134"/>
  <c r="M80" i="134"/>
  <c r="K64" i="115"/>
  <c r="L64" i="115" s="1"/>
  <c r="M63" i="115"/>
  <c r="K103" i="139"/>
  <c r="L102" i="139"/>
  <c r="M102" i="139" s="1"/>
  <c r="K242" i="129"/>
  <c r="L241" i="129"/>
  <c r="M241" i="129" s="1"/>
  <c r="K67" i="129"/>
  <c r="L66" i="129"/>
  <c r="M66" i="129" s="1"/>
  <c r="L160" i="131"/>
  <c r="M160" i="131" s="1"/>
  <c r="L255" i="145"/>
  <c r="K254" i="145"/>
  <c r="K481" i="157" l="1"/>
  <c r="L482" i="157"/>
  <c r="J114" i="140"/>
  <c r="K113" i="140"/>
  <c r="L113" i="140" s="1"/>
  <c r="L253" i="131"/>
  <c r="M253" i="131" s="1"/>
  <c r="K254" i="131"/>
  <c r="K56" i="131"/>
  <c r="L54" i="131"/>
  <c r="M54" i="131" s="1"/>
  <c r="K82" i="134"/>
  <c r="M81" i="134"/>
  <c r="K65" i="115"/>
  <c r="L65" i="115" s="1"/>
  <c r="M64" i="115"/>
  <c r="K104" i="139"/>
  <c r="L103" i="139"/>
  <c r="M103" i="139" s="1"/>
  <c r="K243" i="129"/>
  <c r="L242" i="129"/>
  <c r="M242" i="129" s="1"/>
  <c r="K68" i="129"/>
  <c r="L67" i="129"/>
  <c r="M67" i="129" s="1"/>
  <c r="K531" i="131"/>
  <c r="K162" i="131"/>
  <c r="L256" i="145"/>
  <c r="K255" i="145"/>
  <c r="L483" i="157" l="1"/>
  <c r="K482" i="157"/>
  <c r="J115" i="140"/>
  <c r="K114" i="140"/>
  <c r="L114" i="140" s="1"/>
  <c r="K256" i="131"/>
  <c r="L254" i="131"/>
  <c r="M254" i="131" s="1"/>
  <c r="K57" i="131"/>
  <c r="L56" i="131"/>
  <c r="M56" i="131" s="1"/>
  <c r="K83" i="134"/>
  <c r="M82" i="134"/>
  <c r="K66" i="115"/>
  <c r="L66" i="115" s="1"/>
  <c r="M65" i="115"/>
  <c r="K105" i="139"/>
  <c r="L104" i="139"/>
  <c r="M104" i="139" s="1"/>
  <c r="K244" i="129"/>
  <c r="L243" i="129"/>
  <c r="M243" i="129" s="1"/>
  <c r="K69" i="129"/>
  <c r="L68" i="129"/>
  <c r="M68" i="129" s="1"/>
  <c r="K532" i="131"/>
  <c r="K533" i="131" s="1"/>
  <c r="L533" i="131" s="1"/>
  <c r="M533" i="131" s="1"/>
  <c r="L531" i="131"/>
  <c r="M531" i="131" s="1"/>
  <c r="K163" i="131"/>
  <c r="L162" i="131"/>
  <c r="M162" i="131" s="1"/>
  <c r="L257" i="145"/>
  <c r="K256" i="145"/>
  <c r="L484" i="157" l="1"/>
  <c r="K483" i="157"/>
  <c r="K257" i="131"/>
  <c r="K258" i="131" s="1"/>
  <c r="K259" i="131" s="1"/>
  <c r="J116" i="140"/>
  <c r="K115" i="140"/>
  <c r="L115" i="140" s="1"/>
  <c r="L256" i="131"/>
  <c r="M256" i="131" s="1"/>
  <c r="L57" i="131"/>
  <c r="M57" i="131" s="1"/>
  <c r="K58" i="131"/>
  <c r="K59" i="131" s="1"/>
  <c r="L59" i="131" s="1"/>
  <c r="M59" i="131" s="1"/>
  <c r="K84" i="134"/>
  <c r="M83" i="134"/>
  <c r="K67" i="115"/>
  <c r="L67" i="115" s="1"/>
  <c r="M66" i="115"/>
  <c r="K106" i="139"/>
  <c r="L105" i="139"/>
  <c r="M105" i="139" s="1"/>
  <c r="K245" i="129"/>
  <c r="L244" i="129"/>
  <c r="M244" i="129" s="1"/>
  <c r="K70" i="129"/>
  <c r="L69" i="129"/>
  <c r="M69" i="129" s="1"/>
  <c r="L532" i="131"/>
  <c r="M532" i="131" s="1"/>
  <c r="K164" i="131"/>
  <c r="L163" i="131"/>
  <c r="M163" i="131" s="1"/>
  <c r="K257" i="145"/>
  <c r="L258" i="145"/>
  <c r="K484" i="157" l="1"/>
  <c r="L485" i="157"/>
  <c r="L258" i="131"/>
  <c r="M258" i="131" s="1"/>
  <c r="J117" i="140"/>
  <c r="K116" i="140"/>
  <c r="L116" i="140" s="1"/>
  <c r="L257" i="131"/>
  <c r="M257" i="131" s="1"/>
  <c r="K261" i="131"/>
  <c r="L58" i="131"/>
  <c r="M58" i="131" s="1"/>
  <c r="K85" i="134"/>
  <c r="M84" i="134"/>
  <c r="K68" i="115"/>
  <c r="L68" i="115" s="1"/>
  <c r="M67" i="115"/>
  <c r="K107" i="139"/>
  <c r="L106" i="139"/>
  <c r="M106" i="139" s="1"/>
  <c r="K246" i="129"/>
  <c r="L245" i="129"/>
  <c r="M245" i="129" s="1"/>
  <c r="K71" i="129"/>
  <c r="L70" i="129"/>
  <c r="M70" i="129" s="1"/>
  <c r="K535" i="131"/>
  <c r="K166" i="131"/>
  <c r="L164" i="131"/>
  <c r="M164" i="131" s="1"/>
  <c r="L259" i="145"/>
  <c r="K258" i="145"/>
  <c r="K485" i="157" l="1"/>
  <c r="L486" i="157"/>
  <c r="K262" i="131"/>
  <c r="L261" i="131"/>
  <c r="M261" i="131" s="1"/>
  <c r="J118" i="140"/>
  <c r="K117" i="140"/>
  <c r="L117" i="140" s="1"/>
  <c r="L259" i="131"/>
  <c r="M259" i="131" s="1"/>
  <c r="L227" i="131"/>
  <c r="M227" i="131" s="1"/>
  <c r="K60" i="131"/>
  <c r="K86" i="134"/>
  <c r="M85" i="134"/>
  <c r="K69" i="115"/>
  <c r="L69" i="115" s="1"/>
  <c r="M68" i="115"/>
  <c r="K108" i="139"/>
  <c r="L107" i="139"/>
  <c r="M107" i="139" s="1"/>
  <c r="K247" i="129"/>
  <c r="L246" i="129"/>
  <c r="M246" i="129" s="1"/>
  <c r="K72" i="129"/>
  <c r="L71" i="129"/>
  <c r="M71" i="129" s="1"/>
  <c r="K536" i="131"/>
  <c r="L535" i="131"/>
  <c r="M535" i="131" s="1"/>
  <c r="K167" i="131"/>
  <c r="L166" i="131"/>
  <c r="M166" i="131" s="1"/>
  <c r="L260" i="145"/>
  <c r="K259" i="145"/>
  <c r="L487" i="157" l="1"/>
  <c r="K486" i="157"/>
  <c r="K263" i="131"/>
  <c r="L262" i="131"/>
  <c r="M262" i="131" s="1"/>
  <c r="J119" i="140"/>
  <c r="K118" i="140"/>
  <c r="L118" i="140" s="1"/>
  <c r="K61" i="131"/>
  <c r="L60" i="131"/>
  <c r="M60" i="131" s="1"/>
  <c r="K87" i="134"/>
  <c r="M86" i="134"/>
  <c r="K70" i="115"/>
  <c r="L70" i="115" s="1"/>
  <c r="M69" i="115"/>
  <c r="K109" i="139"/>
  <c r="L108" i="139"/>
  <c r="M108" i="139" s="1"/>
  <c r="K248" i="129"/>
  <c r="L247" i="129"/>
  <c r="M247" i="129" s="1"/>
  <c r="K73" i="129"/>
  <c r="L72" i="129"/>
  <c r="M72" i="129" s="1"/>
  <c r="K538" i="131"/>
  <c r="K539" i="131" s="1"/>
  <c r="L536" i="131"/>
  <c r="M536" i="131" s="1"/>
  <c r="K168" i="131"/>
  <c r="L167" i="131"/>
  <c r="M167" i="131" s="1"/>
  <c r="L261" i="145"/>
  <c r="K260" i="145"/>
  <c r="L488" i="157" l="1"/>
  <c r="K487" i="157"/>
  <c r="L539" i="131"/>
  <c r="M539" i="131" s="1"/>
  <c r="K541" i="131"/>
  <c r="L541" i="131" s="1"/>
  <c r="M541" i="131" s="1"/>
  <c r="K264" i="131"/>
  <c r="L263" i="131"/>
  <c r="M263" i="131" s="1"/>
  <c r="J120" i="140"/>
  <c r="K119" i="140"/>
  <c r="L119" i="140" s="1"/>
  <c r="L61" i="131"/>
  <c r="M61" i="131" s="1"/>
  <c r="K62" i="131"/>
  <c r="K88" i="134"/>
  <c r="M87" i="134"/>
  <c r="K71" i="115"/>
  <c r="L71" i="115" s="1"/>
  <c r="M70" i="115"/>
  <c r="K110" i="139"/>
  <c r="L109" i="139"/>
  <c r="M109" i="139" s="1"/>
  <c r="K249" i="129"/>
  <c r="L248" i="129"/>
  <c r="M248" i="129" s="1"/>
  <c r="K74" i="129"/>
  <c r="L73" i="129"/>
  <c r="M73" i="129" s="1"/>
  <c r="L538" i="131"/>
  <c r="M538" i="131" s="1"/>
  <c r="K169" i="131"/>
  <c r="L168" i="131"/>
  <c r="M168" i="131" s="1"/>
  <c r="K261" i="145"/>
  <c r="L262" i="145"/>
  <c r="L489" i="157" l="1"/>
  <c r="K489" i="157" s="1"/>
  <c r="K488" i="157"/>
  <c r="K265" i="131"/>
  <c r="L265" i="131" s="1"/>
  <c r="M265" i="131" s="1"/>
  <c r="L264" i="131"/>
  <c r="M264" i="131" s="1"/>
  <c r="J121" i="140"/>
  <c r="K120" i="140"/>
  <c r="L120" i="140" s="1"/>
  <c r="K64" i="131"/>
  <c r="L62" i="131"/>
  <c r="M62" i="131" s="1"/>
  <c r="K89" i="134"/>
  <c r="M88" i="134"/>
  <c r="K72" i="115"/>
  <c r="M71" i="115"/>
  <c r="K111" i="139"/>
  <c r="L110" i="139"/>
  <c r="M110" i="139" s="1"/>
  <c r="K250" i="129"/>
  <c r="L249" i="129"/>
  <c r="M249" i="129" s="1"/>
  <c r="K75" i="129"/>
  <c r="K76" i="129" s="1"/>
  <c r="L76" i="129" s="1"/>
  <c r="M76" i="129" s="1"/>
  <c r="L74" i="129"/>
  <c r="M74" i="129" s="1"/>
  <c r="K170" i="131"/>
  <c r="L169" i="131"/>
  <c r="M169" i="131" s="1"/>
  <c r="L263" i="145"/>
  <c r="K262" i="145"/>
  <c r="J122" i="140" l="1"/>
  <c r="K121" i="140"/>
  <c r="L121" i="140" s="1"/>
  <c r="K65" i="131"/>
  <c r="L64" i="131"/>
  <c r="M64" i="131" s="1"/>
  <c r="K90" i="134"/>
  <c r="M89" i="134"/>
  <c r="L72" i="115"/>
  <c r="K74" i="115"/>
  <c r="L74" i="115" s="1"/>
  <c r="M74" i="115" s="1"/>
  <c r="M72" i="115"/>
  <c r="K112" i="139"/>
  <c r="L111" i="139"/>
  <c r="M111" i="139" s="1"/>
  <c r="K251" i="129"/>
  <c r="L250" i="129"/>
  <c r="M250" i="129" s="1"/>
  <c r="L75" i="129"/>
  <c r="M75" i="129" s="1"/>
  <c r="K542" i="131"/>
  <c r="K171" i="131"/>
  <c r="L170" i="131"/>
  <c r="M170" i="131" s="1"/>
  <c r="L264" i="145"/>
  <c r="K263" i="145"/>
  <c r="J123" i="140" l="1"/>
  <c r="K122" i="140"/>
  <c r="L122" i="140" s="1"/>
  <c r="K75" i="115"/>
  <c r="L75" i="115" s="1"/>
  <c r="L65" i="131"/>
  <c r="M65" i="131" s="1"/>
  <c r="K66" i="131"/>
  <c r="K67" i="131" s="1"/>
  <c r="L67" i="131" s="1"/>
  <c r="M67" i="131" s="1"/>
  <c r="K91" i="134"/>
  <c r="M90" i="134"/>
  <c r="K76" i="115"/>
  <c r="L76" i="115" s="1"/>
  <c r="M75" i="115"/>
  <c r="K113" i="139"/>
  <c r="L112" i="139"/>
  <c r="M112" i="139" s="1"/>
  <c r="K252" i="129"/>
  <c r="L251" i="129"/>
  <c r="M251" i="129" s="1"/>
  <c r="K77" i="129"/>
  <c r="K543" i="131"/>
  <c r="K544" i="131" s="1"/>
  <c r="L544" i="131" s="1"/>
  <c r="M544" i="131" s="1"/>
  <c r="L542" i="131"/>
  <c r="M542" i="131" s="1"/>
  <c r="K172" i="131"/>
  <c r="L171" i="131"/>
  <c r="M171" i="131" s="1"/>
  <c r="L265" i="145"/>
  <c r="K264" i="145"/>
  <c r="J124" i="140" l="1"/>
  <c r="K123" i="140"/>
  <c r="L123" i="140" s="1"/>
  <c r="L66" i="131"/>
  <c r="M66" i="131" s="1"/>
  <c r="K92" i="134"/>
  <c r="M91" i="134"/>
  <c r="K77" i="115"/>
  <c r="L77" i="115" s="1"/>
  <c r="M76" i="115"/>
  <c r="K114" i="139"/>
  <c r="L113" i="139"/>
  <c r="M113" i="139" s="1"/>
  <c r="K253" i="129"/>
  <c r="L252" i="129"/>
  <c r="M252" i="129" s="1"/>
  <c r="K78" i="129"/>
  <c r="L77" i="129"/>
  <c r="M77" i="129" s="1"/>
  <c r="L543" i="131"/>
  <c r="M543" i="131" s="1"/>
  <c r="K174" i="131"/>
  <c r="L172" i="131"/>
  <c r="M172" i="131" s="1"/>
  <c r="L266" i="145"/>
  <c r="K265" i="145"/>
  <c r="J125" i="140" l="1"/>
  <c r="K124" i="140"/>
  <c r="L124" i="140" s="1"/>
  <c r="K68" i="131"/>
  <c r="K93" i="134"/>
  <c r="M92" i="134"/>
  <c r="K78" i="115"/>
  <c r="L78" i="115" s="1"/>
  <c r="M77" i="115"/>
  <c r="K115" i="139"/>
  <c r="L114" i="139"/>
  <c r="M114" i="139" s="1"/>
  <c r="K254" i="129"/>
  <c r="L253" i="129"/>
  <c r="M253" i="129" s="1"/>
  <c r="K79" i="129"/>
  <c r="L78" i="129"/>
  <c r="M78" i="129" s="1"/>
  <c r="K546" i="131"/>
  <c r="K175" i="131"/>
  <c r="L174" i="131"/>
  <c r="M174" i="131" s="1"/>
  <c r="L267" i="145"/>
  <c r="K266" i="145"/>
  <c r="J126" i="140" l="1"/>
  <c r="K125" i="140"/>
  <c r="L125" i="140" s="1"/>
  <c r="L68" i="131"/>
  <c r="M68" i="131" s="1"/>
  <c r="K69" i="131"/>
  <c r="K94" i="134"/>
  <c r="M93" i="134"/>
  <c r="K79" i="115"/>
  <c r="L79" i="115" s="1"/>
  <c r="M78" i="115"/>
  <c r="K116" i="139"/>
  <c r="L115" i="139"/>
  <c r="M115" i="139" s="1"/>
  <c r="K255" i="129"/>
  <c r="L254" i="129"/>
  <c r="M254" i="129" s="1"/>
  <c r="K80" i="129"/>
  <c r="L79" i="129"/>
  <c r="M79" i="129" s="1"/>
  <c r="K547" i="131"/>
  <c r="L547" i="131" s="1"/>
  <c r="M547" i="131" s="1"/>
  <c r="L546" i="131"/>
  <c r="M546" i="131" s="1"/>
  <c r="K176" i="131"/>
  <c r="L175" i="131"/>
  <c r="M175" i="131" s="1"/>
  <c r="L268" i="145"/>
  <c r="K267" i="145"/>
  <c r="J127" i="140" l="1"/>
  <c r="K126" i="140"/>
  <c r="L126" i="140" s="1"/>
  <c r="K70" i="131"/>
  <c r="L69" i="131"/>
  <c r="M69" i="131" s="1"/>
  <c r="K95" i="134"/>
  <c r="M94" i="134"/>
  <c r="K80" i="115"/>
  <c r="L80" i="115" s="1"/>
  <c r="M79" i="115"/>
  <c r="K117" i="139"/>
  <c r="L116" i="139"/>
  <c r="M116" i="139" s="1"/>
  <c r="K256" i="129"/>
  <c r="L255" i="129"/>
  <c r="M255" i="129" s="1"/>
  <c r="K81" i="129"/>
  <c r="L80" i="129"/>
  <c r="M80" i="129" s="1"/>
  <c r="K177" i="131"/>
  <c r="L176" i="131"/>
  <c r="M176" i="131" s="1"/>
  <c r="K268" i="145"/>
  <c r="L269" i="145"/>
  <c r="J128" i="140" l="1"/>
  <c r="K127" i="140"/>
  <c r="L127" i="140" s="1"/>
  <c r="K72" i="131"/>
  <c r="L70" i="131"/>
  <c r="M70" i="131" s="1"/>
  <c r="K96" i="134"/>
  <c r="M95" i="134"/>
  <c r="K81" i="115"/>
  <c r="L81" i="115" s="1"/>
  <c r="M80" i="115"/>
  <c r="K118" i="139"/>
  <c r="L117" i="139"/>
  <c r="M117" i="139" s="1"/>
  <c r="K257" i="129"/>
  <c r="L256" i="129"/>
  <c r="M256" i="129" s="1"/>
  <c r="K82" i="129"/>
  <c r="L81" i="129"/>
  <c r="M81" i="129" s="1"/>
  <c r="K178" i="131"/>
  <c r="L177" i="131"/>
  <c r="M177" i="131" s="1"/>
  <c r="K269" i="145"/>
  <c r="L271" i="145"/>
  <c r="J129" i="140" l="1"/>
  <c r="K128" i="140"/>
  <c r="L128" i="140" s="1"/>
  <c r="K73" i="131"/>
  <c r="L72" i="131"/>
  <c r="M72" i="131" s="1"/>
  <c r="K97" i="134"/>
  <c r="M96" i="134"/>
  <c r="K82" i="115"/>
  <c r="L82" i="115" s="1"/>
  <c r="M81" i="115"/>
  <c r="K119" i="139"/>
  <c r="L118" i="139"/>
  <c r="M118" i="139" s="1"/>
  <c r="K258" i="129"/>
  <c r="L257" i="129"/>
  <c r="M257" i="129" s="1"/>
  <c r="K83" i="129"/>
  <c r="L82" i="129"/>
  <c r="M82" i="129" s="1"/>
  <c r="K179" i="131"/>
  <c r="L178" i="131"/>
  <c r="M178" i="131" s="1"/>
  <c r="K271" i="145"/>
  <c r="L272" i="145"/>
  <c r="J130" i="140" l="1"/>
  <c r="K129" i="140"/>
  <c r="L129" i="140" s="1"/>
  <c r="K74" i="131"/>
  <c r="K75" i="131" s="1"/>
  <c r="L75" i="131" s="1"/>
  <c r="M75" i="131" s="1"/>
  <c r="L73" i="131"/>
  <c r="M73" i="131" s="1"/>
  <c r="K98" i="134"/>
  <c r="M97" i="134"/>
  <c r="K83" i="115"/>
  <c r="L83" i="115" s="1"/>
  <c r="M82" i="115"/>
  <c r="K120" i="139"/>
  <c r="L119" i="139"/>
  <c r="M119" i="139" s="1"/>
  <c r="K259" i="129"/>
  <c r="L258" i="129"/>
  <c r="M258" i="129" s="1"/>
  <c r="K84" i="129"/>
  <c r="L83" i="129"/>
  <c r="M83" i="129" s="1"/>
  <c r="K180" i="131"/>
  <c r="L179" i="131"/>
  <c r="M179" i="131" s="1"/>
  <c r="L273" i="145"/>
  <c r="K272" i="145"/>
  <c r="J131" i="140" l="1"/>
  <c r="K130" i="140"/>
  <c r="L130" i="140" s="1"/>
  <c r="L74" i="131"/>
  <c r="M74" i="131" s="1"/>
  <c r="K99" i="134"/>
  <c r="M98" i="134"/>
  <c r="K84" i="115"/>
  <c r="L84" i="115" s="1"/>
  <c r="M83" i="115"/>
  <c r="K121" i="139"/>
  <c r="L120" i="139"/>
  <c r="M120" i="139" s="1"/>
  <c r="K260" i="129"/>
  <c r="L259" i="129"/>
  <c r="M259" i="129" s="1"/>
  <c r="K85" i="129"/>
  <c r="L84" i="129"/>
  <c r="M84" i="129" s="1"/>
  <c r="K182" i="131"/>
  <c r="L180" i="131"/>
  <c r="M180" i="131" s="1"/>
  <c r="L274" i="145"/>
  <c r="K273" i="145"/>
  <c r="J132" i="140" l="1"/>
  <c r="K131" i="140"/>
  <c r="L131" i="140" s="1"/>
  <c r="K76" i="131"/>
  <c r="K100" i="134"/>
  <c r="M99" i="134"/>
  <c r="K85" i="115"/>
  <c r="L85" i="115" s="1"/>
  <c r="M84" i="115"/>
  <c r="K122" i="139"/>
  <c r="L121" i="139"/>
  <c r="M121" i="139" s="1"/>
  <c r="K261" i="129"/>
  <c r="L260" i="129"/>
  <c r="M260" i="129" s="1"/>
  <c r="K86" i="129"/>
  <c r="L85" i="129"/>
  <c r="M85" i="129" s="1"/>
  <c r="K183" i="131"/>
  <c r="L182" i="131"/>
  <c r="M182" i="131" s="1"/>
  <c r="L275" i="145"/>
  <c r="K274" i="145"/>
  <c r="J133" i="140" l="1"/>
  <c r="K132" i="140"/>
  <c r="L132" i="140" s="1"/>
  <c r="K77" i="131"/>
  <c r="L76" i="131"/>
  <c r="M76" i="131" s="1"/>
  <c r="K101" i="134"/>
  <c r="M100" i="134"/>
  <c r="K86" i="115"/>
  <c r="L86" i="115" s="1"/>
  <c r="M85" i="115"/>
  <c r="K123" i="139"/>
  <c r="L122" i="139"/>
  <c r="M122" i="139" s="1"/>
  <c r="K262" i="129"/>
  <c r="L261" i="129"/>
  <c r="M261" i="129" s="1"/>
  <c r="K87" i="129"/>
  <c r="L86" i="129"/>
  <c r="M86" i="129" s="1"/>
  <c r="K184" i="131"/>
  <c r="L183" i="131"/>
  <c r="M183" i="131" s="1"/>
  <c r="K275" i="145"/>
  <c r="L276" i="145"/>
  <c r="J134" i="140" l="1"/>
  <c r="K133" i="140"/>
  <c r="L133" i="140" s="1"/>
  <c r="K78" i="131"/>
  <c r="L77" i="131"/>
  <c r="M77" i="131" s="1"/>
  <c r="K102" i="134"/>
  <c r="M101" i="134"/>
  <c r="K87" i="115"/>
  <c r="L87" i="115" s="1"/>
  <c r="M86" i="115"/>
  <c r="K124" i="139"/>
  <c r="L123" i="139"/>
  <c r="M123" i="139" s="1"/>
  <c r="K263" i="129"/>
  <c r="L262" i="129"/>
  <c r="M262" i="129" s="1"/>
  <c r="K88" i="129"/>
  <c r="L87" i="129"/>
  <c r="M87" i="129" s="1"/>
  <c r="K185" i="131"/>
  <c r="L184" i="131"/>
  <c r="M184" i="131" s="1"/>
  <c r="K276" i="145"/>
  <c r="L277" i="145"/>
  <c r="J135" i="140" l="1"/>
  <c r="K134" i="140"/>
  <c r="L134" i="140" s="1"/>
  <c r="L78" i="131"/>
  <c r="M78" i="131" s="1"/>
  <c r="K80" i="131"/>
  <c r="K103" i="134"/>
  <c r="M102" i="134"/>
  <c r="K88" i="115"/>
  <c r="M87" i="115"/>
  <c r="K125" i="139"/>
  <c r="L124" i="139"/>
  <c r="M124" i="139" s="1"/>
  <c r="K264" i="129"/>
  <c r="L263" i="129"/>
  <c r="M263" i="129" s="1"/>
  <c r="K89" i="129"/>
  <c r="L88" i="129"/>
  <c r="M88" i="129" s="1"/>
  <c r="K186" i="131"/>
  <c r="L185" i="131"/>
  <c r="M185" i="131" s="1"/>
  <c r="L278" i="145"/>
  <c r="K277" i="145"/>
  <c r="J137" i="140" l="1"/>
  <c r="K135" i="140"/>
  <c r="L135" i="140" s="1"/>
  <c r="K81" i="131"/>
  <c r="L80" i="131"/>
  <c r="M80" i="131" s="1"/>
  <c r="K104" i="134"/>
  <c r="M103" i="134"/>
  <c r="L88" i="115"/>
  <c r="M88" i="115" s="1"/>
  <c r="K126" i="139"/>
  <c r="L125" i="139"/>
  <c r="M125" i="139" s="1"/>
  <c r="K265" i="129"/>
  <c r="L264" i="129"/>
  <c r="M264" i="129" s="1"/>
  <c r="K90" i="129"/>
  <c r="L89" i="129"/>
  <c r="M89" i="129" s="1"/>
  <c r="K187" i="131"/>
  <c r="L186" i="131"/>
  <c r="M186" i="131" s="1"/>
  <c r="L279" i="145"/>
  <c r="K278" i="145"/>
  <c r="J138" i="140" l="1"/>
  <c r="K137" i="140"/>
  <c r="L137" i="140" s="1"/>
  <c r="K82" i="131"/>
  <c r="K83" i="131" s="1"/>
  <c r="L83" i="131" s="1"/>
  <c r="M83" i="131" s="1"/>
  <c r="L81" i="131"/>
  <c r="M81" i="131" s="1"/>
  <c r="K105" i="134"/>
  <c r="M104" i="134"/>
  <c r="K127" i="139"/>
  <c r="L126" i="139"/>
  <c r="M126" i="139" s="1"/>
  <c r="K266" i="129"/>
  <c r="L265" i="129"/>
  <c r="M265" i="129" s="1"/>
  <c r="K91" i="129"/>
  <c r="L90" i="129"/>
  <c r="M90" i="129" s="1"/>
  <c r="K188" i="131"/>
  <c r="L188" i="131" s="1"/>
  <c r="M188" i="131" s="1"/>
  <c r="L187" i="131"/>
  <c r="M187" i="131" s="1"/>
  <c r="L280" i="145"/>
  <c r="K279" i="145"/>
  <c r="J139" i="140" l="1"/>
  <c r="K138" i="140"/>
  <c r="L138" i="140" s="1"/>
  <c r="L82" i="131"/>
  <c r="M82" i="131" s="1"/>
  <c r="K106" i="134"/>
  <c r="M105" i="134"/>
  <c r="K128" i="139"/>
  <c r="L127" i="139"/>
  <c r="M127" i="139" s="1"/>
  <c r="K267" i="129"/>
  <c r="L266" i="129"/>
  <c r="M266" i="129" s="1"/>
  <c r="K92" i="129"/>
  <c r="L91" i="129"/>
  <c r="M91" i="129" s="1"/>
  <c r="L281" i="145"/>
  <c r="K280" i="145"/>
  <c r="J140" i="140" l="1"/>
  <c r="K139" i="140"/>
  <c r="L139" i="140" s="1"/>
  <c r="K84" i="131"/>
  <c r="K107" i="134"/>
  <c r="M106" i="134"/>
  <c r="K129" i="139"/>
  <c r="L128" i="139"/>
  <c r="M128" i="139" s="1"/>
  <c r="K268" i="129"/>
  <c r="L267" i="129"/>
  <c r="M267" i="129" s="1"/>
  <c r="K95" i="129"/>
  <c r="L92" i="129"/>
  <c r="M92" i="129" s="1"/>
  <c r="L282" i="145"/>
  <c r="K281" i="145"/>
  <c r="J141" i="140" l="1"/>
  <c r="K140" i="140"/>
  <c r="L140" i="140" s="1"/>
  <c r="L129" i="139"/>
  <c r="M129" i="139" s="1"/>
  <c r="K131" i="139"/>
  <c r="K85" i="131"/>
  <c r="L84" i="131"/>
  <c r="M84" i="131" s="1"/>
  <c r="K108" i="134"/>
  <c r="M107" i="134"/>
  <c r="K269" i="129"/>
  <c r="L268" i="129"/>
  <c r="M268" i="129" s="1"/>
  <c r="K96" i="129"/>
  <c r="L95" i="129"/>
  <c r="M95" i="129" s="1"/>
  <c r="L283" i="145"/>
  <c r="K282" i="145"/>
  <c r="J142" i="140" l="1"/>
  <c r="K141" i="140"/>
  <c r="L141" i="140" s="1"/>
  <c r="L131" i="139"/>
  <c r="M131" i="139" s="1"/>
  <c r="K132" i="139"/>
  <c r="K86" i="131"/>
  <c r="L85" i="131"/>
  <c r="M85" i="131" s="1"/>
  <c r="K109" i="134"/>
  <c r="M108" i="134"/>
  <c r="K270" i="129"/>
  <c r="L269" i="129"/>
  <c r="M269" i="129" s="1"/>
  <c r="K97" i="129"/>
  <c r="L96" i="129"/>
  <c r="M96" i="129" s="1"/>
  <c r="L284" i="145"/>
  <c r="K283" i="145"/>
  <c r="J143" i="140" l="1"/>
  <c r="K142" i="140"/>
  <c r="L142" i="140" s="1"/>
  <c r="K133" i="139"/>
  <c r="L132" i="139"/>
  <c r="M132" i="139" s="1"/>
  <c r="K87" i="131"/>
  <c r="L86" i="131"/>
  <c r="M86" i="131" s="1"/>
  <c r="K110" i="134"/>
  <c r="M109" i="134"/>
  <c r="K271" i="129"/>
  <c r="L270" i="129"/>
  <c r="M270" i="129" s="1"/>
  <c r="K98" i="129"/>
  <c r="L97" i="129"/>
  <c r="M97" i="129" s="1"/>
  <c r="L285" i="145"/>
  <c r="K284" i="145"/>
  <c r="J144" i="140" l="1"/>
  <c r="K143" i="140"/>
  <c r="L143" i="140" s="1"/>
  <c r="K134" i="139"/>
  <c r="L133" i="139"/>
  <c r="M133" i="139" s="1"/>
  <c r="K89" i="131"/>
  <c r="L87" i="131"/>
  <c r="M87" i="131" s="1"/>
  <c r="K111" i="134"/>
  <c r="M110" i="134"/>
  <c r="K272" i="129"/>
  <c r="L271" i="129"/>
  <c r="M271" i="129" s="1"/>
  <c r="K99" i="129"/>
  <c r="L98" i="129"/>
  <c r="M98" i="129" s="1"/>
  <c r="L286" i="145"/>
  <c r="K285" i="145"/>
  <c r="J145" i="140" l="1"/>
  <c r="K144" i="140"/>
  <c r="L144" i="140" s="1"/>
  <c r="K135" i="139"/>
  <c r="L134" i="139"/>
  <c r="M134" i="139" s="1"/>
  <c r="K90" i="131"/>
  <c r="L89" i="131"/>
  <c r="M89" i="131" s="1"/>
  <c r="K112" i="134"/>
  <c r="M111" i="134"/>
  <c r="K273" i="129"/>
  <c r="L272" i="129"/>
  <c r="M272" i="129" s="1"/>
  <c r="K100" i="129"/>
  <c r="L99" i="129"/>
  <c r="M99" i="129" s="1"/>
  <c r="L287" i="145"/>
  <c r="K286" i="145"/>
  <c r="J146" i="140" l="1"/>
  <c r="K145" i="140"/>
  <c r="L145" i="140" s="1"/>
  <c r="K136" i="139"/>
  <c r="L135" i="139"/>
  <c r="M135" i="139" s="1"/>
  <c r="K91" i="131"/>
  <c r="L90" i="131"/>
  <c r="M90" i="131" s="1"/>
  <c r="K113" i="134"/>
  <c r="M112" i="134"/>
  <c r="K274" i="129"/>
  <c r="L273" i="129"/>
  <c r="M273" i="129" s="1"/>
  <c r="K101" i="129"/>
  <c r="L100" i="129"/>
  <c r="M100" i="129" s="1"/>
  <c r="L288" i="145"/>
  <c r="K287" i="145"/>
  <c r="J147" i="140" l="1"/>
  <c r="K146" i="140"/>
  <c r="L146" i="140" s="1"/>
  <c r="K137" i="139"/>
  <c r="L136" i="139"/>
  <c r="M136" i="139" s="1"/>
  <c r="L91" i="131"/>
  <c r="M91" i="131" s="1"/>
  <c r="K92" i="131"/>
  <c r="K114" i="134"/>
  <c r="M113" i="134"/>
  <c r="K275" i="129"/>
  <c r="L274" i="129"/>
  <c r="M274" i="129" s="1"/>
  <c r="K102" i="129"/>
  <c r="L101" i="129"/>
  <c r="M101" i="129" s="1"/>
  <c r="L289" i="145"/>
  <c r="K288" i="145"/>
  <c r="J148" i="140" l="1"/>
  <c r="K147" i="140"/>
  <c r="L147" i="140" s="1"/>
  <c r="K138" i="139"/>
  <c r="L137" i="139"/>
  <c r="M137" i="139" s="1"/>
  <c r="K93" i="131"/>
  <c r="L92" i="131"/>
  <c r="M92" i="131" s="1"/>
  <c r="K115" i="134"/>
  <c r="M114" i="134"/>
  <c r="K276" i="129"/>
  <c r="L275" i="129"/>
  <c r="M275" i="129" s="1"/>
  <c r="K103" i="129"/>
  <c r="L102" i="129"/>
  <c r="M102" i="129" s="1"/>
  <c r="L290" i="145"/>
  <c r="K289" i="145"/>
  <c r="J149" i="140" l="1"/>
  <c r="K148" i="140"/>
  <c r="L148" i="140" s="1"/>
  <c r="K139" i="139"/>
  <c r="L138" i="139"/>
  <c r="M138" i="139" s="1"/>
  <c r="K94" i="131"/>
  <c r="L93" i="131"/>
  <c r="M93" i="131" s="1"/>
  <c r="K116" i="134"/>
  <c r="M115" i="134"/>
  <c r="L276" i="129"/>
  <c r="M276" i="129" s="1"/>
  <c r="K277" i="129"/>
  <c r="K104" i="129"/>
  <c r="L103" i="129"/>
  <c r="M103" i="129" s="1"/>
  <c r="L291" i="145"/>
  <c r="K290" i="145"/>
  <c r="J150" i="140" l="1"/>
  <c r="K149" i="140"/>
  <c r="L149" i="140" s="1"/>
  <c r="K140" i="139"/>
  <c r="L139" i="139"/>
  <c r="M139" i="139" s="1"/>
  <c r="L94" i="131"/>
  <c r="M94" i="131" s="1"/>
  <c r="K95" i="131"/>
  <c r="K117" i="134"/>
  <c r="M116" i="134"/>
  <c r="K278" i="129"/>
  <c r="L277" i="129"/>
  <c r="M277" i="129" s="1"/>
  <c r="K105" i="129"/>
  <c r="L104" i="129"/>
  <c r="M104" i="129" s="1"/>
  <c r="L292" i="145"/>
  <c r="K291" i="145"/>
  <c r="J151" i="140" l="1"/>
  <c r="K150" i="140"/>
  <c r="L150" i="140" s="1"/>
  <c r="K141" i="139"/>
  <c r="L140" i="139"/>
  <c r="M140" i="139" s="1"/>
  <c r="K97" i="131"/>
  <c r="L95" i="131"/>
  <c r="M95" i="131" s="1"/>
  <c r="K118" i="134"/>
  <c r="M117" i="134"/>
  <c r="K279" i="129"/>
  <c r="L278" i="129"/>
  <c r="M278" i="129" s="1"/>
  <c r="K106" i="129"/>
  <c r="L105" i="129"/>
  <c r="M105" i="129" s="1"/>
  <c r="L293" i="145"/>
  <c r="K292" i="145"/>
  <c r="J152" i="140" l="1"/>
  <c r="K151" i="140"/>
  <c r="L151" i="140" s="1"/>
  <c r="K142" i="139"/>
  <c r="L141" i="139"/>
  <c r="M141" i="139" s="1"/>
  <c r="K98" i="131"/>
  <c r="L97" i="131"/>
  <c r="M97" i="131" s="1"/>
  <c r="K119" i="134"/>
  <c r="M118" i="134"/>
  <c r="K280" i="129"/>
  <c r="L279" i="129"/>
  <c r="M279" i="129" s="1"/>
  <c r="K107" i="129"/>
  <c r="L106" i="129"/>
  <c r="M106" i="129" s="1"/>
  <c r="L294" i="145"/>
  <c r="K293" i="145"/>
  <c r="J154" i="140" l="1"/>
  <c r="K152" i="140"/>
  <c r="L152" i="140" s="1"/>
  <c r="L142" i="139"/>
  <c r="M142" i="139" s="1"/>
  <c r="K143" i="139"/>
  <c r="K99" i="131"/>
  <c r="L98" i="131"/>
  <c r="M98" i="131" s="1"/>
  <c r="K120" i="134"/>
  <c r="M119" i="134"/>
  <c r="K281" i="129"/>
  <c r="L280" i="129"/>
  <c r="M280" i="129" s="1"/>
  <c r="K108" i="129"/>
  <c r="L107" i="129"/>
  <c r="M107" i="129" s="1"/>
  <c r="L295" i="145"/>
  <c r="K294" i="145"/>
  <c r="J155" i="140" l="1"/>
  <c r="K154" i="140"/>
  <c r="L154" i="140" s="1"/>
  <c r="K144" i="139"/>
  <c r="L143" i="139"/>
  <c r="M143" i="139" s="1"/>
  <c r="K100" i="131"/>
  <c r="L99" i="131"/>
  <c r="M99" i="131" s="1"/>
  <c r="K121" i="134"/>
  <c r="M120" i="134"/>
  <c r="K282" i="129"/>
  <c r="L281" i="129"/>
  <c r="M281" i="129" s="1"/>
  <c r="K109" i="129"/>
  <c r="L108" i="129"/>
  <c r="M108" i="129" s="1"/>
  <c r="L296" i="145"/>
  <c r="K295" i="145"/>
  <c r="J156" i="140" l="1"/>
  <c r="K155" i="140"/>
  <c r="L155" i="140" s="1"/>
  <c r="K145" i="139"/>
  <c r="L144" i="139"/>
  <c r="M144" i="139" s="1"/>
  <c r="L100" i="131"/>
  <c r="M100" i="131" s="1"/>
  <c r="K101" i="131"/>
  <c r="K122" i="134"/>
  <c r="M121" i="134"/>
  <c r="K283" i="129"/>
  <c r="L282" i="129"/>
  <c r="M282" i="129" s="1"/>
  <c r="K110" i="129"/>
  <c r="L109" i="129"/>
  <c r="M109" i="129" s="1"/>
  <c r="L297" i="145"/>
  <c r="K296" i="145"/>
  <c r="J157" i="140" l="1"/>
  <c r="K156" i="140"/>
  <c r="L156" i="140" s="1"/>
  <c r="L145" i="139"/>
  <c r="M145" i="139" s="1"/>
  <c r="K146" i="139"/>
  <c r="K103" i="131"/>
  <c r="L101" i="131"/>
  <c r="M101" i="131" s="1"/>
  <c r="K123" i="134"/>
  <c r="M122" i="134"/>
  <c r="K284" i="129"/>
  <c r="L283" i="129"/>
  <c r="M283" i="129" s="1"/>
  <c r="K111" i="129"/>
  <c r="L110" i="129"/>
  <c r="M110" i="129" s="1"/>
  <c r="L298" i="145"/>
  <c r="K297" i="145"/>
  <c r="J158" i="140" l="1"/>
  <c r="K157" i="140"/>
  <c r="L157" i="140" s="1"/>
  <c r="K148" i="139"/>
  <c r="L146" i="139"/>
  <c r="M146" i="139" s="1"/>
  <c r="L103" i="131"/>
  <c r="M103" i="131" s="1"/>
  <c r="K104" i="131"/>
  <c r="K124" i="134"/>
  <c r="M124" i="134" s="1"/>
  <c r="M123" i="134"/>
  <c r="K285" i="129"/>
  <c r="L284" i="129"/>
  <c r="M284" i="129" s="1"/>
  <c r="K112" i="129"/>
  <c r="L111" i="129"/>
  <c r="M111" i="129" s="1"/>
  <c r="L299" i="145"/>
  <c r="K298" i="145"/>
  <c r="J159" i="140" l="1"/>
  <c r="K158" i="140"/>
  <c r="L158" i="140" s="1"/>
  <c r="L148" i="139"/>
  <c r="M148" i="139" s="1"/>
  <c r="K149" i="139"/>
  <c r="K105" i="131"/>
  <c r="L104" i="131"/>
  <c r="M104" i="131" s="1"/>
  <c r="K286" i="129"/>
  <c r="L285" i="129"/>
  <c r="M285" i="129" s="1"/>
  <c r="K113" i="129"/>
  <c r="L112" i="129"/>
  <c r="M112" i="129" s="1"/>
  <c r="L300" i="145"/>
  <c r="K299" i="145"/>
  <c r="J160" i="140" l="1"/>
  <c r="K159" i="140"/>
  <c r="L159" i="140" s="1"/>
  <c r="K150" i="139"/>
  <c r="L149" i="139"/>
  <c r="M149" i="139" s="1"/>
  <c r="K106" i="131"/>
  <c r="L105" i="131"/>
  <c r="M105" i="131" s="1"/>
  <c r="K287" i="129"/>
  <c r="L286" i="129"/>
  <c r="M286" i="129" s="1"/>
  <c r="K114" i="129"/>
  <c r="L113" i="129"/>
  <c r="M113" i="129" s="1"/>
  <c r="L301" i="145"/>
  <c r="K300" i="145"/>
  <c r="J161" i="140" l="1"/>
  <c r="K160" i="140"/>
  <c r="L160" i="140" s="1"/>
  <c r="K151" i="139"/>
  <c r="L150" i="139"/>
  <c r="M150" i="139" s="1"/>
  <c r="K107" i="131"/>
  <c r="L107" i="131" s="1"/>
  <c r="M107" i="131" s="1"/>
  <c r="L106" i="131"/>
  <c r="M106" i="131" s="1"/>
  <c r="K288" i="129"/>
  <c r="L287" i="129"/>
  <c r="M287" i="129" s="1"/>
  <c r="K115" i="129"/>
  <c r="L114" i="129"/>
  <c r="M114" i="129" s="1"/>
  <c r="L302" i="145"/>
  <c r="K301" i="145"/>
  <c r="J162" i="140" l="1"/>
  <c r="K161" i="140"/>
  <c r="L161" i="140" s="1"/>
  <c r="K152" i="139"/>
  <c r="L151" i="139"/>
  <c r="M151" i="139" s="1"/>
  <c r="K289" i="129"/>
  <c r="L288" i="129"/>
  <c r="M288" i="129" s="1"/>
  <c r="K116" i="129"/>
  <c r="L115" i="129"/>
  <c r="M115" i="129" s="1"/>
  <c r="L303" i="145"/>
  <c r="K302" i="145"/>
  <c r="J163" i="140" l="1"/>
  <c r="K162" i="140"/>
  <c r="L162" i="140" s="1"/>
  <c r="K153" i="139"/>
  <c r="L152" i="139"/>
  <c r="M152" i="139" s="1"/>
  <c r="K290" i="129"/>
  <c r="L289" i="129"/>
  <c r="M289" i="129" s="1"/>
  <c r="K117" i="129"/>
  <c r="L116" i="129"/>
  <c r="M116" i="129" s="1"/>
  <c r="L304" i="145"/>
  <c r="K303" i="145"/>
  <c r="J164" i="140" l="1"/>
  <c r="K163" i="140"/>
  <c r="L163" i="140" s="1"/>
  <c r="K154" i="139"/>
  <c r="L153" i="139"/>
  <c r="M153" i="139" s="1"/>
  <c r="K291" i="129"/>
  <c r="L290" i="129"/>
  <c r="M290" i="129" s="1"/>
  <c r="K120" i="129"/>
  <c r="L117" i="129"/>
  <c r="M117" i="129" s="1"/>
  <c r="L305" i="145"/>
  <c r="K304" i="145"/>
  <c r="J165" i="140" l="1"/>
  <c r="K164" i="140"/>
  <c r="L164" i="140" s="1"/>
  <c r="K155" i="139"/>
  <c r="L154" i="139"/>
  <c r="M154" i="139" s="1"/>
  <c r="K292" i="129"/>
  <c r="L291" i="129"/>
  <c r="M291" i="129" s="1"/>
  <c r="K121" i="129"/>
  <c r="L120" i="129"/>
  <c r="M120" i="129" s="1"/>
  <c r="L306" i="145"/>
  <c r="K305" i="145"/>
  <c r="J166" i="140" l="1"/>
  <c r="K165" i="140"/>
  <c r="L165" i="140" s="1"/>
  <c r="K156" i="139"/>
  <c r="L155" i="139"/>
  <c r="M155" i="139" s="1"/>
  <c r="K293" i="129"/>
  <c r="L292" i="129"/>
  <c r="M292" i="129" s="1"/>
  <c r="K122" i="129"/>
  <c r="K123" i="129" s="1"/>
  <c r="L121" i="129"/>
  <c r="M121" i="129" s="1"/>
  <c r="L307" i="145"/>
  <c r="K306" i="145"/>
  <c r="L123" i="129" l="1"/>
  <c r="M123" i="129" s="1"/>
  <c r="K124" i="129"/>
  <c r="L124" i="129" s="1"/>
  <c r="M124" i="129" s="1"/>
  <c r="J167" i="140"/>
  <c r="K166" i="140"/>
  <c r="L166" i="140" s="1"/>
  <c r="K157" i="139"/>
  <c r="L156" i="139"/>
  <c r="M156" i="139" s="1"/>
  <c r="K294" i="129"/>
  <c r="L293" i="129"/>
  <c r="M293" i="129" s="1"/>
  <c r="L122" i="129"/>
  <c r="M122" i="129" s="1"/>
  <c r="L308" i="145"/>
  <c r="K307" i="145"/>
  <c r="J168" i="140" l="1"/>
  <c r="K167" i="140"/>
  <c r="L167" i="140" s="1"/>
  <c r="K158" i="139"/>
  <c r="L157" i="139"/>
  <c r="M157" i="139" s="1"/>
  <c r="K295" i="129"/>
  <c r="L294" i="129"/>
  <c r="M294" i="129" s="1"/>
  <c r="L309" i="145"/>
  <c r="K308" i="145"/>
  <c r="J169" i="140" l="1"/>
  <c r="K168" i="140"/>
  <c r="L168" i="140" s="1"/>
  <c r="K159" i="139"/>
  <c r="L158" i="139"/>
  <c r="M158" i="139" s="1"/>
  <c r="K296" i="129"/>
  <c r="L295" i="129"/>
  <c r="M295" i="129" s="1"/>
  <c r="K125" i="129"/>
  <c r="L310" i="145"/>
  <c r="K309" i="145"/>
  <c r="J171" i="140" l="1"/>
  <c r="K169" i="140"/>
  <c r="L169" i="140" s="1"/>
  <c r="K161" i="139"/>
  <c r="L159" i="139"/>
  <c r="M159" i="139" s="1"/>
  <c r="K297" i="129"/>
  <c r="L296" i="129"/>
  <c r="M296" i="129" s="1"/>
  <c r="K126" i="129"/>
  <c r="L125" i="129"/>
  <c r="M125" i="129" s="1"/>
  <c r="L311" i="145"/>
  <c r="K310" i="145"/>
  <c r="J172" i="140" l="1"/>
  <c r="K171" i="140"/>
  <c r="L171" i="140" s="1"/>
  <c r="K162" i="139"/>
  <c r="L161" i="139"/>
  <c r="M161" i="139" s="1"/>
  <c r="K298" i="129"/>
  <c r="L297" i="129"/>
  <c r="M297" i="129" s="1"/>
  <c r="K127" i="129"/>
  <c r="L126" i="129"/>
  <c r="M126" i="129" s="1"/>
  <c r="L312" i="145"/>
  <c r="K311" i="145"/>
  <c r="J173" i="140" l="1"/>
  <c r="K172" i="140"/>
  <c r="L172" i="140" s="1"/>
  <c r="L162" i="139"/>
  <c r="M162" i="139" s="1"/>
  <c r="K163" i="139"/>
  <c r="K299" i="129"/>
  <c r="L298" i="129"/>
  <c r="M298" i="129" s="1"/>
  <c r="K128" i="129"/>
  <c r="L127" i="129"/>
  <c r="M127" i="129" s="1"/>
  <c r="L313" i="145"/>
  <c r="K312" i="145"/>
  <c r="J174" i="140" l="1"/>
  <c r="K173" i="140"/>
  <c r="L173" i="140" s="1"/>
  <c r="K164" i="139"/>
  <c r="L163" i="139"/>
  <c r="M163" i="139" s="1"/>
  <c r="K300" i="129"/>
  <c r="L299" i="129"/>
  <c r="M299" i="129" s="1"/>
  <c r="K129" i="129"/>
  <c r="L128" i="129"/>
  <c r="M128" i="129" s="1"/>
  <c r="L314" i="145"/>
  <c r="K313" i="145"/>
  <c r="J175" i="140" l="1"/>
  <c r="K174" i="140"/>
  <c r="L174" i="140" s="1"/>
  <c r="L164" i="139"/>
  <c r="M164" i="139" s="1"/>
  <c r="K165" i="139"/>
  <c r="K301" i="129"/>
  <c r="L300" i="129"/>
  <c r="M300" i="129" s="1"/>
  <c r="K130" i="129"/>
  <c r="L129" i="129"/>
  <c r="M129" i="129" s="1"/>
  <c r="L315" i="145"/>
  <c r="K314" i="145"/>
  <c r="J176" i="140" l="1"/>
  <c r="K175" i="140"/>
  <c r="L175" i="140" s="1"/>
  <c r="K166" i="139"/>
  <c r="L165" i="139"/>
  <c r="M165" i="139" s="1"/>
  <c r="K302" i="129"/>
  <c r="L301" i="129"/>
  <c r="M301" i="129" s="1"/>
  <c r="K133" i="129"/>
  <c r="K134" i="129" s="1"/>
  <c r="L130" i="129"/>
  <c r="M130" i="129" s="1"/>
  <c r="L316" i="145"/>
  <c r="K315" i="145"/>
  <c r="L134" i="129" l="1"/>
  <c r="M134" i="129" s="1"/>
  <c r="K137" i="129"/>
  <c r="J177" i="140"/>
  <c r="K176" i="140"/>
  <c r="L176" i="140" s="1"/>
  <c r="L166" i="139"/>
  <c r="M166" i="139" s="1"/>
  <c r="K167" i="139"/>
  <c r="K303" i="129"/>
  <c r="L302" i="129"/>
  <c r="M302" i="129" s="1"/>
  <c r="L133" i="129"/>
  <c r="M133" i="129" s="1"/>
  <c r="L317" i="145"/>
  <c r="K316" i="145"/>
  <c r="J178" i="140" l="1"/>
  <c r="K177" i="140"/>
  <c r="L177" i="140" s="1"/>
  <c r="L167" i="139"/>
  <c r="M167" i="139" s="1"/>
  <c r="K168" i="139"/>
  <c r="K304" i="129"/>
  <c r="L304" i="129" s="1"/>
  <c r="M304" i="129" s="1"/>
  <c r="L303" i="129"/>
  <c r="M303" i="129" s="1"/>
  <c r="K138" i="129"/>
  <c r="L137" i="129"/>
  <c r="M137" i="129" s="1"/>
  <c r="L318" i="145"/>
  <c r="K317" i="145"/>
  <c r="J179" i="140" l="1"/>
  <c r="K178" i="140"/>
  <c r="L178" i="140" s="1"/>
  <c r="K169" i="139"/>
  <c r="L168" i="139"/>
  <c r="M168" i="139" s="1"/>
  <c r="K139" i="129"/>
  <c r="L138" i="129"/>
  <c r="M138" i="129" s="1"/>
  <c r="L319" i="145"/>
  <c r="K318" i="145"/>
  <c r="J180" i="140" l="1"/>
  <c r="K179" i="140"/>
  <c r="L179" i="140" s="1"/>
  <c r="K170" i="139"/>
  <c r="L169" i="139"/>
  <c r="M169" i="139" s="1"/>
  <c r="K140" i="129"/>
  <c r="L139" i="129"/>
  <c r="M139" i="129" s="1"/>
  <c r="L320" i="145"/>
  <c r="K319" i="145"/>
  <c r="J181" i="140" l="1"/>
  <c r="K180" i="140"/>
  <c r="L180" i="140" s="1"/>
  <c r="K171" i="139"/>
  <c r="L170" i="139"/>
  <c r="M170" i="139" s="1"/>
  <c r="K141" i="129"/>
  <c r="L140" i="129"/>
  <c r="M140" i="129" s="1"/>
  <c r="L321" i="145"/>
  <c r="K320" i="145"/>
  <c r="J182" i="140" l="1"/>
  <c r="K181" i="140"/>
  <c r="L181" i="140" s="1"/>
  <c r="K172" i="139"/>
  <c r="L171" i="139"/>
  <c r="M171" i="139" s="1"/>
  <c r="K142" i="129"/>
  <c r="L141" i="129"/>
  <c r="M141" i="129" s="1"/>
  <c r="L322" i="145"/>
  <c r="K321" i="145"/>
  <c r="J183" i="140" l="1"/>
  <c r="K182" i="140"/>
  <c r="L182" i="140" s="1"/>
  <c r="K174" i="139"/>
  <c r="L172" i="139"/>
  <c r="M172" i="139" s="1"/>
  <c r="K143" i="129"/>
  <c r="L142" i="129"/>
  <c r="M142" i="129" s="1"/>
  <c r="L323" i="145"/>
  <c r="K322" i="145"/>
  <c r="J184" i="140" l="1"/>
  <c r="K183" i="140"/>
  <c r="L183" i="140" s="1"/>
  <c r="K175" i="139"/>
  <c r="L174" i="139"/>
  <c r="M174" i="139" s="1"/>
  <c r="K144" i="129"/>
  <c r="L143" i="129"/>
  <c r="M143" i="129" s="1"/>
  <c r="K323" i="145"/>
  <c r="L324" i="145"/>
  <c r="J185" i="140" l="1"/>
  <c r="K184" i="140"/>
  <c r="L184" i="140" s="1"/>
  <c r="L175" i="139"/>
  <c r="M175" i="139" s="1"/>
  <c r="K176" i="139"/>
  <c r="K145" i="129"/>
  <c r="L144" i="129"/>
  <c r="M144" i="129" s="1"/>
  <c r="L325" i="145"/>
  <c r="K324" i="145"/>
  <c r="J186" i="140" l="1"/>
  <c r="K185" i="140"/>
  <c r="L185" i="140" s="1"/>
  <c r="K177" i="139"/>
  <c r="L176" i="139"/>
  <c r="M176" i="139" s="1"/>
  <c r="K146" i="129"/>
  <c r="L145" i="129"/>
  <c r="M145" i="129" s="1"/>
  <c r="K325" i="145"/>
  <c r="L326" i="145"/>
  <c r="J188" i="140" l="1"/>
  <c r="K186" i="140"/>
  <c r="L186" i="140" s="1"/>
  <c r="K178" i="139"/>
  <c r="L177" i="139"/>
  <c r="M177" i="139" s="1"/>
  <c r="K147" i="129"/>
  <c r="L146" i="129"/>
  <c r="M146" i="129" s="1"/>
  <c r="L327" i="145"/>
  <c r="K326" i="145"/>
  <c r="J189" i="140" l="1"/>
  <c r="K188" i="140"/>
  <c r="L188" i="140" s="1"/>
  <c r="K179" i="139"/>
  <c r="L178" i="139"/>
  <c r="M178" i="139" s="1"/>
  <c r="K148" i="129"/>
  <c r="L147" i="129"/>
  <c r="M147" i="129" s="1"/>
  <c r="L328" i="145"/>
  <c r="K327" i="145"/>
  <c r="J190" i="140" l="1"/>
  <c r="K189" i="140"/>
  <c r="L189" i="140" s="1"/>
  <c r="K180" i="139"/>
  <c r="L179" i="139"/>
  <c r="M179" i="139" s="1"/>
  <c r="K149" i="129"/>
  <c r="L148" i="129"/>
  <c r="M148" i="129" s="1"/>
  <c r="L329" i="145"/>
  <c r="K328" i="145"/>
  <c r="J191" i="140" l="1"/>
  <c r="K190" i="140"/>
  <c r="L190" i="140" s="1"/>
  <c r="K181" i="139"/>
  <c r="L180" i="139"/>
  <c r="M180" i="139" s="1"/>
  <c r="K150" i="129"/>
  <c r="L149" i="129"/>
  <c r="M149" i="129" s="1"/>
  <c r="L330" i="145"/>
  <c r="K329" i="145"/>
  <c r="J192" i="140" l="1"/>
  <c r="K191" i="140"/>
  <c r="L191" i="140" s="1"/>
  <c r="L181" i="139"/>
  <c r="M181" i="139" s="1"/>
  <c r="K182" i="139"/>
  <c r="K151" i="129"/>
  <c r="L150" i="129"/>
  <c r="M150" i="129" s="1"/>
  <c r="L331" i="145"/>
  <c r="K330" i="145"/>
  <c r="J193" i="140" l="1"/>
  <c r="K192" i="140"/>
  <c r="L192" i="140" s="1"/>
  <c r="L182" i="139"/>
  <c r="M182" i="139" s="1"/>
  <c r="K183" i="139"/>
  <c r="K152" i="129"/>
  <c r="L151" i="129"/>
  <c r="M151" i="129" s="1"/>
  <c r="L332" i="145"/>
  <c r="K331" i="145"/>
  <c r="J194" i="140" l="1"/>
  <c r="K193" i="140"/>
  <c r="L193" i="140" s="1"/>
  <c r="L183" i="139"/>
  <c r="M183" i="139" s="1"/>
  <c r="K184" i="139"/>
  <c r="K153" i="129"/>
  <c r="L152" i="129"/>
  <c r="M152" i="129" s="1"/>
  <c r="L333" i="145"/>
  <c r="K332" i="145"/>
  <c r="J195" i="140" l="1"/>
  <c r="K194" i="140"/>
  <c r="L194" i="140" s="1"/>
  <c r="L184" i="139"/>
  <c r="M184" i="139" s="1"/>
  <c r="K185" i="139"/>
  <c r="K154" i="129"/>
  <c r="L153" i="129"/>
  <c r="M153" i="129" s="1"/>
  <c r="L334" i="145"/>
  <c r="K333" i="145"/>
  <c r="J196" i="140" l="1"/>
  <c r="K195" i="140"/>
  <c r="L195" i="140" s="1"/>
  <c r="K186" i="139"/>
  <c r="L185" i="139"/>
  <c r="M185" i="139" s="1"/>
  <c r="K155" i="129"/>
  <c r="L154" i="129"/>
  <c r="M154" i="129" s="1"/>
  <c r="L335" i="145"/>
  <c r="K334" i="145"/>
  <c r="J197" i="140" l="1"/>
  <c r="K196" i="140"/>
  <c r="L196" i="140" s="1"/>
  <c r="K187" i="139"/>
  <c r="L186" i="139"/>
  <c r="M186" i="139" s="1"/>
  <c r="K156" i="129"/>
  <c r="L155" i="129"/>
  <c r="M155" i="129" s="1"/>
  <c r="L336" i="145"/>
  <c r="K335" i="145"/>
  <c r="J198" i="140" l="1"/>
  <c r="K197" i="140"/>
  <c r="L197" i="140" s="1"/>
  <c r="K188" i="139"/>
  <c r="L187" i="139"/>
  <c r="M187" i="139" s="1"/>
  <c r="K157" i="129"/>
  <c r="L156" i="129"/>
  <c r="M156" i="129" s="1"/>
  <c r="L337" i="145"/>
  <c r="K336" i="145"/>
  <c r="J199" i="140" l="1"/>
  <c r="K198" i="140"/>
  <c r="L198" i="140" s="1"/>
  <c r="K189" i="139"/>
  <c r="L188" i="139"/>
  <c r="M188" i="139" s="1"/>
  <c r="K158" i="129"/>
  <c r="L157" i="129"/>
  <c r="M157" i="129" s="1"/>
  <c r="L338" i="145"/>
  <c r="K337" i="145"/>
  <c r="J200" i="140" l="1"/>
  <c r="K199" i="140"/>
  <c r="L199" i="140" s="1"/>
  <c r="K191" i="139"/>
  <c r="L189" i="139"/>
  <c r="M189" i="139" s="1"/>
  <c r="K159" i="129"/>
  <c r="L158" i="129"/>
  <c r="M158" i="129" s="1"/>
  <c r="L339" i="145"/>
  <c r="K338" i="145"/>
  <c r="J201" i="140" l="1"/>
  <c r="K200" i="140"/>
  <c r="L200" i="140" s="1"/>
  <c r="K192" i="139"/>
  <c r="L191" i="139"/>
  <c r="M191" i="139" s="1"/>
  <c r="K160" i="129"/>
  <c r="L159" i="129"/>
  <c r="M159" i="129" s="1"/>
  <c r="L340" i="145"/>
  <c r="K339" i="145"/>
  <c r="J202" i="140" l="1"/>
  <c r="K201" i="140"/>
  <c r="L201" i="140" s="1"/>
  <c r="K193" i="139"/>
  <c r="L192" i="139"/>
  <c r="M192" i="139" s="1"/>
  <c r="K161" i="129"/>
  <c r="L160" i="129"/>
  <c r="M160" i="129" s="1"/>
  <c r="L341" i="145"/>
  <c r="K340" i="145"/>
  <c r="J203" i="140" l="1"/>
  <c r="K202" i="140"/>
  <c r="L202" i="140" s="1"/>
  <c r="L193" i="139"/>
  <c r="M193" i="139" s="1"/>
  <c r="K195" i="139"/>
  <c r="K162" i="129"/>
  <c r="L161" i="129"/>
  <c r="M161" i="129" s="1"/>
  <c r="L342" i="145"/>
  <c r="K341" i="145"/>
  <c r="J205" i="140" l="1"/>
  <c r="K203" i="140"/>
  <c r="L203" i="140" s="1"/>
  <c r="L195" i="139"/>
  <c r="M195" i="139" s="1"/>
  <c r="K196" i="139"/>
  <c r="K163" i="129"/>
  <c r="L162" i="129"/>
  <c r="M162" i="129" s="1"/>
  <c r="L343" i="145"/>
  <c r="K342" i="145"/>
  <c r="J206" i="140" l="1"/>
  <c r="K205" i="140"/>
  <c r="L205" i="140" s="1"/>
  <c r="L196" i="139"/>
  <c r="M196" i="139" s="1"/>
  <c r="K164" i="129"/>
  <c r="L163" i="129"/>
  <c r="M163" i="129" s="1"/>
  <c r="L344" i="145"/>
  <c r="K343" i="145"/>
  <c r="J207" i="140" l="1"/>
  <c r="K206" i="140"/>
  <c r="L206" i="140" s="1"/>
  <c r="K198" i="139"/>
  <c r="L197" i="139"/>
  <c r="M197" i="139" s="1"/>
  <c r="K165" i="129"/>
  <c r="L164" i="129"/>
  <c r="M164" i="129" s="1"/>
  <c r="L345" i="145"/>
  <c r="K344" i="145"/>
  <c r="J208" i="140" l="1"/>
  <c r="K207" i="140"/>
  <c r="L207" i="140" s="1"/>
  <c r="L198" i="139"/>
  <c r="M198" i="139" s="1"/>
  <c r="K199" i="139"/>
  <c r="K166" i="129"/>
  <c r="L165" i="129"/>
  <c r="M165" i="129" s="1"/>
  <c r="L346" i="145"/>
  <c r="K345" i="145"/>
  <c r="L199" i="139" l="1"/>
  <c r="M199" i="139" s="1"/>
  <c r="J209" i="140"/>
  <c r="K208" i="140"/>
  <c r="L208" i="140" s="1"/>
  <c r="K167" i="129"/>
  <c r="L166" i="129"/>
  <c r="M166" i="129" s="1"/>
  <c r="L347" i="145"/>
  <c r="K346" i="145"/>
  <c r="L201" i="139" l="1"/>
  <c r="M201" i="139" s="1"/>
  <c r="J210" i="140"/>
  <c r="K209" i="140"/>
  <c r="L209" i="140" s="1"/>
  <c r="K168" i="129"/>
  <c r="L167" i="129"/>
  <c r="M167" i="129" s="1"/>
  <c r="L348" i="145"/>
  <c r="K347" i="145"/>
  <c r="J211" i="140" l="1"/>
  <c r="K210" i="140"/>
  <c r="L210" i="140" s="1"/>
  <c r="K169" i="129"/>
  <c r="L168" i="129"/>
  <c r="M168" i="129" s="1"/>
  <c r="L349" i="145"/>
  <c r="K348" i="145"/>
  <c r="L202" i="139" l="1"/>
  <c r="M202" i="139" s="1"/>
  <c r="J212" i="140"/>
  <c r="K211" i="140"/>
  <c r="L211" i="140" s="1"/>
  <c r="K170" i="129"/>
  <c r="L169" i="129"/>
  <c r="M169" i="129" s="1"/>
  <c r="L350" i="145"/>
  <c r="K349" i="145"/>
  <c r="L203" i="139" l="1"/>
  <c r="M203" i="139" s="1"/>
  <c r="J213" i="140"/>
  <c r="K212" i="140"/>
  <c r="L212" i="140" s="1"/>
  <c r="K171" i="129"/>
  <c r="L170" i="129"/>
  <c r="M170" i="129" s="1"/>
  <c r="L351" i="145"/>
  <c r="K350" i="145"/>
  <c r="L204" i="139" l="1"/>
  <c r="M204" i="139" s="1"/>
  <c r="J214" i="140"/>
  <c r="K213" i="140"/>
  <c r="L213" i="140" s="1"/>
  <c r="K172" i="129"/>
  <c r="L171" i="129"/>
  <c r="M171" i="129" s="1"/>
  <c r="L352" i="145"/>
  <c r="K351" i="145"/>
  <c r="L205" i="139" l="1"/>
  <c r="M205" i="139" s="1"/>
  <c r="J215" i="140"/>
  <c r="K214" i="140"/>
  <c r="L214" i="140" s="1"/>
  <c r="K173" i="129"/>
  <c r="L172" i="129"/>
  <c r="M172" i="129" s="1"/>
  <c r="L353" i="145"/>
  <c r="K352" i="145"/>
  <c r="L206" i="139" l="1"/>
  <c r="M206" i="139" s="1"/>
  <c r="J216" i="140"/>
  <c r="K215" i="140"/>
  <c r="L215" i="140" s="1"/>
  <c r="K174" i="129"/>
  <c r="L173" i="129"/>
  <c r="M173" i="129" s="1"/>
  <c r="L354" i="145"/>
  <c r="K353" i="145"/>
  <c r="J217" i="140" l="1"/>
  <c r="K216" i="140"/>
  <c r="L216" i="140" s="1"/>
  <c r="K175" i="129"/>
  <c r="L174" i="129"/>
  <c r="M174" i="129" s="1"/>
  <c r="L355" i="145"/>
  <c r="K354" i="145"/>
  <c r="L207" i="139" l="1"/>
  <c r="M207" i="139" s="1"/>
  <c r="J218" i="140"/>
  <c r="K217" i="140"/>
  <c r="L217" i="140" s="1"/>
  <c r="K176" i="129"/>
  <c r="L175" i="129"/>
  <c r="M175" i="129" s="1"/>
  <c r="L356" i="145"/>
  <c r="K355" i="145"/>
  <c r="L208" i="139" l="1"/>
  <c r="M208" i="139" s="1"/>
  <c r="J219" i="140"/>
  <c r="K218" i="140"/>
  <c r="L218" i="140" s="1"/>
  <c r="K177" i="129"/>
  <c r="L176" i="129"/>
  <c r="M176" i="129" s="1"/>
  <c r="L357" i="145"/>
  <c r="K356" i="145"/>
  <c r="L209" i="139" l="1"/>
  <c r="M209" i="139" s="1"/>
  <c r="J220" i="140"/>
  <c r="K219" i="140"/>
  <c r="L219" i="140" s="1"/>
  <c r="K178" i="129"/>
  <c r="L177" i="129"/>
  <c r="M177" i="129" s="1"/>
  <c r="L358" i="145"/>
  <c r="K357" i="145"/>
  <c r="L210" i="139" l="1"/>
  <c r="M210" i="139" s="1"/>
  <c r="J222" i="140"/>
  <c r="K220" i="140"/>
  <c r="L220" i="140" s="1"/>
  <c r="K179" i="129"/>
  <c r="L178" i="129"/>
  <c r="M178" i="129" s="1"/>
  <c r="L359" i="145"/>
  <c r="K358" i="145"/>
  <c r="L212" i="139" l="1"/>
  <c r="M212" i="139" s="1"/>
  <c r="L211" i="139"/>
  <c r="M211" i="139" s="1"/>
  <c r="J223" i="140"/>
  <c r="K222" i="140"/>
  <c r="L222" i="140" s="1"/>
  <c r="K180" i="129"/>
  <c r="L179" i="129"/>
  <c r="M179" i="129" s="1"/>
  <c r="L360" i="145"/>
  <c r="K359" i="145"/>
  <c r="L213" i="139" l="1"/>
  <c r="M213" i="139" s="1"/>
  <c r="L214" i="139"/>
  <c r="M214" i="139" s="1"/>
  <c r="J224" i="140"/>
  <c r="K223" i="140"/>
  <c r="L223" i="140" s="1"/>
  <c r="K181" i="129"/>
  <c r="L180" i="129"/>
  <c r="M180" i="129" s="1"/>
  <c r="L361" i="145"/>
  <c r="K360" i="145"/>
  <c r="J225" i="140" l="1"/>
  <c r="K224" i="140"/>
  <c r="L224" i="140" s="1"/>
  <c r="K182" i="129"/>
  <c r="L181" i="129"/>
  <c r="M181" i="129" s="1"/>
  <c r="L362" i="145"/>
  <c r="K361" i="145"/>
  <c r="J226" i="140" l="1"/>
  <c r="K225" i="140"/>
  <c r="L225" i="140" s="1"/>
  <c r="K183" i="129"/>
  <c r="L182" i="129"/>
  <c r="M182" i="129" s="1"/>
  <c r="L363" i="145"/>
  <c r="K362" i="145"/>
  <c r="J227" i="140" l="1"/>
  <c r="K226" i="140"/>
  <c r="L226" i="140" s="1"/>
  <c r="K184" i="129"/>
  <c r="L183" i="129"/>
  <c r="M183" i="129" s="1"/>
  <c r="L364" i="145"/>
  <c r="K363" i="145"/>
  <c r="J228" i="140" l="1"/>
  <c r="K227" i="140"/>
  <c r="L227" i="140" s="1"/>
  <c r="K185" i="129"/>
  <c r="L184" i="129"/>
  <c r="M184" i="129" s="1"/>
  <c r="L365" i="145"/>
  <c r="K364" i="145"/>
  <c r="J229" i="140" l="1"/>
  <c r="K228" i="140"/>
  <c r="L228" i="140" s="1"/>
  <c r="K186" i="129"/>
  <c r="L185" i="129"/>
  <c r="M185" i="129" s="1"/>
  <c r="L366" i="145"/>
  <c r="K365" i="145"/>
  <c r="J230" i="140" l="1"/>
  <c r="K229" i="140"/>
  <c r="L229" i="140" s="1"/>
  <c r="K187" i="129"/>
  <c r="L186" i="129"/>
  <c r="M186" i="129" s="1"/>
  <c r="L367" i="145"/>
  <c r="K366" i="145"/>
  <c r="J231" i="140" l="1"/>
  <c r="K230" i="140"/>
  <c r="L230" i="140" s="1"/>
  <c r="K188" i="129"/>
  <c r="L187" i="129"/>
  <c r="M187" i="129" s="1"/>
  <c r="L368" i="145"/>
  <c r="K367" i="145"/>
  <c r="J232" i="140" l="1"/>
  <c r="K231" i="140"/>
  <c r="L231" i="140" s="1"/>
  <c r="K189" i="129"/>
  <c r="L188" i="129"/>
  <c r="M188" i="129" s="1"/>
  <c r="L369" i="145"/>
  <c r="K368" i="145"/>
  <c r="J233" i="140" l="1"/>
  <c r="K232" i="140"/>
  <c r="L232" i="140" s="1"/>
  <c r="K190" i="129"/>
  <c r="L189" i="129"/>
  <c r="M189" i="129" s="1"/>
  <c r="L370" i="145"/>
  <c r="K369" i="145"/>
  <c r="J234" i="140" l="1"/>
  <c r="K233" i="140"/>
  <c r="L233" i="140" s="1"/>
  <c r="K191" i="129"/>
  <c r="L190" i="129"/>
  <c r="M190" i="129" s="1"/>
  <c r="K370" i="145"/>
  <c r="L372" i="145"/>
  <c r="L373" i="145" s="1"/>
  <c r="L374" i="145" l="1"/>
  <c r="K373" i="145"/>
  <c r="J235" i="140"/>
  <c r="K234" i="140"/>
  <c r="L234" i="140" s="1"/>
  <c r="K192" i="129"/>
  <c r="L191" i="129"/>
  <c r="M191" i="129" s="1"/>
  <c r="K372" i="145"/>
  <c r="K374" i="145" l="1"/>
  <c r="L376" i="145"/>
  <c r="J236" i="140"/>
  <c r="K235" i="140"/>
  <c r="L235" i="140" s="1"/>
  <c r="K193" i="129"/>
  <c r="L192" i="129"/>
  <c r="M192" i="129" s="1"/>
  <c r="K376" i="145" l="1"/>
  <c r="L377" i="145"/>
  <c r="J237" i="140"/>
  <c r="K236" i="140"/>
  <c r="L236" i="140" s="1"/>
  <c r="K194" i="129"/>
  <c r="L193" i="129"/>
  <c r="M193" i="129" s="1"/>
  <c r="L378" i="145" l="1"/>
  <c r="K377" i="145"/>
  <c r="J239" i="140"/>
  <c r="K237" i="140"/>
  <c r="L237" i="140" s="1"/>
  <c r="K195" i="129"/>
  <c r="L194" i="129"/>
  <c r="M194" i="129" s="1"/>
  <c r="K378" i="145" l="1"/>
  <c r="L379" i="145"/>
  <c r="J240" i="140"/>
  <c r="K239" i="140"/>
  <c r="L239" i="140" s="1"/>
  <c r="K196" i="129"/>
  <c r="L195" i="129"/>
  <c r="M195" i="129" s="1"/>
  <c r="L380" i="145" l="1"/>
  <c r="K379" i="145"/>
  <c r="J241" i="140"/>
  <c r="K240" i="140"/>
  <c r="L240" i="140" s="1"/>
  <c r="K197" i="129"/>
  <c r="L196" i="129"/>
  <c r="M196" i="129" s="1"/>
  <c r="K380" i="145" l="1"/>
  <c r="L381" i="145"/>
  <c r="J242" i="140"/>
  <c r="K241" i="140"/>
  <c r="L241" i="140" s="1"/>
  <c r="K198" i="129"/>
  <c r="L197" i="129"/>
  <c r="M197" i="129" s="1"/>
  <c r="K381" i="145" l="1"/>
  <c r="L382" i="145"/>
  <c r="J243" i="140"/>
  <c r="K242" i="140"/>
  <c r="L242" i="140" s="1"/>
  <c r="K199" i="129"/>
  <c r="L198" i="129"/>
  <c r="M198" i="129" s="1"/>
  <c r="L383" i="145" l="1"/>
  <c r="K382" i="145"/>
  <c r="J244" i="140"/>
  <c r="K243" i="140"/>
  <c r="L243" i="140" s="1"/>
  <c r="K200" i="129"/>
  <c r="L199" i="129"/>
  <c r="M199" i="129" s="1"/>
  <c r="L384" i="145" l="1"/>
  <c r="K383" i="145"/>
  <c r="J245" i="140"/>
  <c r="K244" i="140"/>
  <c r="L244" i="140" s="1"/>
  <c r="K201" i="129"/>
  <c r="L200" i="129"/>
  <c r="M200" i="129" s="1"/>
  <c r="L385" i="145" l="1"/>
  <c r="K384" i="145"/>
  <c r="J246" i="140"/>
  <c r="K245" i="140"/>
  <c r="L245" i="140" s="1"/>
  <c r="K202" i="129"/>
  <c r="L201" i="129"/>
  <c r="M201" i="129" s="1"/>
  <c r="L386" i="145" l="1"/>
  <c r="K385" i="145"/>
  <c r="J247" i="140"/>
  <c r="K246" i="140"/>
  <c r="L246" i="140" s="1"/>
  <c r="K203" i="129"/>
  <c r="L202" i="129"/>
  <c r="M202" i="129" s="1"/>
  <c r="L387" i="145" l="1"/>
  <c r="K386" i="145"/>
  <c r="J248" i="140"/>
  <c r="K247" i="140"/>
  <c r="L247" i="140" s="1"/>
  <c r="K204" i="129"/>
  <c r="L203" i="129"/>
  <c r="M203" i="129" s="1"/>
  <c r="L388" i="145" l="1"/>
  <c r="K387" i="145"/>
  <c r="J249" i="140"/>
  <c r="K248" i="140"/>
  <c r="L248" i="140" s="1"/>
  <c r="K205" i="129"/>
  <c r="L204" i="129"/>
  <c r="M204" i="129" s="1"/>
  <c r="K388" i="145" l="1"/>
  <c r="L389" i="145"/>
  <c r="J250" i="140"/>
  <c r="K249" i="140"/>
  <c r="L249" i="140" s="1"/>
  <c r="K206" i="129"/>
  <c r="L205" i="129"/>
  <c r="M205" i="129" s="1"/>
  <c r="K389" i="145" l="1"/>
  <c r="L390" i="145"/>
  <c r="J251" i="140"/>
  <c r="K250" i="140"/>
  <c r="L250" i="140" s="1"/>
  <c r="K207" i="129"/>
  <c r="L206" i="129"/>
  <c r="M206" i="129" s="1"/>
  <c r="K390" i="145" l="1"/>
  <c r="L391" i="145"/>
  <c r="J252" i="140"/>
  <c r="K251" i="140"/>
  <c r="L251" i="140" s="1"/>
  <c r="K208" i="129"/>
  <c r="L207" i="129"/>
  <c r="M207" i="129" s="1"/>
  <c r="L392" i="145" l="1"/>
  <c r="K391" i="145"/>
  <c r="J253" i="140"/>
  <c r="K252" i="140"/>
  <c r="L252" i="140" s="1"/>
  <c r="K209" i="129"/>
  <c r="L208" i="129"/>
  <c r="M208" i="129" s="1"/>
  <c r="L393" i="145" l="1"/>
  <c r="K392" i="145"/>
  <c r="J254" i="140"/>
  <c r="K253" i="140"/>
  <c r="L253" i="140" s="1"/>
  <c r="K210" i="129"/>
  <c r="L209" i="129"/>
  <c r="M209" i="129" s="1"/>
  <c r="L394" i="145" l="1"/>
  <c r="K393" i="145"/>
  <c r="J256" i="140"/>
  <c r="K254" i="140"/>
  <c r="L254" i="140" s="1"/>
  <c r="K211" i="129"/>
  <c r="L210" i="129"/>
  <c r="M210" i="129" s="1"/>
  <c r="L395" i="145" l="1"/>
  <c r="K394" i="145"/>
  <c r="J257" i="140"/>
  <c r="K256" i="140"/>
  <c r="L256" i="140" s="1"/>
  <c r="K212" i="129"/>
  <c r="L211" i="129"/>
  <c r="M211" i="129" s="1"/>
  <c r="K395" i="145" l="1"/>
  <c r="L396" i="145"/>
  <c r="J258" i="140"/>
  <c r="K257" i="140"/>
  <c r="L257" i="140" s="1"/>
  <c r="K213" i="129"/>
  <c r="L212" i="129"/>
  <c r="M212" i="129" s="1"/>
  <c r="L397" i="145" l="1"/>
  <c r="K396" i="145"/>
  <c r="J259" i="140"/>
  <c r="K258" i="140"/>
  <c r="L258" i="140" s="1"/>
  <c r="K214" i="129"/>
  <c r="L213" i="129"/>
  <c r="M213" i="129" s="1"/>
  <c r="L398" i="145" l="1"/>
  <c r="K397" i="145"/>
  <c r="J260" i="140"/>
  <c r="K259" i="140"/>
  <c r="L259" i="140" s="1"/>
  <c r="K215" i="129"/>
  <c r="L214" i="129"/>
  <c r="M214" i="129" s="1"/>
  <c r="L399" i="145" l="1"/>
  <c r="K398" i="145"/>
  <c r="J261" i="140"/>
  <c r="K260" i="140"/>
  <c r="L260" i="140" s="1"/>
  <c r="K216" i="129"/>
  <c r="L215" i="129"/>
  <c r="M215" i="129" s="1"/>
  <c r="L400" i="145" l="1"/>
  <c r="K399" i="145"/>
  <c r="J262" i="140"/>
  <c r="K261" i="140"/>
  <c r="L261" i="140" s="1"/>
  <c r="K217" i="129"/>
  <c r="L216" i="129"/>
  <c r="M216" i="129" s="1"/>
  <c r="K400" i="145" l="1"/>
  <c r="L401" i="145"/>
  <c r="J263" i="140"/>
  <c r="K262" i="140"/>
  <c r="L262" i="140" s="1"/>
  <c r="K218" i="129"/>
  <c r="L217" i="129"/>
  <c r="M217" i="129" s="1"/>
  <c r="K401" i="145" l="1"/>
  <c r="L402" i="145"/>
  <c r="J264" i="140"/>
  <c r="K263" i="140"/>
  <c r="L263" i="140" s="1"/>
  <c r="K219" i="129"/>
  <c r="L218" i="129"/>
  <c r="M218" i="129" s="1"/>
  <c r="L403" i="145" l="1"/>
  <c r="K402" i="145"/>
  <c r="J265" i="140"/>
  <c r="K264" i="140"/>
  <c r="L264" i="140" s="1"/>
  <c r="K220" i="129"/>
  <c r="L219" i="129"/>
  <c r="M219" i="129" s="1"/>
  <c r="L404" i="145" l="1"/>
  <c r="K403" i="145"/>
  <c r="J266" i="140"/>
  <c r="K265" i="140"/>
  <c r="L265" i="140" s="1"/>
  <c r="K221" i="129"/>
  <c r="L220" i="129"/>
  <c r="M220" i="129" s="1"/>
  <c r="K404" i="145" l="1"/>
  <c r="L405" i="145"/>
  <c r="J267" i="140"/>
  <c r="K266" i="140"/>
  <c r="L266" i="140" s="1"/>
  <c r="K222" i="129"/>
  <c r="L221" i="129"/>
  <c r="M221" i="129" s="1"/>
  <c r="L406" i="145" l="1"/>
  <c r="K405" i="145"/>
  <c r="J268" i="140"/>
  <c r="K267" i="140"/>
  <c r="L267" i="140" s="1"/>
  <c r="K223" i="129"/>
  <c r="L222" i="129"/>
  <c r="M222" i="129" s="1"/>
  <c r="K406" i="145" l="1"/>
  <c r="L407" i="145"/>
  <c r="J269" i="140"/>
  <c r="K268" i="140"/>
  <c r="L268" i="140" s="1"/>
  <c r="K224" i="129"/>
  <c r="L223" i="129"/>
  <c r="M223" i="129" s="1"/>
  <c r="K407" i="145" l="1"/>
  <c r="L408" i="145"/>
  <c r="J270" i="140"/>
  <c r="K269" i="140"/>
  <c r="L269" i="140" s="1"/>
  <c r="K225" i="129"/>
  <c r="L224" i="129"/>
  <c r="M224" i="129" s="1"/>
  <c r="L409" i="145" l="1"/>
  <c r="K408" i="145"/>
  <c r="J271" i="140"/>
  <c r="K270" i="140"/>
  <c r="L270" i="140" s="1"/>
  <c r="K226" i="129"/>
  <c r="L225" i="129"/>
  <c r="M225" i="129" s="1"/>
  <c r="K409" i="145" l="1"/>
  <c r="L410" i="145"/>
  <c r="J273" i="140"/>
  <c r="K271" i="140"/>
  <c r="L271" i="140" s="1"/>
  <c r="K227" i="129"/>
  <c r="L226" i="129"/>
  <c r="M226" i="129" s="1"/>
  <c r="K410" i="145" l="1"/>
  <c r="L411" i="145"/>
  <c r="J274" i="140"/>
  <c r="K273" i="140"/>
  <c r="L273" i="140" s="1"/>
  <c r="K228" i="129"/>
  <c r="L227" i="129"/>
  <c r="M227" i="129" s="1"/>
  <c r="L412" i="145" l="1"/>
  <c r="K411" i="145"/>
  <c r="J275" i="140"/>
  <c r="K274" i="140"/>
  <c r="L274" i="140" s="1"/>
  <c r="K229" i="129"/>
  <c r="L228" i="129"/>
  <c r="M228" i="129" s="1"/>
  <c r="K412" i="145" l="1"/>
  <c r="L413" i="145"/>
  <c r="J276" i="140"/>
  <c r="K275" i="140"/>
  <c r="L275" i="140" s="1"/>
  <c r="K230" i="129"/>
  <c r="L229" i="129"/>
  <c r="M229" i="129" s="1"/>
  <c r="K413" i="145" l="1"/>
  <c r="L414" i="145"/>
  <c r="J277" i="140"/>
  <c r="K276" i="140"/>
  <c r="L276" i="140" s="1"/>
  <c r="K231" i="129"/>
  <c r="L230" i="129"/>
  <c r="M230" i="129" s="1"/>
  <c r="K414" i="145" l="1"/>
  <c r="L415" i="145"/>
  <c r="J278" i="140"/>
  <c r="K277" i="140"/>
  <c r="L277" i="140" s="1"/>
  <c r="K232" i="129"/>
  <c r="L232" i="129" s="1"/>
  <c r="M232" i="129" s="1"/>
  <c r="L231" i="129"/>
  <c r="M231" i="129" s="1"/>
  <c r="K415" i="145" l="1"/>
  <c r="L416" i="145"/>
  <c r="J279" i="140"/>
  <c r="K278" i="140"/>
  <c r="L278" i="140" s="1"/>
  <c r="L417" i="145" l="1"/>
  <c r="K416" i="145"/>
  <c r="J280" i="140"/>
  <c r="K279" i="140"/>
  <c r="L279" i="140" s="1"/>
  <c r="L418" i="145" l="1"/>
  <c r="K417" i="145"/>
  <c r="J281" i="140"/>
  <c r="K280" i="140"/>
  <c r="L280" i="140" s="1"/>
  <c r="K418" i="145" l="1"/>
  <c r="L419" i="145"/>
  <c r="J282" i="140"/>
  <c r="K281" i="140"/>
  <c r="L281" i="140" s="1"/>
  <c r="L420" i="145" l="1"/>
  <c r="K419" i="145"/>
  <c r="J283" i="140"/>
  <c r="K282" i="140"/>
  <c r="L282" i="140" s="1"/>
  <c r="L421" i="145" l="1"/>
  <c r="K420" i="145"/>
  <c r="J284" i="140"/>
  <c r="K283" i="140"/>
  <c r="L283" i="140" s="1"/>
  <c r="K421" i="145" l="1"/>
  <c r="L422" i="145"/>
  <c r="J285" i="140"/>
  <c r="K284" i="140"/>
  <c r="L284" i="140" s="1"/>
  <c r="L423" i="145" l="1"/>
  <c r="K422" i="145"/>
  <c r="J286" i="140"/>
  <c r="K285" i="140"/>
  <c r="L285" i="140" s="1"/>
  <c r="L424" i="145" l="1"/>
  <c r="K423" i="145"/>
  <c r="J287" i="140"/>
  <c r="K286" i="140"/>
  <c r="L286" i="140" s="1"/>
  <c r="K424" i="145" l="1"/>
  <c r="L425" i="145"/>
  <c r="J288" i="140"/>
  <c r="K287" i="140"/>
  <c r="L287" i="140" s="1"/>
  <c r="K425" i="145" l="1"/>
  <c r="L426" i="145"/>
  <c r="J289" i="140"/>
  <c r="K288" i="140"/>
  <c r="L288" i="140" s="1"/>
  <c r="K426" i="145" l="1"/>
  <c r="L427" i="145"/>
  <c r="J290" i="140"/>
  <c r="K289" i="140"/>
  <c r="L289" i="140" s="1"/>
  <c r="K427" i="145" l="1"/>
  <c r="L428" i="145"/>
  <c r="J291" i="140"/>
  <c r="K290" i="140"/>
  <c r="L290" i="140" s="1"/>
  <c r="K428" i="145" l="1"/>
  <c r="L429" i="145"/>
  <c r="J292" i="140"/>
  <c r="K291" i="140"/>
  <c r="L291" i="140" s="1"/>
  <c r="L430" i="145" l="1"/>
  <c r="K429" i="145"/>
  <c r="J293" i="140"/>
  <c r="K292" i="140"/>
  <c r="L292" i="140" s="1"/>
  <c r="L431" i="145" l="1"/>
  <c r="K430" i="145"/>
  <c r="J294" i="140"/>
  <c r="K293" i="140"/>
  <c r="L293" i="140" s="1"/>
  <c r="L432" i="145" l="1"/>
  <c r="K431" i="145"/>
  <c r="J295" i="140"/>
  <c r="K294" i="140"/>
  <c r="L294" i="140" s="1"/>
  <c r="L433" i="145" l="1"/>
  <c r="K432" i="145"/>
  <c r="J296" i="140"/>
  <c r="K295" i="140"/>
  <c r="L295" i="140" s="1"/>
  <c r="K433" i="145" l="1"/>
  <c r="L434" i="145"/>
  <c r="J297" i="140"/>
  <c r="K296" i="140"/>
  <c r="L296" i="140" s="1"/>
  <c r="L435" i="145" l="1"/>
  <c r="K434" i="145"/>
  <c r="J298" i="140"/>
  <c r="K297" i="140"/>
  <c r="L297" i="140" s="1"/>
  <c r="L436" i="145" l="1"/>
  <c r="K435" i="145"/>
  <c r="J299" i="140"/>
  <c r="K298" i="140"/>
  <c r="L298" i="140" s="1"/>
  <c r="K436" i="145" l="1"/>
  <c r="L437" i="145"/>
  <c r="J300" i="140"/>
  <c r="K299" i="140"/>
  <c r="L299" i="140" s="1"/>
  <c r="K437" i="145" l="1"/>
  <c r="L438" i="145"/>
  <c r="J301" i="140"/>
  <c r="K300" i="140"/>
  <c r="L300" i="140" s="1"/>
  <c r="L439" i="145" l="1"/>
  <c r="K438" i="145"/>
  <c r="J302" i="140"/>
  <c r="K301" i="140"/>
  <c r="L301" i="140" s="1"/>
  <c r="K439" i="145" l="1"/>
  <c r="L440" i="145"/>
  <c r="J303" i="140"/>
  <c r="K302" i="140"/>
  <c r="L302" i="140" s="1"/>
  <c r="L441" i="145" l="1"/>
  <c r="K440" i="145"/>
  <c r="J304" i="140"/>
  <c r="K303" i="140"/>
  <c r="L303" i="140" s="1"/>
  <c r="L442" i="145" l="1"/>
  <c r="K441" i="145"/>
  <c r="J306" i="140"/>
  <c r="K304" i="140"/>
  <c r="L304" i="140" s="1"/>
  <c r="K442" i="145" l="1"/>
  <c r="L443" i="145"/>
  <c r="J307" i="140"/>
  <c r="K306" i="140"/>
  <c r="L306" i="140" s="1"/>
  <c r="L444" i="145" l="1"/>
  <c r="K443" i="145"/>
  <c r="J308" i="140"/>
  <c r="K307" i="140"/>
  <c r="L307" i="140" s="1"/>
  <c r="K444" i="145" l="1"/>
  <c r="L445" i="145"/>
  <c r="J309" i="140"/>
  <c r="K308" i="140"/>
  <c r="L308" i="140" s="1"/>
  <c r="K445" i="145" l="1"/>
  <c r="L446" i="145"/>
  <c r="J310" i="140"/>
  <c r="K309" i="140"/>
  <c r="L309" i="140" s="1"/>
  <c r="K446" i="145" l="1"/>
  <c r="L447" i="145"/>
  <c r="J311" i="140"/>
  <c r="K310" i="140"/>
  <c r="L310" i="140" s="1"/>
  <c r="L448" i="145" l="1"/>
  <c r="K447" i="145"/>
  <c r="J312" i="140"/>
  <c r="K311" i="140"/>
  <c r="L311" i="140" s="1"/>
  <c r="K448" i="145" l="1"/>
  <c r="L449" i="145"/>
  <c r="J313" i="140"/>
  <c r="K312" i="140"/>
  <c r="L312" i="140" s="1"/>
  <c r="L450" i="145" l="1"/>
  <c r="K449" i="145"/>
  <c r="J314" i="140"/>
  <c r="K313" i="140"/>
  <c r="L313" i="140" s="1"/>
  <c r="K450" i="145" l="1"/>
  <c r="L451" i="145"/>
  <c r="J315" i="140"/>
  <c r="K314" i="140"/>
  <c r="L314" i="140" s="1"/>
  <c r="L452" i="145" l="1"/>
  <c r="K451" i="145"/>
  <c r="J316" i="140"/>
  <c r="K315" i="140"/>
  <c r="L315" i="140" s="1"/>
  <c r="L453" i="145" l="1"/>
  <c r="K452" i="145"/>
  <c r="J317" i="140"/>
  <c r="K316" i="140"/>
  <c r="L316" i="140" s="1"/>
  <c r="L454" i="145" l="1"/>
  <c r="K453" i="145"/>
  <c r="J318" i="140"/>
  <c r="K317" i="140"/>
  <c r="L317" i="140" s="1"/>
  <c r="K454" i="145" l="1"/>
  <c r="L455" i="145"/>
  <c r="J319" i="140"/>
  <c r="K318" i="140"/>
  <c r="L318" i="140" s="1"/>
  <c r="L456" i="145" l="1"/>
  <c r="K455" i="145"/>
  <c r="J320" i="140"/>
  <c r="K319" i="140"/>
  <c r="L319" i="140" s="1"/>
  <c r="L457" i="145" l="1"/>
  <c r="K456" i="145"/>
  <c r="J321" i="140"/>
  <c r="K320" i="140"/>
  <c r="L320" i="140" s="1"/>
  <c r="K457" i="145" l="1"/>
  <c r="L458" i="145"/>
  <c r="J322" i="140"/>
  <c r="K321" i="140"/>
  <c r="L321" i="140" s="1"/>
  <c r="K458" i="145" l="1"/>
  <c r="L459" i="145"/>
  <c r="J323" i="140"/>
  <c r="K322" i="140"/>
  <c r="L322" i="140" s="1"/>
  <c r="L460" i="145" l="1"/>
  <c r="K459" i="145"/>
  <c r="J324" i="140"/>
  <c r="K323" i="140"/>
  <c r="L323" i="140" s="1"/>
  <c r="L461" i="145" l="1"/>
  <c r="K460" i="145"/>
  <c r="J325" i="140"/>
  <c r="K324" i="140"/>
  <c r="L324" i="140" s="1"/>
  <c r="L462" i="145" l="1"/>
  <c r="K461" i="145"/>
  <c r="J326" i="140"/>
  <c r="K325" i="140"/>
  <c r="L325" i="140" s="1"/>
  <c r="K462" i="145" l="1"/>
  <c r="L463" i="145"/>
  <c r="J327" i="140"/>
  <c r="K326" i="140"/>
  <c r="L326" i="140" s="1"/>
  <c r="L464" i="145" l="1"/>
  <c r="K463" i="145"/>
  <c r="J328" i="140"/>
  <c r="K327" i="140"/>
  <c r="L327" i="140" s="1"/>
  <c r="L465" i="145" l="1"/>
  <c r="K464" i="145"/>
  <c r="J329" i="140"/>
  <c r="K328" i="140"/>
  <c r="L328" i="140" s="1"/>
  <c r="L466" i="145" l="1"/>
  <c r="K465" i="145"/>
  <c r="J330" i="140"/>
  <c r="K329" i="140"/>
  <c r="L329" i="140" s="1"/>
  <c r="L467" i="145" l="1"/>
  <c r="K466" i="145"/>
  <c r="J331" i="140"/>
  <c r="K330" i="140"/>
  <c r="L330" i="140" s="1"/>
  <c r="L468" i="145" l="1"/>
  <c r="K467" i="145"/>
  <c r="J332" i="140"/>
  <c r="K331" i="140"/>
  <c r="L331" i="140" s="1"/>
  <c r="L469" i="145" l="1"/>
  <c r="K468" i="145"/>
  <c r="J333" i="140"/>
  <c r="K332" i="140"/>
  <c r="L332" i="140" s="1"/>
  <c r="K469" i="145" l="1"/>
  <c r="L470" i="145"/>
  <c r="J334" i="140"/>
  <c r="K333" i="140"/>
  <c r="L333" i="140" s="1"/>
  <c r="K470" i="145" l="1"/>
  <c r="L471" i="145"/>
  <c r="J335" i="140"/>
  <c r="K334" i="140"/>
  <c r="L334" i="140" s="1"/>
  <c r="K471" i="145" l="1"/>
  <c r="L472" i="145"/>
  <c r="J336" i="140"/>
  <c r="K335" i="140"/>
  <c r="L335" i="140" s="1"/>
  <c r="L473" i="145" l="1"/>
  <c r="K472" i="145"/>
  <c r="J337" i="140"/>
  <c r="K336" i="140"/>
  <c r="L336" i="140" s="1"/>
  <c r="K473" i="145" l="1"/>
  <c r="L474" i="145"/>
  <c r="J339" i="140"/>
  <c r="K337" i="140"/>
  <c r="L337" i="140" s="1"/>
  <c r="K474" i="145" l="1"/>
  <c r="L475" i="145"/>
  <c r="J340" i="140"/>
  <c r="K339" i="140"/>
  <c r="L339" i="140" s="1"/>
  <c r="L476" i="145" l="1"/>
  <c r="K475" i="145"/>
  <c r="J341" i="140"/>
  <c r="K340" i="140"/>
  <c r="L340" i="140" s="1"/>
  <c r="L477" i="145" l="1"/>
  <c r="K476" i="145"/>
  <c r="J342" i="140"/>
  <c r="K341" i="140"/>
  <c r="L341" i="140" s="1"/>
  <c r="K477" i="145" l="1"/>
  <c r="L478" i="145"/>
  <c r="J343" i="140"/>
  <c r="K342" i="140"/>
  <c r="L342" i="140" s="1"/>
  <c r="K478" i="145" l="1"/>
  <c r="L479" i="145"/>
  <c r="J344" i="140"/>
  <c r="K343" i="140"/>
  <c r="L343" i="140" s="1"/>
  <c r="K479" i="145" l="1"/>
  <c r="L480" i="145"/>
  <c r="J345" i="140"/>
  <c r="K344" i="140"/>
  <c r="L344" i="140" s="1"/>
  <c r="K480" i="145" l="1"/>
  <c r="L481" i="145"/>
  <c r="J346" i="140"/>
  <c r="K345" i="140"/>
  <c r="L345" i="140" s="1"/>
  <c r="K481" i="145" l="1"/>
  <c r="L482" i="145"/>
  <c r="J347" i="140"/>
  <c r="K346" i="140"/>
  <c r="L346" i="140" s="1"/>
  <c r="K482" i="145" l="1"/>
  <c r="L483" i="145"/>
  <c r="J348" i="140"/>
  <c r="K347" i="140"/>
  <c r="L347" i="140" s="1"/>
  <c r="K483" i="145" l="1"/>
  <c r="L484" i="145"/>
  <c r="J349" i="140"/>
  <c r="K348" i="140"/>
  <c r="L348" i="140" s="1"/>
  <c r="L485" i="145" l="1"/>
  <c r="K484" i="145"/>
  <c r="J350" i="140"/>
  <c r="K349" i="140"/>
  <c r="L349" i="140" s="1"/>
  <c r="L486" i="145" l="1"/>
  <c r="K485" i="145"/>
  <c r="J351" i="140"/>
  <c r="K350" i="140"/>
  <c r="L350" i="140" s="1"/>
  <c r="L487" i="145" l="1"/>
  <c r="K486" i="145"/>
  <c r="J352" i="140"/>
  <c r="K351" i="140"/>
  <c r="L351" i="140" s="1"/>
  <c r="K487" i="145" l="1"/>
  <c r="L488" i="145"/>
  <c r="J353" i="140"/>
  <c r="K352" i="140"/>
  <c r="L352" i="140" s="1"/>
  <c r="L489" i="145" l="1"/>
  <c r="K489" i="145" s="1"/>
  <c r="K488" i="145"/>
  <c r="J354" i="140"/>
  <c r="K353" i="140"/>
  <c r="L353" i="140" s="1"/>
  <c r="J355" i="140" l="1"/>
  <c r="K354" i="140"/>
  <c r="L354" i="140" s="1"/>
  <c r="J356" i="140" l="1"/>
  <c r="K355" i="140"/>
  <c r="L355" i="140" s="1"/>
  <c r="J357" i="140" l="1"/>
  <c r="K356" i="140"/>
  <c r="L356" i="140" s="1"/>
  <c r="J358" i="140" l="1"/>
  <c r="K357" i="140"/>
  <c r="L357" i="140" s="1"/>
  <c r="J359" i="140" l="1"/>
  <c r="K358" i="140"/>
  <c r="L358" i="140" s="1"/>
  <c r="J360" i="140" l="1"/>
  <c r="K359" i="140"/>
  <c r="L359" i="140" s="1"/>
  <c r="J361" i="140" l="1"/>
  <c r="K360" i="140"/>
  <c r="L360" i="140" s="1"/>
  <c r="J362" i="140" l="1"/>
  <c r="K361" i="140"/>
  <c r="L361" i="140" s="1"/>
  <c r="J363" i="140" l="1"/>
  <c r="K362" i="140"/>
  <c r="L362" i="140" s="1"/>
  <c r="J364" i="140" l="1"/>
  <c r="K363" i="140"/>
  <c r="L363" i="140" s="1"/>
  <c r="K364" i="140" l="1"/>
  <c r="L364" i="140" s="1"/>
  <c r="J366" i="140" l="1"/>
  <c r="J367" i="140" l="1"/>
  <c r="K366" i="140"/>
  <c r="L366" i="140" s="1"/>
  <c r="J368" i="140" l="1"/>
  <c r="K367" i="140"/>
  <c r="L367" i="140" s="1"/>
  <c r="J369" i="140" l="1"/>
  <c r="K368" i="140"/>
  <c r="L368" i="140" s="1"/>
  <c r="J370" i="140" l="1"/>
  <c r="K369" i="140"/>
  <c r="L369" i="140" s="1"/>
  <c r="J372" i="140" l="1"/>
  <c r="K370" i="140"/>
  <c r="L370" i="140" s="1"/>
  <c r="J373" i="140" l="1"/>
  <c r="K372" i="140"/>
  <c r="L372" i="140" s="1"/>
  <c r="J374" i="140" l="1"/>
  <c r="K373" i="140"/>
  <c r="L373" i="140" s="1"/>
  <c r="J375" i="140" l="1"/>
  <c r="K374" i="140"/>
  <c r="L374" i="140" s="1"/>
  <c r="J376" i="140" l="1"/>
  <c r="K375" i="140"/>
  <c r="L375" i="140" s="1"/>
  <c r="J377" i="140" l="1"/>
  <c r="K376" i="140"/>
  <c r="L376" i="140" s="1"/>
  <c r="J378" i="140" l="1"/>
  <c r="K377" i="140"/>
  <c r="L377" i="140" s="1"/>
  <c r="J379" i="140" l="1"/>
  <c r="K378" i="140"/>
  <c r="L378" i="140" s="1"/>
  <c r="J380" i="140" l="1"/>
  <c r="K379" i="140"/>
  <c r="L379" i="140" s="1"/>
  <c r="J381" i="140" l="1"/>
  <c r="K380" i="140"/>
  <c r="L380" i="140" s="1"/>
  <c r="J382" i="140" l="1"/>
  <c r="K381" i="140"/>
  <c r="L381" i="140" s="1"/>
  <c r="J383" i="140" l="1"/>
  <c r="K382" i="140"/>
  <c r="L382" i="140" s="1"/>
  <c r="J384" i="140" l="1"/>
  <c r="K383" i="140"/>
  <c r="L383" i="140" s="1"/>
  <c r="J385" i="140" l="1"/>
  <c r="K384" i="140"/>
  <c r="L384" i="140" s="1"/>
  <c r="J386" i="140" l="1"/>
  <c r="K385" i="140"/>
  <c r="L385" i="140" s="1"/>
  <c r="J387" i="140" l="1"/>
  <c r="K386" i="140"/>
  <c r="L386" i="140" s="1"/>
  <c r="J389" i="140" l="1"/>
  <c r="K387" i="140"/>
  <c r="L387" i="140" s="1"/>
  <c r="J390" i="140" l="1"/>
  <c r="K389" i="140"/>
  <c r="L389" i="140" s="1"/>
  <c r="J391" i="140" l="1"/>
  <c r="K390" i="140"/>
  <c r="L390" i="140" s="1"/>
  <c r="J392" i="140" l="1"/>
  <c r="K391" i="140"/>
  <c r="L391" i="140" s="1"/>
  <c r="J393" i="140" l="1"/>
  <c r="K392" i="140"/>
  <c r="L392" i="140" s="1"/>
  <c r="J394" i="140" l="1"/>
  <c r="K393" i="140"/>
  <c r="L393" i="140" s="1"/>
  <c r="J395" i="140" l="1"/>
  <c r="K394" i="140"/>
  <c r="L394" i="140" s="1"/>
  <c r="J396" i="140" l="1"/>
  <c r="K395" i="140"/>
  <c r="L395" i="140" s="1"/>
  <c r="J397" i="140" l="1"/>
  <c r="K396" i="140"/>
  <c r="L396" i="140" s="1"/>
  <c r="J398" i="140" l="1"/>
  <c r="K397" i="140"/>
  <c r="L397" i="140" s="1"/>
  <c r="J399" i="140" l="1"/>
  <c r="K398" i="140"/>
  <c r="L398" i="140" s="1"/>
  <c r="J400" i="140" l="1"/>
  <c r="K399" i="140"/>
  <c r="L399" i="140" s="1"/>
  <c r="J401" i="140" l="1"/>
  <c r="K400" i="140"/>
  <c r="L400" i="140" s="1"/>
  <c r="J402" i="140" l="1"/>
  <c r="K401" i="140"/>
  <c r="L401" i="140" s="1"/>
  <c r="J403" i="140" l="1"/>
  <c r="K402" i="140"/>
  <c r="L402" i="140" s="1"/>
  <c r="J404" i="140" l="1"/>
  <c r="K403" i="140"/>
  <c r="L403" i="140" s="1"/>
  <c r="J406" i="140" l="1"/>
  <c r="K404" i="140"/>
  <c r="L404" i="140" s="1"/>
  <c r="J407" i="140" l="1"/>
  <c r="K406" i="140"/>
  <c r="L406" i="140" s="1"/>
  <c r="J408" i="140" l="1"/>
  <c r="K407" i="140"/>
  <c r="L407" i="140" s="1"/>
  <c r="J409" i="140" l="1"/>
  <c r="K408" i="140"/>
  <c r="L408" i="140" s="1"/>
  <c r="J410" i="140" l="1"/>
  <c r="K409" i="140"/>
  <c r="L409" i="140" s="1"/>
  <c r="J411" i="140" l="1"/>
  <c r="K410" i="140"/>
  <c r="L410" i="140" s="1"/>
  <c r="J412" i="140" l="1"/>
  <c r="K411" i="140"/>
  <c r="L411" i="140" s="1"/>
  <c r="J413" i="140" l="1"/>
  <c r="K412" i="140"/>
  <c r="L412" i="140" s="1"/>
  <c r="J414" i="140" l="1"/>
  <c r="K413" i="140"/>
  <c r="L413" i="140" s="1"/>
  <c r="J415" i="140" l="1"/>
  <c r="K414" i="140"/>
  <c r="L414" i="140" s="1"/>
  <c r="J416" i="140" l="1"/>
  <c r="K415" i="140"/>
  <c r="L415" i="140" s="1"/>
  <c r="J417" i="140" l="1"/>
  <c r="K416" i="140"/>
  <c r="L416" i="140" s="1"/>
  <c r="J418" i="140" l="1"/>
  <c r="K417" i="140"/>
  <c r="L417" i="140" s="1"/>
  <c r="J419" i="140" l="1"/>
  <c r="K418" i="140"/>
  <c r="L418" i="140" s="1"/>
  <c r="J420" i="140" l="1"/>
  <c r="K419" i="140"/>
  <c r="L419" i="140" s="1"/>
  <c r="J421" i="140" l="1"/>
  <c r="K420" i="140"/>
  <c r="L420" i="140" s="1"/>
  <c r="J423" i="140" l="1"/>
  <c r="K421" i="140"/>
  <c r="L421" i="140" s="1"/>
  <c r="J424" i="140" l="1"/>
  <c r="K423" i="140"/>
  <c r="L423" i="140" s="1"/>
  <c r="J425" i="140" l="1"/>
  <c r="K424" i="140"/>
  <c r="L424" i="140" s="1"/>
  <c r="J426" i="140" l="1"/>
  <c r="K425" i="140"/>
  <c r="L425" i="140" s="1"/>
  <c r="J427" i="140" l="1"/>
  <c r="K426" i="140"/>
  <c r="L426" i="140" s="1"/>
  <c r="J428" i="140" l="1"/>
  <c r="K427" i="140"/>
  <c r="L427" i="140" s="1"/>
  <c r="J429" i="140" l="1"/>
  <c r="K428" i="140"/>
  <c r="L428" i="140" s="1"/>
  <c r="J430" i="140" l="1"/>
  <c r="K429" i="140"/>
  <c r="L429" i="140" s="1"/>
  <c r="J431" i="140" l="1"/>
  <c r="K430" i="140"/>
  <c r="L430" i="140" s="1"/>
  <c r="J432" i="140" l="1"/>
  <c r="K431" i="140"/>
  <c r="L431" i="140" s="1"/>
  <c r="J433" i="140" l="1"/>
  <c r="K432" i="140"/>
  <c r="L432" i="140" s="1"/>
  <c r="J434" i="140" l="1"/>
  <c r="K433" i="140"/>
  <c r="L433" i="140" s="1"/>
  <c r="J435" i="140" l="1"/>
  <c r="K434" i="140"/>
  <c r="L434" i="140" s="1"/>
  <c r="J436" i="140" l="1"/>
  <c r="K435" i="140"/>
  <c r="L435" i="140" s="1"/>
  <c r="J437" i="140" l="1"/>
  <c r="K436" i="140"/>
  <c r="L436" i="140" s="1"/>
  <c r="J438" i="140" l="1"/>
  <c r="K437" i="140"/>
  <c r="L437" i="140" s="1"/>
  <c r="J440" i="140" l="1"/>
  <c r="K438" i="140"/>
  <c r="L438" i="140" s="1"/>
  <c r="J441" i="140" l="1"/>
  <c r="K440" i="140"/>
  <c r="L440" i="140" s="1"/>
  <c r="J442" i="140" l="1"/>
  <c r="K441" i="140"/>
  <c r="L441" i="140" s="1"/>
  <c r="J443" i="140" l="1"/>
  <c r="K442" i="140"/>
  <c r="L442" i="140" s="1"/>
  <c r="J444" i="140" l="1"/>
  <c r="K443" i="140"/>
  <c r="L443" i="140" s="1"/>
  <c r="J445" i="140" l="1"/>
  <c r="K444" i="140"/>
  <c r="L444" i="140" s="1"/>
  <c r="J446" i="140" l="1"/>
  <c r="K445" i="140"/>
  <c r="L445" i="140" s="1"/>
  <c r="J447" i="140" l="1"/>
  <c r="K446" i="140"/>
  <c r="L446" i="140" s="1"/>
  <c r="J448" i="140" l="1"/>
  <c r="K447" i="140"/>
  <c r="L447" i="140" s="1"/>
  <c r="J449" i="140" l="1"/>
  <c r="K448" i="140"/>
  <c r="L448" i="140" s="1"/>
  <c r="J450" i="140" l="1"/>
  <c r="K449" i="140"/>
  <c r="L449" i="140" s="1"/>
  <c r="J451" i="140" l="1"/>
  <c r="K450" i="140"/>
  <c r="L450" i="140" s="1"/>
  <c r="J452" i="140" l="1"/>
  <c r="K451" i="140"/>
  <c r="L451" i="140" s="1"/>
  <c r="J453" i="140" l="1"/>
  <c r="K452" i="140"/>
  <c r="L452" i="140" s="1"/>
  <c r="J454" i="140" l="1"/>
  <c r="K453" i="140"/>
  <c r="L453" i="140" s="1"/>
  <c r="J455" i="140" l="1"/>
  <c r="K454" i="140"/>
  <c r="L454" i="140" s="1"/>
  <c r="J457" i="140" l="1"/>
  <c r="K455" i="140"/>
  <c r="L455" i="140" s="1"/>
  <c r="J458" i="140" l="1"/>
  <c r="K457" i="140"/>
  <c r="L457" i="140" s="1"/>
  <c r="J459" i="140" l="1"/>
  <c r="K458" i="140"/>
  <c r="L458" i="140" s="1"/>
  <c r="J460" i="140" l="1"/>
  <c r="K459" i="140"/>
  <c r="L459" i="140" s="1"/>
  <c r="J461" i="140" l="1"/>
  <c r="K460" i="140"/>
  <c r="L460" i="140" s="1"/>
  <c r="J462" i="140" l="1"/>
  <c r="K461" i="140"/>
  <c r="L461" i="140" s="1"/>
  <c r="J463" i="140" l="1"/>
  <c r="K462" i="140"/>
  <c r="L462" i="140" s="1"/>
  <c r="J464" i="140" l="1"/>
  <c r="K463" i="140"/>
  <c r="L463" i="140" s="1"/>
  <c r="J465" i="140" l="1"/>
  <c r="K464" i="140"/>
  <c r="L464" i="140" s="1"/>
  <c r="J466" i="140" l="1"/>
  <c r="K465" i="140"/>
  <c r="L465" i="140" s="1"/>
  <c r="J467" i="140" l="1"/>
  <c r="K466" i="140"/>
  <c r="L466" i="140" s="1"/>
  <c r="J468" i="140" l="1"/>
  <c r="K467" i="140"/>
  <c r="L467" i="140" s="1"/>
  <c r="J469" i="140" l="1"/>
  <c r="K468" i="140"/>
  <c r="L468" i="140" s="1"/>
  <c r="J470" i="140" l="1"/>
  <c r="K469" i="140"/>
  <c r="L469" i="140" s="1"/>
  <c r="J471" i="140" l="1"/>
  <c r="K470" i="140"/>
  <c r="L470" i="140" s="1"/>
  <c r="J472" i="140" l="1"/>
  <c r="K471" i="140"/>
  <c r="L471" i="140" s="1"/>
  <c r="J474" i="140" l="1"/>
  <c r="K472" i="140"/>
  <c r="L472" i="140" s="1"/>
  <c r="J475" i="140" l="1"/>
  <c r="K474" i="140"/>
  <c r="L474" i="140" s="1"/>
  <c r="J476" i="140" l="1"/>
  <c r="K475" i="140"/>
  <c r="L475" i="140" s="1"/>
  <c r="J477" i="140" l="1"/>
  <c r="K476" i="140"/>
  <c r="L476" i="140" s="1"/>
  <c r="J478" i="140" l="1"/>
  <c r="K477" i="140"/>
  <c r="L477" i="140" s="1"/>
  <c r="J479" i="140" l="1"/>
  <c r="K478" i="140"/>
  <c r="L478" i="140" s="1"/>
  <c r="J480" i="140" l="1"/>
  <c r="K479" i="140"/>
  <c r="L479" i="140" s="1"/>
  <c r="J481" i="140" l="1"/>
  <c r="K480" i="140"/>
  <c r="L480" i="140" s="1"/>
  <c r="J482" i="140" l="1"/>
  <c r="K481" i="140"/>
  <c r="L481" i="140" s="1"/>
  <c r="J483" i="140" l="1"/>
  <c r="K482" i="140"/>
  <c r="L482" i="140" s="1"/>
  <c r="J484" i="140" l="1"/>
  <c r="K483" i="140"/>
  <c r="L483" i="140" s="1"/>
  <c r="J485" i="140" l="1"/>
  <c r="K484" i="140"/>
  <c r="L484" i="140" s="1"/>
  <c r="J486" i="140" l="1"/>
  <c r="K485" i="140"/>
  <c r="L485" i="140" s="1"/>
  <c r="J487" i="140" l="1"/>
  <c r="K486" i="140"/>
  <c r="L486" i="140" s="1"/>
  <c r="J488" i="140" l="1"/>
  <c r="K487" i="140"/>
  <c r="L487" i="140" s="1"/>
  <c r="J489" i="140" l="1"/>
  <c r="K488" i="140"/>
  <c r="L488" i="140" s="1"/>
  <c r="J491" i="140" l="1"/>
  <c r="K489" i="140"/>
  <c r="L489" i="140" s="1"/>
  <c r="J492" i="140" l="1"/>
  <c r="K491" i="140"/>
  <c r="L491" i="140" s="1"/>
  <c r="J493" i="140" l="1"/>
  <c r="K492" i="140"/>
  <c r="L492" i="140" s="1"/>
  <c r="J494" i="140" l="1"/>
  <c r="K493" i="140"/>
  <c r="L493" i="140" s="1"/>
  <c r="J495" i="140" l="1"/>
  <c r="K494" i="140"/>
  <c r="L494" i="140" s="1"/>
  <c r="J496" i="140" l="1"/>
  <c r="K495" i="140"/>
  <c r="L495" i="140" s="1"/>
  <c r="J497" i="140" l="1"/>
  <c r="K496" i="140"/>
  <c r="L496" i="140" s="1"/>
  <c r="J498" i="140" l="1"/>
  <c r="K497" i="140"/>
  <c r="L497" i="140" s="1"/>
  <c r="J499" i="140" l="1"/>
  <c r="K498" i="140"/>
  <c r="L498" i="140" s="1"/>
  <c r="J500" i="140" l="1"/>
  <c r="K499" i="140"/>
  <c r="L499" i="140" s="1"/>
  <c r="J501" i="140" l="1"/>
  <c r="K500" i="140"/>
  <c r="L500" i="140" s="1"/>
  <c r="J502" i="140" l="1"/>
  <c r="K501" i="140"/>
  <c r="L501" i="140" s="1"/>
  <c r="J503" i="140" l="1"/>
  <c r="K502" i="140"/>
  <c r="L502" i="140" s="1"/>
  <c r="J504" i="140" l="1"/>
  <c r="K503" i="140"/>
  <c r="L503" i="140" s="1"/>
  <c r="J505" i="140" l="1"/>
  <c r="K504" i="140"/>
  <c r="L504" i="140" s="1"/>
  <c r="J506" i="140" l="1"/>
  <c r="K505" i="140"/>
  <c r="L505" i="140" s="1"/>
  <c r="J508" i="140" l="1"/>
  <c r="K506" i="140"/>
  <c r="L506" i="140" s="1"/>
  <c r="J509" i="140" l="1"/>
  <c r="K508" i="140"/>
  <c r="L508" i="140" s="1"/>
  <c r="J510" i="140" l="1"/>
  <c r="K509" i="140"/>
  <c r="L509" i="140" s="1"/>
  <c r="J511" i="140" l="1"/>
  <c r="K510" i="140"/>
  <c r="L510" i="140" s="1"/>
  <c r="J512" i="140" l="1"/>
  <c r="K511" i="140"/>
  <c r="L511" i="140" s="1"/>
  <c r="J513" i="140" l="1"/>
  <c r="K512" i="140"/>
  <c r="L512" i="140" s="1"/>
  <c r="J514" i="140" l="1"/>
  <c r="K513" i="140"/>
  <c r="L513" i="140" s="1"/>
  <c r="J515" i="140" l="1"/>
  <c r="K514" i="140"/>
  <c r="L514" i="140" s="1"/>
  <c r="J516" i="140" l="1"/>
  <c r="K515" i="140"/>
  <c r="L515" i="140" s="1"/>
  <c r="J517" i="140" l="1"/>
  <c r="K516" i="140"/>
  <c r="L516" i="140" s="1"/>
  <c r="J518" i="140" l="1"/>
  <c r="K517" i="140"/>
  <c r="L517" i="140" s="1"/>
  <c r="J519" i="140" l="1"/>
  <c r="K518" i="140"/>
  <c r="L518" i="140" s="1"/>
  <c r="J520" i="140" l="1"/>
  <c r="K519" i="140"/>
  <c r="L519" i="140" s="1"/>
  <c r="J521" i="140" l="1"/>
  <c r="K520" i="140"/>
  <c r="L520" i="140" s="1"/>
  <c r="J522" i="140" l="1"/>
  <c r="K521" i="140"/>
  <c r="L521" i="140" s="1"/>
  <c r="J523" i="140" l="1"/>
  <c r="K522" i="140"/>
  <c r="L522" i="140" s="1"/>
  <c r="J525" i="140" l="1"/>
  <c r="K523" i="140"/>
  <c r="L523" i="140" s="1"/>
  <c r="J526" i="140" l="1"/>
  <c r="K525" i="140"/>
  <c r="L525" i="140" s="1"/>
  <c r="J527" i="140" l="1"/>
  <c r="K526" i="140"/>
  <c r="L526" i="140" s="1"/>
  <c r="J528" i="140" l="1"/>
  <c r="K527" i="140"/>
  <c r="L527" i="140" s="1"/>
  <c r="J529" i="140" l="1"/>
  <c r="K528" i="140"/>
  <c r="L528" i="140" s="1"/>
  <c r="J530" i="140" l="1"/>
  <c r="K529" i="140"/>
  <c r="L529" i="140" s="1"/>
  <c r="J531" i="140" l="1"/>
  <c r="K530" i="140"/>
  <c r="L530" i="140" s="1"/>
  <c r="J532" i="140" l="1"/>
  <c r="K531" i="140"/>
  <c r="L531" i="140" s="1"/>
  <c r="J533" i="140" l="1"/>
  <c r="K532" i="140"/>
  <c r="L532" i="140" s="1"/>
  <c r="J534" i="140" l="1"/>
  <c r="K533" i="140"/>
  <c r="L533" i="140" s="1"/>
  <c r="J535" i="140" l="1"/>
  <c r="K534" i="140"/>
  <c r="L534" i="140" s="1"/>
  <c r="J536" i="140" l="1"/>
  <c r="K535" i="140"/>
  <c r="L535" i="140" s="1"/>
  <c r="J537" i="140" l="1"/>
  <c r="K536" i="140"/>
  <c r="L536" i="140" s="1"/>
  <c r="J538" i="140" l="1"/>
  <c r="K537" i="140"/>
  <c r="L537" i="140" s="1"/>
  <c r="J539" i="140" l="1"/>
  <c r="K538" i="140"/>
  <c r="L538" i="140" s="1"/>
  <c r="J540" i="140" l="1"/>
  <c r="K539" i="140"/>
  <c r="L539" i="140" s="1"/>
  <c r="J541" i="140" l="1"/>
  <c r="K540" i="140"/>
  <c r="L540" i="140" s="1"/>
  <c r="J542" i="140" l="1"/>
  <c r="K541" i="140"/>
  <c r="L541" i="140" s="1"/>
  <c r="J543" i="140" l="1"/>
  <c r="K542" i="140"/>
  <c r="L542" i="140" s="1"/>
  <c r="J544" i="140" l="1"/>
  <c r="K543" i="140"/>
  <c r="L543" i="140" s="1"/>
  <c r="J545" i="140" l="1"/>
  <c r="K544" i="140"/>
  <c r="L544" i="140" s="1"/>
  <c r="J546" i="140" l="1"/>
  <c r="K545" i="140"/>
  <c r="L545" i="140" s="1"/>
  <c r="J547" i="140" l="1"/>
  <c r="K546" i="140"/>
  <c r="L546" i="140" s="1"/>
  <c r="J548" i="140" l="1"/>
  <c r="K547" i="140"/>
  <c r="L547" i="140" s="1"/>
  <c r="J549" i="140" l="1"/>
  <c r="K548" i="140"/>
  <c r="L548" i="140" s="1"/>
  <c r="J550" i="140" l="1"/>
  <c r="K549" i="140"/>
  <c r="L549" i="140" s="1"/>
  <c r="J551" i="140" l="1"/>
  <c r="K550" i="140"/>
  <c r="L550" i="140" s="1"/>
  <c r="J552" i="140" l="1"/>
  <c r="K551" i="140"/>
  <c r="L551" i="140" s="1"/>
  <c r="J553" i="140" l="1"/>
  <c r="K552" i="140"/>
  <c r="L552" i="140" s="1"/>
  <c r="J554" i="140" l="1"/>
  <c r="K553" i="140"/>
  <c r="L553" i="140" s="1"/>
  <c r="J555" i="140" l="1"/>
  <c r="K554" i="140"/>
  <c r="L554" i="140" s="1"/>
  <c r="J556" i="140" l="1"/>
  <c r="K555" i="140"/>
  <c r="L555" i="140" s="1"/>
  <c r="J558" i="140" l="1"/>
  <c r="K556" i="140"/>
  <c r="L556" i="140" s="1"/>
  <c r="J559" i="140" l="1"/>
  <c r="K558" i="140"/>
  <c r="L558" i="140" s="1"/>
  <c r="J560" i="140" l="1"/>
  <c r="K559" i="140"/>
  <c r="L559" i="140" s="1"/>
  <c r="J561" i="140" l="1"/>
  <c r="K560" i="140"/>
  <c r="L560" i="140" s="1"/>
  <c r="J562" i="140" l="1"/>
  <c r="K561" i="140"/>
  <c r="L561" i="140" s="1"/>
  <c r="J563" i="140" l="1"/>
  <c r="K562" i="140"/>
  <c r="L562" i="140" s="1"/>
  <c r="J564" i="140" l="1"/>
  <c r="K563" i="140"/>
  <c r="L563" i="140" s="1"/>
  <c r="J565" i="140" l="1"/>
  <c r="K564" i="140"/>
  <c r="L564" i="140" s="1"/>
  <c r="J566" i="140" l="1"/>
  <c r="K565" i="140"/>
  <c r="L565" i="140" s="1"/>
  <c r="J567" i="140" l="1"/>
  <c r="K566" i="140"/>
  <c r="L566" i="140" s="1"/>
  <c r="J568" i="140" l="1"/>
  <c r="K567" i="140"/>
  <c r="L567" i="140" s="1"/>
  <c r="J569" i="140" l="1"/>
  <c r="K568" i="140"/>
  <c r="L568" i="140" s="1"/>
  <c r="J570" i="140" l="1"/>
  <c r="K569" i="140"/>
  <c r="L569" i="140" s="1"/>
  <c r="J571" i="140" l="1"/>
  <c r="K570" i="140"/>
  <c r="L570" i="140" s="1"/>
  <c r="J572" i="140" l="1"/>
  <c r="K571" i="140"/>
  <c r="L571" i="140" s="1"/>
  <c r="J573" i="140" l="1"/>
  <c r="K572" i="140"/>
  <c r="L572" i="140" s="1"/>
  <c r="J575" i="140" l="1"/>
  <c r="K573" i="140"/>
  <c r="L573" i="140" s="1"/>
  <c r="J576" i="140" l="1"/>
  <c r="K575" i="140"/>
  <c r="L575" i="140" s="1"/>
  <c r="J577" i="140" l="1"/>
  <c r="K576" i="140"/>
  <c r="L576" i="140" s="1"/>
  <c r="J578" i="140" l="1"/>
  <c r="K577" i="140"/>
  <c r="L577" i="140" s="1"/>
  <c r="J579" i="140" l="1"/>
  <c r="K578" i="140"/>
  <c r="L578" i="140" s="1"/>
  <c r="J580" i="140" l="1"/>
  <c r="K579" i="140"/>
  <c r="L579" i="140" s="1"/>
  <c r="J581" i="140" l="1"/>
  <c r="K580" i="140"/>
  <c r="L580" i="140" s="1"/>
  <c r="J582" i="140" l="1"/>
  <c r="K581" i="140"/>
  <c r="L581" i="140" s="1"/>
  <c r="J583" i="140" l="1"/>
  <c r="K582" i="140"/>
  <c r="L582" i="140" s="1"/>
  <c r="J584" i="140" l="1"/>
  <c r="K583" i="140"/>
  <c r="L583" i="140" s="1"/>
  <c r="J585" i="140" l="1"/>
  <c r="K584" i="140"/>
  <c r="L584" i="140" s="1"/>
  <c r="J586" i="140" l="1"/>
  <c r="K585" i="140"/>
  <c r="L585" i="140" s="1"/>
  <c r="J587" i="140" l="1"/>
  <c r="K586" i="140"/>
  <c r="L586" i="140" s="1"/>
  <c r="J588" i="140" l="1"/>
  <c r="K587" i="140"/>
  <c r="L587" i="140" s="1"/>
  <c r="J589" i="140" l="1"/>
  <c r="K588" i="140"/>
  <c r="L588" i="140" s="1"/>
  <c r="J590" i="140" l="1"/>
  <c r="K589" i="140"/>
  <c r="L589" i="140" s="1"/>
  <c r="J591" i="140" l="1"/>
  <c r="K590" i="140"/>
  <c r="L590" i="140" s="1"/>
  <c r="J592" i="140" l="1"/>
  <c r="K591" i="140"/>
  <c r="L591" i="140" s="1"/>
  <c r="J593" i="140" l="1"/>
  <c r="K592" i="140"/>
  <c r="L592" i="140" s="1"/>
  <c r="J594" i="140" l="1"/>
  <c r="K593" i="140"/>
  <c r="L593" i="140" s="1"/>
  <c r="J595" i="140" l="1"/>
  <c r="K594" i="140"/>
  <c r="L594" i="140" s="1"/>
  <c r="J596" i="140" l="1"/>
  <c r="K595" i="140"/>
  <c r="L595" i="140" s="1"/>
  <c r="J597" i="140" l="1"/>
  <c r="K596" i="140"/>
  <c r="L596" i="140" s="1"/>
  <c r="J598" i="140" l="1"/>
  <c r="K597" i="140"/>
  <c r="L597" i="140" s="1"/>
  <c r="J599" i="140" l="1"/>
  <c r="K598" i="140"/>
  <c r="L598" i="140" s="1"/>
  <c r="J600" i="140" l="1"/>
  <c r="K599" i="140"/>
  <c r="L599" i="140" s="1"/>
  <c r="J601" i="140" l="1"/>
  <c r="K600" i="140"/>
  <c r="L600" i="140" s="1"/>
  <c r="J602" i="140" l="1"/>
  <c r="K601" i="140"/>
  <c r="L601" i="140" s="1"/>
  <c r="J603" i="140" l="1"/>
  <c r="K602" i="140"/>
  <c r="L602" i="140" s="1"/>
  <c r="J604" i="140" l="1"/>
  <c r="K603" i="140"/>
  <c r="L603" i="140" s="1"/>
  <c r="J605" i="140" l="1"/>
  <c r="K604" i="140"/>
  <c r="L604" i="140" s="1"/>
  <c r="J606" i="140" l="1"/>
  <c r="K605" i="140"/>
  <c r="L605" i="140" s="1"/>
  <c r="J608" i="140" l="1"/>
  <c r="K606" i="140"/>
  <c r="L606" i="140" s="1"/>
  <c r="J609" i="140" l="1"/>
  <c r="K608" i="140"/>
  <c r="L608" i="140" s="1"/>
  <c r="J610" i="140" l="1"/>
  <c r="K609" i="140"/>
  <c r="L609" i="140" s="1"/>
  <c r="J611" i="140" l="1"/>
  <c r="K610" i="140"/>
  <c r="L610" i="140" s="1"/>
  <c r="J612" i="140" l="1"/>
  <c r="K611" i="140"/>
  <c r="L611" i="140" s="1"/>
  <c r="J613" i="140" l="1"/>
  <c r="K612" i="140"/>
  <c r="L612" i="140" s="1"/>
  <c r="J614" i="140" l="1"/>
  <c r="K613" i="140"/>
  <c r="L613" i="140" s="1"/>
  <c r="J615" i="140" l="1"/>
  <c r="K614" i="140"/>
  <c r="L614" i="140" s="1"/>
  <c r="J616" i="140" l="1"/>
  <c r="K615" i="140"/>
  <c r="L615" i="140" s="1"/>
  <c r="J617" i="140" l="1"/>
  <c r="K616" i="140"/>
  <c r="L616" i="140" s="1"/>
  <c r="J618" i="140" l="1"/>
  <c r="K617" i="140"/>
  <c r="L617" i="140" s="1"/>
  <c r="J619" i="140" l="1"/>
  <c r="K618" i="140"/>
  <c r="L618" i="140" s="1"/>
  <c r="J620" i="140" l="1"/>
  <c r="K619" i="140"/>
  <c r="L619" i="140" s="1"/>
  <c r="J621" i="140" l="1"/>
  <c r="K620" i="140"/>
  <c r="L620" i="140" s="1"/>
  <c r="J622" i="140" l="1"/>
  <c r="K621" i="140"/>
  <c r="L621" i="140" s="1"/>
  <c r="J623" i="140" l="1"/>
  <c r="K622" i="140"/>
  <c r="L622" i="140" s="1"/>
  <c r="J624" i="140" l="1"/>
  <c r="K623" i="140"/>
  <c r="L623" i="140" s="1"/>
  <c r="J625" i="140" l="1"/>
  <c r="K624" i="140"/>
  <c r="L624" i="140" s="1"/>
  <c r="J626" i="140" l="1"/>
  <c r="K625" i="140"/>
  <c r="L625" i="140" s="1"/>
  <c r="J627" i="140" l="1"/>
  <c r="K626" i="140"/>
  <c r="L626" i="140" s="1"/>
  <c r="J628" i="140" l="1"/>
  <c r="K627" i="140"/>
  <c r="L627" i="140" s="1"/>
  <c r="J629" i="140" l="1"/>
  <c r="K628" i="140"/>
  <c r="L628" i="140" s="1"/>
  <c r="J630" i="140" l="1"/>
  <c r="K629" i="140"/>
  <c r="L629" i="140" s="1"/>
  <c r="J631" i="140" l="1"/>
  <c r="K630" i="140"/>
  <c r="L630" i="140" s="1"/>
  <c r="J632" i="140" l="1"/>
  <c r="K631" i="140"/>
  <c r="L631" i="140" s="1"/>
  <c r="J633" i="140" l="1"/>
  <c r="K632" i="140"/>
  <c r="L632" i="140" s="1"/>
  <c r="J634" i="140" l="1"/>
  <c r="K633" i="140"/>
  <c r="L633" i="140" s="1"/>
  <c r="J635" i="140" l="1"/>
  <c r="K634" i="140"/>
  <c r="L634" i="140" s="1"/>
  <c r="J636" i="140" l="1"/>
  <c r="K635" i="140"/>
  <c r="L635" i="140" s="1"/>
  <c r="J637" i="140" l="1"/>
  <c r="K636" i="140"/>
  <c r="L636" i="140" s="1"/>
  <c r="J638" i="140" l="1"/>
  <c r="K637" i="140"/>
  <c r="L637" i="140" s="1"/>
  <c r="J639" i="140" l="1"/>
  <c r="K638" i="140"/>
  <c r="L638" i="140" s="1"/>
  <c r="J641" i="140" l="1"/>
  <c r="K639" i="140"/>
  <c r="L639" i="140" s="1"/>
  <c r="J642" i="140" l="1"/>
  <c r="K641" i="140"/>
  <c r="L641" i="140" s="1"/>
  <c r="J643" i="140" l="1"/>
  <c r="K642" i="140"/>
  <c r="L642" i="140" s="1"/>
  <c r="J644" i="140" l="1"/>
  <c r="K643" i="140"/>
  <c r="L643" i="140" s="1"/>
  <c r="J645" i="140" l="1"/>
  <c r="K644" i="140"/>
  <c r="L644" i="140" s="1"/>
  <c r="J646" i="140" l="1"/>
  <c r="K645" i="140"/>
  <c r="L645" i="140" s="1"/>
  <c r="J647" i="140" l="1"/>
  <c r="K646" i="140"/>
  <c r="L646" i="140" s="1"/>
  <c r="J648" i="140" l="1"/>
  <c r="K647" i="140"/>
  <c r="L647" i="140" s="1"/>
  <c r="J649" i="140" l="1"/>
  <c r="K648" i="140"/>
  <c r="L648" i="140" s="1"/>
  <c r="J650" i="140" l="1"/>
  <c r="K649" i="140"/>
  <c r="L649" i="140" s="1"/>
  <c r="J651" i="140" l="1"/>
  <c r="K650" i="140"/>
  <c r="L650" i="140" s="1"/>
  <c r="J652" i="140" l="1"/>
  <c r="K651" i="140"/>
  <c r="L651" i="140" s="1"/>
  <c r="J653" i="140" l="1"/>
  <c r="K652" i="140"/>
  <c r="L652" i="140" s="1"/>
  <c r="J654" i="140" l="1"/>
  <c r="K653" i="140"/>
  <c r="L653" i="140" s="1"/>
  <c r="J655" i="140" l="1"/>
  <c r="K654" i="140"/>
  <c r="L654" i="140" s="1"/>
  <c r="J656" i="140" l="1"/>
  <c r="K655" i="140"/>
  <c r="L655" i="140" s="1"/>
  <c r="J657" i="140" l="1"/>
  <c r="K656" i="140"/>
  <c r="L656" i="140" s="1"/>
  <c r="J658" i="140" l="1"/>
  <c r="K657" i="140"/>
  <c r="L657" i="140" s="1"/>
  <c r="J659" i="140" l="1"/>
  <c r="K658" i="140"/>
  <c r="L658" i="140" s="1"/>
  <c r="J660" i="140" l="1"/>
  <c r="K659" i="140"/>
  <c r="L659" i="140" s="1"/>
  <c r="J661" i="140" l="1"/>
  <c r="K660" i="140"/>
  <c r="L660" i="140" s="1"/>
  <c r="J662" i="140" l="1"/>
  <c r="K661" i="140"/>
  <c r="L661" i="140" s="1"/>
  <c r="J663" i="140" l="1"/>
  <c r="K662" i="140"/>
  <c r="L662" i="140" s="1"/>
  <c r="J664" i="140" l="1"/>
  <c r="K663" i="140"/>
  <c r="L663" i="140" s="1"/>
  <c r="J665" i="140" l="1"/>
  <c r="K664" i="140"/>
  <c r="L664" i="140" s="1"/>
  <c r="J666" i="140" l="1"/>
  <c r="K665" i="140"/>
  <c r="L665" i="140" s="1"/>
  <c r="J667" i="140" l="1"/>
  <c r="K666" i="140"/>
  <c r="L666" i="140" s="1"/>
  <c r="J668" i="140" l="1"/>
  <c r="K667" i="140"/>
  <c r="L667" i="140" s="1"/>
  <c r="J669" i="140" l="1"/>
  <c r="K668" i="140"/>
  <c r="L668" i="140" s="1"/>
  <c r="J670" i="140" l="1"/>
  <c r="K669" i="140"/>
  <c r="L669" i="140" s="1"/>
  <c r="J671" i="140" l="1"/>
  <c r="K670" i="140"/>
  <c r="L670" i="140" s="1"/>
  <c r="J672" i="140" l="1"/>
  <c r="K671" i="140"/>
  <c r="L671" i="140" s="1"/>
  <c r="J674" i="140" l="1"/>
  <c r="K672" i="140"/>
  <c r="L672" i="140" s="1"/>
  <c r="J675" i="140" l="1"/>
  <c r="K674" i="140"/>
  <c r="L674" i="140" s="1"/>
  <c r="J676" i="140" l="1"/>
  <c r="K675" i="140"/>
  <c r="L675" i="140" s="1"/>
  <c r="J677" i="140" l="1"/>
  <c r="K676" i="140"/>
  <c r="L676" i="140" s="1"/>
  <c r="J678" i="140" l="1"/>
  <c r="K677" i="140"/>
  <c r="L677" i="140" s="1"/>
  <c r="J679" i="140" l="1"/>
  <c r="K678" i="140"/>
  <c r="L678" i="140" s="1"/>
  <c r="J680" i="140" l="1"/>
  <c r="K679" i="140"/>
  <c r="L679" i="140" s="1"/>
  <c r="J681" i="140" l="1"/>
  <c r="K680" i="140"/>
  <c r="L680" i="140" s="1"/>
  <c r="J682" i="140" l="1"/>
  <c r="K681" i="140"/>
  <c r="L681" i="140" s="1"/>
  <c r="J683" i="140" l="1"/>
  <c r="K682" i="140"/>
  <c r="L682" i="140" s="1"/>
  <c r="J684" i="140" l="1"/>
  <c r="K683" i="140"/>
  <c r="L683" i="140" s="1"/>
  <c r="J685" i="140" l="1"/>
  <c r="K684" i="140"/>
  <c r="L684" i="140" s="1"/>
  <c r="J686" i="140" l="1"/>
  <c r="K685" i="140"/>
  <c r="L685" i="140" s="1"/>
  <c r="J687" i="140" l="1"/>
  <c r="K686" i="140"/>
  <c r="L686" i="140" s="1"/>
  <c r="J688" i="140" l="1"/>
  <c r="K687" i="140"/>
  <c r="L687" i="140" s="1"/>
  <c r="J689" i="140" l="1"/>
  <c r="K688" i="140"/>
  <c r="L688" i="140" s="1"/>
  <c r="J690" i="140" l="1"/>
  <c r="K689" i="140"/>
  <c r="L689" i="140" s="1"/>
  <c r="J691" i="140" l="1"/>
  <c r="K690" i="140"/>
  <c r="L690" i="140" s="1"/>
  <c r="J692" i="140" l="1"/>
  <c r="K691" i="140"/>
  <c r="L691" i="140" s="1"/>
  <c r="J693" i="140" l="1"/>
  <c r="K692" i="140"/>
  <c r="L692" i="140" s="1"/>
  <c r="J694" i="140" l="1"/>
  <c r="K693" i="140"/>
  <c r="L693" i="140" s="1"/>
  <c r="J695" i="140" l="1"/>
  <c r="K694" i="140"/>
  <c r="L694" i="140" s="1"/>
  <c r="J696" i="140" l="1"/>
  <c r="K695" i="140"/>
  <c r="L695" i="140" s="1"/>
  <c r="J697" i="140" l="1"/>
  <c r="K696" i="140"/>
  <c r="L696" i="140" s="1"/>
  <c r="J698" i="140" l="1"/>
  <c r="K697" i="140"/>
  <c r="L697" i="140" s="1"/>
  <c r="J699" i="140" l="1"/>
  <c r="K698" i="140"/>
  <c r="L698" i="140" s="1"/>
  <c r="J700" i="140" l="1"/>
  <c r="K699" i="140"/>
  <c r="L699" i="140" s="1"/>
  <c r="J701" i="140" l="1"/>
  <c r="K700" i="140"/>
  <c r="L700" i="140" s="1"/>
  <c r="J702" i="140" l="1"/>
  <c r="K701" i="140"/>
  <c r="L701" i="140" s="1"/>
  <c r="J703" i="140" l="1"/>
  <c r="K702" i="140"/>
  <c r="L702" i="140" s="1"/>
  <c r="J704" i="140" l="1"/>
  <c r="K703" i="140"/>
  <c r="L703" i="140" s="1"/>
  <c r="J705" i="140" l="1"/>
  <c r="K704" i="140"/>
  <c r="L704" i="140" s="1"/>
  <c r="J707" i="140" l="1"/>
  <c r="K705" i="140"/>
  <c r="L705" i="140" s="1"/>
  <c r="J708" i="140" l="1"/>
  <c r="K707" i="140"/>
  <c r="L707" i="140" s="1"/>
  <c r="J709" i="140" l="1"/>
  <c r="K708" i="140"/>
  <c r="L708" i="140" s="1"/>
  <c r="J710" i="140" l="1"/>
  <c r="K709" i="140"/>
  <c r="L709" i="140" s="1"/>
  <c r="J711" i="140" l="1"/>
  <c r="K710" i="140"/>
  <c r="L710" i="140" s="1"/>
  <c r="J712" i="140" l="1"/>
  <c r="K711" i="140"/>
  <c r="L711" i="140" s="1"/>
  <c r="J713" i="140" l="1"/>
  <c r="K712" i="140"/>
  <c r="L712" i="140" s="1"/>
  <c r="J714" i="140" l="1"/>
  <c r="K713" i="140"/>
  <c r="L713" i="140" s="1"/>
  <c r="J715" i="140" l="1"/>
  <c r="K714" i="140"/>
  <c r="L714" i="140" s="1"/>
  <c r="J716" i="140" l="1"/>
  <c r="K715" i="140"/>
  <c r="L715" i="140" s="1"/>
  <c r="J717" i="140" l="1"/>
  <c r="K716" i="140"/>
  <c r="L716" i="140" s="1"/>
  <c r="J718" i="140" l="1"/>
  <c r="K717" i="140"/>
  <c r="L717" i="140" s="1"/>
  <c r="J719" i="140" l="1"/>
  <c r="K718" i="140"/>
  <c r="L718" i="140" s="1"/>
  <c r="J720" i="140" l="1"/>
  <c r="K719" i="140"/>
  <c r="L719" i="140" s="1"/>
  <c r="J721" i="140" l="1"/>
  <c r="K720" i="140"/>
  <c r="L720" i="140" s="1"/>
  <c r="J722" i="140" l="1"/>
  <c r="K721" i="140"/>
  <c r="L721" i="140" s="1"/>
  <c r="J723" i="140" l="1"/>
  <c r="K722" i="140"/>
  <c r="L722" i="140" s="1"/>
  <c r="J724" i="140" l="1"/>
  <c r="K723" i="140"/>
  <c r="L723" i="140" s="1"/>
  <c r="J725" i="140" l="1"/>
  <c r="K724" i="140"/>
  <c r="L724" i="140" s="1"/>
  <c r="J726" i="140" l="1"/>
  <c r="K725" i="140"/>
  <c r="L725" i="140" s="1"/>
  <c r="J727" i="140" l="1"/>
  <c r="K726" i="140"/>
  <c r="L726" i="140" s="1"/>
  <c r="J728" i="140" l="1"/>
  <c r="K727" i="140"/>
  <c r="L727" i="140" s="1"/>
  <c r="J729" i="140" l="1"/>
  <c r="K728" i="140"/>
  <c r="L728" i="140" s="1"/>
  <c r="J730" i="140" l="1"/>
  <c r="K729" i="140"/>
  <c r="L729" i="140" s="1"/>
  <c r="J731" i="140" l="1"/>
  <c r="K730" i="140"/>
  <c r="L730" i="140" s="1"/>
  <c r="J732" i="140" l="1"/>
  <c r="K731" i="140"/>
  <c r="L731" i="140" s="1"/>
  <c r="J733" i="140" l="1"/>
  <c r="K732" i="140"/>
  <c r="L732" i="140" s="1"/>
  <c r="J734" i="140" l="1"/>
  <c r="K733" i="140"/>
  <c r="L733" i="140" s="1"/>
  <c r="J735" i="140" l="1"/>
  <c r="K734" i="140"/>
  <c r="L734" i="140" s="1"/>
  <c r="J736" i="140" l="1"/>
  <c r="K735" i="140"/>
  <c r="L735" i="140" s="1"/>
  <c r="J737" i="140" l="1"/>
  <c r="K736" i="140"/>
  <c r="L736" i="140" s="1"/>
  <c r="J738" i="140" l="1"/>
  <c r="K738" i="140" s="1"/>
  <c r="L738" i="140" s="1"/>
  <c r="K737" i="140"/>
  <c r="L737" i="14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tc={2F8AB6F4-BCE1-4A4F-A5EA-593705467695}</author>
  </authors>
  <commentList>
    <comment ref="K25" authorId="0" shapeId="0" xr:uid="{2F8AB6F4-BCE1-4A4F-A5EA-593705467695}">
      <text>
        <t>[Threaded comment]
Your version of Excel allows you to read this threaded comment; however, any edits to it will get removed if the file is opened in a newer version of Excel. Learn more: https://go.microsoft.com/fwlink/?linkid=870924
Comment:
    Reference:
bit 0: Clear all command
Clear all parameters, except:
-Motor LO1 closings count
-Motor LO2 closings count
-Controller internal temperature max
-Thermal capacity level
bit 1: Reserved
bit 2: Clear thermal capacity level command
bit 3: Clear controller settings command
bit 4: Clear network port settings command
bit 5: Clear Trip counter command
bit 6: Factory reset command
bit 7: Soft starter reset command
bits 8-12: Reserved
bit 13: Store reference start curve command
bit 14: Clear trip records command
bit 15: Clear event records command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Vrund Rana</author>
  </authors>
  <commentList>
    <comment ref="F240" authorId="0" shapeId="0" xr:uid="{0036D74D-366D-4183-8707-946496579AA2}">
      <text>
        <r>
          <rPr>
            <b/>
            <sz val="9"/>
            <color indexed="81"/>
            <rFont val="Tahoma"/>
            <family val="2"/>
          </rPr>
          <t>Vrund Rana:</t>
        </r>
        <r>
          <rPr>
            <sz val="9"/>
            <color indexed="81"/>
            <rFont val="Tahoma"/>
            <family val="2"/>
          </rPr>
          <t xml:space="preserve">
range is 770 -3560 in fahrenheit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NILESH HANDE</author>
  </authors>
  <commentList>
    <comment ref="B63" authorId="0" shapeId="0" xr:uid="{00000000-0006-0000-0200-00000C000000}">
      <text>
        <r>
          <rPr>
            <b/>
            <sz val="9"/>
            <color indexed="81"/>
            <rFont val="Tahoma"/>
            <family val="2"/>
          </rPr>
          <t>0 - Disable
1 - HMI
2 - DI
3 - Communication</t>
        </r>
      </text>
    </comment>
    <comment ref="B72" authorId="0" shapeId="0" xr:uid="{00000000-0006-0000-0200-00000D000000}">
      <text>
        <r>
          <rPr>
            <b/>
            <sz val="9"/>
            <color indexed="81"/>
            <rFont val="Tahoma"/>
            <family val="2"/>
          </rPr>
          <t xml:space="preserve">0 - Momentary
1 - Permanent
</t>
        </r>
      </text>
    </comment>
    <comment ref="B73" authorId="0" shapeId="0" xr:uid="{00000000-0006-0000-0200-00000E000000}">
      <text>
        <r>
          <rPr>
            <b/>
            <sz val="9"/>
            <color indexed="81"/>
            <rFont val="Tahoma"/>
            <family val="2"/>
          </rPr>
          <t xml:space="preserve">0 - Momentary
1 - Permanent
</t>
        </r>
      </text>
    </comment>
    <comment ref="B107" authorId="0" shapeId="0" xr:uid="{00000000-0006-0000-0200-000014000000}">
      <text>
        <r>
          <rPr>
            <b/>
            <sz val="9"/>
            <color indexed="81"/>
            <rFont val="Tahoma"/>
            <family val="2"/>
          </rPr>
          <t>0: Disable
1:Enable</t>
        </r>
      </text>
    </comment>
    <comment ref="B116" authorId="0" shapeId="0" xr:uid="{00000000-0006-0000-0200-000015000000}">
      <text>
        <r>
          <rPr>
            <b/>
            <sz val="10"/>
            <color indexed="81"/>
            <rFont val="Tahoma"/>
            <family val="2"/>
          </rPr>
          <t>0: Disable
1: Enable</t>
        </r>
      </text>
    </comment>
    <comment ref="B117" authorId="0" shapeId="0" xr:uid="{00000000-0006-0000-0200-000016000000}">
      <text>
        <r>
          <rPr>
            <b/>
            <sz val="9"/>
            <color indexed="81"/>
            <rFont val="Tahoma"/>
            <family val="2"/>
          </rPr>
          <t>0: No
1: Yes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VRUND RANA</author>
  </authors>
  <commentList>
    <comment ref="B8" authorId="0" shapeId="0" xr:uid="{00000000-0006-0000-0300-000001000000}">
      <text>
        <r>
          <rPr>
            <b/>
            <sz val="9"/>
            <color indexed="81"/>
            <rFont val="Tahoma"/>
            <family val="2"/>
          </rPr>
          <t>VRUND RANA:</t>
        </r>
        <r>
          <rPr>
            <sz val="9"/>
            <color indexed="81"/>
            <rFont val="Tahoma"/>
            <family val="2"/>
          </rPr>
          <t xml:space="preserve">
GATE                  VALUE
AND                       8
OR                        14
XOR                       6
NAND                     7
NOR                       1           </t>
        </r>
      </text>
    </comment>
    <comment ref="B11" authorId="0" shapeId="0" xr:uid="{00000000-0006-0000-0300-000002000000}">
      <text>
        <r>
          <rPr>
            <b/>
            <sz val="9"/>
            <color indexed="81"/>
            <rFont val="Tahoma"/>
            <family val="2"/>
          </rPr>
          <t>VRUND RANA:</t>
        </r>
        <r>
          <rPr>
            <sz val="9"/>
            <color indexed="81"/>
            <rFont val="Tahoma"/>
            <family val="2"/>
          </rPr>
          <t xml:space="preserve">
VRUND RANA:
GATE                  VALUE
AND                       8
OR                        14
XOR                       6
NAND                     7
NOR                       1  </t>
        </r>
      </text>
    </comment>
    <comment ref="B16" authorId="0" shapeId="0" xr:uid="{00000000-0006-0000-0300-000003000000}">
      <text>
        <r>
          <rPr>
            <sz val="9"/>
            <color indexed="81"/>
            <rFont val="Tahoma"/>
            <family val="2"/>
          </rPr>
          <t xml:space="preserve">VRUND RANA:
GATE                  VALUE
AND                      128
OR                         254
XOR                       150
NAND                    127
NOR                       1  </t>
        </r>
      </text>
    </comment>
    <comment ref="B20" authorId="0" shapeId="0" xr:uid="{00000000-0006-0000-0300-000004000000}">
      <text>
        <r>
          <rPr>
            <b/>
            <sz val="9"/>
            <color indexed="81"/>
            <rFont val="Tahoma"/>
            <family val="2"/>
          </rPr>
          <t>VRUND RANA:</t>
        </r>
        <r>
          <rPr>
            <sz val="9"/>
            <color indexed="81"/>
            <rFont val="Tahoma"/>
            <family val="2"/>
          </rPr>
          <t xml:space="preserve">
GATE                  VALUE
AND                      128
OR                         254
XOR                       150
NAND                    127
NOR                       1  </t>
        </r>
      </text>
    </comment>
    <comment ref="B24" authorId="0" shapeId="0" xr:uid="{00000000-0006-0000-0300-000005000000}">
      <text>
        <r>
          <rPr>
            <b/>
            <sz val="9"/>
            <color indexed="81"/>
            <rFont val="Tahoma"/>
            <family val="2"/>
          </rPr>
          <t>VRUND RANA:</t>
        </r>
        <r>
          <rPr>
            <sz val="9"/>
            <color indexed="81"/>
            <rFont val="Tahoma"/>
            <family val="2"/>
          </rPr>
          <t xml:space="preserve">
GATE                  VALUE
AND                      128
OR                         254
XOR                       150
NAND                    127
NOR                       1  </t>
        </r>
      </text>
    </comment>
    <comment ref="B28" authorId="0" shapeId="0" xr:uid="{00000000-0006-0000-0300-000006000000}">
      <text>
        <r>
          <rPr>
            <b/>
            <sz val="9"/>
            <color indexed="81"/>
            <rFont val="Tahoma"/>
            <family val="2"/>
          </rPr>
          <t>VRUND RANA:</t>
        </r>
        <r>
          <rPr>
            <sz val="9"/>
            <color indexed="81"/>
            <rFont val="Tahoma"/>
            <family val="2"/>
          </rPr>
          <t xml:space="preserve">
GATE                  VALUE
AND                      128
OR                         254
XOR                       150
NAND                    127
NOR                       1  </t>
        </r>
      </text>
    </comment>
    <comment ref="B32" authorId="0" shapeId="0" xr:uid="{00000000-0006-0000-0300-000007000000}">
      <text>
        <r>
          <rPr>
            <b/>
            <sz val="9"/>
            <color indexed="81"/>
            <rFont val="Tahoma"/>
            <family val="2"/>
          </rPr>
          <t>VRUND RANA:</t>
        </r>
        <r>
          <rPr>
            <sz val="9"/>
            <color indexed="81"/>
            <rFont val="Tahoma"/>
            <family val="2"/>
          </rPr>
          <t xml:space="preserve">
GATE                  VALUE
AND                      128
OR                         254
XOR                       150
NAND                    127
NOR                       1  </t>
        </r>
      </text>
    </comment>
    <comment ref="B36" authorId="0" shapeId="0" xr:uid="{00000000-0006-0000-0300-000008000000}">
      <text>
        <r>
          <rPr>
            <b/>
            <sz val="9"/>
            <color indexed="81"/>
            <rFont val="Tahoma"/>
            <family val="2"/>
          </rPr>
          <t>VRUND RANA:</t>
        </r>
        <r>
          <rPr>
            <sz val="9"/>
            <color indexed="81"/>
            <rFont val="Tahoma"/>
            <family val="2"/>
          </rPr>
          <t xml:space="preserve">
GATE                  VALUE
AND                      128
OR                         254
XOR                       150
NAND                    127
NOR                       1  </t>
        </r>
      </text>
    </comment>
    <comment ref="B40" authorId="0" shapeId="0" xr:uid="{00000000-0006-0000-0300-000009000000}">
      <text>
        <r>
          <rPr>
            <b/>
            <sz val="9"/>
            <color indexed="81"/>
            <rFont val="Tahoma"/>
            <family val="2"/>
          </rPr>
          <t>VRUND RANA:</t>
        </r>
        <r>
          <rPr>
            <sz val="9"/>
            <color indexed="81"/>
            <rFont val="Tahoma"/>
            <family val="2"/>
          </rPr>
          <t xml:space="preserve">
GATE                  VALUE
AND                      128
OR                         254
XOR                       150
NAND                    127
NOR                       1  </t>
        </r>
      </text>
    </comment>
    <comment ref="B44" authorId="0" shapeId="0" xr:uid="{00000000-0006-0000-0300-00000A000000}">
      <text>
        <r>
          <rPr>
            <b/>
            <sz val="9"/>
            <color indexed="81"/>
            <rFont val="Tahoma"/>
            <family val="2"/>
          </rPr>
          <t>VRUND RANA:</t>
        </r>
        <r>
          <rPr>
            <sz val="9"/>
            <color indexed="81"/>
            <rFont val="Tahoma"/>
            <family val="2"/>
          </rPr>
          <t xml:space="preserve">
GATE                  VALUE
AND                      128
OR                         254
XOR                       150
NAND                    127
NOR                       1  </t>
        </r>
      </text>
    </comment>
    <comment ref="B51" authorId="0" shapeId="0" xr:uid="{00000000-0006-0000-0300-00000B000000}">
      <text>
        <r>
          <rPr>
            <b/>
            <sz val="9"/>
            <color indexed="81"/>
            <rFont val="Tahoma"/>
            <family val="2"/>
          </rPr>
          <t>VRUND RANA:</t>
        </r>
        <r>
          <rPr>
            <sz val="9"/>
            <color indexed="81"/>
            <rFont val="Tahoma"/>
            <family val="2"/>
          </rPr>
          <t xml:space="preserve">
GATE                  VALUE
AND                   2147483648
OR                     4294967294
XOR                   2523490710
NAND                 2147483647
NOR                       1  </t>
        </r>
      </text>
    </comment>
    <comment ref="B52" authorId="0" shapeId="0" xr:uid="{00000000-0006-0000-0300-00000C000000}">
      <text>
        <r>
          <rPr>
            <b/>
            <sz val="9"/>
            <color indexed="81"/>
            <rFont val="Tahoma"/>
            <family val="2"/>
          </rPr>
          <t>VRUND RANA:</t>
        </r>
        <r>
          <rPr>
            <sz val="9"/>
            <color indexed="81"/>
            <rFont val="Tahoma"/>
            <family val="2"/>
          </rPr>
          <t xml:space="preserve">
GATE                  VALUE
AND                   2147483648
OR                     4294967294
XOR                   2523490710
NAND                 2147483647
NOR                       1 </t>
        </r>
      </text>
    </comment>
    <comment ref="B58" authorId="0" shapeId="0" xr:uid="{00000000-0006-0000-0300-00000D000000}">
      <text>
        <r>
          <rPr>
            <b/>
            <sz val="9"/>
            <color indexed="81"/>
            <rFont val="Tahoma"/>
            <family val="2"/>
          </rPr>
          <t>VRUND RANA:</t>
        </r>
        <r>
          <rPr>
            <sz val="9"/>
            <color indexed="81"/>
            <rFont val="Tahoma"/>
            <family val="2"/>
          </rPr>
          <t xml:space="preserve">
GATE                  VALUE
AND                   2147483648
OR                     4294967294
XOR                   2523490710
NAND                 2147483647
NOR                       1 </t>
        </r>
      </text>
    </comment>
    <comment ref="B59" authorId="0" shapeId="0" xr:uid="{00000000-0006-0000-0300-00000E000000}">
      <text>
        <r>
          <rPr>
            <b/>
            <sz val="9"/>
            <color indexed="81"/>
            <rFont val="Tahoma"/>
            <family val="2"/>
          </rPr>
          <t>VRUND RANA:</t>
        </r>
        <r>
          <rPr>
            <sz val="9"/>
            <color indexed="81"/>
            <rFont val="Tahoma"/>
            <family val="2"/>
          </rPr>
          <t xml:space="preserve">
GATE                  VALUE
AND                   2147483648
OR                     4294967294
XOR                   2523490710
NAND                 2147483647
NOR                       1 </t>
        </r>
      </text>
    </comment>
    <comment ref="B65" authorId="0" shapeId="0" xr:uid="{00000000-0006-0000-0300-00000F000000}">
      <text>
        <r>
          <rPr>
            <b/>
            <sz val="9"/>
            <color indexed="81"/>
            <rFont val="Tahoma"/>
            <family val="2"/>
          </rPr>
          <t>VRUND RANA:</t>
        </r>
        <r>
          <rPr>
            <sz val="9"/>
            <color indexed="81"/>
            <rFont val="Tahoma"/>
            <family val="2"/>
          </rPr>
          <t xml:space="preserve">
GATE                  VALUE
AND                     32768
OR                       65534  
XOR                     27030
NAND                   32767
NOR                       1</t>
        </r>
      </text>
    </comment>
    <comment ref="B70" authorId="0" shapeId="0" xr:uid="{00000000-0006-0000-0300-000010000000}">
      <text>
        <r>
          <rPr>
            <b/>
            <sz val="9"/>
            <color indexed="81"/>
            <rFont val="Tahoma"/>
            <family val="2"/>
          </rPr>
          <t>VRUND RANA:</t>
        </r>
        <r>
          <rPr>
            <sz val="9"/>
            <color indexed="81"/>
            <rFont val="Tahoma"/>
            <family val="2"/>
          </rPr>
          <t xml:space="preserve">
GATE                  VALUE
AND                     32768
OR                       65534  
XOR                     27030
NAND                   32767
NOR                       1</t>
        </r>
      </text>
    </comment>
    <comment ref="B75" authorId="0" shapeId="0" xr:uid="{00000000-0006-0000-0300-000011000000}">
      <text>
        <r>
          <rPr>
            <b/>
            <sz val="9"/>
            <color indexed="81"/>
            <rFont val="Tahoma"/>
            <family val="2"/>
          </rPr>
          <t>VRUND RANA:</t>
        </r>
        <r>
          <rPr>
            <sz val="9"/>
            <color indexed="81"/>
            <rFont val="Tahoma"/>
            <family val="2"/>
          </rPr>
          <t xml:space="preserve">
GATE                  VALUE
AND                     32768
OR                       65534  
XOR                     27030
NAND                   32767
NOR                       1</t>
        </r>
      </text>
    </comment>
    <comment ref="B80" authorId="0" shapeId="0" xr:uid="{00000000-0006-0000-0300-000012000000}">
      <text>
        <r>
          <rPr>
            <b/>
            <sz val="9"/>
            <color indexed="81"/>
            <rFont val="Tahoma"/>
            <family val="2"/>
          </rPr>
          <t>VRUND RANA:</t>
        </r>
        <r>
          <rPr>
            <sz val="9"/>
            <color indexed="81"/>
            <rFont val="Tahoma"/>
            <family val="2"/>
          </rPr>
          <t xml:space="preserve">
GATE                  VALUE
AND                     32768
OR                       65534  
XOR                     27030
NAND                   32767
NOR                       1</t>
        </r>
      </text>
    </comment>
    <comment ref="B85" authorId="0" shapeId="0" xr:uid="{00000000-0006-0000-0300-000013000000}">
      <text>
        <r>
          <rPr>
            <b/>
            <sz val="9"/>
            <color indexed="81"/>
            <rFont val="Tahoma"/>
            <family val="2"/>
          </rPr>
          <t>VRUND RANA:</t>
        </r>
        <r>
          <rPr>
            <sz val="9"/>
            <color indexed="81"/>
            <rFont val="Tahoma"/>
            <family val="2"/>
          </rPr>
          <t xml:space="preserve">
GATE                  VALUE
AND                     32768
OR                       65534  
XOR                     27030
NAND                   32767
NOR                       1</t>
        </r>
      </text>
    </comment>
    <comment ref="B90" authorId="0" shapeId="0" xr:uid="{00000000-0006-0000-0300-000014000000}">
      <text>
        <r>
          <rPr>
            <b/>
            <sz val="9"/>
            <color indexed="81"/>
            <rFont val="Tahoma"/>
            <family val="2"/>
          </rPr>
          <t>VRUND RANA:</t>
        </r>
        <r>
          <rPr>
            <sz val="9"/>
            <color indexed="81"/>
            <rFont val="Tahoma"/>
            <family val="2"/>
          </rPr>
          <t xml:space="preserve">
GATE                  VALUE
AND                     32768
OR                       65534  
XOR                     27030
NAND                   32767
NOR                       1</t>
        </r>
      </text>
    </comment>
    <comment ref="B95" authorId="0" shapeId="0" xr:uid="{00000000-0006-0000-0300-000015000000}">
      <text>
        <r>
          <rPr>
            <b/>
            <sz val="9"/>
            <color indexed="81"/>
            <rFont val="Tahoma"/>
            <family val="2"/>
          </rPr>
          <t>VRUND RANA:</t>
        </r>
        <r>
          <rPr>
            <sz val="9"/>
            <color indexed="81"/>
            <rFont val="Tahoma"/>
            <family val="2"/>
          </rPr>
          <t xml:space="preserve">
GATE                  VALUE
AND                     32768
OR                       65534  
XOR                     27030
NAND                   32767
NOR                       1</t>
        </r>
      </text>
    </comment>
    <comment ref="B100" authorId="0" shapeId="0" xr:uid="{00000000-0006-0000-0300-000016000000}">
      <text>
        <r>
          <rPr>
            <b/>
            <sz val="9"/>
            <color indexed="81"/>
            <rFont val="Tahoma"/>
            <family val="2"/>
          </rPr>
          <t>VRUND RANA:</t>
        </r>
        <r>
          <rPr>
            <sz val="9"/>
            <color indexed="81"/>
            <rFont val="Tahoma"/>
            <family val="2"/>
          </rPr>
          <t xml:space="preserve">
GATE                  VALUE
AND                     32768
OR                       65534  
XOR                     27030
NAND                   32767
NOR                       1</t>
        </r>
      </text>
    </comment>
    <comment ref="B131" authorId="0" shapeId="0" xr:uid="{00000000-0006-0000-0300-000017000000}">
      <text>
        <r>
          <rPr>
            <b/>
            <sz val="9"/>
            <color indexed="81"/>
            <rFont val="Tahoma"/>
            <family val="2"/>
          </rPr>
          <t>VRUND RANA:</t>
        </r>
        <r>
          <rPr>
            <sz val="9"/>
            <color indexed="81"/>
            <rFont val="Tahoma"/>
            <family val="2"/>
          </rPr>
          <t xml:space="preserve">
/* Timer types */
WITH_CLOSING_DELAY                       0
CLOSING_DELAY_WITH_MEMORY      1
WITH_OPENING_DELAY                                2
WITH_FLEETING_CLOSING                  3</t>
        </r>
      </text>
    </comment>
    <comment ref="B135" authorId="0" shapeId="0" xr:uid="{00000000-0006-0000-0300-000018000000}">
      <text>
        <r>
          <rPr>
            <b/>
            <sz val="9"/>
            <color indexed="81"/>
            <rFont val="Tahoma"/>
            <family val="2"/>
          </rPr>
          <t>VRUND RANA:</t>
        </r>
        <r>
          <rPr>
            <sz val="9"/>
            <color indexed="81"/>
            <rFont val="Tahoma"/>
            <family val="2"/>
          </rPr>
          <t xml:space="preserve">
/* Timer types */
WITH_CLOSING_DELAY                       0
CLOSING_DELAY_WITH_MEMORY      1
WITH_OPENING_DELAY                                2
WITH_FLEETING_CLOSING                  3</t>
        </r>
      </text>
    </comment>
    <comment ref="B139" authorId="0" shapeId="0" xr:uid="{00000000-0006-0000-0300-000019000000}">
      <text>
        <r>
          <rPr>
            <b/>
            <sz val="9"/>
            <color indexed="81"/>
            <rFont val="Tahoma"/>
            <family val="2"/>
          </rPr>
          <t>VRUND RANA:</t>
        </r>
        <r>
          <rPr>
            <sz val="9"/>
            <color indexed="81"/>
            <rFont val="Tahoma"/>
            <family val="2"/>
          </rPr>
          <t xml:space="preserve">
/* Timer types */
WITH_CLOSING_DELAY                       0
CLOSING_DELAY_WITH_MEMORY      1
WITH_OPENING_DELAY                                2
WITH_FLEETING_CLOSING                  3</t>
        </r>
      </text>
    </comment>
    <comment ref="B143" authorId="0" shapeId="0" xr:uid="{00000000-0006-0000-0300-00001A000000}">
      <text>
        <r>
          <rPr>
            <b/>
            <sz val="9"/>
            <color indexed="81"/>
            <rFont val="Tahoma"/>
            <family val="2"/>
          </rPr>
          <t>VRUND RANA:</t>
        </r>
        <r>
          <rPr>
            <sz val="9"/>
            <color indexed="81"/>
            <rFont val="Tahoma"/>
            <family val="2"/>
          </rPr>
          <t xml:space="preserve">
/* Timer types */
WITH_CLOSING_DELAY                       0
CLOSING_DELAY_WITH_MEMORY      1
WITH_OPENING_DELAY                                2
WITH_FLEETING_CLOSING                  3</t>
        </r>
      </text>
    </comment>
    <comment ref="B148" authorId="0" shapeId="0" xr:uid="{00000000-0006-0000-0300-00001B000000}">
      <text>
        <r>
          <rPr>
            <b/>
            <sz val="9"/>
            <color indexed="81"/>
            <rFont val="Tahoma"/>
            <family val="2"/>
          </rPr>
          <t>VRUND RANA:</t>
        </r>
        <r>
          <rPr>
            <sz val="9"/>
            <color indexed="81"/>
            <rFont val="Tahoma"/>
            <family val="2"/>
          </rPr>
          <t xml:space="preserve">
/* Signal Conditioner Types */
NON_INVERTING                                0 
INVERTING                                         1
EDGE_RISING_WITH_MEMORY        2
EDGE_FALING_WITH_MEMORY        3</t>
        </r>
      </text>
    </comment>
    <comment ref="B151" authorId="0" shapeId="0" xr:uid="{00000000-0006-0000-0300-00001C000000}">
      <text>
        <r>
          <rPr>
            <b/>
            <sz val="9"/>
            <color indexed="81"/>
            <rFont val="Tahoma"/>
            <family val="2"/>
          </rPr>
          <t>VRUND RANA:</t>
        </r>
        <r>
          <rPr>
            <sz val="9"/>
            <color indexed="81"/>
            <rFont val="Tahoma"/>
            <family val="2"/>
          </rPr>
          <t xml:space="preserve">
/* Signal Conditioner Types */
NON_INVERTING                                0 
INVERTING                                         1
EDGE_RISING_WITH_MEMORY        2
EDGE_FALING_WITH_MEMORY        3</t>
        </r>
      </text>
    </comment>
    <comment ref="B154" authorId="0" shapeId="0" xr:uid="{00000000-0006-0000-0300-00001D000000}">
      <text>
        <r>
          <rPr>
            <b/>
            <sz val="9"/>
            <color indexed="81"/>
            <rFont val="Tahoma"/>
            <family val="2"/>
          </rPr>
          <t>VRUND RANA:</t>
        </r>
        <r>
          <rPr>
            <sz val="9"/>
            <color indexed="81"/>
            <rFont val="Tahoma"/>
            <family val="2"/>
          </rPr>
          <t xml:space="preserve">
/* Signal Conditioner Types */
NON_INVERTING                                0 
INVERTING                                         1
EDGE_RISING_WITH_MEMORY        2
EDGE_FALING_WITH_MEMORY        3</t>
        </r>
      </text>
    </comment>
    <comment ref="B157" authorId="0" shapeId="0" xr:uid="{00000000-0006-0000-0300-00001E000000}">
      <text>
        <r>
          <rPr>
            <b/>
            <sz val="9"/>
            <color indexed="81"/>
            <rFont val="Tahoma"/>
            <family val="2"/>
          </rPr>
          <t>VRUND RANA:</t>
        </r>
        <r>
          <rPr>
            <sz val="9"/>
            <color indexed="81"/>
            <rFont val="Tahoma"/>
            <family val="2"/>
          </rPr>
          <t xml:space="preserve">
/* Signal Conditioner Types */
NON_INVERTING                                0 
INVERTING                                         1
EDGE_RISING_WITH_MEMORY        2
EDGE_FALING_WITH_MEMORY        3</t>
        </r>
      </text>
    </comment>
    <comment ref="B161" authorId="0" shapeId="0" xr:uid="{00000000-0006-0000-0300-00001F000000}">
      <text>
        <r>
          <rPr>
            <b/>
            <sz val="9"/>
            <color indexed="81"/>
            <rFont val="Tahoma"/>
            <family val="2"/>
          </rPr>
          <t>VRUND RANA:</t>
        </r>
        <r>
          <rPr>
            <sz val="9"/>
            <color indexed="81"/>
            <rFont val="Tahoma"/>
            <family val="2"/>
          </rPr>
          <t xml:space="preserve">
/* Signal Conditioner Types */
NON_INVERTING                                0 
INVERTING                                         1
EDGE_RISING_WITH_MEMORY        2
EDGE_FALING_WITH_MEMORY        3</t>
        </r>
      </text>
    </comment>
    <comment ref="B164" authorId="0" shapeId="0" xr:uid="{00000000-0006-0000-0300-000020000000}">
      <text>
        <r>
          <rPr>
            <b/>
            <sz val="9"/>
            <color indexed="81"/>
            <rFont val="Tahoma"/>
            <family val="2"/>
          </rPr>
          <t>VRUND RANA:</t>
        </r>
        <r>
          <rPr>
            <sz val="9"/>
            <color indexed="81"/>
            <rFont val="Tahoma"/>
            <family val="2"/>
          </rPr>
          <t xml:space="preserve">
/* Signal Conditioner Types */
NON_INVERTING                                0 
INVERTING                                         1
EDGE_RISING_WITH_MEMORY        2
EDGE_FALING_WITH_MEMORY        3</t>
        </r>
      </text>
    </comment>
    <comment ref="B167" authorId="0" shapeId="0" xr:uid="{00000000-0006-0000-0300-000021000000}">
      <text>
        <r>
          <rPr>
            <b/>
            <sz val="9"/>
            <color indexed="81"/>
            <rFont val="Tahoma"/>
            <family val="2"/>
          </rPr>
          <t>VRUND RANA:</t>
        </r>
        <r>
          <rPr>
            <sz val="9"/>
            <color indexed="81"/>
            <rFont val="Tahoma"/>
            <family val="2"/>
          </rPr>
          <t xml:space="preserve">
/* Signal Conditioner Types */
NON_INVERTING                                0 
INVERTING                                         1
EDGE_RISING_WITH_MEMORY        2
EDGE_FALING_WITH_MEMORY        3</t>
        </r>
      </text>
    </comment>
    <comment ref="B170" authorId="0" shapeId="0" xr:uid="{00000000-0006-0000-0300-000022000000}">
      <text>
        <r>
          <rPr>
            <b/>
            <sz val="9"/>
            <color indexed="81"/>
            <rFont val="Tahoma"/>
            <family val="2"/>
          </rPr>
          <t>VRUND RANA:</t>
        </r>
        <r>
          <rPr>
            <sz val="9"/>
            <color indexed="81"/>
            <rFont val="Tahoma"/>
            <family val="2"/>
          </rPr>
          <t xml:space="preserve">
/* Signal Conditioner Types */
NON_INVERTING                                0 
INVERTING                                         1
EDGE_RISING_WITH_MEMORY        2
EDGE_FALING_WITH_MEMORY        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Vrund Rana</author>
  </authors>
  <commentList>
    <comment ref="G32" authorId="0" shapeId="0" xr:uid="{10C38C34-28F9-41E6-90FB-D3F394D11F21}">
      <text>
        <r>
          <rPr>
            <b/>
            <sz val="9"/>
            <color indexed="81"/>
            <rFont val="Tahoma"/>
            <family val="2"/>
          </rPr>
          <t>Vrund Rana:</t>
        </r>
        <r>
          <rPr>
            <sz val="9"/>
            <color indexed="81"/>
            <rFont val="Tahoma"/>
            <family val="2"/>
          </rPr>
          <t xml:space="preserve">
range is 0-5720 for (F)fahrenheit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NILESH HANDE</author>
  </authors>
  <commentList>
    <comment ref="B32" authorId="0" shapeId="0" xr:uid="{00000000-0006-0000-0600-000001000000}">
      <text>
        <r>
          <rPr>
            <b/>
            <sz val="9"/>
            <color indexed="81"/>
            <rFont val="Tahoma"/>
            <family val="2"/>
          </rPr>
          <t xml:space="preserve">0 = NO
1 = YES
This Command sbould not be available in Modbus </t>
        </r>
      </text>
    </comment>
    <comment ref="B33" authorId="0" shapeId="0" xr:uid="{00000000-0006-0000-0600-000002000000}">
      <text>
        <r>
          <rPr>
            <b/>
            <sz val="9"/>
            <color indexed="81"/>
            <rFont val="Tahoma"/>
            <family val="2"/>
          </rPr>
          <t xml:space="preserve">0 = NO
1 = YES
This Command sbould not be available in Modbus </t>
        </r>
      </text>
    </comment>
    <comment ref="B34" authorId="0" shapeId="0" xr:uid="{00000000-0006-0000-0600-000003000000}">
      <text>
        <r>
          <rPr>
            <b/>
            <sz val="9"/>
            <color indexed="81"/>
            <rFont val="Tahoma"/>
            <family val="2"/>
          </rPr>
          <t xml:space="preserve">0 = NO
1 = YES
This Command sbould not be available in Modbus </t>
        </r>
      </text>
    </comment>
    <comment ref="B35" authorId="0" shapeId="0" xr:uid="{00000000-0006-0000-0600-000004000000}">
      <text>
        <r>
          <rPr>
            <b/>
            <sz val="9"/>
            <color indexed="81"/>
            <rFont val="Tahoma"/>
            <family val="2"/>
          </rPr>
          <t xml:space="preserve">0 = NO
1 = YES
This Command sbould not be available in Modbus </t>
        </r>
      </text>
    </comment>
    <comment ref="B37" authorId="0" shapeId="0" xr:uid="{00000000-0006-0000-0600-000005000000}">
      <text>
        <r>
          <rPr>
            <b/>
            <sz val="9"/>
            <color indexed="81"/>
            <rFont val="Tahoma"/>
            <family val="2"/>
          </rPr>
          <t>This Command is not applicable for display</t>
        </r>
      </text>
    </comment>
    <comment ref="B38" authorId="0" shapeId="0" xr:uid="{00000000-0006-0000-0600-000006000000}">
      <text>
        <r>
          <rPr>
            <b/>
            <sz val="9"/>
            <color indexed="81"/>
            <rFont val="Tahoma"/>
            <family val="2"/>
          </rPr>
          <t>This Command is not applicable for display</t>
        </r>
      </text>
    </comment>
    <comment ref="B39" authorId="0" shapeId="0" xr:uid="{00000000-0006-0000-0600-000007000000}">
      <text>
        <r>
          <rPr>
            <b/>
            <sz val="9"/>
            <color indexed="81"/>
            <rFont val="Tahoma"/>
            <family val="2"/>
          </rPr>
          <t>This Command is not applicable for display</t>
        </r>
      </text>
    </comment>
    <comment ref="B40" authorId="0" shapeId="0" xr:uid="{00000000-0006-0000-0600-000008000000}">
      <text>
        <r>
          <rPr>
            <b/>
            <sz val="9"/>
            <color indexed="81"/>
            <rFont val="Tahoma"/>
            <family val="2"/>
          </rPr>
          <t>This Command is not applicable for display</t>
        </r>
      </text>
    </comment>
    <comment ref="B41" authorId="0" shapeId="0" xr:uid="{00000000-0006-0000-0600-000009000000}">
      <text>
        <r>
          <rPr>
            <b/>
            <sz val="9"/>
            <color indexed="81"/>
            <rFont val="Tahoma"/>
            <family val="2"/>
          </rPr>
          <t>This Command is not applicable for display</t>
        </r>
      </text>
    </comment>
    <comment ref="B42" authorId="0" shapeId="0" xr:uid="{00000000-0006-0000-0600-00000A000000}">
      <text>
        <r>
          <rPr>
            <b/>
            <sz val="9"/>
            <color indexed="81"/>
            <rFont val="Tahoma"/>
            <family val="2"/>
          </rPr>
          <t>This Command is not applicable for display</t>
        </r>
      </text>
    </comment>
    <comment ref="B43" authorId="0" shapeId="0" xr:uid="{00000000-0006-0000-0600-00000B000000}">
      <text>
        <r>
          <rPr>
            <b/>
            <sz val="9"/>
            <color indexed="81"/>
            <rFont val="Tahoma"/>
            <family val="2"/>
          </rPr>
          <t>This Command is not applicable for display</t>
        </r>
      </text>
    </comment>
    <comment ref="B44" authorId="0" shapeId="0" xr:uid="{00000000-0006-0000-0600-00000C000000}">
      <text>
        <r>
          <rPr>
            <b/>
            <sz val="9"/>
            <color indexed="81"/>
            <rFont val="Tahoma"/>
            <family val="2"/>
          </rPr>
          <t>This Command is not applicable for display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Vrund Rana</author>
  </authors>
  <commentList>
    <comment ref="B656" authorId="0" shapeId="0" xr:uid="{19C33CFC-BD39-4158-AD01-44F258B79221}">
      <text>
        <r>
          <rPr>
            <b/>
            <sz val="9"/>
            <color indexed="81"/>
            <rFont val="Tahoma"/>
            <family val="2"/>
          </rPr>
          <t>Vrund Rana:</t>
        </r>
        <r>
          <rPr>
            <sz val="9"/>
            <color indexed="81"/>
            <rFont val="Tahoma"/>
            <family val="2"/>
          </rPr>
          <t xml:space="preserve">
Write PubKey is applicable to Ethernet variants
Internal Temperature minor error detected is not applicable to Ethernet variant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NILESH HANDE</author>
  </authors>
  <commentList>
    <comment ref="B5" authorId="0" shapeId="0" xr:uid="{00000000-0006-0000-0900-000001000000}">
      <text>
        <r>
          <rPr>
            <b/>
            <sz val="9"/>
            <color indexed="81"/>
            <rFont val="Tahoma"/>
            <family val="2"/>
          </rPr>
          <t>Product S/R number is in ASCII format</t>
        </r>
      </text>
    </comment>
    <comment ref="B12" authorId="0" shapeId="0" xr:uid="{9BAC86F4-1547-433F-9217-4FFFC07621B3}">
      <text>
        <r>
          <rPr>
            <b/>
            <sz val="9"/>
            <color indexed="81"/>
            <rFont val="Tahoma"/>
            <family val="2"/>
          </rPr>
          <t>Byte info:
MSB 0,1:Patch Version
        2: Major version
LSB  3: Minor version</t>
        </r>
      </text>
    </comment>
    <comment ref="B17" authorId="0" shapeId="0" xr:uid="{00000000-0006-0000-0900-000003000000}">
      <text>
        <r>
          <rPr>
            <b/>
            <sz val="9"/>
            <color indexed="81"/>
            <rFont val="Tahoma"/>
            <family val="2"/>
          </rPr>
          <t>Byte info:
MSB 0: Reserved
        1: Reserved
        2: Major version
LSB  3: Minor version</t>
        </r>
      </text>
    </comment>
    <comment ref="B18" authorId="0" shapeId="0" xr:uid="{00000000-0006-0000-0900-000004000000}">
      <text>
        <r>
          <rPr>
            <b/>
            <sz val="9"/>
            <color indexed="81"/>
            <rFont val="Tahoma"/>
            <family val="2"/>
          </rPr>
          <t>Byte info:
MSB 0: Reserved
        1: Reserved
        2: Major version
LSB  3: Minor version</t>
        </r>
      </text>
    </comment>
    <comment ref="B21" authorId="0" shapeId="0" xr:uid="{00000000-0006-0000-0900-000006000000}">
      <text>
        <r>
          <rPr>
            <b/>
            <sz val="9"/>
            <color indexed="81"/>
            <rFont val="Tahoma"/>
            <family val="2"/>
          </rPr>
          <t>Byte info:
MSB 0: Reserved
        1: Reserved
        2: Major version
LSB  3: Minor version</t>
        </r>
      </text>
    </comment>
    <comment ref="B22" authorId="0" shapeId="0" xr:uid="{00000000-0006-0000-0900-000007000000}">
      <text>
        <r>
          <rPr>
            <b/>
            <sz val="9"/>
            <color indexed="81"/>
            <rFont val="Tahoma"/>
            <family val="2"/>
          </rPr>
          <t>Byte info:
MSB 0: Reserved
        1: Reserved
        2: Major version
LSB  3: Minor version</t>
        </r>
      </text>
    </comment>
    <comment ref="B25" authorId="0" shapeId="0" xr:uid="{00000000-0006-0000-0900-000009000000}">
      <text>
        <r>
          <rPr>
            <b/>
            <sz val="9"/>
            <color indexed="81"/>
            <rFont val="Tahoma"/>
            <family val="2"/>
          </rPr>
          <t>Byte info:
MSB 0: Reserved
        1: Reserved
        2: Major version
LSB  3: Minor version</t>
        </r>
      </text>
    </comment>
    <comment ref="B26" authorId="0" shapeId="0" xr:uid="{FDBB2334-F809-4A22-BAA0-DBD510DD7290}">
      <text>
        <r>
          <rPr>
            <b/>
            <sz val="9"/>
            <color indexed="81"/>
            <rFont val="Tahoma"/>
            <family val="2"/>
          </rPr>
          <t>Byte info:
MSB 0: Reserved
        1: Reserved
        2: Major version
LSB  3: Minor version</t>
        </r>
      </text>
    </comment>
    <comment ref="B29" authorId="0" shapeId="0" xr:uid="{00000000-0006-0000-0900-00000C000000}">
      <text>
        <r>
          <rPr>
            <b/>
            <sz val="9"/>
            <color indexed="81"/>
            <rFont val="Tahoma"/>
            <family val="2"/>
          </rPr>
          <t>Byte info:
MSB 0: Reserved
        1: Reserved
        2: Major version
LSB  3: Minor version</t>
        </r>
      </text>
    </comment>
    <comment ref="B30" authorId="0" shapeId="0" xr:uid="{FC573A8B-72DA-487F-9C7B-DEFABF4FE119}">
      <text>
        <r>
          <rPr>
            <b/>
            <sz val="9"/>
            <color indexed="81"/>
            <rFont val="Tahoma"/>
            <family val="2"/>
          </rPr>
          <t>Byte info:
MSB 0: Reserved
        1: Reserved
        2: Major version
LSB  3: Minor version</t>
        </r>
      </text>
    </comment>
    <comment ref="B33" authorId="0" shapeId="0" xr:uid="{00000000-0006-0000-0900-00000F000000}">
      <text>
        <r>
          <rPr>
            <b/>
            <sz val="9"/>
            <color indexed="81"/>
            <rFont val="Tahoma"/>
            <family val="2"/>
          </rPr>
          <t>Byte info:
MSB 0: Reserved
        1: Reserved
        2: Major version
LSB  3: Minor version</t>
        </r>
      </text>
    </comment>
    <comment ref="B34" authorId="0" shapeId="0" xr:uid="{84FEB585-32A1-41D1-BCD8-19E239421B6A}">
      <text>
        <r>
          <rPr>
            <b/>
            <sz val="9"/>
            <color indexed="81"/>
            <rFont val="Tahoma"/>
            <family val="2"/>
          </rPr>
          <t>Byte info:
MSB 0: Reserved
        1: Reserved
        2: Major version
LSB  3: Minor version</t>
        </r>
      </text>
    </comment>
    <comment ref="B37" authorId="0" shapeId="0" xr:uid="{00000000-0006-0000-0900-000012000000}">
      <text>
        <r>
          <rPr>
            <b/>
            <sz val="9"/>
            <color indexed="81"/>
            <rFont val="Tahoma"/>
            <family val="2"/>
          </rPr>
          <t>Byte info:
MSB 0: Reserved
        1: Reserved
        2: Major version
LSB  3: Minor version</t>
        </r>
      </text>
    </comment>
    <comment ref="B38" authorId="0" shapeId="0" xr:uid="{2D15ECF3-66BC-4DD6-87DA-E40C1D30C01D}">
      <text>
        <r>
          <rPr>
            <b/>
            <sz val="9"/>
            <color indexed="81"/>
            <rFont val="Tahoma"/>
            <family val="2"/>
          </rPr>
          <t>Byte info:
MSB 0: Reserved
        1: Reserved
        2: Major version
LSB  3: Minor version</t>
        </r>
      </text>
    </comment>
    <comment ref="B41" authorId="0" shapeId="0" xr:uid="{00000000-0006-0000-0900-000015000000}">
      <text>
        <r>
          <rPr>
            <b/>
            <sz val="9"/>
            <color indexed="81"/>
            <rFont val="Tahoma"/>
            <family val="2"/>
          </rPr>
          <t>Byte info:
MSB 0: Reserved
        1: Reserved
        2: Major version
LSB  3: Minor version</t>
        </r>
      </text>
    </comment>
    <comment ref="B42" authorId="0" shapeId="0" xr:uid="{091AF039-D086-4B70-AE60-875421558789}">
      <text>
        <r>
          <rPr>
            <b/>
            <sz val="9"/>
            <color indexed="81"/>
            <rFont val="Tahoma"/>
            <family val="2"/>
          </rPr>
          <t>Byte info:
MSB 0: Reserved
        1: Reserved
        2: Major version
LSB  3: Minor version</t>
        </r>
      </text>
    </comment>
    <comment ref="B45" authorId="0" shapeId="0" xr:uid="{00000000-0006-0000-0900-000018000000}">
      <text>
        <r>
          <rPr>
            <b/>
            <sz val="9"/>
            <color indexed="81"/>
            <rFont val="Tahoma"/>
            <family val="2"/>
          </rPr>
          <t>Byte info:
MSB 0: Reserved
        1: Reserved
        2: Major version
LSB  3: Minor version</t>
        </r>
      </text>
    </comment>
    <comment ref="B46" authorId="0" shapeId="0" xr:uid="{00000000-0006-0000-0900-000019000000}">
      <text>
        <r>
          <rPr>
            <b/>
            <sz val="9"/>
            <color indexed="81"/>
            <rFont val="Tahoma"/>
            <family val="2"/>
          </rPr>
          <t>Byte info:
MSB 0: Reserved
        1: Reserved
        2: Major version
LSB  3: Minor version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NILESH HANDE</author>
  </authors>
  <commentList>
    <comment ref="B7" authorId="0" shapeId="0" xr:uid="{00000000-0006-0000-0A00-000001000000}">
      <text>
        <r>
          <rPr>
            <b/>
            <sz val="9"/>
            <color indexed="81"/>
            <rFont val="Tahoma"/>
            <family val="2"/>
          </rPr>
          <t>Motor Info Bit Position:
Word 1: 34879
1-0: Motor Status
00:Motor Stop
01:Motor Start
10:Motor Run
11:Motor Inhibit
2:Pickup
3:Alarm
4:Trip
5:Profi/Modbus Comm Fail 
6:Profi/Modbus comm established
7:CTVT/Exp Comm Fail
8:IRF
9:Power ON
11-10:STARTER MODE INFO
0   0 : L1
0   1 : L2
1   0 : L3
1   1 : REMOTE
13-12: Programmable LED Indication 
0   0 : OFF
0   1 : ON
1   0 : FALSHING
1   1 : FLICKERING
15-14: Test Mode
00:Reset
01:Self Test Mode
10:Logic Test Mode
11: Reserved
Word 0: 34878
3-2-1-0: Motor Indicators
0001:Motor Fwd Running
0010:Motor Rev Running
0011:Motor Fast Fwd Running
0100:Motor Fast Rev Running
0101:Motor in Changeover
0110:Motor Fwd Star Running
0111:Motor Fwd Delta Running
1000:Motor Rev Star Running
1001:Motor Rev Delta Running
4:Low Battery
5: Read Power ON Data
6: Factory Reset(HMI Reset Pin)
7: User Programmable Keys (HMI Keys)</t>
        </r>
      </text>
    </comment>
    <comment ref="B12" authorId="0" shapeId="0" xr:uid="{00000000-0006-0000-0A00-000002000000}">
      <text>
        <r>
          <rPr>
            <b/>
            <sz val="9"/>
            <color indexed="81"/>
            <rFont val="Tahoma"/>
            <family val="2"/>
          </rPr>
          <t>0 - None
1 - 4DI2DO
2 - 6DI
3 - AIO
4 - RTD
5 - Earth Fault</t>
        </r>
      </text>
    </comment>
    <comment ref="B13" authorId="0" shapeId="0" xr:uid="{00000000-0006-0000-0A00-000003000000}">
      <text>
        <r>
          <rPr>
            <b/>
            <sz val="9"/>
            <color indexed="81"/>
            <rFont val="Tahoma"/>
            <family val="2"/>
          </rPr>
          <t>0 - None
1 - 4DI2DO
2 - 6DI
3 - AIO
4 - RTD
5 - Earth Fault</t>
        </r>
      </text>
    </comment>
    <comment ref="B14" authorId="0" shapeId="0" xr:uid="{00000000-0006-0000-0A00-000004000000}">
      <text>
        <r>
          <rPr>
            <b/>
            <sz val="9"/>
            <color indexed="81"/>
            <rFont val="Tahoma"/>
            <family val="2"/>
          </rPr>
          <t>0 - None
1 - 4DI2DO
2 - 6DI
3 - AIO
4 - RTD
5 - Earth Fault</t>
        </r>
      </text>
    </comment>
    <comment ref="B15" authorId="0" shapeId="0" xr:uid="{00000000-0006-0000-0A00-000005000000}">
      <text>
        <r>
          <rPr>
            <b/>
            <sz val="9"/>
            <color indexed="81"/>
            <rFont val="Tahoma"/>
            <family val="2"/>
          </rPr>
          <t>0 - None
1 - 4DI2DO
2 - 6DI
3 - AIO
4 - RTD
5 - Earth Fault</t>
        </r>
      </text>
    </comment>
    <comment ref="B16" authorId="0" shapeId="0" xr:uid="{00000000-0006-0000-0A00-000006000000}">
      <text>
        <r>
          <rPr>
            <b/>
            <sz val="9"/>
            <color indexed="81"/>
            <rFont val="Tahoma"/>
            <family val="2"/>
          </rPr>
          <t>0 - None
1 - 4DI2DO
2 - 6DI
3 - AIO
4 - RTD
5 - Earth Fault</t>
        </r>
      </text>
    </comment>
    <comment ref="B22" authorId="0" shapeId="0" xr:uid="{00000000-0006-0000-0A00-000007000000}">
      <text>
        <r>
          <rPr>
            <b/>
            <sz val="9"/>
            <color indexed="81"/>
            <rFont val="Tahoma"/>
            <family val="2"/>
          </rPr>
          <t>0 - 0.3 to 3A
1 - 2.5 to 25A
2 - 10 to 100A
3 - 20 to 200A
4 - 20 to 200A Bus Conn.
5 - 63 to 630A Bus Conn.</t>
        </r>
      </text>
    </comment>
    <comment ref="B24" authorId="0" shapeId="0" xr:uid="{00000000-0006-0000-0A00-000008000000}">
      <text>
        <r>
          <rPr>
            <b/>
            <sz val="9"/>
            <color indexed="81"/>
            <rFont val="Tahoma"/>
            <family val="2"/>
          </rPr>
          <t>0: None
1:Profibus
2:Modbus RTU
3:Modbus TCP
4:Profinet
5:Devicenet
6:Ethernet IP</t>
        </r>
      </text>
    </comment>
    <comment ref="B133" authorId="0" shapeId="0" xr:uid="{00000000-0006-0000-0A00-000009000000}">
      <text>
        <r>
          <rPr>
            <b/>
            <sz val="9"/>
            <color indexed="81"/>
            <rFont val="Tahoma"/>
            <family val="2"/>
          </rPr>
          <t>0x0000: Card Level test Disable
0x0001: LED1 OFF
0x0002: LED2 OFF
0x0003: LED3 OFF
0x0004: LED4 OFF
0x0005: LED5 OFF
0x0006: LED6 OFF
0x0007: LED7 OFF
0x0101: LED1 ON
0x0102: LED2 ON
0x0103: LED3 ON
0x0104: LED4 ON
0x0105: LED5 ON
0x0106: LED6 ON
0x0107: LED7 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tc={B69FCC8A-8A6A-4791-A4CD-B806F5926691}</author>
    <author>Vrund Rana</author>
    <author>tc={09987C01-2417-4777-83CB-06C033C17F39}</author>
    <author>tc={61333057-88AF-4EE5-9C5D-D12D084DE4E1}</author>
    <author>tc={149F0F3C-2CD4-42EA-9A97-466BAF0EB6C6}</author>
    <author>tc={7DA37B4E-FD8D-4D55-95E2-807F6FC06606}</author>
    <author>tc={F886B71E-248A-4EB8-A9A2-CBECED176D58}</author>
    <author>tc={89850492-5953-492C-B7C7-E90FE647E04C}</author>
    <author>tc={B2B8DE24-EA64-49A0-879A-E9DC02C5F85D}</author>
    <author>tc={011A2038-D849-4669-98CC-17CB3EB8A82E}</author>
    <author>tc={D5302779-3237-4747-9AF8-6F4FDCDA98EC}</author>
  </authors>
  <commentList>
    <comment ref="T7" authorId="0" shapeId="0" xr:uid="{B69FCC8A-8A6A-4791-A4CD-B806F5926691}">
      <text>
        <t>[Threaded comment]
Your version of Excel allows you to read this threaded comment; however, any edits to it will get removed if the file is opened in a newer version of Excel. Learn more: https://go.microsoft.com/fwlink/?linkid=870924
Comment:
    for LTMTEFM and LTMTEBD only Mobus TCP and EIP applicable</t>
      </text>
    </comment>
    <comment ref="T8" authorId="1" shapeId="0" xr:uid="{8E20E43D-2967-4ED1-B446-F0656F66EBC1}">
      <text>
        <r>
          <rPr>
            <b/>
            <sz val="9"/>
            <color indexed="81"/>
            <rFont val="Tahoma"/>
            <family val="2"/>
          </rPr>
          <t>Vrund Rana:</t>
        </r>
        <r>
          <rPr>
            <sz val="9"/>
            <color indexed="81"/>
            <rFont val="Tahoma"/>
            <family val="2"/>
          </rPr>
          <t xml:space="preserve">
1) Modbus TCP-&gt; RSTP only
2) Profinet-&gt;MRP only
3) Ethernet/IP-&gt; RSTP or DLR
can be choosen
Not gauranteed that all
can be given on in single firmware</t>
        </r>
      </text>
    </comment>
    <comment ref="B32" authorId="2" shapeId="0" xr:uid="{09987C01-2417-4777-83CB-06C033C17F39}">
      <text>
        <t>[Threaded comment]
Your version of Excel allows you to read this threaded comment; however, any edits to it will get removed if the file is opened in a newer version of Excel. Learn more: https://go.microsoft.com/fwlink/?linkid=870924
Comment:
    0 -  Disable
1 -  Enable</t>
      </text>
    </comment>
    <comment ref="B33" authorId="3" shapeId="0" xr:uid="{61333057-88AF-4EE5-9C5D-D12D084DE4E1}">
      <text>
        <t>[Threaded comment]
Your version of Excel allows you to read this threaded comment; however, any edits to it will get removed if the file is opened in a newer version of Excel. Learn more: https://go.microsoft.com/fwlink/?linkid=870924
Comment:
    0 - V2
1 - V3</t>
      </text>
    </comment>
    <comment ref="B35" authorId="4" shapeId="0" xr:uid="{149F0F3C-2CD4-42EA-9A97-466BAF0EB6C6}">
      <text>
        <t>[Threaded comment]
Your version of Excel allows you to read this threaded comment; however, any edits to it will get removed if the file is opened in a newer version of Excel. Learn more: https://go.microsoft.com/fwlink/?linkid=870924
Comment:
    0 - MD5
1 - SHA</t>
      </text>
    </comment>
    <comment ref="B37" authorId="5" shapeId="0" xr:uid="{7DA37B4E-FD8D-4D55-95E2-807F6FC06606}">
      <text>
        <t>[Threaded comment]
Your version of Excel allows you to read this threaded comment; however, any edits to it will get removed if the file is opened in a newer version of Excel. Learn more: https://go.microsoft.com/fwlink/?linkid=870924
Comment:
    0 - DES
1 - AES</t>
      </text>
    </comment>
    <comment ref="B38" authorId="6" shapeId="0" xr:uid="{F886B71E-248A-4EB8-A9A2-CBECED176D58}">
      <text>
        <t>[Threaded comment]
Your version of Excel allows you to read this threaded comment; however, any edits to it will get removed if the file is opened in a newer version of Excel. Learn more: https://go.microsoft.com/fwlink/?linkid=870924
Comment:
    0- Disable
1- Enable</t>
      </text>
    </comment>
    <comment ref="B39" authorId="7" shapeId="0" xr:uid="{89850492-5953-492C-B7C7-E90FE647E04C}">
      <text>
        <t>[Threaded comment]
Your version of Excel allows you to read this threaded comment; however, any edits to it will get removed if the file is opened in a newer version of Excel. Learn more: https://go.microsoft.com/fwlink/?linkid=870924
Comment:
    0- Disable
1- Enable</t>
      </text>
    </comment>
    <comment ref="B52" authorId="8" shapeId="0" xr:uid="{B2B8DE24-EA64-49A0-879A-E9DC02C5F85D}">
      <text>
        <t>[Threaded comment]
Your version of Excel allows you to read this threaded comment; however, any edits to it will get removed if the file is opened in a newer version of Excel. Learn more: https://go.microsoft.com/fwlink/?linkid=870924
Comment:
    0 -  Disable
1 -  Enable</t>
      </text>
    </comment>
    <comment ref="B57" authorId="9" shapeId="0" xr:uid="{011A2038-D849-4669-98CC-17CB3EB8A82E}">
      <text>
        <t>[Threaded comment]
Your version of Excel allows you to read this threaded comment; however, any edits to it will get removed if the file is opened in a newer version of Excel. Learn more: https://go.microsoft.com/fwlink/?linkid=870924
Comment:
    0 - OFF
1 - -ON</t>
      </text>
    </comment>
    <comment ref="B58" authorId="10" shapeId="0" xr:uid="{D5302779-3237-4747-9AF8-6F4FDCDA98EC}">
      <text>
        <t>[Threaded comment]
Your version of Excel allows you to read this threaded comment; however, any edits to it will get removed if the file is opened in a newer version of Excel. Learn more: https://go.microsoft.com/fwlink/?linkid=870924
Comment:
    0 -  Disable
1 -  Enable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2C876B-7EBF-4623-90A5-8AC3AA94CFDC}" keepAlive="1" name="Query - TeSysT Registers" description="Connection to the 'TeSysT Registers' query in the workbook." type="5" refreshedVersion="6" background="1">
    <dbPr connection="Provider=Microsoft.Mashup.OleDb.1;Data Source=$Workbook$;Location=TeSysT Registers;Extended Properties=&quot;&quot;" command="SELECT * FROM [TeSysT Registers]"/>
  </connection>
</connections>
</file>

<file path=xl/sharedStrings.xml><?xml version="1.0" encoding="utf-8"?>
<sst xmlns="http://schemas.openxmlformats.org/spreadsheetml/2006/main" count="24338" uniqueCount="3867">
  <si>
    <t>TesysTera_Modbus_IFD</t>
  </si>
  <si>
    <t>Modbus Map</t>
  </si>
  <si>
    <t xml:space="preserve"> </t>
  </si>
  <si>
    <t>DOCUMENT HISTORY</t>
  </si>
  <si>
    <t>Ver./Rel. No</t>
  </si>
  <si>
    <t>Release Date</t>
  </si>
  <si>
    <t>Mod.By Mod. Dt</t>
  </si>
  <si>
    <t>Remarks/Revision Details</t>
  </si>
  <si>
    <t>NH</t>
  </si>
  <si>
    <t>Initial draft for review</t>
  </si>
  <si>
    <t>SV</t>
  </si>
  <si>
    <t xml:space="preserve">1. Changed address of motor start - reference log
2. Starting address changed for product info
3. Address changed of read write data for internal data
4. Function code corrected for TesysT parameters.
</t>
  </si>
  <si>
    <t>AL</t>
  </si>
  <si>
    <t xml:space="preserve">1.Monitoring Data: Motor Data--&gt; "Mode Transfer" motor stop cause added. Range 0-13 changed.
2.Protection sheet-Alarm level changed in terms of %IFLC </t>
  </si>
  <si>
    <t>General Settings:
1.Device configuration updated for commercial references
2.Modbus settings updated
3. Ethernet settings added
4. System settings updated
Protection settings:
1. Address corrected for control functions
Product Info:
1. Detected modules updated</t>
  </si>
  <si>
    <t>SV/NH</t>
  </si>
  <si>
    <t>TeSys T Parameters:
1. Command register details updated
2. Address and size updated for global statistic parameters</t>
  </si>
  <si>
    <t>General Settings:
1.Device configuration updated for US commercial references
2.Ethernet settings updated as per DTM team comments
3. Ethernet settings added
4. System settings - 'secondary passes' parameter added
Product Info:
1. Detected modules updated for US commercial references
Internal Data:
Manufacturing test settings added 
Protection settings:
1. voltage dip functions parameters updated
Status:
1. Protection names updated as per TeSys Tera dictonary
Added Settings-interlocks sheet</t>
  </si>
  <si>
    <t>General Settings:
1. DO Settings: DO Input source Max range is updated to 65535
2. Disaplay settings name changed to HMI settings
TeSys T Parameters:
1. TesysTera CL DO Input Information parameter added. 
2. Mode selection 1&amp;2 parameters added in Command register 1.
3. General configuration register 1parameter  added for system configuration mode. 601
4. Trip enable register 2 , Alarm enable register 2, Permissive Commands parameters added
Monitoring Data:
1. Custom Logic DI Status parameter added for starter logic.
Interlock settings sheet: 
1. Interlock formulas updated
DO_CompLogic_List Added - Refer for DO input source and Comp logic settings input, Updated for Custom logic.</t>
  </si>
  <si>
    <t>AL,NH</t>
  </si>
  <si>
    <t>Internal Data: 
1. Firmware Update Status and Commands added for firmware update 
TeSys T Parameters: User defined map settings max limit updated
Protection settings:
1. Measured earth current protection pickup and alarm range updated</t>
  </si>
  <si>
    <t>Internal Data: 
1. Firmware Update Status , firmware Update error and  Commands added for firmware update 
2. RTC calibration registers updated
Monitoring Data:
1. PTC register renamed and unit is updated
2. Parameter name updated as per Safety norms
General Settings:
1. Device Configuration: Sensor module commercial reference is updated as per Offer Marketing rev V5
2. Parameter name updated as per Safety norms
Product Info:
1. Detected Modules: Sensor module commercial reference is updated as per Offer Marketing rev V5
Protection Settings:
1. Parameter name updated as per Safety norms
DO_CompLogic_list:
1. Parameter name updated as per safery norms
2. Do list highlighted with Green for Qatar gas
All sheets: Updated data type</t>
  </si>
  <si>
    <t xml:space="preserve">Protection Settings:
1. Excessive start time: Multiplier updated for RUN threshold
Internal Data: 
2. Firmware Update Status , firmware Update error and  Commands added for firmware update </t>
  </si>
  <si>
    <t>SS</t>
  </si>
  <si>
    <t xml:space="preserve">Monitoring Data: 
- Added parameters for Extended Monitoring Data
General Settings:
- Added Configuration parameter for Product Profile Selection in Profibus Settings. 
User defined Map:
- Added User Define Mapping for Status Word Parameters </t>
  </si>
  <si>
    <t>General Settings:
- Device configuration: commercial reference list and max index updated 
Product Info:
- Detected Expansion: commercial reference list and max index updated 
Interlock sheet:
- Commercial reference list updated</t>
  </si>
  <si>
    <t>NH,AL</t>
  </si>
  <si>
    <t>Internal Data: 
1. Firmware Update Success Status added.</t>
  </si>
  <si>
    <t>Status: 
1. Firmware Update Inhibit added.</t>
  </si>
  <si>
    <t xml:space="preserve">1. CompLogic Settings: Timer Settings address starts from 5375.
2. TeSys T Parameters: 1301-1399 address enabled for write operation.
3. Protection Settings:
- Thermal overload default settings updated
- Normal inverse Time delay settings label updated
- AI protection min settings updated
4. General Settings:
- Device Configuration expansion settings updated
- System settings updated
5. Monitoring Data:
- Motor stop cause list updated
6. Status - Custom logic DI status added
7. Product info sheet - Strings updated firmware, boot version
</t>
  </si>
  <si>
    <t>1. General Settings:
- Device Configuration sensor module default settings updated
2. Monitoring Data:
- Permissive commands status added in boolean data</t>
  </si>
  <si>
    <t>NH.AL</t>
  </si>
  <si>
    <t>Status:
Communication Status-Modbus RTU Port and HMI port no communication bits added 
Monitoring Data:
Boolean Data- Communication Status register added</t>
  </si>
  <si>
    <t>General Settings: AO settings reserved added to resolve padding issue</t>
  </si>
  <si>
    <t>TeSys T Parameters:
- Communication Motor Stop command bit added.
- General configuration register 2 added
Protection Settings: 
- Trip word renamed as fault.
- Hysteresis  Settings updated 
- Temperature Protections Pickup and Alarm range modified
- Diagnostic bytes added in Analog and Temperature protection
- HMI communication loss settings added
General Settings:
- Profibus, Modbus and HMI communication settings updated
- Communication Start Input parameter added.
- Number of Phases parameter added. 
- AO settings and table 5 updated.
- Motor Name Plate Details added
- VT Primary &amp; Secondary Removed. Voltage Nominal added.
- Default settings changed - System settings -&gt; CTP, CTS, IFLC,
Monitoring Data:
- Motor Stop Cause updated</t>
  </si>
  <si>
    <t xml:space="preserve">Product Info:
- Standard Package Version details added
Monitoring Data:
- Motor Stop Cause updated
Protection Settings: 
- Excessive Start Time, Time delay parameter default value updated
</t>
  </si>
  <si>
    <t>Status:
- Comp Logic - Motor Indicators modified</t>
  </si>
  <si>
    <t>Monitoring Data:
- Extended Monitoring Data: Multipliers upadted.
User defined Map:
-Minimum and default value updated</t>
  </si>
  <si>
    <t>Protection Settings:
- ICM Detection protection updated
CompLogic Settings:
- Calculator settings added
Monitoring Data-
- Calculator Output added
Status:
- Internal Relay Fault Pickup &amp; Trip bits added</t>
  </si>
  <si>
    <t>Status:
- Comp Logic - Motor Indicators modified
Starter settings:
-Load type setting removed</t>
  </si>
  <si>
    <t>Status:
- 5Input2Output TT 2 bits updated
DO_CompLogic_List:
- 5Input2Output TT 2 bits updated</t>
  </si>
  <si>
    <t xml:space="preserve"> Product Serial Number :
- New sheet added for Serial numbers of sensor and expansion modules
CompLogic Settings:
- Analog comparator Settings added
Monitoring Data: 
-Boolean Data-Analog comparator Output Status added
Status:
- Analog comparator bits updated
DO_CompLogic_List:
- Analog comparator bits updated</t>
  </si>
  <si>
    <t>TeSys T Parameters:
- HMI registers updated
General Settings:
- HMI control keys setting added in HMI settings
Internal Data:
- Bit Added for HMI programmable key Configuration</t>
  </si>
  <si>
    <t>Protection settings:
- Alarm level added for current and voltage Imbalance protection
General settings:
- Load type setting restored in Starter settings
- Minimum value updated for Nominal power in Motor name plate
DO_CompLogic_List:
- Updated for ICM and HMI communication loss protection
- Updated for truth table outputs
Status:
- Updated for ICM and HMI communication loss protection
- Updated for truth table outputs</t>
  </si>
  <si>
    <t xml:space="preserve">Product Info:
- Hardware version format changed to ASCII
</t>
  </si>
  <si>
    <t>Product Info:
- Monitoring Data: Locked rotor and stalled rotor trip counter sequence corrected in statistic data
General Settings:
- System settings updated for CT and IFLC settings
- Device configuration is updated for sensor module commercial referene</t>
  </si>
  <si>
    <t>Settings Interlock:
- Updated for 3A sensor module
User defined map:
- Configuration range updated</t>
  </si>
  <si>
    <t>General Settings:
- Session management settings added
DO_CompLogic_List:
- ICM Inhibit bit removed
Status:
- ICM Inhibit bit removed in Inhibit status</t>
  </si>
  <si>
    <t>General Settings:
- DI settings validation time step size updated
- DO settings pulse time step size updated
Protection Settings:
- Thermal overload disable option added</t>
  </si>
  <si>
    <t>General Settings:
- Range and default value updated for session timeout</t>
  </si>
  <si>
    <t>Protection Settings:
- Fallback setting added (Inactive)
DO_CompLogic_List
- Alarm, pickup and trip staus is updated for ICM and HMI communication loss protection</t>
  </si>
  <si>
    <t>Status:
- TTE-665, TTE-655
- Internal temperature major error detected added
- Internal temperature minor error detected added
DO_CompLogic_List:
- TTE-665, TTE-664, TTE-655
Protection Settings:
- TTE-527
- ICM Detection- Internal Temperature Warning Enable setting added
TeSys T Parameters:
- TTE-589
- Monitoring Variables: Controller internal temperature (°C) added
- Global Statistics: Controller internal temperature max (°C) added
General Settings:
-Function code updated for AO settings
Monitoring Data:
- TTE-613</t>
  </si>
  <si>
    <t>sheet name renamed: Product serial number -&gt; Product Info - Extended
Protection settings:
- Updated for temperature unit
- TTE-548: ICM renamed as Device Internal
Monitoring Data:
- Updated for temperature unit
- TTE-548: ICM renamed as Device Internal
DO_CompLogic List:
- TTE-548: ICM renamed as Device Internal
Status:
- TTE-548: ICM renamed as Device Internal
General setting:
- DO Tag list updated for TTE-548
Product Info - Extended:
- Updated for TTE-660 module tag</t>
  </si>
  <si>
    <t>Monitoring Data:
- TTE-541: L1-L2 voltage updated for single phase as well (L1-N)
General setting:
- AO input source list updated for TTE-541</t>
  </si>
  <si>
    <t>VR</t>
  </si>
  <si>
    <t xml:space="preserve">1) Sheet Modified: TeSys T Parameters
Mirroring Variables added
2) sheet added
Ethernet settings, EIP DETAILS, EIP Cyclic Parameter,EIP Object Overview
3) Shee Modified: Internal Data
MAC address for Write,PDD test byte
4) Sheet Modified: Product Info
EIP Product Details
5) Sheet Modify: Status: Communication Status - NTP Not working, DHCP IP assignment Fail, Port 1 Link Fail, Port 2 Link Fail
6) Sheet Modified: Ethernet Settings: Daylight saving settings added
</t>
  </si>
  <si>
    <t>Monitoring Data:
- TTE-575: Active trip and alarm counter added</t>
  </si>
  <si>
    <t>Monitoring Data:
- TTE-759: Three trip counters added in statistic data</t>
  </si>
  <si>
    <t>General settings:
- TTE-768: default setting of direction change is updated in starter settings</t>
  </si>
  <si>
    <t>Ethernet Settings:
1) Name of EDS profile changed from T6T to Tera
2) Syslog filter category and syslog_export_filter_severity replaced by Modbus HMI and TCP Selection added
3) Minimum value of gateway byte 3 changed to 0
4) Minimum value fo IP byte 3changed to 0
5) Default value of gateway byte 3 made 0
6) Minimum value of ntp server byte 3 is changed to 0
7) Default value of ntp server byte 3 is made to 0
8) Default Subnet mask changed to 255.255.255.0  to 255.2555.0.0.
9) Maximum value of Day in daylight saving is changed from 4 to 5 for both start day and end day
10) Default &amp; Max value of Modbus Unit TCP is changed to 255 from 1
11) Modbus TCP port is configurable variable added</t>
  </si>
  <si>
    <t>1) TeSys T Monitoring Control Object 0xC6
---Default instance attribute value is 455,456,457,458
--- Primaray and secondary server for NTP/stnp is added in ethernet settings
--- Secondary NTP//SNTP server added in ethernet setting sheet
--- Default value of gate way changes to keep in synch with valid ip logic
--- Minimum value of default gateway byte 0 is changed to 0
--- FDR back up period minimum settings is changed from 0 to 30.
--- Change in direction in General Setting : default value made it to 0
--- Change in the string name of Motor Tag to User Application in general setting sheet
General Settings:
- Device configuration Exp settings updated for PTC configuration
- System settings: voltage input default value updated to 1 (Enable) TTE-863
Protection settings:
- Thermal overload Reset Mode max value updated TTE-795
General Settings:
- Unused DI source default change to NONE(38) TTE-828
- RTC : default Year value changed to 2024</t>
  </si>
  <si>
    <t xml:space="preserve">
1) Diagnostic Addressing changed</t>
  </si>
  <si>
    <t xml:space="preserve">
1) Diagnostic heaading changed to Data address</t>
  </si>
  <si>
    <t>Internal Data sheet
1) HMI FDR bit added
2) Device Internal min value chaged to 1</t>
  </si>
  <si>
    <t>Internal Data sheet
1) Modbus TCP Reset register 
Ethernet Setting
1) DPWS Default value changed to enable
Monitoring
1) PTC fahrenheit range added as note
Protection
1) Temperature (Main Unit) fahrenheit range added as note</t>
  </si>
  <si>
    <t xml:space="preserve">EIP DETAILS
1) TCP/IP objects instance attributes list updated
</t>
  </si>
  <si>
    <t>TeSys T Parameters:
- Min, max, step size and multiplier updated
Protection settings:
- NI over current protection - Time delay replaced with Time Multiplier. Unit 'Seconds' removed.
General Settings:
- Table 5 updated max value for frequency is updated.
EIP Detail
- TCP Class attribute values infor added
EIP Cyclic 
- Instance 51 Trip Reset Typo updated
Ethernet Setting
- Default Setting of DNS changed to 1
Protection Setting
- Comm Loss Protection function Default changed to alarm+Trip</t>
  </si>
  <si>
    <t>Monitoring
- Motor stop cause strings updated
EIP Object Overview
- Motor Tag name changed to User Application Name</t>
  </si>
  <si>
    <t>Ethernet Settings:
1) Slave id min is changed to 1
Tesyst Parameters
-- Trip registers updated as per Tera Serial release 2.0.8
-- Alarm Registers are updated as per Tera Serial Release 2.0.8</t>
  </si>
  <si>
    <t>Protection
-- AI protection diganostic bit changed to reserved</t>
  </si>
  <si>
    <t>Tesys T</t>
  </si>
  <si>
    <t>Tesys Tera</t>
  </si>
  <si>
    <t>Variable Groups</t>
  </si>
  <si>
    <t>Modbus/TCP (Register addresses)</t>
  </si>
  <si>
    <t>EtherNet/IP (Object addresses)</t>
  </si>
  <si>
    <t>Group name</t>
  </si>
  <si>
    <t>Group</t>
  </si>
  <si>
    <t>Service Type</t>
  </si>
  <si>
    <t>Identification variables</t>
  </si>
  <si>
    <t>00 to 99</t>
  </si>
  <si>
    <t>64 : 01 : 32 to 64 : 01 : 61</t>
  </si>
  <si>
    <t>Tera Product Info</t>
  </si>
  <si>
    <t>Statistics variables</t>
  </si>
  <si>
    <t>100 to 449</t>
  </si>
  <si>
    <t>65 : 01 : 01 to 67 : 01 : 83</t>
  </si>
  <si>
    <t>TeSys T Parameters-&gt;global stats+ LTM Monitor stats+Trip stats+Trip Ext.</t>
  </si>
  <si>
    <t>65 : 01 : 01 to 67 : 01 : 9A</t>
  </si>
  <si>
    <t>Global+Monitor+trip+trip ext stats</t>
  </si>
  <si>
    <t>Get Single, Get All</t>
  </si>
  <si>
    <t>Monitoring variables</t>
  </si>
  <si>
    <t>450 to 539</t>
  </si>
  <si>
    <t>68 : 01 : 01 to 68 : 01 : 4A</t>
  </si>
  <si>
    <t>TeSys T Parameters-&gt;Monitoring variable</t>
  </si>
  <si>
    <t>68 : 01 : 01 to 68 : 01 : 5B</t>
  </si>
  <si>
    <t>Monitoring variable</t>
  </si>
  <si>
    <t>Configuration variables</t>
  </si>
  <si>
    <t>540 to 699</t>
  </si>
  <si>
    <t>69 : 01 : 01 to 6B : 01 : 32</t>
  </si>
  <si>
    <t>TeSys T Parameters-&gt; Configuration variable + Settings</t>
  </si>
  <si>
    <t>69 : 01 : 01 to 6B : 01 : 33</t>
  </si>
  <si>
    <t>Configuration variable: 0x69 not needed</t>
  </si>
  <si>
    <t>Get Single, Get All, Set single</t>
  </si>
  <si>
    <t>Command variables</t>
  </si>
  <si>
    <t>700 to 713</t>
  </si>
  <si>
    <t>6C : 01 : 01 to 6C : 01 : 0A</t>
  </si>
  <si>
    <t>TeSys T Parameters-&gt; Commands</t>
  </si>
  <si>
    <t>6C : 01 : 01 to 6C : 01 : 07</t>
  </si>
  <si>
    <t>Commands</t>
  </si>
  <si>
    <t>Get Single, Get All, Set Single, Set all</t>
  </si>
  <si>
    <t>User map variables</t>
  </si>
  <si>
    <t>800 to 999</t>
  </si>
  <si>
    <t>6D : 01 : 01 to 6E : 01 : 64</t>
  </si>
  <si>
    <t>TeSys T Parameters-&gt;User map address + User map Values</t>
  </si>
  <si>
    <t>User map address, User map values</t>
  </si>
  <si>
    <t>Custom logic variables</t>
  </si>
  <si>
    <t>1250 to 1399</t>
  </si>
  <si>
    <t>71 : 01 : 33 to 71 : 01 : C8</t>
  </si>
  <si>
    <t>TeSys T Parameters-&gt;Custom Logic Variables</t>
  </si>
  <si>
    <t>Custom logic</t>
  </si>
  <si>
    <t>Extended monitoring variables for communication</t>
  </si>
  <si>
    <t>2000 to 2099</t>
  </si>
  <si>
    <t>82 : 01 : 01 to 82 : 01 : 27</t>
  </si>
  <si>
    <t xml:space="preserve">Not needed: Tera internal data </t>
  </si>
  <si>
    <t>Mirroring variables</t>
  </si>
  <si>
    <t>2500 to 2599</t>
  </si>
  <si>
    <t>8C : 01 : 01 to 8C : 01 : 15</t>
  </si>
  <si>
    <t>TeSys T Parameters-&gt;Mirroring Variable</t>
  </si>
  <si>
    <t>8C : 01 : 01 to 8C : 01 : 09</t>
  </si>
  <si>
    <t>Mirroring</t>
  </si>
  <si>
    <t>Extended configuration variables for communication</t>
  </si>
  <si>
    <t>3000 to 3120</t>
  </si>
  <si>
    <t>96 : 01 : 01 to 96 : 01 : 77</t>
  </si>
  <si>
    <t>Tera Eth Config</t>
  </si>
  <si>
    <t>Service Name</t>
  </si>
  <si>
    <t>Service Code(Hex)</t>
  </si>
  <si>
    <t>TeSys Tera Parameter</t>
  </si>
  <si>
    <t>Serivce Type</t>
  </si>
  <si>
    <t>Get All</t>
  </si>
  <si>
    <t>0x01</t>
  </si>
  <si>
    <t>Monitoring Data</t>
  </si>
  <si>
    <t>72 : 01 : 01 to 72 : 09 : 30</t>
  </si>
  <si>
    <t>Set All</t>
  </si>
  <si>
    <t>0x02</t>
  </si>
  <si>
    <t>Group 1</t>
  </si>
  <si>
    <t>Metering Data</t>
  </si>
  <si>
    <t>72 : 01 : 01 to 72 : 01 : 21</t>
  </si>
  <si>
    <t>Get Single</t>
  </si>
  <si>
    <t>0x0E</t>
  </si>
  <si>
    <t>Motor Data</t>
  </si>
  <si>
    <t>72 : 02 : 01 to 72 : 02 : 0E</t>
  </si>
  <si>
    <t>Set Single</t>
  </si>
  <si>
    <t>0x10</t>
  </si>
  <si>
    <t>Last Motor Time stamp</t>
  </si>
  <si>
    <t>72 : 03 : 01 to 72 : 03 : 07</t>
  </si>
  <si>
    <t>Analog Module data</t>
  </si>
  <si>
    <t>72 : 04 : 01 to 72 : 04 : 0C</t>
  </si>
  <si>
    <t>Temperature Module Data</t>
  </si>
  <si>
    <t>72 : 05 : 01 to 72 : 05 : 0F</t>
  </si>
  <si>
    <t>Boolean Data</t>
  </si>
  <si>
    <t>72 : 06 : 01 to 72 : 06 : 1D</t>
  </si>
  <si>
    <t>Class Name</t>
  </si>
  <si>
    <t>Class Code</t>
  </si>
  <si>
    <t>Statistic Data</t>
  </si>
  <si>
    <t>72 : 07 : 01 to 72 : 07 : 4E</t>
  </si>
  <si>
    <t>Extended Monitoring Data</t>
  </si>
  <si>
    <t>72 : 08 : 01 to 72 : 08 : 17</t>
  </si>
  <si>
    <t>Identity Object</t>
  </si>
  <si>
    <t>Group 2</t>
  </si>
  <si>
    <t>Product Info+Extended Product Info</t>
  </si>
  <si>
    <t>73 : 01 : 01 to 73 : 01 : 41</t>
  </si>
  <si>
    <t>Message Router Object</t>
  </si>
  <si>
    <t>Status: not needed taken care in Boolean Data</t>
  </si>
  <si>
    <t>80 : 01 : 01 to 80 : 01 : 20</t>
  </si>
  <si>
    <t>Assembly Object</t>
  </si>
  <si>
    <t>0x04</t>
  </si>
  <si>
    <t>Connection Manager Object</t>
  </si>
  <si>
    <t>0x06</t>
  </si>
  <si>
    <t>User Define Map: not needed as taken care in Extended Monitoring Data</t>
  </si>
  <si>
    <t>80 : 01 : 01 to 80 : 01 : 02</t>
  </si>
  <si>
    <t>QoS Object</t>
  </si>
  <si>
    <t>0x48</t>
  </si>
  <si>
    <t>TCP/IP Object</t>
  </si>
  <si>
    <t>0xF5</t>
  </si>
  <si>
    <t>Data record</t>
  </si>
  <si>
    <t>82 : 01 : 01 to 82 : 41 : 01</t>
  </si>
  <si>
    <t>Ethernet Link Object</t>
  </si>
  <si>
    <t>0xF6</t>
  </si>
  <si>
    <t>Group 3</t>
  </si>
  <si>
    <t>Fault Record: 20</t>
  </si>
  <si>
    <t>82 : 01 : 01 to 82 : 14 : 01</t>
  </si>
  <si>
    <t>Control Supervisor Object</t>
  </si>
  <si>
    <t>0x29</t>
  </si>
  <si>
    <t>Event Record: 100</t>
  </si>
  <si>
    <t>82 : 15 : 01 to 82 : 78 : 01</t>
  </si>
  <si>
    <t>Overload Object</t>
  </si>
  <si>
    <t>0x2C</t>
  </si>
  <si>
    <t>Internal Fault: 20</t>
  </si>
  <si>
    <t>82 : 79 : 01 to 82 : 8C : 01</t>
  </si>
  <si>
    <t>Periodically Kept Acyclic Words (PKW) Objects</t>
  </si>
  <si>
    <t>0xC5</t>
  </si>
  <si>
    <t>Motor Start-Latest Log</t>
  </si>
  <si>
    <t>Not needed for EIP since it was used to plot the curve</t>
  </si>
  <si>
    <t xml:space="preserve">TeSys T Monitoring Control Object </t>
  </si>
  <si>
    <t>0xC6</t>
  </si>
  <si>
    <t>Motor Start-Reference Log</t>
  </si>
  <si>
    <t>Stack Diagnostic Object</t>
  </si>
  <si>
    <t>0x300</t>
  </si>
  <si>
    <t>Adapter Diagnostic Object</t>
  </si>
  <si>
    <t>0x302</t>
  </si>
  <si>
    <t>Protection Settings</t>
  </si>
  <si>
    <t>83 : 01 : 01 to 84 : 04 : 06</t>
  </si>
  <si>
    <t>Explicit Messages Diagnostic Object</t>
  </si>
  <si>
    <t>0x0303</t>
  </si>
  <si>
    <t>Group 4</t>
  </si>
  <si>
    <t>Current</t>
  </si>
  <si>
    <t>83 : 01 : 01 to 83 : 01 : 5B</t>
  </si>
  <si>
    <t>Explicit Message Diagnostic List Object</t>
  </si>
  <si>
    <t>0x0304</t>
  </si>
  <si>
    <t>Voltage</t>
  </si>
  <si>
    <t>83 : 02 : 01 to 83 : 02 : 43</t>
  </si>
  <si>
    <t>LLDP Management Object</t>
  </si>
  <si>
    <t>0x109</t>
  </si>
  <si>
    <t>Control</t>
  </si>
  <si>
    <t>83 : 03 : 01 to 83 : 03 : 3D</t>
  </si>
  <si>
    <t>LLDP Data Table Object</t>
  </si>
  <si>
    <t>0x10A</t>
  </si>
  <si>
    <t>Group 5</t>
  </si>
  <si>
    <t>Interlock DI</t>
  </si>
  <si>
    <t>84 : 01 : 01 to 84 : 01 : 3C</t>
  </si>
  <si>
    <t>0x64</t>
  </si>
  <si>
    <t>AI</t>
  </si>
  <si>
    <t>84 : 02 : 01 to 84 : 02 : 20</t>
  </si>
  <si>
    <t>0x65-0x67</t>
  </si>
  <si>
    <t>Temp</t>
  </si>
  <si>
    <t>84 : 03 : 01 to 84 : 03 : 78</t>
  </si>
  <si>
    <t>0x68</t>
  </si>
  <si>
    <t>Hysteresis</t>
  </si>
  <si>
    <t>84 : 04 : 01 to 84 : 04 : 06</t>
  </si>
  <si>
    <t>0x69-0x6b</t>
  </si>
  <si>
    <t>General Settings</t>
  </si>
  <si>
    <t>85 : 01 : 01 to 86 : 03 : 16</t>
  </si>
  <si>
    <t>0x6C</t>
  </si>
  <si>
    <t>Group 6</t>
  </si>
  <si>
    <t>Device</t>
  </si>
  <si>
    <t>85 : 01 : 01 to 85 : 01 : 12</t>
  </si>
  <si>
    <t>0x6D-0x6E</t>
  </si>
  <si>
    <t>HMI</t>
  </si>
  <si>
    <t>85 : 02 : 01 to 85 : 02 : 06</t>
  </si>
  <si>
    <t>0x71</t>
  </si>
  <si>
    <t>RTC</t>
  </si>
  <si>
    <t>85 : 03 : 01 to 85 : 03 : 09</t>
  </si>
  <si>
    <t>0x82</t>
  </si>
  <si>
    <t>Starter</t>
  </si>
  <si>
    <t>85 : 04 : 01 to 85 : 04 : 20</t>
  </si>
  <si>
    <t>0x8C</t>
  </si>
  <si>
    <t>System</t>
  </si>
  <si>
    <t>85 : 05 : 01 to 85 : 05 : 17</t>
  </si>
  <si>
    <t>0x96</t>
  </si>
  <si>
    <t>User Application</t>
  </si>
  <si>
    <t>85 : 06 : 01 to 85 : 06 : 0B</t>
  </si>
  <si>
    <t>Password Management</t>
  </si>
  <si>
    <t>85 : 07 : 01 to 85 : 05 : 01</t>
  </si>
  <si>
    <t>Group 7</t>
  </si>
  <si>
    <t>DI</t>
  </si>
  <si>
    <t>86 : 01 : 01 to 86 : 01 : 60</t>
  </si>
  <si>
    <t>DO</t>
  </si>
  <si>
    <t>86 : 02 : 01 to 86 : 02 : 46</t>
  </si>
  <si>
    <t>AO</t>
  </si>
  <si>
    <t>86 : 03 : 01 to 86 : 03 : 16</t>
  </si>
  <si>
    <t>Complogic</t>
  </si>
  <si>
    <t>87 : 01 : 01 to 87 : 0A : 05</t>
  </si>
  <si>
    <t>Group 8</t>
  </si>
  <si>
    <t>2IP1OP TT</t>
  </si>
  <si>
    <t>87 : 01 : 01 to 87 : 01 : 06</t>
  </si>
  <si>
    <t>3IP1OP TT</t>
  </si>
  <si>
    <t>87 : 02 : 01 to 87 : 02 : 20</t>
  </si>
  <si>
    <t>5IP2OP TT</t>
  </si>
  <si>
    <t>87 : 03 : 01 to 87 : 03 : 12</t>
  </si>
  <si>
    <t>4IP1OP TT</t>
  </si>
  <si>
    <t>87 : 04 : 01 to 87 : 04 : 45</t>
  </si>
  <si>
    <t>Timer</t>
  </si>
  <si>
    <t>87 : 05 : 01 to 87 : 05 : 10</t>
  </si>
  <si>
    <t>Signal Conditioner</t>
  </si>
  <si>
    <t>87 : 06 : 01 to 87 : 06 : 0C</t>
  </si>
  <si>
    <t>Non volatile</t>
  </si>
  <si>
    <t>87 : 07 : 01 to 87 : 07 : 0C</t>
  </si>
  <si>
    <t>Counter</t>
  </si>
  <si>
    <t>87 : 08 : 01 to 87 : 08 : 10</t>
  </si>
  <si>
    <t>LED: Not Required</t>
  </si>
  <si>
    <t>87 : 09 : 01 to 87 : 09 : 03</t>
  </si>
  <si>
    <t>Custom Starter</t>
  </si>
  <si>
    <t>87 : 09 : 01 to 87 : 09 : 05</t>
  </si>
  <si>
    <t>Calculator</t>
  </si>
  <si>
    <t>87 : 0A : 01 to 87 : 0A : 0E</t>
  </si>
  <si>
    <t>Analogue Comparator</t>
  </si>
  <si>
    <t>87 : 0B : 01 to 87 : 0B : 1C</t>
  </si>
  <si>
    <t>User Defined Status Words</t>
  </si>
  <si>
    <t>87 : 0A : 01 to 87 : 0A : 20</t>
  </si>
  <si>
    <t>Group 9</t>
  </si>
  <si>
    <t>88 : 0A : 01 to 87 : 0A : CF</t>
  </si>
  <si>
    <t>Ethernet settings</t>
  </si>
  <si>
    <t>88 : 01 : 01 to 88 : 01 : CF</t>
  </si>
  <si>
    <t>Get Single, Get All,(Timezone, NTPSelection and dst are RW with Set Single and Set All)</t>
  </si>
  <si>
    <t xml:space="preserve">Attribute Name </t>
  </si>
  <si>
    <t>Data Type</t>
  </si>
  <si>
    <t>Size(in Bytes)</t>
  </si>
  <si>
    <t>Size(in Words)</t>
  </si>
  <si>
    <t>Min Value</t>
  </si>
  <si>
    <t>Max Value</t>
  </si>
  <si>
    <t>Step Size</t>
  </si>
  <si>
    <t>Multiplier</t>
  </si>
  <si>
    <t>R/W Access</t>
  </si>
  <si>
    <t>Register</t>
  </si>
  <si>
    <t>Data Address</t>
  </si>
  <si>
    <t>Function Codes</t>
  </si>
  <si>
    <t>Svd</t>
  </si>
  <si>
    <t>Default Value</t>
  </si>
  <si>
    <t>Units</t>
  </si>
  <si>
    <t>Remarks</t>
  </si>
  <si>
    <t>Global Statistics</t>
  </si>
  <si>
    <t>Reserved</t>
  </si>
  <si>
    <t>UINT16</t>
  </si>
  <si>
    <t>R</t>
  </si>
  <si>
    <t>0x03</t>
  </si>
  <si>
    <t>N</t>
  </si>
  <si>
    <t>Motor starts count</t>
  </si>
  <si>
    <t>UINT32</t>
  </si>
  <si>
    <t>Y</t>
  </si>
  <si>
    <t>Motor Operating time</t>
  </si>
  <si>
    <t>Seconds</t>
  </si>
  <si>
    <t>Controller internal temperature max (°C)</t>
  </si>
  <si>
    <t>Deg. Celcius</t>
  </si>
  <si>
    <t>LTM monitoring Statistics</t>
  </si>
  <si>
    <t>Trip Count</t>
  </si>
  <si>
    <t>Alarm Count</t>
  </si>
  <si>
    <t>Motor LO1 Closing count</t>
  </si>
  <si>
    <t>Motor LO2 Closing count</t>
  </si>
  <si>
    <t>Active Power Consumption</t>
  </si>
  <si>
    <t>kWh</t>
  </si>
  <si>
    <t>Reactive Power Consumption</t>
  </si>
  <si>
    <t>kVARh</t>
  </si>
  <si>
    <t>Trip statistics</t>
  </si>
  <si>
    <t>Last trip statistics</t>
  </si>
  <si>
    <t>Refer Table 1</t>
  </si>
  <si>
    <t>Trip n-1 statistics</t>
  </si>
  <si>
    <t>Trip n-2 statistics</t>
  </si>
  <si>
    <t>Trip n-3 statistics</t>
  </si>
  <si>
    <t>Trip n-4 statistics</t>
  </si>
  <si>
    <t>trip statistics - Extention</t>
  </si>
  <si>
    <t>Last trip extention</t>
  </si>
  <si>
    <t>Refer Table 2</t>
  </si>
  <si>
    <t>Trip n-1 extention</t>
  </si>
  <si>
    <t>Trip n-2 extention</t>
  </si>
  <si>
    <t>Trip n-3 extention</t>
  </si>
  <si>
    <t>Trip n-4 extention</t>
  </si>
  <si>
    <t>Monitoring Variables</t>
  </si>
  <si>
    <t>Minimum wait time</t>
  </si>
  <si>
    <t>Trip code</t>
  </si>
  <si>
    <t>Trip register 1</t>
  </si>
  <si>
    <t>BITMAP</t>
  </si>
  <si>
    <r>
      <t xml:space="preserve">bits 0-1 (Reserved)
bit 2 Ground current fault
bit 3 Thermal overload fault
</t>
    </r>
    <r>
      <rPr>
        <sz val="12"/>
        <color theme="1"/>
        <rFont val="Calibri"/>
        <family val="2"/>
      </rPr>
      <t xml:space="preserve">bit 4 Long start fault
</t>
    </r>
    <r>
      <rPr>
        <sz val="12"/>
        <rFont val="Calibri"/>
        <family val="2"/>
      </rPr>
      <t xml:space="preserve">bit 5 Jam fault
bit 6 Current phase imbalance fault
bit 7 Undercurrent fault
bit 8 (Reserved)
</t>
    </r>
    <r>
      <rPr>
        <sz val="12"/>
        <color rgb="FFFF0000"/>
        <rFont val="Calibri"/>
        <family val="2"/>
      </rPr>
      <t xml:space="preserve">bit 9 Test fault 
</t>
    </r>
    <r>
      <rPr>
        <sz val="12"/>
        <color theme="1"/>
        <rFont val="Calibri"/>
        <family val="2"/>
      </rPr>
      <t xml:space="preserve">bit 10 HMI port fault
bit 11 Controller internal fault
</t>
    </r>
    <r>
      <rPr>
        <sz val="12"/>
        <color rgb="FFFF0000"/>
        <rFont val="Calibri"/>
        <family val="2"/>
      </rPr>
      <t xml:space="preserve">bit 12 Internal port fault
bit 13 (Not significant)
bit 14 Network port config fault
</t>
    </r>
    <r>
      <rPr>
        <sz val="12"/>
        <color theme="1"/>
        <rFont val="Calibri"/>
        <family val="2"/>
      </rPr>
      <t>bit 15 Network port fault</t>
    </r>
  </si>
  <si>
    <t>Trip register 2</t>
  </si>
  <si>
    <r>
      <rPr>
        <sz val="12"/>
        <color rgb="FFFF0000"/>
        <rFont val="Calibri"/>
        <family val="2"/>
      </rPr>
      <t xml:space="preserve">bit 0 External system fault
bit 1 Diagnostic fault
bit 2 Wiring fault
</t>
    </r>
    <r>
      <rPr>
        <sz val="12"/>
        <rFont val="Calibri"/>
        <family val="2"/>
      </rPr>
      <t xml:space="preserve">bit 3 Overcurrent fault
bit 4 Current phase loss fault
bit 5 Current phase reversal fault
bit 6 Motor temperature sensor fault 
bit 7 Voltage phase imbalance fault 
bit 8 Voltage phase loss fault 
bit 9 Voltage phase reversal fault 
bit 10 Undervoltage fault 
bit 11 Overvoltage fault 
bit 12 Underpower fault 
bit 13 Overpower fault 
bit 14 Under power factor fault 
</t>
    </r>
    <r>
      <rPr>
        <sz val="12"/>
        <color rgb="FFFF0000"/>
        <rFont val="Calibri"/>
        <family val="2"/>
      </rPr>
      <t>bit 15 Over power factor fault</t>
    </r>
  </si>
  <si>
    <t>Trip register 3</t>
  </si>
  <si>
    <t>System Status register 1</t>
  </si>
  <si>
    <r>
      <t xml:space="preserve">bit 1 System on
bit 2 System fault 
bit 3 System warning
bit 4 System tripped
</t>
    </r>
    <r>
      <rPr>
        <sz val="12"/>
        <color rgb="FFFF0000"/>
        <rFont val="Calibri"/>
        <family val="2"/>
      </rPr>
      <t xml:space="preserve">bit 5 Fault reset authorized
bit 6 Controller power
</t>
    </r>
    <r>
      <rPr>
        <sz val="12"/>
        <rFont val="Calibri"/>
        <family val="2"/>
      </rPr>
      <t xml:space="preserve">bit 7 Motor running (with detection of a current, if greater than 10% 
FLC)
bits 8-13 Motor average current ratio
 32 = 100% FLC - 63 = 200% FLC
bit 14 In remote
bit 15 Motor starting (start in progress)
 0 = descending current is less than 150% FLC
 1 = ascending current is greater than 10% FLC </t>
    </r>
  </si>
  <si>
    <t>System Status register 2</t>
  </si>
  <si>
    <r>
      <rPr>
        <sz val="12"/>
        <color rgb="FFFF0000"/>
        <rFont val="Calibri"/>
        <family val="2"/>
      </rPr>
      <t>bit 0 Auto-reset active</t>
    </r>
    <r>
      <rPr>
        <sz val="12"/>
        <rFont val="Calibri"/>
        <family val="2"/>
      </rPr>
      <t xml:space="preserve">
bit 1 (Not significant)
</t>
    </r>
    <r>
      <rPr>
        <sz val="12"/>
        <color rgb="FFFF0000"/>
        <rFont val="Calibri"/>
        <family val="2"/>
      </rPr>
      <t xml:space="preserve">bit 2 Fault power cycle requested
bit 3 Motor restart time undefined
</t>
    </r>
    <r>
      <rPr>
        <sz val="12"/>
        <color theme="1"/>
        <rFont val="Calibri"/>
        <family val="2"/>
      </rPr>
      <t xml:space="preserve">bit 4 Rapid cycle lockout
bit 5 Load shedding 
bit 6 Motor speed
 0 = FLC1 setting is used
 1 = FLC2 setting is used
bit 7 HMI port comm loss
bit 8 Network port comm loss
</t>
    </r>
    <r>
      <rPr>
        <sz val="12"/>
        <color rgb="FFFF0000"/>
        <rFont val="Calibri"/>
        <family val="2"/>
      </rPr>
      <t>bit 9 Motor transition lockout</t>
    </r>
    <r>
      <rPr>
        <sz val="12"/>
        <rFont val="Calibri"/>
        <family val="2"/>
      </rPr>
      <t xml:space="preserve">
bits 10-15 (Not significant)</t>
    </r>
  </si>
  <si>
    <t>Logic Input status register</t>
  </si>
  <si>
    <t>Logic Output status register</t>
  </si>
  <si>
    <t>Alarm Code</t>
  </si>
  <si>
    <t>Alarm Register 1</t>
  </si>
  <si>
    <r>
      <t xml:space="preserve">bits 0-1 Reserved
bit 2 Ground current warning
bit 3 Thermal overload warning
bit 4 Reserved
bit 5 Jam warning
bit 6 Current phase imbalance warning
bit 7 Undercurrent warning
bits 8-9 Reserved
</t>
    </r>
    <r>
      <rPr>
        <sz val="12"/>
        <color theme="1"/>
        <rFont val="Calibri"/>
        <family val="2"/>
      </rPr>
      <t xml:space="preserve">bit 10 HMI port warning
bit 11 Controller internal temperature warning
</t>
    </r>
    <r>
      <rPr>
        <sz val="12"/>
        <color rgb="FFFF0000"/>
        <rFont val="Calibri"/>
        <family val="2"/>
      </rPr>
      <t xml:space="preserve">bits 12-14 (Not significant)
</t>
    </r>
    <r>
      <rPr>
        <sz val="12"/>
        <color theme="1"/>
        <rFont val="Calibri"/>
        <family val="2"/>
      </rPr>
      <t>bit 15 Network port warning</t>
    </r>
  </si>
  <si>
    <t>Alarm Register 2</t>
  </si>
  <si>
    <r>
      <t xml:space="preserve">bit 0 (Not significant)
</t>
    </r>
    <r>
      <rPr>
        <sz val="12"/>
        <color rgb="FFFF0000"/>
        <rFont val="Calibri"/>
        <family val="2"/>
      </rPr>
      <t>bit 1 Diagnostic warning</t>
    </r>
    <r>
      <rPr>
        <sz val="12"/>
        <rFont val="Calibri"/>
        <family val="2"/>
      </rPr>
      <t xml:space="preserve">
bit 2 (Reserved)
bit 3 Overcurrent warning
bit 4 Current phase loss warning
bit 5 Current phase reversal warning
bit 6 Motor temperature sensor warning
bit 7 Voltage phase imbalance warning 
bit 8 Voltage phase loss warning 
bit 9 Reserved
bit 10 Undervoltage warning 
bit 11 Overvoltage warning 
bit 12 Underpower warning 
bit 13 Overpower warning 
bit 14 Under power factor warning 
</t>
    </r>
    <r>
      <rPr>
        <sz val="12"/>
        <color rgb="FFFF0000"/>
        <rFont val="Calibri"/>
        <family val="2"/>
      </rPr>
      <t>bit 15 Over power factor warning</t>
    </r>
  </si>
  <si>
    <t>Alarm Register 3</t>
  </si>
  <si>
    <t>Motor Temperature sensor degree</t>
  </si>
  <si>
    <t>deg. C</t>
  </si>
  <si>
    <t>Thermal capacity level</t>
  </si>
  <si>
    <t>%TM</t>
  </si>
  <si>
    <t>Average current ratio</t>
  </si>
  <si>
    <t>%IFLC</t>
  </si>
  <si>
    <t>L1 Current ratio</t>
  </si>
  <si>
    <t>L2 Current ratio</t>
  </si>
  <si>
    <t>L3 Current ratio</t>
  </si>
  <si>
    <t>Ground Current Ratio</t>
  </si>
  <si>
    <t>1/10</t>
  </si>
  <si>
    <t>%FLC</t>
  </si>
  <si>
    <t>Current Phase Imbalance</t>
  </si>
  <si>
    <t>%</t>
  </si>
  <si>
    <t>Controller internal temperature (°C)</t>
  </si>
  <si>
    <t>°C</t>
  </si>
  <si>
    <t>Frequency</t>
  </si>
  <si>
    <t>Hz</t>
  </si>
  <si>
    <t>Motor Temperature Sensor Ohm</t>
  </si>
  <si>
    <t>Ohm</t>
  </si>
  <si>
    <t>Average Voltage</t>
  </si>
  <si>
    <t>V</t>
  </si>
  <si>
    <t>L3-L1 Voltage</t>
  </si>
  <si>
    <t>L1-L2 Voltage</t>
  </si>
  <si>
    <t>L2-L3 Voltage</t>
  </si>
  <si>
    <t>Voltage Phase Imbalance</t>
  </si>
  <si>
    <t>Power Factor</t>
  </si>
  <si>
    <t>1/100</t>
  </si>
  <si>
    <t>Active Power</t>
  </si>
  <si>
    <t>kW</t>
  </si>
  <si>
    <t>Reactive Power</t>
  </si>
  <si>
    <t>kVAR</t>
  </si>
  <si>
    <t>Auto Restart Status Register</t>
  </si>
  <si>
    <t>Controller Last PowerOff Duration</t>
  </si>
  <si>
    <t>s</t>
  </si>
  <si>
    <t>Average Current</t>
  </si>
  <si>
    <t>A</t>
  </si>
  <si>
    <t>L1 Current</t>
  </si>
  <si>
    <t>L2 Current</t>
  </si>
  <si>
    <t>L3 Current</t>
  </si>
  <si>
    <t>Ground Current</t>
  </si>
  <si>
    <t>1/1000</t>
  </si>
  <si>
    <t>RW</t>
  </si>
  <si>
    <t>0x03,0x06,0x10</t>
  </si>
  <si>
    <t>General configuration register 1</t>
  </si>
  <si>
    <t>bit 0 Controller system config required
 0 = exit the configuration menu
 1 = go to the configuration menu</t>
  </si>
  <si>
    <t>General configuration register 2</t>
  </si>
  <si>
    <t>bits 0-10(Reserved)
bit 11: HMI motor status LED color
0: Red 
1:Green 
bits 12-15 (Reserved)</t>
  </si>
  <si>
    <t>Trip enable register 1</t>
  </si>
  <si>
    <r>
      <t xml:space="preserve">bits 0-1 (Reserved)
bit 2 Calculated ground trip fault enable
bit 3 Thermal overload fault enable
bit 4 Long start fault enable
bit 5 Stalled Rotor fault enable
bit 6 Current phase imbalance fault enable 
bit 7 Undercurrent fault enable
bit 8 (Reserved)
</t>
    </r>
    <r>
      <rPr>
        <sz val="12"/>
        <color rgb="FFFF0000"/>
        <rFont val="Calibri"/>
        <family val="2"/>
      </rPr>
      <t xml:space="preserve">bit 9 Self test enable
 0 = disable
 1 = enable (factory setting)
</t>
    </r>
    <r>
      <rPr>
        <sz val="12"/>
        <rFont val="Calibri"/>
        <family val="2"/>
      </rPr>
      <t>bit 10 HMI port fault enable
bits 11-14 (Reserved)
bit 15 Network port fault enable</t>
    </r>
  </si>
  <si>
    <t>Alarm enable register 1</t>
  </si>
  <si>
    <t>bit 0 (Not significant)
bit 1 (Reserved)
bit 2 Calculated ground trip  warning enable
bit 3 Thermal overload warning enable
bit 4 (Reserved)
bit 5 Stalled Rotor warning enable
bit 6 Current phase imbalance warning enable
bit 7 Undercurrent warning enable
bits 8- 9 (Reserved)
bit 10 HMI port warning enable
bit 11 Controller internal temperature warning enable
bits 12-14 (Reserved)
bit 15 Network port warning enable</t>
  </si>
  <si>
    <t>Trip enable register 2</t>
  </si>
  <si>
    <r>
      <t xml:space="preserve">bit 0 (Reserved)
</t>
    </r>
    <r>
      <rPr>
        <sz val="12"/>
        <color rgb="FFFF0000"/>
        <rFont val="Calibri"/>
        <family val="2"/>
      </rPr>
      <t xml:space="preserve">bit 1 Diagnostic fault enable
bit 2 Wiring fault enable
</t>
    </r>
    <r>
      <rPr>
        <sz val="12"/>
        <rFont val="Calibri"/>
        <family val="2"/>
      </rPr>
      <t xml:space="preserve">bit 3 Overcurrent fault enable
bit 4 Current Phase loss fault enable
bit 5 Current Phase reversal fault enable
</t>
    </r>
    <r>
      <rPr>
        <sz val="12"/>
        <color theme="1"/>
        <rFont val="Calibri"/>
        <family val="2"/>
      </rPr>
      <t>bit 6 Temperature (Main Unit) fault enable</t>
    </r>
    <r>
      <rPr>
        <sz val="12"/>
        <rFont val="Calibri"/>
        <family val="2"/>
      </rPr>
      <t xml:space="preserve">
bit 7 Voltage imbalance fault enable 
bit 8 Voltage+Q130 phase loss fault enable 
bit 9 Voltage phase reversal fault enable 
bit 10 Undervoltage fault enable 
bit 11 Overvoltage fault enable 
bit 12 Underpower fault enable 
bit 13 Overpower fault enable 
bit 14 Under power factor fault enable 
</t>
    </r>
    <r>
      <rPr>
        <sz val="12"/>
        <color rgb="FFFF0000"/>
        <rFont val="Calibri"/>
        <family val="2"/>
      </rPr>
      <t>bit 15 Over power factor fault enable</t>
    </r>
  </si>
  <si>
    <t>Alarm enable register 2</t>
  </si>
  <si>
    <r>
      <t xml:space="preserve">bit 0 (Reserved)
</t>
    </r>
    <r>
      <rPr>
        <sz val="12"/>
        <color rgb="FFFF0000"/>
        <rFont val="Calibri"/>
        <family val="2"/>
      </rPr>
      <t>bit 1 Diagnostic warning enable</t>
    </r>
    <r>
      <rPr>
        <sz val="12"/>
        <rFont val="Calibri"/>
        <family val="2"/>
      </rPr>
      <t xml:space="preserve">
bit 2 (Reserved)
bit 3 Overcurrent warning enable
bit 4 Current Phase loss warning enable
bit 5 (Reserved)
</t>
    </r>
    <r>
      <rPr>
        <sz val="12"/>
        <color theme="1"/>
        <rFont val="Calibri"/>
        <family val="2"/>
      </rPr>
      <t>bit 6 Temperature (Main Unit) warning enable</t>
    </r>
    <r>
      <rPr>
        <sz val="12"/>
        <rFont val="Calibri"/>
        <family val="2"/>
      </rPr>
      <t xml:space="preserve">
bit 7 Voltage imbalance warning enable 
bit 8 Voltage phase loss warning enable 
bit 9 (Reserved) 
bit 10 Undervoltage warning enable 
bit 11 Overvoltage warning enable 
bit 12 Underpower warning enable 
bit 13 Overpower warning enable 
bit 14 Under power factor warning enable 
</t>
    </r>
    <r>
      <rPr>
        <sz val="12"/>
        <color rgb="FFFF0000"/>
        <rFont val="Calibri"/>
        <family val="2"/>
      </rPr>
      <t>bit 15 Over power factor warning enable</t>
    </r>
  </si>
  <si>
    <t>Settings</t>
  </si>
  <si>
    <t>Date_time SS 00 (BCD)</t>
  </si>
  <si>
    <t>Date_time HH mm (BCD)</t>
  </si>
  <si>
    <t>Date_time MM DD (BCD)</t>
  </si>
  <si>
    <t>Date_time YY YY (BCD)</t>
  </si>
  <si>
    <t>Permissive Commands</t>
  </si>
  <si>
    <t>Bit 0: Permissive Command 1
Bit 1: Permissive Command 2
Bit 2: Permissive Command 3
Bit 3: Permissive Command 4
Bit 4: Permissive Command 5
Bit 5: Permissive Command 6
Bit 6: Permissive Command 7
Bit 7: Permissive Command 8</t>
  </si>
  <si>
    <t>Command register 1</t>
  </si>
  <si>
    <r>
      <t xml:space="preserve">bit 0: Motor run forward / High speed forward command
bit 1: Motor run reverse / High speed reverse command
</t>
    </r>
    <r>
      <rPr>
        <sz val="12"/>
        <color rgb="FFFF0000"/>
        <rFont val="Calibri"/>
        <family val="2"/>
      </rPr>
      <t xml:space="preserve">bit 2:Local/Remote Mode Sel 1
</t>
    </r>
    <r>
      <rPr>
        <sz val="12"/>
        <rFont val="Calibri"/>
        <family val="2"/>
      </rPr>
      <t xml:space="preserve">bit 3: Trip reset command
</t>
    </r>
    <r>
      <rPr>
        <sz val="12"/>
        <color rgb="FFFF0000"/>
        <rFont val="Calibri"/>
        <family val="2"/>
      </rPr>
      <t>bit 4: Local/Remote Mode Sel 2</t>
    </r>
    <r>
      <rPr>
        <sz val="12"/>
        <rFont val="Calibri"/>
        <family val="2"/>
      </rPr>
      <t xml:space="preserve">
bit 5: Self test (without trip) command
bit 6: Motor low speed forward command
bit 7: Motor low speed reverse command
bit 8: Reset Inhibit command
bit 9: Reset no of starts command
bit 10: Reset no of stops command
bit 11: Clear Energy command
bit 12: Motor Stop command
bit 13: Logic test command
bit 14: Reset run hour command
bit 15: Self test (with trip) command</t>
    </r>
  </si>
  <si>
    <t>Command register 2</t>
  </si>
  <si>
    <r>
      <rPr>
        <sz val="12"/>
        <color theme="1"/>
        <rFont val="Calibri"/>
        <family val="2"/>
      </rPr>
      <t xml:space="preserve">bit 0: Clear all command
bit 1: Reserved
bit 2: Clear thermal capacity level command
bit 3: Clear controller settings command
</t>
    </r>
    <r>
      <rPr>
        <sz val="12"/>
        <rFont val="Calibri"/>
        <family val="2"/>
      </rPr>
      <t>bit 4: Clear network port settings command</t>
    </r>
    <r>
      <rPr>
        <sz val="12"/>
        <color rgb="FFFF0000"/>
        <rFont val="Calibri"/>
        <family val="2"/>
      </rPr>
      <t xml:space="preserve">
</t>
    </r>
    <r>
      <rPr>
        <sz val="12"/>
        <rFont val="Calibri"/>
        <family val="2"/>
      </rPr>
      <t>bit 5: Clear Trip counter command
bit 6: Factory reset command
bit 7: Soft starter reset command
bits 8-12: Reserved
bit 13: Store reference start curve command
bit 14: Clear trip records command
bit 15: Clear event records command</t>
    </r>
  </si>
  <si>
    <t>User Map addresses</t>
  </si>
  <si>
    <t>Parameter 1</t>
  </si>
  <si>
    <t>Parameter 2</t>
  </si>
  <si>
    <t>Parameter 3</t>
  </si>
  <si>
    <t>Parameter 4</t>
  </si>
  <si>
    <t>Parameter 5</t>
  </si>
  <si>
    <t>Parameter 6</t>
  </si>
  <si>
    <t>Parameter 7</t>
  </si>
  <si>
    <t>Parameter 8</t>
  </si>
  <si>
    <t>Parameter 9</t>
  </si>
  <si>
    <t>Parameter 10</t>
  </si>
  <si>
    <t>Parameter 11</t>
  </si>
  <si>
    <t>Parameter 12</t>
  </si>
  <si>
    <t>Parameter 13</t>
  </si>
  <si>
    <t>Parameter 14</t>
  </si>
  <si>
    <t>Parameter 15</t>
  </si>
  <si>
    <t>Parameter 16</t>
  </si>
  <si>
    <t>Parameter 17</t>
  </si>
  <si>
    <t>Parameter 18</t>
  </si>
  <si>
    <t>Parameter 19</t>
  </si>
  <si>
    <t>Parameter 20</t>
  </si>
  <si>
    <t>Parameter 21</t>
  </si>
  <si>
    <t>Parameter 22</t>
  </si>
  <si>
    <t>Parameter 23</t>
  </si>
  <si>
    <t>Parameter 24</t>
  </si>
  <si>
    <t>Parameter 25</t>
  </si>
  <si>
    <t>Parameter 26</t>
  </si>
  <si>
    <t>Parameter 27</t>
  </si>
  <si>
    <t>Parameter 28</t>
  </si>
  <si>
    <t>Parameter 29</t>
  </si>
  <si>
    <t>Parameter 30</t>
  </si>
  <si>
    <t>Parameter 31</t>
  </si>
  <si>
    <t>Parameter 32</t>
  </si>
  <si>
    <t>Parameter 33</t>
  </si>
  <si>
    <t>Parameter 34</t>
  </si>
  <si>
    <t>Parameter 35</t>
  </si>
  <si>
    <t>Parameter 36</t>
  </si>
  <si>
    <t>Parameter 37</t>
  </si>
  <si>
    <t>Parameter 38</t>
  </si>
  <si>
    <t>Parameter 39</t>
  </si>
  <si>
    <t>Parameter 40</t>
  </si>
  <si>
    <t>Parameter 41</t>
  </si>
  <si>
    <t>Parameter 42</t>
  </si>
  <si>
    <t>Parameter 43</t>
  </si>
  <si>
    <t>Parameter 44</t>
  </si>
  <si>
    <t>Parameter 45</t>
  </si>
  <si>
    <t>Parameter 46</t>
  </si>
  <si>
    <t>Parameter 47</t>
  </si>
  <si>
    <t>Parameter 48</t>
  </si>
  <si>
    <t>Parameter 49</t>
  </si>
  <si>
    <t>Parameter 50</t>
  </si>
  <si>
    <t>Parameter 51</t>
  </si>
  <si>
    <t>Parameter 52</t>
  </si>
  <si>
    <t>Parameter 53</t>
  </si>
  <si>
    <t>Parameter 54</t>
  </si>
  <si>
    <t>Parameter 55</t>
  </si>
  <si>
    <t>Parameter 56</t>
  </si>
  <si>
    <t>Parameter 57</t>
  </si>
  <si>
    <t>Parameter 58</t>
  </si>
  <si>
    <t>Parameter 59</t>
  </si>
  <si>
    <t>Parameter 60</t>
  </si>
  <si>
    <t>Parameter 61</t>
  </si>
  <si>
    <t>Parameter 62</t>
  </si>
  <si>
    <t>Parameter 63</t>
  </si>
  <si>
    <t>Parameter 64</t>
  </si>
  <si>
    <t>Parameter 65</t>
  </si>
  <si>
    <t>Parameter 66</t>
  </si>
  <si>
    <t>Parameter 67</t>
  </si>
  <si>
    <t>Parameter 68</t>
  </si>
  <si>
    <t>Parameter 69</t>
  </si>
  <si>
    <t>Parameter 70</t>
  </si>
  <si>
    <t>Parameter 71</t>
  </si>
  <si>
    <t>Parameter 72</t>
  </si>
  <si>
    <t>Parameter 73</t>
  </si>
  <si>
    <t>Parameter 74</t>
  </si>
  <si>
    <t>Parameter 75</t>
  </si>
  <si>
    <t>Parameter 76</t>
  </si>
  <si>
    <t>Parameter 77</t>
  </si>
  <si>
    <t>Parameter 78</t>
  </si>
  <si>
    <t>Parameter 79</t>
  </si>
  <si>
    <t>Parameter 80</t>
  </si>
  <si>
    <t>Parameter 81</t>
  </si>
  <si>
    <t>Parameter 82</t>
  </si>
  <si>
    <t>Parameter 83</t>
  </si>
  <si>
    <t>Parameter 84</t>
  </si>
  <si>
    <t>Parameter 85</t>
  </si>
  <si>
    <t>Parameter 86</t>
  </si>
  <si>
    <t>Parameter 87</t>
  </si>
  <si>
    <t>Parameter 88</t>
  </si>
  <si>
    <t>Parameter 89</t>
  </si>
  <si>
    <t>Parameter 90</t>
  </si>
  <si>
    <t>Parameter 91</t>
  </si>
  <si>
    <t>Parameter 92</t>
  </si>
  <si>
    <t>Parameter 93</t>
  </si>
  <si>
    <t>Parameter 94</t>
  </si>
  <si>
    <t>Parameter 95</t>
  </si>
  <si>
    <t>Parameter 96</t>
  </si>
  <si>
    <t>Parameter 97</t>
  </si>
  <si>
    <t>Parameter 98</t>
  </si>
  <si>
    <t>Parameter 99</t>
  </si>
  <si>
    <t>Parameter 100</t>
  </si>
  <si>
    <t>User Map values</t>
  </si>
  <si>
    <t>HMI registers</t>
  </si>
  <si>
    <t>HMI Keys (Programmable)</t>
  </si>
  <si>
    <t>Custom Logic Variables</t>
  </si>
  <si>
    <t>Custom logic status register</t>
  </si>
  <si>
    <t>Custom logic version</t>
  </si>
  <si>
    <t>Custom logic memory space</t>
  </si>
  <si>
    <t>Custom logic memory used</t>
  </si>
  <si>
    <t>Custom logic temporary space</t>
  </si>
  <si>
    <t>Custom logic non-volatile space</t>
  </si>
  <si>
    <t>Custom logic setting register 1</t>
  </si>
  <si>
    <t>Custom logic command register 1</t>
  </si>
  <si>
    <t>Custom logic monitoring register 1</t>
  </si>
  <si>
    <t>TesysTera CL DO Input Information</t>
  </si>
  <si>
    <t>Bit 0:CL DO1 Input information
Bit 1:CL DO2 Input information
Bit 2:CL DO3 Input information
Bit 3:CL DO4 Input information
Bit 4:CL DO5 Input information
Bit 5:CL DO6 Input information
Bit 6:CL DO7 Input information
Bit 7:CL DO8 Input information
Bit 8:CL DO9 Input information
Bit 9:CL DO10 Input information
Bit 10:CL DO11 Input information
Bit 11:CL DO12 Input information
Bit 12:CL DO13 Input information
Bit 13:NA
Bit 14:NA
Bit 15:NA</t>
  </si>
  <si>
    <t>Custom logic general purpose register1</t>
  </si>
  <si>
    <t>Custom logic general purpose register2</t>
  </si>
  <si>
    <t>Custom logic general purpose register3</t>
  </si>
  <si>
    <t>Custom logic general purpose register4</t>
  </si>
  <si>
    <t>Custom logic general purpose register5</t>
  </si>
  <si>
    <t>Custom logic general purpose register6</t>
  </si>
  <si>
    <t>Custom logic general purpose register7</t>
  </si>
  <si>
    <t>Custom logic general purpose register8</t>
  </si>
  <si>
    <t>Custom logic general purpose register9</t>
  </si>
  <si>
    <t>Custom logic general purpose register10</t>
  </si>
  <si>
    <t>Custom logic general purpose register11</t>
  </si>
  <si>
    <t>Custom logic general purpose register12</t>
  </si>
  <si>
    <t>Custom logic general purpose register13</t>
  </si>
  <si>
    <t>Custom logic general purpose register14</t>
  </si>
  <si>
    <t>Custom logic general purpose register15</t>
  </si>
  <si>
    <t>Custom logic general purpose register16</t>
  </si>
  <si>
    <t>Custom logic general purpose register17</t>
  </si>
  <si>
    <t>Custom logic general purpose register18</t>
  </si>
  <si>
    <t>Custom logic general purpose register19</t>
  </si>
  <si>
    <t>Custom logic general purpose register20</t>
  </si>
  <si>
    <t>Custom logic general purpose register21</t>
  </si>
  <si>
    <t>Custom logic general purpose register22</t>
  </si>
  <si>
    <t>Custom logic general purpose register23</t>
  </si>
  <si>
    <t>Custom logic general purpose register24</t>
  </si>
  <si>
    <t>Custom logic general purpose register25</t>
  </si>
  <si>
    <t>Custom logic general purpose register26</t>
  </si>
  <si>
    <t>Custom logic general purpose register27</t>
  </si>
  <si>
    <t>Custom logic general purpose register28</t>
  </si>
  <si>
    <t>Custom logic general purpose register29</t>
  </si>
  <si>
    <t>Custom logic general purpose register30</t>
  </si>
  <si>
    <t>Custom logic general purpose register31</t>
  </si>
  <si>
    <t>Custom logic general purpose register32</t>
  </si>
  <si>
    <t>Custom logic general purpose register33</t>
  </si>
  <si>
    <t>Custom logic general purpose register34</t>
  </si>
  <si>
    <t>Custom logic general purpose register35</t>
  </si>
  <si>
    <t>Custom logic general purpose register36</t>
  </si>
  <si>
    <t>Custom logic general purpose register37</t>
  </si>
  <si>
    <t>Custom logic general purpose register38</t>
  </si>
  <si>
    <t>Custom logic general purpose register39</t>
  </si>
  <si>
    <t>Custom logic general purpose register40</t>
  </si>
  <si>
    <t>Custom logic general purpose register41</t>
  </si>
  <si>
    <t>Custom logic general purpose register42</t>
  </si>
  <si>
    <t>Custom logic general purpose register43</t>
  </si>
  <si>
    <t>Custom logic general purpose register44</t>
  </si>
  <si>
    <t>Custom logic general purpose register45</t>
  </si>
  <si>
    <t>Custom logic general purpose register46</t>
  </si>
  <si>
    <t>Custom logic general purpose register47</t>
  </si>
  <si>
    <t>Custom logic general purpose register48</t>
  </si>
  <si>
    <t>Custom logic general purpose register49</t>
  </si>
  <si>
    <t>Custom logic general purpose register50</t>
  </si>
  <si>
    <t>Custom logic general purpose register51</t>
  </si>
  <si>
    <t>Custom logic general purpose register52</t>
  </si>
  <si>
    <t>Custom logic general purpose register53</t>
  </si>
  <si>
    <t>Custom logic general purpose register54</t>
  </si>
  <si>
    <t>Custom logic general purpose register55</t>
  </si>
  <si>
    <t>Custom logic general purpose register56</t>
  </si>
  <si>
    <t>Custom logic general purpose register57</t>
  </si>
  <si>
    <t>Custom logic general purpose register58</t>
  </si>
  <si>
    <t>Custom logic general purpose register59</t>
  </si>
  <si>
    <t>Custom logic general purpose register60</t>
  </si>
  <si>
    <t>Custom logic general purpose register61</t>
  </si>
  <si>
    <t>Custom logic general purpose register62</t>
  </si>
  <si>
    <t>Custom logic general purpose register63</t>
  </si>
  <si>
    <t>Custom logic general purpose register64</t>
  </si>
  <si>
    <t>Custom logic general purpose register65</t>
  </si>
  <si>
    <t>Custom logic general purpose register66</t>
  </si>
  <si>
    <t>Custom logic general purpose register67</t>
  </si>
  <si>
    <t>Custom logic general purpose register68</t>
  </si>
  <si>
    <t>Custom logic general purpose register69</t>
  </si>
  <si>
    <t>Custom logic general purpose register70</t>
  </si>
  <si>
    <t>Custom logic general purpose register71</t>
  </si>
  <si>
    <t>Custom logic general purpose register72</t>
  </si>
  <si>
    <t>Custom logic general purpose register73</t>
  </si>
  <si>
    <t>Custom logic general purpose register74</t>
  </si>
  <si>
    <t>Custom logic general purpose register75</t>
  </si>
  <si>
    <t>Custom logic general purpose register76</t>
  </si>
  <si>
    <t>Custom logic general purpose register77</t>
  </si>
  <si>
    <t>Custom logic general purpose register78</t>
  </si>
  <si>
    <t>Custom logic general purpose register79</t>
  </si>
  <si>
    <t>Custom logic general purpose register80</t>
  </si>
  <si>
    <t>Custom logic general purpose register81</t>
  </si>
  <si>
    <t>Custom logic general purpose register82</t>
  </si>
  <si>
    <t>Custom logic general purpose register83</t>
  </si>
  <si>
    <t>Custom logic general purpose register84</t>
  </si>
  <si>
    <t>Custom logic general purpose register85</t>
  </si>
  <si>
    <t>Custom logic general purpose register86</t>
  </si>
  <si>
    <t>Custom logic general purpose register87</t>
  </si>
  <si>
    <t>Custom logic general purpose register88</t>
  </si>
  <si>
    <t>Custom logic general purpose register89</t>
  </si>
  <si>
    <t>Custom logic general purpose register90</t>
  </si>
  <si>
    <t>Custom logic general purpose register91</t>
  </si>
  <si>
    <t>Custom logic general purpose register92</t>
  </si>
  <si>
    <t>Custom logic general purpose register93</t>
  </si>
  <si>
    <t>Custom logic general purpose register94</t>
  </si>
  <si>
    <t>Custom logic general purpose register95</t>
  </si>
  <si>
    <t>Custom logic general purpose register96</t>
  </si>
  <si>
    <t>Custom logic general purpose register97</t>
  </si>
  <si>
    <t>Custom logic general purpose register98</t>
  </si>
  <si>
    <t>Custom logic general purpose register99</t>
  </si>
  <si>
    <t>Only applicable for Modbus/TCP and EIP</t>
  </si>
  <si>
    <t>Mirroring Variables</t>
  </si>
  <si>
    <t>140-&gt;01-&gt;</t>
  </si>
  <si>
    <t>8C-&gt;01-&gt;</t>
  </si>
  <si>
    <t>Mirror register 1: Not applicable</t>
  </si>
  <si>
    <t>Mirror register 2: Not applicable</t>
  </si>
  <si>
    <t>R/W</t>
  </si>
  <si>
    <t>Command Register 1</t>
  </si>
  <si>
    <t>bit 0: Motor run forward / High speed forward command
bit 1: Motor run reverse / High speed reverse command
bit 2:Local/Remote Mode Sel 1
bit 3: Trip reset command
bit 4: Local/Remote Mode Sel 2
bit 5: Self test (without trip) command
bit 6: Motor low speed forward command
bit 7: Motor low speed reverse command
bit 8: Reset Inhibit command
bit 9: Reset no of starts command
bit 10: Reset no of stops command
bit 11: Clear Energy command
bit 12: Motor Stop command
bit 13: Logic test command
bit 14: Reset run hour command
bit 15: Self test (with trip) command</t>
  </si>
  <si>
    <t>Table 1</t>
  </si>
  <si>
    <t xml:space="preserve">Last trip statistics Register </t>
  </si>
  <si>
    <t xml:space="preserve">Trip n-1 statistics Register </t>
  </si>
  <si>
    <t xml:space="preserve">Trip n-2 statistics Register </t>
  </si>
  <si>
    <t xml:space="preserve">Trip n-3 statistics Register </t>
  </si>
  <si>
    <t xml:space="preserve">Trip n-4 statistics Register </t>
  </si>
  <si>
    <t>Variable Type</t>
  </si>
  <si>
    <t xml:space="preserve"> Read-only Variables </t>
  </si>
  <si>
    <t xml:space="preserve"> Trip code</t>
  </si>
  <si>
    <t xml:space="preserve"> Motor full load current ratio (% FLC max)</t>
  </si>
  <si>
    <t xml:space="preserve"> Thermal capacity level (% trip level)</t>
  </si>
  <si>
    <t xml:space="preserve"> Average current ratio (% FLC)</t>
  </si>
  <si>
    <t xml:space="preserve"> L1 current ratio (% FLC)</t>
  </si>
  <si>
    <t xml:space="preserve"> L2 current ratio  (% FLC)</t>
  </si>
  <si>
    <t xml:space="preserve"> L3 current ratio (% FLC)</t>
  </si>
  <si>
    <t xml:space="preserve"> Ground current ratio (x 0.1 % FLC min)</t>
  </si>
  <si>
    <t xml:space="preserve"> Full load current max (x 0.1 A)</t>
  </si>
  <si>
    <t xml:space="preserve"> Current phase imbalance (%)</t>
  </si>
  <si>
    <t xml:space="preserve"> Frequency (x 0.1 Hz) </t>
  </si>
  <si>
    <t xml:space="preserve"> Motor temperature sensor (x 0.1 Ω)</t>
  </si>
  <si>
    <t>162-165</t>
  </si>
  <si>
    <t>192-195</t>
  </si>
  <si>
    <t>222-225</t>
  </si>
  <si>
    <t>252-255</t>
  </si>
  <si>
    <t>282-285</t>
  </si>
  <si>
    <t>UINT16 (4)</t>
  </si>
  <si>
    <t xml:space="preserve">DateTime </t>
  </si>
  <si>
    <t xml:space="preserve"> Average voltage (V) </t>
  </si>
  <si>
    <t xml:space="preserve"> L3-L1 voltage (V) </t>
  </si>
  <si>
    <t xml:space="preserve"> L1-L2 voltage (V) </t>
  </si>
  <si>
    <t xml:space="preserve"> L2-L3 voltage (V) </t>
  </si>
  <si>
    <t xml:space="preserve"> Voltage phase imbalance (%) </t>
  </si>
  <si>
    <t xml:space="preserve"> Active power (x 0.1 kW) </t>
  </si>
  <si>
    <t xml:space="preserve"> Power factor (x 0.01) </t>
  </si>
  <si>
    <t xml:space="preserve">173-179 </t>
  </si>
  <si>
    <t>203-209</t>
  </si>
  <si>
    <t>233-239</t>
  </si>
  <si>
    <t>263-269</t>
  </si>
  <si>
    <t xml:space="preserve">293-299 </t>
  </si>
  <si>
    <t>Table 2</t>
  </si>
  <si>
    <t>Last trip extention Register</t>
  </si>
  <si>
    <t>Trip n-1 extention  Register</t>
  </si>
  <si>
    <t>Trip n-2 extention  Register</t>
  </si>
  <si>
    <t>Trip n-3 extention Register</t>
  </si>
  <si>
    <t>Trip n-4 extention Register</t>
  </si>
  <si>
    <t>300-301</t>
  </si>
  <si>
    <t>330-331</t>
  </si>
  <si>
    <t>360-361</t>
  </si>
  <si>
    <t>390-391</t>
  </si>
  <si>
    <t>420-421</t>
  </si>
  <si>
    <t>Average current (x 0.01 A)</t>
  </si>
  <si>
    <t>302-303</t>
  </si>
  <si>
    <t>332-333</t>
  </si>
  <si>
    <t>362-363</t>
  </si>
  <si>
    <t>392-393</t>
  </si>
  <si>
    <t>422-423</t>
  </si>
  <si>
    <t>L1 current (x 0.01 A)</t>
  </si>
  <si>
    <t>304-305</t>
  </si>
  <si>
    <t>334-335</t>
  </si>
  <si>
    <t>364-365</t>
  </si>
  <si>
    <t>394-395</t>
  </si>
  <si>
    <t>424-425</t>
  </si>
  <si>
    <t>L2 current (x 0.01 A)</t>
  </si>
  <si>
    <t>306-307</t>
  </si>
  <si>
    <t>336-337</t>
  </si>
  <si>
    <t>366-367</t>
  </si>
  <si>
    <t>396-397</t>
  </si>
  <si>
    <t>426-427</t>
  </si>
  <si>
    <t>L3 current (x 0.01 A)</t>
  </si>
  <si>
    <t>308-309</t>
  </si>
  <si>
    <t>338-339</t>
  </si>
  <si>
    <t>368-369</t>
  </si>
  <si>
    <t>398-399</t>
  </si>
  <si>
    <t>428-429</t>
  </si>
  <si>
    <t>Ground current (mA)</t>
  </si>
  <si>
    <t>Motor temperature sensor degree  (°C)</t>
  </si>
  <si>
    <t>reserved</t>
  </si>
  <si>
    <t>bits 0-1 (Reserved)
bit 2 Calculated ground trip fault enable
bit 3 Thermal overload fault enable
bit 4 Long start fault enable
bit 5 Stalled Rotor fault enable
bit 6 Current phase imbalance fault enable 
bit 7 Undercurrent fault enable
bit 8 (Reserved)
bit 9 Self test enable
 0 = disable
 1 = enable (factory setting)
bit 10 HMI port fault enable
bits 11-14 (Reserved)
bit 15 Network port fault enable</t>
  </si>
  <si>
    <t>Register Address</t>
  </si>
  <si>
    <t>Current protection</t>
  </si>
  <si>
    <t>Thermal overload</t>
  </si>
  <si>
    <t>Function</t>
  </si>
  <si>
    <t>0 - Disable
1 - Alarm
2 - Trip
3 - Alarm +Trip</t>
  </si>
  <si>
    <t>Service Factor</t>
  </si>
  <si>
    <t>Trip Class</t>
  </si>
  <si>
    <t>Alarm level</t>
  </si>
  <si>
    <t>Reset Mode</t>
  </si>
  <si>
    <t>Bit 0 - Reset Key
Bit 1 - DI
Bit 2 - Communication
Bit 3 - Auto</t>
  </si>
  <si>
    <t>Thermal Reset level</t>
  </si>
  <si>
    <t>Start Inhibit level</t>
  </si>
  <si>
    <t>Cool Down Function</t>
  </si>
  <si>
    <t>0 - Disable
1 - Enable</t>
  </si>
  <si>
    <t>Cool Down Time</t>
  </si>
  <si>
    <t xml:space="preserve">Seconds </t>
  </si>
  <si>
    <t>Pause Function</t>
  </si>
  <si>
    <t>Pause Time</t>
  </si>
  <si>
    <t>Block Function</t>
  </si>
  <si>
    <t>Block Level</t>
  </si>
  <si>
    <t>Block time</t>
  </si>
  <si>
    <t>Auxillary Fan</t>
  </si>
  <si>
    <t xml:space="preserve">Stalled Rotor </t>
  </si>
  <si>
    <t xml:space="preserve">Pickup </t>
  </si>
  <si>
    <t>Time delay</t>
  </si>
  <si>
    <t>Auto-Reset Delay</t>
  </si>
  <si>
    <t>Locked Rotor</t>
  </si>
  <si>
    <t>Pickup</t>
  </si>
  <si>
    <t>Definite time Overcurrent</t>
  </si>
  <si>
    <t>Time delay during Motor Start (TpS)</t>
  </si>
  <si>
    <t>Time delay during Motor Run (TpR)</t>
  </si>
  <si>
    <t>Normal inverse overcurrent</t>
  </si>
  <si>
    <t>Time Multiplier (TMS)</t>
  </si>
  <si>
    <t>Short time overcurrent</t>
  </si>
  <si>
    <t xml:space="preserve">Calculated ground fault </t>
  </si>
  <si>
    <t>Function while motor starting</t>
  </si>
  <si>
    <t>Measured ground fault</t>
  </si>
  <si>
    <t>mA</t>
  </si>
  <si>
    <t>Phase Under current</t>
  </si>
  <si>
    <t>Current Imbalace</t>
  </si>
  <si>
    <t>Phase Loss Settings:IPL</t>
  </si>
  <si>
    <t>Phase Reversal</t>
  </si>
  <si>
    <t>Voltage Based Protection</t>
  </si>
  <si>
    <t>Phase Under VoltagePHUV:NULL</t>
  </si>
  <si>
    <t>%Vn</t>
  </si>
  <si>
    <t>Phase Over Voltage</t>
  </si>
  <si>
    <t>Phase Loss Settings</t>
  </si>
  <si>
    <t>Voltage Imbalace</t>
  </si>
  <si>
    <t>Under Frequency</t>
  </si>
  <si>
    <t>%Frequency</t>
  </si>
  <si>
    <t>Over Frequency</t>
  </si>
  <si>
    <t>Under Power</t>
  </si>
  <si>
    <t>%Pnominal</t>
  </si>
  <si>
    <t>Over Power</t>
  </si>
  <si>
    <t>Under Power Factor</t>
  </si>
  <si>
    <t>PF</t>
  </si>
  <si>
    <t>Control Functions</t>
  </si>
  <si>
    <t>Excessive Start Time</t>
  </si>
  <si>
    <t>Run Threshold</t>
  </si>
  <si>
    <t>Voltage Dip: VDIP: NULL</t>
  </si>
  <si>
    <t>0 - Disable
1 - Load shedding
2 - Auto restart</t>
  </si>
  <si>
    <t>Voltage Dip</t>
  </si>
  <si>
    <t>Voltage Restoration</t>
  </si>
  <si>
    <t>Voltage dip restart timeout</t>
  </si>
  <si>
    <t>sec</t>
  </si>
  <si>
    <t>Delayed restart timeout</t>
  </si>
  <si>
    <t>Bypass STOP_DI</t>
  </si>
  <si>
    <t>immediate restart timeout</t>
  </si>
  <si>
    <t>Load shedding timeout</t>
  </si>
  <si>
    <t>Maximum number of Starts</t>
  </si>
  <si>
    <t>Permissive Starts</t>
  </si>
  <si>
    <t>Reference time</t>
  </si>
  <si>
    <t>Minutes</t>
  </si>
  <si>
    <t>Inhibit Period</t>
  </si>
  <si>
    <t>Time Between Starts</t>
  </si>
  <si>
    <t>Motor stop error detection</t>
  </si>
  <si>
    <t>Time Delay</t>
  </si>
  <si>
    <t>Bit 0 - Reset Key
Bit 1 - DI
Bit 2 - Communication</t>
  </si>
  <si>
    <t>Device Internal</t>
  </si>
  <si>
    <t>1 - Enable</t>
  </si>
  <si>
    <t>Configuration error, CT communication loss, Exp comm loss, Internal temperature</t>
  </si>
  <si>
    <t>0x03,0x06,0x12</t>
  </si>
  <si>
    <t>Communication loss</t>
  </si>
  <si>
    <t>Trip in Remote mode only</t>
  </si>
  <si>
    <t>Temperature (Main Unit)</t>
  </si>
  <si>
    <t>PT100 Pickup</t>
  </si>
  <si>
    <t>Refer Min max values as per the unit selected for temperature measurement</t>
  </si>
  <si>
    <t>F</t>
  </si>
  <si>
    <t>PTC Pickup</t>
  </si>
  <si>
    <t>PTC Pickup Reset</t>
  </si>
  <si>
    <t>PT100 Alarm Level</t>
  </si>
  <si>
    <t>Block Output</t>
  </si>
  <si>
    <t>Contactor/Braker Open Time</t>
  </si>
  <si>
    <t>Anti backspin timer</t>
  </si>
  <si>
    <t>HMI Communication loss</t>
  </si>
  <si>
    <t>DI Interlock Protections</t>
  </si>
  <si>
    <t>DI 1</t>
  </si>
  <si>
    <t>DI 2</t>
  </si>
  <si>
    <t>DI 3</t>
  </si>
  <si>
    <t>DI 4</t>
  </si>
  <si>
    <t>DI 5</t>
  </si>
  <si>
    <t>DI 6</t>
  </si>
  <si>
    <t>DI 7</t>
  </si>
  <si>
    <t>DI 8</t>
  </si>
  <si>
    <t>DI 9</t>
  </si>
  <si>
    <t>DI 10</t>
  </si>
  <si>
    <t>DI 11</t>
  </si>
  <si>
    <t>DI 12</t>
  </si>
  <si>
    <t>AI Protections</t>
  </si>
  <si>
    <t>AI 1</t>
  </si>
  <si>
    <t>Detection</t>
  </si>
  <si>
    <t>0 - Under
1 - Over</t>
  </si>
  <si>
    <t>Alarm</t>
  </si>
  <si>
    <t>AI 2</t>
  </si>
  <si>
    <t>AI 3</t>
  </si>
  <si>
    <t>AI 4</t>
  </si>
  <si>
    <t>Temperature Protections</t>
  </si>
  <si>
    <t>TI 1</t>
  </si>
  <si>
    <t>Temp Pickup</t>
  </si>
  <si>
    <t>INT16</t>
  </si>
  <si>
    <t xml:space="preserve">Diagnostic </t>
  </si>
  <si>
    <t>Temp Alarm Level</t>
  </si>
  <si>
    <t>TI 2</t>
  </si>
  <si>
    <t>TI 3</t>
  </si>
  <si>
    <t>TI 4</t>
  </si>
  <si>
    <t>TI 5</t>
  </si>
  <si>
    <t>TI 6</t>
  </si>
  <si>
    <t>TI 7</t>
  </si>
  <si>
    <t>TI 8</t>
  </si>
  <si>
    <t>TI 9</t>
  </si>
  <si>
    <t>TI 10</t>
  </si>
  <si>
    <t>TI 11</t>
  </si>
  <si>
    <t>TI 12</t>
  </si>
  <si>
    <t>TI 13</t>
  </si>
  <si>
    <t>TI 14</t>
  </si>
  <si>
    <t>TI 15</t>
  </si>
  <si>
    <t>Misc. Settings</t>
  </si>
  <si>
    <t>Hysteresis  Settings</t>
  </si>
  <si>
    <t>Current Protection</t>
  </si>
  <si>
    <t>Voltage Protection</t>
  </si>
  <si>
    <t>Frequency Protection</t>
  </si>
  <si>
    <t>Power Protection</t>
  </si>
  <si>
    <t>Analog Input Protection</t>
  </si>
  <si>
    <t>Temperature Protection</t>
  </si>
  <si>
    <t>Fallback setting</t>
  </si>
  <si>
    <t>Source</t>
  </si>
  <si>
    <t>0:None
1: Communication loss
2: HMI communication loss
3: Both</t>
  </si>
  <si>
    <t>DO1 State</t>
  </si>
  <si>
    <t>0: OFF
1: HOLD
2: ON</t>
  </si>
  <si>
    <t>DO2 State</t>
  </si>
  <si>
    <t>DO3 State</t>
  </si>
  <si>
    <t>DO4 State</t>
  </si>
  <si>
    <t>DO5 State</t>
  </si>
  <si>
    <t>DO6 State</t>
  </si>
  <si>
    <t>DO7 State</t>
  </si>
  <si>
    <t>DO8 State</t>
  </si>
  <si>
    <t>DO9 State</t>
  </si>
  <si>
    <t>DO10 State</t>
  </si>
  <si>
    <t>DO11 State</t>
  </si>
  <si>
    <t>DO12 State</t>
  </si>
  <si>
    <t>DO13 State</t>
  </si>
  <si>
    <t>Device Configuration</t>
  </si>
  <si>
    <t>Sensor Module Type</t>
  </si>
  <si>
    <t xml:space="preserve">1 - LTMTCT3L
2 - LTMTCTV3L
3 - LTMTCT3T
4 - LTMTCTV3T
5 - LTMTCT25L
6 - LTMTCTV25L
7 - LTMTCT25T
8 - LTMTCTV25T
9 - LTMTCT70L
10 - LTMTCTV70L
11 - LTMTCT100T
12 - LTMTCTV100T
13 - LTMTCTV3UT
14 - LTMTCTV25UT
15 - LTMTCTV100UT
</t>
  </si>
  <si>
    <t>Expansion Module 1 Type</t>
  </si>
  <si>
    <t>0 - None
1 - LTMTIN42FM
2 - LTMTIN42BD
3 - LTMTIN60FM
4 - LTMTIN60BD
5 - LTMTZCT22FM
6 - LTMTZCT22BD
7 - LTMTAN21
8 - LTMTPTC</t>
  </si>
  <si>
    <t>Expansion Module 1 Setting</t>
  </si>
  <si>
    <t>0 to 1 - For future use
Applicable Only for Temperature Module:
2 - PT100
3 - PT1000
4 - KTY83
5 - KTY84
6 - NTC
7- PTC
8 to 10 - For future use</t>
  </si>
  <si>
    <t>Expansion Module 2 Type</t>
  </si>
  <si>
    <t>Expansion Module 2 Setting</t>
  </si>
  <si>
    <t>Expansion Module 3 Type</t>
  </si>
  <si>
    <t>Expansion Module 3 Setting</t>
  </si>
  <si>
    <t>Expansion Module 4 Type</t>
  </si>
  <si>
    <t>Expansion Module 4 Setting</t>
  </si>
  <si>
    <t>Expansion Module 5 Type</t>
  </si>
  <si>
    <t>Expansion Module 5 Setting</t>
  </si>
  <si>
    <t>Main Unit Temperature</t>
  </si>
  <si>
    <t>0 - None
1 - PT100
2 - PTC</t>
  </si>
  <si>
    <t>Modbus Settings Not Applicable for Ethernet (Reserved bytes in case of Ethernet Variants)</t>
  </si>
  <si>
    <t>Node Address</t>
  </si>
  <si>
    <t>0x03,0x10</t>
  </si>
  <si>
    <t>Parity</t>
  </si>
  <si>
    <t>0 = None
1 = ODD
2 = EVEN</t>
  </si>
  <si>
    <t>Baud Rate</t>
  </si>
  <si>
    <t>0 = 2400
1 =  4800
2 = 9600
3=  19200
4 = 38400
5 = 57600
6 = 115200</t>
  </si>
  <si>
    <t>Timeout</t>
  </si>
  <si>
    <t>Byte Format</t>
  </si>
  <si>
    <t>Bit 0: 
0: Big Endian
1: Little Endian</t>
  </si>
  <si>
    <t>HMI Settings</t>
  </si>
  <si>
    <t>Control Keys</t>
  </si>
  <si>
    <t>0 - Default
1 - Programmable</t>
  </si>
  <si>
    <t>Profibus Settings: Not Applicable for Ethernet (Reserved bytes in case of Ethernet Variants)</t>
  </si>
  <si>
    <t xml:space="preserve">Node Address </t>
  </si>
  <si>
    <t>Endian</t>
  </si>
  <si>
    <t>Product Profile</t>
  </si>
  <si>
    <t>0 - Default
1 - TeSys T
2 - Other</t>
  </si>
  <si>
    <t>Date &amp; Time Settings</t>
  </si>
  <si>
    <t>Date</t>
  </si>
  <si>
    <t>0x03, 0x10</t>
  </si>
  <si>
    <t>Month</t>
  </si>
  <si>
    <t>Year</t>
  </si>
  <si>
    <t>Hour</t>
  </si>
  <si>
    <t>Minute</t>
  </si>
  <si>
    <t>Second</t>
  </si>
  <si>
    <t>Apply Date &amp; Time</t>
  </si>
  <si>
    <t>Starter Settings</t>
  </si>
  <si>
    <t>Load type</t>
  </si>
  <si>
    <t>0 - Motor
1 - Heater</t>
  </si>
  <si>
    <t>Starter Type</t>
  </si>
  <si>
    <t>Mode Selection</t>
  </si>
  <si>
    <t>Local 1 Start</t>
  </si>
  <si>
    <t>Local 2 Start</t>
  </si>
  <si>
    <t>Local 3 Start</t>
  </si>
  <si>
    <t>Remote Start</t>
  </si>
  <si>
    <t>Local 1 Stop</t>
  </si>
  <si>
    <t>Local 2 Stop</t>
  </si>
  <si>
    <t>Local 3 Stop</t>
  </si>
  <si>
    <t>Remote Stop</t>
  </si>
  <si>
    <t>Local DI Start Input</t>
  </si>
  <si>
    <t>0 - Momentary
1 - Maintained</t>
  </si>
  <si>
    <t>Remote DI Start Input</t>
  </si>
  <si>
    <t>Custom Start Input</t>
  </si>
  <si>
    <t>Mode Transfer</t>
  </si>
  <si>
    <t>0 - Bump
1 - Bumpless</t>
  </si>
  <si>
    <t>Communication Start Input</t>
  </si>
  <si>
    <t>Change Direction</t>
  </si>
  <si>
    <t>0: Disable
1: Enable</t>
  </si>
  <si>
    <t>Feedback Response Time</t>
  </si>
  <si>
    <t>Motor Current Sensing Time</t>
  </si>
  <si>
    <t>Interlocking Time</t>
  </si>
  <si>
    <t>Delay 1</t>
  </si>
  <si>
    <t>Delay 2</t>
  </si>
  <si>
    <t>Delay 3</t>
  </si>
  <si>
    <t>Delay 4</t>
  </si>
  <si>
    <t xml:space="preserve">Number of Phases </t>
  </si>
  <si>
    <t>0: Three Phase
1: Single Phase</t>
  </si>
  <si>
    <t>Stop Detection</t>
  </si>
  <si>
    <t>0: DI + Current Based
1: Current Based</t>
  </si>
  <si>
    <t>Forced start function</t>
  </si>
  <si>
    <t>System Settings</t>
  </si>
  <si>
    <t>Phase CT Primary</t>
  </si>
  <si>
    <t>Amp</t>
  </si>
  <si>
    <t>Phase CT Secondary</t>
  </si>
  <si>
    <t>Speed 2 CT primary</t>
  </si>
  <si>
    <t>Speed 2 CT secondary</t>
  </si>
  <si>
    <t>Voltage Nominal</t>
  </si>
  <si>
    <t>Nominal Frequency</t>
  </si>
  <si>
    <t>0: 50Hz
1: 60Hz</t>
  </si>
  <si>
    <t xml:space="preserve">Phase rotation </t>
  </si>
  <si>
    <t>0: L123
1: L132</t>
  </si>
  <si>
    <t>Voltage Input</t>
  </si>
  <si>
    <t>0: Disable
1: Enable
Applicable only for CTVT variant, if disable Tesys Tera will not provide voltage protections and inhibits</t>
  </si>
  <si>
    <t xml:space="preserve"> Full load Current</t>
  </si>
  <si>
    <t>Speed 2 Full Load Current</t>
  </si>
  <si>
    <t>Phase CT secondary passes</t>
  </si>
  <si>
    <t>Speed 2 phase secondary passes</t>
  </si>
  <si>
    <t>Test Mode</t>
  </si>
  <si>
    <t>Bypass Interlocks during test</t>
  </si>
  <si>
    <t>0: No
1: Yes</t>
  </si>
  <si>
    <t>Motor Name Plate Details</t>
  </si>
  <si>
    <t xml:space="preserve">User Application Name(Modbus TCP/ EIP)
same can not be used for Profinet as character limitation and access level is also there
Must be used for FDR
</t>
  </si>
  <si>
    <t>ASCII</t>
  </si>
  <si>
    <t>0x4D4D, 0x5230, 0x3030, 0x3030, 0x3031</t>
  </si>
  <si>
    <t>Motor Tag values should be in ASCII</t>
  </si>
  <si>
    <t>Power Unit</t>
  </si>
  <si>
    <t>0:kW
1:HP</t>
  </si>
  <si>
    <t xml:space="preserve"> Nominal Power (KW)</t>
  </si>
  <si>
    <t xml:space="preserve">Based on HP value KW has to be computed at DTM </t>
  </si>
  <si>
    <t xml:space="preserve"> Nominal Power (HP)</t>
  </si>
  <si>
    <t>HP</t>
  </si>
  <si>
    <t xml:space="preserve">Based on KW value HP has to be computed at DTM </t>
  </si>
  <si>
    <t>Temperature Unit</t>
  </si>
  <si>
    <t>0: °C
1: Fahrenheit</t>
  </si>
  <si>
    <t>Session Management</t>
  </si>
  <si>
    <t>Session Timeout</t>
  </si>
  <si>
    <t>DI Settings</t>
  </si>
  <si>
    <t>DI1 Trigger Type</t>
  </si>
  <si>
    <t>anis</t>
  </si>
  <si>
    <t>0: Active High
1: Active Low</t>
  </si>
  <si>
    <t>DI1 Input Source</t>
  </si>
  <si>
    <t>Refer Table 3</t>
  </si>
  <si>
    <t>DI1 Validation Time</t>
  </si>
  <si>
    <t>mSec</t>
  </si>
  <si>
    <t>DI2 Trigger Type</t>
  </si>
  <si>
    <t>DI2 Input Source</t>
  </si>
  <si>
    <t>DI2 Validation Time</t>
  </si>
  <si>
    <t>DI3 Trigger Type</t>
  </si>
  <si>
    <t>DI3 Input Source</t>
  </si>
  <si>
    <t>DI3 Validation Time</t>
  </si>
  <si>
    <t>DI4 Trigger Type</t>
  </si>
  <si>
    <t>DI4 Input Source</t>
  </si>
  <si>
    <t>DI4 Validation Time</t>
  </si>
  <si>
    <t>DI5 Trigger Type</t>
  </si>
  <si>
    <t>DI5 Input Source</t>
  </si>
  <si>
    <t>DI5 Validation Time</t>
  </si>
  <si>
    <t>DI6 Trigger Type</t>
  </si>
  <si>
    <t>DI6 Input Source</t>
  </si>
  <si>
    <t>DI6 Validation Time</t>
  </si>
  <si>
    <t>DI7 Trigger Type</t>
  </si>
  <si>
    <t>DI7 Input Source</t>
  </si>
  <si>
    <t>DI7 Validation Time</t>
  </si>
  <si>
    <t>DI8 Trigger Type</t>
  </si>
  <si>
    <t>DI8 Input Source</t>
  </si>
  <si>
    <t>DI8 Validation Time</t>
  </si>
  <si>
    <t>DI9 Trigger Type</t>
  </si>
  <si>
    <t>DI9 Input Source</t>
  </si>
  <si>
    <t>DI9 Validation Time</t>
  </si>
  <si>
    <t>DI10 Trigger Type</t>
  </si>
  <si>
    <t>DI10 Input Source</t>
  </si>
  <si>
    <t>DI10 Validation Time</t>
  </si>
  <si>
    <t>DI11 Trigger Type</t>
  </si>
  <si>
    <t>DI11 Input Source</t>
  </si>
  <si>
    <t>DI11 Validation Time</t>
  </si>
  <si>
    <t>DI12 Trigger Type</t>
  </si>
  <si>
    <t>DI12 Input Source</t>
  </si>
  <si>
    <t>DI12 Validation Time</t>
  </si>
  <si>
    <t>DI13 Trigger Type</t>
  </si>
  <si>
    <t>DI13 Input Source</t>
  </si>
  <si>
    <t>DI13 Validation Time</t>
  </si>
  <si>
    <t>DI14 Trigger Type</t>
  </si>
  <si>
    <t>DI14 Input Source</t>
  </si>
  <si>
    <t>DI14 Validation Time</t>
  </si>
  <si>
    <t>DI15 Trigger Type</t>
  </si>
  <si>
    <t>DI15 Input Source</t>
  </si>
  <si>
    <t>DI15 Validation Time</t>
  </si>
  <si>
    <t>DI16 Trigger Type</t>
  </si>
  <si>
    <t>DI16 Input Source</t>
  </si>
  <si>
    <t>DI16 Validation Time</t>
  </si>
  <si>
    <t>DI17 Trigger Type</t>
  </si>
  <si>
    <t>DI17 Input Source</t>
  </si>
  <si>
    <t>DI17 Validation Time</t>
  </si>
  <si>
    <t>DI18 Trigger Type</t>
  </si>
  <si>
    <t>DI18 Input Source</t>
  </si>
  <si>
    <t>DI18 Validation Time</t>
  </si>
  <si>
    <t>DI19 Trigger Type</t>
  </si>
  <si>
    <t>DI19 Input Source</t>
  </si>
  <si>
    <t>DI19 Validation Time</t>
  </si>
  <si>
    <t>DI20 Trigger Type</t>
  </si>
  <si>
    <t>DI20 Input Source</t>
  </si>
  <si>
    <t>DI20 Validation Time</t>
  </si>
  <si>
    <t>DI21 Trigger Type</t>
  </si>
  <si>
    <t>DI21 Input Source</t>
  </si>
  <si>
    <t>DI21 Validation Time</t>
  </si>
  <si>
    <t>DI22 Trigger Type</t>
  </si>
  <si>
    <t>DI22 Input Source</t>
  </si>
  <si>
    <t>DI22 Validation Time</t>
  </si>
  <si>
    <t>DI23 Trigger Type</t>
  </si>
  <si>
    <t>DI23 Input Source</t>
  </si>
  <si>
    <t>DI23 Validation Time</t>
  </si>
  <si>
    <t>DI24 Trigger Type</t>
  </si>
  <si>
    <t>DI24 Input Source</t>
  </si>
  <si>
    <t>DI24 Validation Time</t>
  </si>
  <si>
    <t>DI25 Trigger Type</t>
  </si>
  <si>
    <t>DI25 Input Source</t>
  </si>
  <si>
    <t>DI25 Validation Time</t>
  </si>
  <si>
    <t>DI26 Trigger Type</t>
  </si>
  <si>
    <t>DI26 Input Source</t>
  </si>
  <si>
    <t>DI26 Validation Time</t>
  </si>
  <si>
    <t>DI27 Trigger Type</t>
  </si>
  <si>
    <t>DI27 Input Source</t>
  </si>
  <si>
    <t>DI27 Validation Time</t>
  </si>
  <si>
    <t>DI28Trigger Type</t>
  </si>
  <si>
    <t>DI28 Input Source</t>
  </si>
  <si>
    <t>DI28 Validation Time</t>
  </si>
  <si>
    <t>DI29 Trigger Type</t>
  </si>
  <si>
    <t>DI29 Input Source</t>
  </si>
  <si>
    <t>DI29 Validation Time</t>
  </si>
  <si>
    <t>DI30 Trigger Type</t>
  </si>
  <si>
    <t>DI30 Input Source</t>
  </si>
  <si>
    <t>DI30 Validation Time</t>
  </si>
  <si>
    <t>DI31 Trigger Type</t>
  </si>
  <si>
    <t>DI31 Input Source</t>
  </si>
  <si>
    <t>DI31 Validation Time</t>
  </si>
  <si>
    <t>DI32 Trigger Type</t>
  </si>
  <si>
    <t>DI32 Input Source</t>
  </si>
  <si>
    <t>DI32 Validation Time</t>
  </si>
  <si>
    <t>DO Settings</t>
  </si>
  <si>
    <t>DO1 Active Type</t>
  </si>
  <si>
    <t>DO1 Input Source</t>
  </si>
  <si>
    <t>Refer Comp logic Input list</t>
  </si>
  <si>
    <t>DO1 Tag</t>
  </si>
  <si>
    <t>Refer Table 4</t>
  </si>
  <si>
    <t>DO1 Output Type</t>
  </si>
  <si>
    <t>0: Level
1: Pulse</t>
  </si>
  <si>
    <t>DO1 Pulse Time</t>
  </si>
  <si>
    <t>DO2 Active Type</t>
  </si>
  <si>
    <t>DO2 Input Source</t>
  </si>
  <si>
    <t>DO2 Tag</t>
  </si>
  <si>
    <t>DO2 Output Type</t>
  </si>
  <si>
    <t>DO2 Pulse Time</t>
  </si>
  <si>
    <t>DO3 Active Type</t>
  </si>
  <si>
    <t>DO3 Input Source</t>
  </si>
  <si>
    <t>DO3 Tag</t>
  </si>
  <si>
    <t>DO3 Output Type</t>
  </si>
  <si>
    <t>DO3 Pulse Time</t>
  </si>
  <si>
    <t>DO4 Active Type</t>
  </si>
  <si>
    <t>DO4 Input Source</t>
  </si>
  <si>
    <t>DO4 Tag</t>
  </si>
  <si>
    <t>DO4 Output Type</t>
  </si>
  <si>
    <t>DO4 Pulse Time</t>
  </si>
  <si>
    <t>DO5 Active Type</t>
  </si>
  <si>
    <t>DO5 Input Source</t>
  </si>
  <si>
    <t>DO5 Tag</t>
  </si>
  <si>
    <t>DO5 Output Type</t>
  </si>
  <si>
    <t>DO5 Pulse Time</t>
  </si>
  <si>
    <t>DO6 Active Type</t>
  </si>
  <si>
    <t>DO6 Input Source</t>
  </si>
  <si>
    <t>DO6 Tag</t>
  </si>
  <si>
    <t>DO6 Output Type</t>
  </si>
  <si>
    <t>DO6 Pulse Time</t>
  </si>
  <si>
    <t>DO7 Active Type</t>
  </si>
  <si>
    <t>DO7 Input Source</t>
  </si>
  <si>
    <t>DO7 Tag</t>
  </si>
  <si>
    <t>DO7 Output Type</t>
  </si>
  <si>
    <t>DO7 Pulse Time</t>
  </si>
  <si>
    <t>DO8 Active Type</t>
  </si>
  <si>
    <t>DO8 Input Source</t>
  </si>
  <si>
    <t>DO8 Tag</t>
  </si>
  <si>
    <t>DO8 Output Type</t>
  </si>
  <si>
    <t>DO8 Pulse Time</t>
  </si>
  <si>
    <t>DO9 Active Type</t>
  </si>
  <si>
    <t>DO9 Input Source</t>
  </si>
  <si>
    <t>DO9 Tag</t>
  </si>
  <si>
    <t>DO9 Output Type</t>
  </si>
  <si>
    <t>DO9 Pulse Time</t>
  </si>
  <si>
    <t>DO10 Active Type</t>
  </si>
  <si>
    <t>DO10 Input Source</t>
  </si>
  <si>
    <t>DO10 Tag</t>
  </si>
  <si>
    <t>DO10 Output Type</t>
  </si>
  <si>
    <t>DO10 Pulse Time</t>
  </si>
  <si>
    <t>DO11 Active Type</t>
  </si>
  <si>
    <t>DO11 Input Source</t>
  </si>
  <si>
    <t>DO11 Tag</t>
  </si>
  <si>
    <t>DO11 Output Type</t>
  </si>
  <si>
    <t>DO11Pulse Time</t>
  </si>
  <si>
    <t>DO12 Active Type</t>
  </si>
  <si>
    <t>DO12  Input Source</t>
  </si>
  <si>
    <t>DO12  Tag</t>
  </si>
  <si>
    <t>DO12  Output Type</t>
  </si>
  <si>
    <t>DO12  Pulse Time</t>
  </si>
  <si>
    <t>DO13 Active Type</t>
  </si>
  <si>
    <t>DO13  Input Source</t>
  </si>
  <si>
    <t>DO13  Tag</t>
  </si>
  <si>
    <t>DO13  Output Type</t>
  </si>
  <si>
    <t>DO13  Pulse Time</t>
  </si>
  <si>
    <t>AO Settings</t>
  </si>
  <si>
    <t>AO1 Source</t>
  </si>
  <si>
    <t>Refer Table 5</t>
  </si>
  <si>
    <t>AO1 Source Min Range</t>
  </si>
  <si>
    <t>AO1 Source Max Range</t>
  </si>
  <si>
    <t>AO2 Source</t>
  </si>
  <si>
    <t>AO2 Source Min Range</t>
  </si>
  <si>
    <t>AO2 Source Max Range</t>
  </si>
  <si>
    <t>Mode</t>
  </si>
  <si>
    <t>Bit4</t>
  </si>
  <si>
    <t>Bit3</t>
  </si>
  <si>
    <t>Bit2</t>
  </si>
  <si>
    <t>Bit1</t>
  </si>
  <si>
    <t>Bit0</t>
  </si>
  <si>
    <t>Local 1</t>
  </si>
  <si>
    <t>Custom Logic</t>
  </si>
  <si>
    <t>Comm</t>
  </si>
  <si>
    <t>Remote DI</t>
  </si>
  <si>
    <t>Local DI</t>
  </si>
  <si>
    <t>Local 2</t>
  </si>
  <si>
    <t>Local 3</t>
  </si>
  <si>
    <t>Remote</t>
  </si>
  <si>
    <t>Condition</t>
  </si>
  <si>
    <t>Control buttons</t>
  </si>
  <si>
    <t>single phase</t>
  </si>
  <si>
    <t>Three phase</t>
  </si>
  <si>
    <t>Value</t>
  </si>
  <si>
    <t xml:space="preserve">Start </t>
  </si>
  <si>
    <t>Stop</t>
  </si>
  <si>
    <t>OVERLOAD</t>
  </si>
  <si>
    <t>-</t>
  </si>
  <si>
    <t>DIRECT ONLINE</t>
  </si>
  <si>
    <t>Forward Start</t>
  </si>
  <si>
    <t>Reverse Start</t>
  </si>
  <si>
    <t>REVERSIBLE DIRECT ONLINE</t>
  </si>
  <si>
    <t>STAR DELTA</t>
  </si>
  <si>
    <t>Time in Star</t>
  </si>
  <si>
    <t>Change over Time</t>
  </si>
  <si>
    <t>REVERSE STAR DELTA</t>
  </si>
  <si>
    <t>DAHLANDER</t>
  </si>
  <si>
    <t>REVERSE DAHLANDER</t>
  </si>
  <si>
    <t>POLE CHANGING</t>
  </si>
  <si>
    <t>REVERSE POLE CHANGING</t>
  </si>
  <si>
    <t>CIRCUIT BREAKER CONTROL</t>
  </si>
  <si>
    <t>SOFT STARTER CONTROL</t>
  </si>
  <si>
    <t xml:space="preserve">Main Contactor Turn off Time </t>
  </si>
  <si>
    <t>Capacitor Control Time</t>
  </si>
  <si>
    <t>Table 3</t>
  </si>
  <si>
    <t>DI Input Source</t>
  </si>
  <si>
    <t xml:space="preserve"> Other</t>
  </si>
  <si>
    <t xml:space="preserve"> Trip Reset DI</t>
  </si>
  <si>
    <t xml:space="preserve"> Breaker Close DI</t>
  </si>
  <si>
    <t xml:space="preserve"> Breaker Open DI</t>
  </si>
  <si>
    <t>Local-START&gt; DI</t>
  </si>
  <si>
    <t>Local-START&gt;&gt; DI</t>
  </si>
  <si>
    <t>Local-STOP DI</t>
  </si>
  <si>
    <t>Local-START&lt; DI</t>
  </si>
  <si>
    <t>Local-START&lt;&lt; DI</t>
  </si>
  <si>
    <t>Remote-START&gt; DI</t>
  </si>
  <si>
    <t>Remote-START&gt;&gt; DI</t>
  </si>
  <si>
    <t>Remote-STOP DI</t>
  </si>
  <si>
    <t>Remote-START&lt; DI</t>
  </si>
  <si>
    <t>Remote-START&lt;&lt; DI</t>
  </si>
  <si>
    <t xml:space="preserve"> Interlock 1</t>
  </si>
  <si>
    <t xml:space="preserve"> Interlock 2</t>
  </si>
  <si>
    <t xml:space="preserve"> Interlock 3</t>
  </si>
  <si>
    <t xml:space="preserve"> Interlock 4</t>
  </si>
  <si>
    <t xml:space="preserve"> Interlock 5</t>
  </si>
  <si>
    <t xml:space="preserve"> Interlock 6</t>
  </si>
  <si>
    <t xml:space="preserve"> Interlock 7</t>
  </si>
  <si>
    <t xml:space="preserve"> Interlock 8</t>
  </si>
  <si>
    <t xml:space="preserve"> Interlock 9</t>
  </si>
  <si>
    <t xml:space="preserve"> Interlock 10</t>
  </si>
  <si>
    <t xml:space="preserve"> Interlock 11</t>
  </si>
  <si>
    <t xml:space="preserve"> Interlock 12</t>
  </si>
  <si>
    <t xml:space="preserve"> Contactor Open DI</t>
  </si>
  <si>
    <t xml:space="preserve"> Run DI</t>
  </si>
  <si>
    <t xml:space="preserve"> Block Input</t>
  </si>
  <si>
    <t xml:space="preserve"> Logic Test DI</t>
  </si>
  <si>
    <t xml:space="preserve"> Mode Selection 1</t>
  </si>
  <si>
    <t xml:space="preserve"> Mode Selection 2</t>
  </si>
  <si>
    <t xml:space="preserve"> Speed Change</t>
  </si>
  <si>
    <t>Forced start</t>
  </si>
  <si>
    <t>Forced stop</t>
  </si>
  <si>
    <t xml:space="preserve"> Self Test without Trip</t>
  </si>
  <si>
    <t xml:space="preserve"> Self Test with trip</t>
  </si>
  <si>
    <t xml:space="preserve"> Soft Starter Reset DI</t>
  </si>
  <si>
    <t>NONE</t>
  </si>
  <si>
    <t>Table 4</t>
  </si>
  <si>
    <t>DO Tag</t>
  </si>
  <si>
    <t>Other</t>
  </si>
  <si>
    <t>Device Internal DO</t>
  </si>
  <si>
    <t>Trip DO</t>
  </si>
  <si>
    <t>Alarm DO</t>
  </si>
  <si>
    <t>Pickup DO</t>
  </si>
  <si>
    <t>Inhibit DO</t>
  </si>
  <si>
    <t>Block OP</t>
  </si>
  <si>
    <t xml:space="preserve"> CNTR OP 1</t>
  </si>
  <si>
    <t xml:space="preserve"> CNTR OP 2</t>
  </si>
  <si>
    <t xml:space="preserve"> CNTR OP 3</t>
  </si>
  <si>
    <t xml:space="preserve"> CNTR OP 4</t>
  </si>
  <si>
    <t xml:space="preserve"> CNTR OP 5</t>
  </si>
  <si>
    <t xml:space="preserve"> CNTR OP 6</t>
  </si>
  <si>
    <t>Table 5</t>
  </si>
  <si>
    <t>AO Source</t>
  </si>
  <si>
    <t>Unit</t>
  </si>
  <si>
    <t>None</t>
  </si>
  <si>
    <t>NA</t>
  </si>
  <si>
    <t>L1 RMS Current</t>
  </si>
  <si>
    <t>%FLC1</t>
  </si>
  <si>
    <t>L2 RMS Current</t>
  </si>
  <si>
    <t>L3 RMS Current</t>
  </si>
  <si>
    <t>L1-L2 RMS Voltage / L1-N RMS Voltage</t>
  </si>
  <si>
    <t>L2-L3 RMS Voltage</t>
  </si>
  <si>
    <t>L3-L1 RMS Voltage</t>
  </si>
  <si>
    <t xml:space="preserve">System Frequency   </t>
  </si>
  <si>
    <t>%NominalHz</t>
  </si>
  <si>
    <t xml:space="preserve">Total Active Power   </t>
  </si>
  <si>
    <t>%Pn</t>
  </si>
  <si>
    <t xml:space="preserve">Total Apparent Power   </t>
  </si>
  <si>
    <t>Table 6</t>
  </si>
  <si>
    <t>DO settings</t>
  </si>
  <si>
    <t>Overload</t>
  </si>
  <si>
    <t>DOL</t>
  </si>
  <si>
    <t>RDOL</t>
  </si>
  <si>
    <t>R. STAR DELTA</t>
  </si>
  <si>
    <t>R. DAHLANDER</t>
  </si>
  <si>
    <t>Pole Changing</t>
  </si>
  <si>
    <t>R. Pole changing</t>
  </si>
  <si>
    <t>Circuit Breaker control</t>
  </si>
  <si>
    <t>Soft Starter</t>
  </si>
  <si>
    <t>Table 7</t>
  </si>
  <si>
    <t>DI settings</t>
  </si>
  <si>
    <r>
      <t>Truth Table Output value consideration</t>
    </r>
    <r>
      <rPr>
        <sz val="11"/>
        <color theme="1"/>
        <rFont val="Calibri"/>
        <family val="2"/>
        <scheme val="minor"/>
      </rPr>
      <t>:</t>
    </r>
  </si>
  <si>
    <t>NOTE</t>
  </si>
  <si>
    <t>For Truth Table input index value refer "Lilliput - Comp_Logic_List" excel sheet</t>
  </si>
  <si>
    <t xml:space="preserve">This design can be explained with </t>
  </si>
  <si>
    <t>2 Input 1 Output Truth Table settings</t>
  </si>
  <si>
    <t xml:space="preserve">the help of an example. </t>
  </si>
  <si>
    <t>TT1 Input 1 Index</t>
  </si>
  <si>
    <t>Consider the following truth table:</t>
  </si>
  <si>
    <t>TT1 Input 2 Index</t>
  </si>
  <si>
    <t>IP1</t>
  </si>
  <si>
    <t>IP2</t>
  </si>
  <si>
    <t>OP</t>
  </si>
  <si>
    <t>TT1 Output Index</t>
  </si>
  <si>
    <t>(LSB)</t>
  </si>
  <si>
    <t>TT2 Input 1 Index</t>
  </si>
  <si>
    <t>TT2 Input 2 Index</t>
  </si>
  <si>
    <t>TT2 Output Index</t>
  </si>
  <si>
    <t>(MSB)</t>
  </si>
  <si>
    <t>3 Input 1 Output Truth Table settings</t>
  </si>
  <si>
    <t xml:space="preserve">The output will be in of four bits </t>
  </si>
  <si>
    <t>having upper most bit i.e. of row 1 will be LSB.</t>
  </si>
  <si>
    <t>TT1  Input 2 Index</t>
  </si>
  <si>
    <t>Thus</t>
  </si>
  <si>
    <t>TT1  Input 3 Index</t>
  </si>
  <si>
    <t xml:space="preserve">Output = 1101 </t>
  </si>
  <si>
    <t>so in decimal=13</t>
  </si>
  <si>
    <t>TT2 Input 3 Index</t>
  </si>
  <si>
    <t>TT3 Input 1 Index</t>
  </si>
  <si>
    <t>TT3  Input 2 Index</t>
  </si>
  <si>
    <t>TT3  Input 3 Index</t>
  </si>
  <si>
    <t>TT3 Output Index</t>
  </si>
  <si>
    <t>TT4 Input 1 Index</t>
  </si>
  <si>
    <t>TT4  Input 2 Index</t>
  </si>
  <si>
    <t>TT4  Input 3 Index</t>
  </si>
  <si>
    <t>TT4 Output Index</t>
  </si>
  <si>
    <t>TT5 Input 1 Index</t>
  </si>
  <si>
    <t>TT5  Input 2 Index</t>
  </si>
  <si>
    <t>TT5  Input 3 Index</t>
  </si>
  <si>
    <t>TT5 Output Index</t>
  </si>
  <si>
    <t>TT6 Input 1 Index</t>
  </si>
  <si>
    <t>TT6  Input 2 Index</t>
  </si>
  <si>
    <t>TT6  Input 3 Index</t>
  </si>
  <si>
    <t>TT6 Output Index</t>
  </si>
  <si>
    <t>TT7 Input 1 Index</t>
  </si>
  <si>
    <t>TT7  Input 2 Index</t>
  </si>
  <si>
    <t>TT7  Input 3 Index</t>
  </si>
  <si>
    <t>TT7 Output Index</t>
  </si>
  <si>
    <t>TT8 Input 1 Index</t>
  </si>
  <si>
    <t>TT8  Input 2 Index</t>
  </si>
  <si>
    <t>TT8  Input 3 Index</t>
  </si>
  <si>
    <t>TT8 Output Index</t>
  </si>
  <si>
    <t>5 Input 2 Output Truth Table settings</t>
  </si>
  <si>
    <t>TT1 Input 3 Index</t>
  </si>
  <si>
    <t>TT1 Input 4 Index</t>
  </si>
  <si>
    <t>TT1 Input 5 Index</t>
  </si>
  <si>
    <t>TT1 Output 1 Index</t>
  </si>
  <si>
    <t>TT1 Output 2 Index</t>
  </si>
  <si>
    <t>TT2 Input 4 Index</t>
  </si>
  <si>
    <t>TT2 Input 5 Index</t>
  </si>
  <si>
    <t>TT2 Output 1 Index</t>
  </si>
  <si>
    <t>TT2 Output 2 Index</t>
  </si>
  <si>
    <t>4 Input 1 Output Truth Table settings</t>
  </si>
  <si>
    <t>TT3 Input 2 Index</t>
  </si>
  <si>
    <t>TT3 Input 3 Index</t>
  </si>
  <si>
    <t>TT3 Input 4 Index</t>
  </si>
  <si>
    <t>TT3 Output 1 Index</t>
  </si>
  <si>
    <t>TT4 Input 2 Index</t>
  </si>
  <si>
    <t>TT4 Input 3 Index</t>
  </si>
  <si>
    <t>TT4 Input 4 Index</t>
  </si>
  <si>
    <t>TT4 Output 1 Index</t>
  </si>
  <si>
    <t>TT5 Input 2 Index</t>
  </si>
  <si>
    <t>TT5 Input 3 Index</t>
  </si>
  <si>
    <t>TT5 Input 4 Index</t>
  </si>
  <si>
    <t>TT5 Output 1 Index</t>
  </si>
  <si>
    <t>TT6 Input 2 Index</t>
  </si>
  <si>
    <t>TT6 Input 3 Index</t>
  </si>
  <si>
    <t>TT6 Input 4 Index</t>
  </si>
  <si>
    <t>TT6 Output 1 Index</t>
  </si>
  <si>
    <t>TT7 Input 2 Index</t>
  </si>
  <si>
    <t>TT7 Input 3 Index</t>
  </si>
  <si>
    <t>TT7 Input 4 Index</t>
  </si>
  <si>
    <t>TT7 Output 1 Index</t>
  </si>
  <si>
    <t>TT8 Input 2 Index</t>
  </si>
  <si>
    <t>TT8 Input 3 Index</t>
  </si>
  <si>
    <t>TT8 Input 4 Index</t>
  </si>
  <si>
    <t>TT8 Output 1 Index</t>
  </si>
  <si>
    <t>Timer Settings</t>
  </si>
  <si>
    <t>Timer 1 Type</t>
  </si>
  <si>
    <t>Timer 1 Limit</t>
  </si>
  <si>
    <t>Timer 1 input</t>
  </si>
  <si>
    <t>Timer 1 Reset</t>
  </si>
  <si>
    <t>Timer 2 Type</t>
  </si>
  <si>
    <t>Timer 2 Limit</t>
  </si>
  <si>
    <t>Timer 2 input</t>
  </si>
  <si>
    <t>Timer 2 Reset</t>
  </si>
  <si>
    <t>Timer 3 Type</t>
  </si>
  <si>
    <t>Timer 3 Limit</t>
  </si>
  <si>
    <t>Timer 3 input</t>
  </si>
  <si>
    <t>Timer 3 Reset</t>
  </si>
  <si>
    <t>Timer 4 Type</t>
  </si>
  <si>
    <t>Timer 4 Limit</t>
  </si>
  <si>
    <t>Timer 4 input</t>
  </si>
  <si>
    <t>Timer 4 Reset</t>
  </si>
  <si>
    <t>SIGNAL CONDITIONER settings</t>
  </si>
  <si>
    <t>Signal Conditioner 1 Type</t>
  </si>
  <si>
    <t>Signal Conditioner 1 input</t>
  </si>
  <si>
    <t>Signal Conditioner 1 Reset</t>
  </si>
  <si>
    <t>Signal Conditioner 2 Type</t>
  </si>
  <si>
    <t>Signal Conditioner 2 input</t>
  </si>
  <si>
    <t>Signal Conditioner 2 Reset</t>
  </si>
  <si>
    <t>Signal Conditioner 3 Type</t>
  </si>
  <si>
    <t>Signal Conditioner 3 input</t>
  </si>
  <si>
    <t>Signal Conditioner 3 Reset</t>
  </si>
  <si>
    <t>Signal Conditioner 4 Type</t>
  </si>
  <si>
    <t>Signal Conditioner 4 input</t>
  </si>
  <si>
    <t>Signal Conditioner 4 Reset</t>
  </si>
  <si>
    <t>NON VOLATILE settings</t>
  </si>
  <si>
    <t>Non Volatile 1 Type</t>
  </si>
  <si>
    <t>Non Volatile 1 input</t>
  </si>
  <si>
    <t>Non Volatile 1 Reset</t>
  </si>
  <si>
    <t>Non Volatile 2 Type</t>
  </si>
  <si>
    <t>Non Volatile 2 input</t>
  </si>
  <si>
    <t>Non Volatile 2 Reset</t>
  </si>
  <si>
    <t>Non Volatile 3 Type</t>
  </si>
  <si>
    <t>Non Volatile 3 input</t>
  </si>
  <si>
    <t>Non Volatile 3 Reset</t>
  </si>
  <si>
    <t>Non Volatile 4 Type</t>
  </si>
  <si>
    <t>Non Volatile 4 input</t>
  </si>
  <si>
    <t>Non Volatile 4 Reset</t>
  </si>
  <si>
    <t>COUNTER settings</t>
  </si>
  <si>
    <t>Counter 1 Limit</t>
  </si>
  <si>
    <t>Counter 1 Input Up</t>
  </si>
  <si>
    <t>Counter 1 Input Down</t>
  </si>
  <si>
    <t>Counter 1 Reset</t>
  </si>
  <si>
    <t>Counter 2 Limit</t>
  </si>
  <si>
    <t>Counter 2 Input Up</t>
  </si>
  <si>
    <t>Counter 2 Input Down</t>
  </si>
  <si>
    <t>Counter 2 Reset</t>
  </si>
  <si>
    <t>Counter 3 Limit</t>
  </si>
  <si>
    <t>Counter 3 Input Up</t>
  </si>
  <si>
    <t>Counter 3 Input Down</t>
  </si>
  <si>
    <t>Counter 3 Reset</t>
  </si>
  <si>
    <t>Counter 4 Limit</t>
  </si>
  <si>
    <t>Counter 4 Input Up</t>
  </si>
  <si>
    <t>Counter 4 Input Down</t>
  </si>
  <si>
    <t>Counter 4 Reset</t>
  </si>
  <si>
    <t>Programmable LED settings</t>
  </si>
  <si>
    <t>On LED input</t>
  </si>
  <si>
    <t>Flash LED input</t>
  </si>
  <si>
    <t>Flicker LED input</t>
  </si>
  <si>
    <t>Comp logic input list</t>
  </si>
  <si>
    <t>Calculators</t>
  </si>
  <si>
    <t>Calculator 1 - Input</t>
  </si>
  <si>
    <t>Calculator 1 - Numerator</t>
  </si>
  <si>
    <t>Calculator 1 - Denominator</t>
  </si>
  <si>
    <t>Calculator 1 - Offset</t>
  </si>
  <si>
    <t>Calculator 2 - Input 1</t>
  </si>
  <si>
    <t>Calculator 2 - Input 2</t>
  </si>
  <si>
    <t>Calculator 2 - Numerator 1</t>
  </si>
  <si>
    <t>Calculator 2 - Denominator 1</t>
  </si>
  <si>
    <t>Calculator 2 - Numerator 2</t>
  </si>
  <si>
    <t>Calculator 2 - Denominator 2</t>
  </si>
  <si>
    <t>Calculator 2 - Offset_H</t>
  </si>
  <si>
    <t>Calculator 2 - Offset_L</t>
  </si>
  <si>
    <t>Calculator 2 - Operating Mode</t>
  </si>
  <si>
    <t>Calculator 2 - Operator</t>
  </si>
  <si>
    <t>0: Addition
1:  Subtraction
2: Multiplication
3:  Division</t>
  </si>
  <si>
    <t>Analog Comparator Settings</t>
  </si>
  <si>
    <t>Analog Comparator1 - AnalogInput</t>
  </si>
  <si>
    <t>Analog Comparator1 - LimitType</t>
  </si>
  <si>
    <t>0: Undershoot             1:Overshoot</t>
  </si>
  <si>
    <t>Analog Comparator1 - TimeDelay</t>
  </si>
  <si>
    <t>Analog Comparator1 - MonitorLimit</t>
  </si>
  <si>
    <t>Analog Comparator1 - ActivityStatus</t>
  </si>
  <si>
    <t>1: Stop
2-: Start
3: Run</t>
  </si>
  <si>
    <t>Analog Comparator1 - ResetLevel</t>
  </si>
  <si>
    <t>Analog Comparator2 - AnalogInput</t>
  </si>
  <si>
    <t>Analog Comparator2 - LimitType</t>
  </si>
  <si>
    <t>Analog Comparator2 - TimeDelay</t>
  </si>
  <si>
    <t>Analog Comparator2 - MonitorLimit</t>
  </si>
  <si>
    <t>Analog Comparator2 - ActivityStatus</t>
  </si>
  <si>
    <t>Analog Comparator2 - ResetLevel</t>
  </si>
  <si>
    <t>Analog Comparator3 - AnalogInput</t>
  </si>
  <si>
    <t>Analog Comparator3 - LimitType</t>
  </si>
  <si>
    <t>Analog Comparator3 - TimeDelay</t>
  </si>
  <si>
    <t>Analog Comparator3 - MonitorLimit</t>
  </si>
  <si>
    <t>Analog Comparator3 - ActivityStatus</t>
  </si>
  <si>
    <t>Analog Comparator3 - ResetLevel</t>
  </si>
  <si>
    <t>Analog Comparator4 - AnalogInput</t>
  </si>
  <si>
    <t>Analog Comparator4 - LimitType</t>
  </si>
  <si>
    <t>Analog Comparator4 - TimeDelay</t>
  </si>
  <si>
    <t>Analog Comparator4 - MonitorLimit</t>
  </si>
  <si>
    <t>Analog Comparator4 - ActivityStatus</t>
  </si>
  <si>
    <t>Analog Comparator4 - ResetLevel</t>
  </si>
  <si>
    <t>DO Input source / COMP LOGIC INPUT LIST</t>
  </si>
  <si>
    <t>Index</t>
  </si>
  <si>
    <t>Signal Name</t>
  </si>
  <si>
    <t>Description</t>
  </si>
  <si>
    <t>Fixed 0</t>
  </si>
  <si>
    <t>Fixed 1</t>
  </si>
  <si>
    <t>RESET_KEY(Main unit)</t>
  </si>
  <si>
    <t>DI 13</t>
  </si>
  <si>
    <t>DI 14</t>
  </si>
  <si>
    <t>DI 15</t>
  </si>
  <si>
    <t>DI 16</t>
  </si>
  <si>
    <t>DI 17</t>
  </si>
  <si>
    <t>DI 18</t>
  </si>
  <si>
    <t>DI 19</t>
  </si>
  <si>
    <t>DI 20</t>
  </si>
  <si>
    <t>DI 21</t>
  </si>
  <si>
    <t>DI 22</t>
  </si>
  <si>
    <t>DI 23</t>
  </si>
  <si>
    <t>DI 24</t>
  </si>
  <si>
    <t>DI 25</t>
  </si>
  <si>
    <t>DI 26</t>
  </si>
  <si>
    <t>DI 27</t>
  </si>
  <si>
    <t>DI 28</t>
  </si>
  <si>
    <t>DI 29</t>
  </si>
  <si>
    <t>DI 30</t>
  </si>
  <si>
    <t>DI 31</t>
  </si>
  <si>
    <t>DI 32</t>
  </si>
  <si>
    <t>DO 1</t>
  </si>
  <si>
    <t>DO 2</t>
  </si>
  <si>
    <t>DO 3</t>
  </si>
  <si>
    <t>DO 4</t>
  </si>
  <si>
    <t>DO 5</t>
  </si>
  <si>
    <t>DO 6</t>
  </si>
  <si>
    <t>DO 7</t>
  </si>
  <si>
    <t>DO 8</t>
  </si>
  <si>
    <t>DO 9</t>
  </si>
  <si>
    <t>DO 10</t>
  </si>
  <si>
    <t>DO 11</t>
  </si>
  <si>
    <t>DO 12</t>
  </si>
  <si>
    <t>DO 13</t>
  </si>
  <si>
    <t>2IP_1OP_TT1</t>
  </si>
  <si>
    <t>2IP_1OP_TT2</t>
  </si>
  <si>
    <t>3IP_1OP_TT1</t>
  </si>
  <si>
    <t>3IP_1OP_TT2</t>
  </si>
  <si>
    <t>3IP_1OP_TT3</t>
  </si>
  <si>
    <t>3IP_1OP_TT4</t>
  </si>
  <si>
    <t>3IP_1OP_TT5</t>
  </si>
  <si>
    <t>3IP_1OP_TT6</t>
  </si>
  <si>
    <t>3IP_1OP_TT7</t>
  </si>
  <si>
    <t>3IP_1OP_TT8</t>
  </si>
  <si>
    <t>5IP_2OP_TT1_OP1</t>
  </si>
  <si>
    <t>5IP_2OP_TT1_OP2</t>
  </si>
  <si>
    <t>5IP_2OP_TT2_OP1</t>
  </si>
  <si>
    <t>5IP_2OP_TT2_OP2</t>
  </si>
  <si>
    <t>4IP_1OP_TT1</t>
  </si>
  <si>
    <t>4IP_1OP_TT2</t>
  </si>
  <si>
    <t>4IP_1OP_TT3</t>
  </si>
  <si>
    <t>4IP_1OP_TT4</t>
  </si>
  <si>
    <t>4IP_1OP_TT5</t>
  </si>
  <si>
    <t>4IP_1OP_TT6</t>
  </si>
  <si>
    <t>4IP_1OP_TT7</t>
  </si>
  <si>
    <t>4IP_1OP_TT8</t>
  </si>
  <si>
    <t>Timer OP 1</t>
  </si>
  <si>
    <t>Timer OP 2</t>
  </si>
  <si>
    <t>Timer OP 3</t>
  </si>
  <si>
    <t>Timer OP 4</t>
  </si>
  <si>
    <t>Counter OP 1</t>
  </si>
  <si>
    <t>Counter OP 2</t>
  </si>
  <si>
    <t>Counter OP 3</t>
  </si>
  <si>
    <t>Counter OP 4</t>
  </si>
  <si>
    <t>Signal Conditioner OP 1</t>
  </si>
  <si>
    <t>Signal Conditioner OP 2</t>
  </si>
  <si>
    <t>Signal Conditioner OP 3</t>
  </si>
  <si>
    <t>Signal Conditioner OP 4</t>
  </si>
  <si>
    <t>Non Volatile Element OP 1</t>
  </si>
  <si>
    <t>Non Volatile Element OP 2</t>
  </si>
  <si>
    <t>Non Volatile Element OP 3</t>
  </si>
  <si>
    <t>Non Volatile Element OP 4</t>
  </si>
  <si>
    <t>Analog Comparator OP 1</t>
  </si>
  <si>
    <t>Analog Comparator OP 2</t>
  </si>
  <si>
    <t>Analog Comparator OP 3</t>
  </si>
  <si>
    <t>Analog Comparator OP 4</t>
  </si>
  <si>
    <t>Pickup status</t>
  </si>
  <si>
    <t>alarm status</t>
  </si>
  <si>
    <t>Trip Status</t>
  </si>
  <si>
    <t>Motor Stop</t>
  </si>
  <si>
    <t>Motor Start</t>
  </si>
  <si>
    <t>Motor Run</t>
  </si>
  <si>
    <t>Motor Inhibit</t>
  </si>
  <si>
    <t>Thermal Overload Alarm</t>
  </si>
  <si>
    <t>Locked Rotor Alarm</t>
  </si>
  <si>
    <t>Stalled Rotor Alarm</t>
  </si>
  <si>
    <t>Definite time overcurrent Alarm</t>
  </si>
  <si>
    <t>Normal inverse overcurrent Alarm</t>
  </si>
  <si>
    <t>Short time overcurrent Alarm</t>
  </si>
  <si>
    <t>Calculated ground current Alarm</t>
  </si>
  <si>
    <t>Measured ground current Alarm</t>
  </si>
  <si>
    <t>Under Current Alarm</t>
  </si>
  <si>
    <t>Current Imbalance Alarm</t>
  </si>
  <si>
    <t>Current Phase Loss Alarm</t>
  </si>
  <si>
    <t>Current Phase Reversal Alarm</t>
  </si>
  <si>
    <t>Under Voltage Alarm</t>
  </si>
  <si>
    <t>Over Voltage Alarm</t>
  </si>
  <si>
    <t>Voltage Phase Loss Alarm</t>
  </si>
  <si>
    <t>Voltage Imbalance Alarm</t>
  </si>
  <si>
    <t>Voltage Phase Reversal Alarm</t>
  </si>
  <si>
    <t>Under Frequency Alarm</t>
  </si>
  <si>
    <t>Over Frequency Alarm</t>
  </si>
  <si>
    <t>Communication loss Alarm</t>
  </si>
  <si>
    <t>Over Temperature Alarm</t>
  </si>
  <si>
    <t>Under Power Alarm</t>
  </si>
  <si>
    <t>Over Power Alarm</t>
  </si>
  <si>
    <t>Under Power factor Alarm</t>
  </si>
  <si>
    <t>HMI communication loss Alarm</t>
  </si>
  <si>
    <t>Thermal Overload Pickup</t>
  </si>
  <si>
    <t>Locked Rotor Pickup</t>
  </si>
  <si>
    <t>Stalled Rotor Pickup</t>
  </si>
  <si>
    <t>Definite time overcurrent Pickup</t>
  </si>
  <si>
    <t>Normal inverse overcurrent Pickup</t>
  </si>
  <si>
    <t>Short time overcurrent Pickup</t>
  </si>
  <si>
    <t>Calculated ground current Pickup</t>
  </si>
  <si>
    <t>Measured ground current Pickup</t>
  </si>
  <si>
    <t>Under Current Pickup</t>
  </si>
  <si>
    <t>Current Imbalance Pickup</t>
  </si>
  <si>
    <t>Current Phase Loss Pickup</t>
  </si>
  <si>
    <t>Current Phase Reversal Pickup</t>
  </si>
  <si>
    <t>Under Voltage Pickup</t>
  </si>
  <si>
    <t>Over Voltage Pickup</t>
  </si>
  <si>
    <t>Voltage Phase Loss Pickup</t>
  </si>
  <si>
    <t>Voltage Imbalance Pickup</t>
  </si>
  <si>
    <t>Voltage Phase Reversal Pickup</t>
  </si>
  <si>
    <t>Under Frequency Pickup</t>
  </si>
  <si>
    <t>Over Frequency Pickup</t>
  </si>
  <si>
    <t>Communication loss Pickup</t>
  </si>
  <si>
    <t>Over Temperature Pickup</t>
  </si>
  <si>
    <t>Under Power Pickup</t>
  </si>
  <si>
    <t>Over Power Pickup</t>
  </si>
  <si>
    <t>Under Power factor Pickup</t>
  </si>
  <si>
    <t>HMI communication loss Pickup</t>
  </si>
  <si>
    <t>Thermal Overload Trip</t>
  </si>
  <si>
    <t>Locked Rotor Trip</t>
  </si>
  <si>
    <t>Stalled Rotor Trip</t>
  </si>
  <si>
    <t>Definite time overcurrent Trip</t>
  </si>
  <si>
    <t>Normal inverse overcurrent Trip</t>
  </si>
  <si>
    <t>Short time overcurrent Trip</t>
  </si>
  <si>
    <t>Calculated ground current Trip</t>
  </si>
  <si>
    <t>Measured ground current Trip</t>
  </si>
  <si>
    <t>Under Current Trip</t>
  </si>
  <si>
    <t>Current Imbalance Trip</t>
  </si>
  <si>
    <t>Current Phase Loss Trip</t>
  </si>
  <si>
    <t>Current Phase Reversal Trip</t>
  </si>
  <si>
    <t>Under Voltage Trip</t>
  </si>
  <si>
    <t>Over Voltage Trip</t>
  </si>
  <si>
    <t>Voltage Phase Loss Trip</t>
  </si>
  <si>
    <t>Voltage Imbalance Trip</t>
  </si>
  <si>
    <t>Voltage Phase Reversal Trip</t>
  </si>
  <si>
    <t>Under Frequency Trip</t>
  </si>
  <si>
    <t>Over Frequency Trip</t>
  </si>
  <si>
    <t>Communication loss Trip</t>
  </si>
  <si>
    <t>Over Temperature Trip</t>
  </si>
  <si>
    <t>Under Power Trip</t>
  </si>
  <si>
    <t>Over Power Trip</t>
  </si>
  <si>
    <t>Under Power factor Trip</t>
  </si>
  <si>
    <t>HMI communication loss Trip</t>
  </si>
  <si>
    <t>Interlock 1 Alarm</t>
  </si>
  <si>
    <t>Interlock 2 Alarm</t>
  </si>
  <si>
    <t>Interlock 3 Alarm</t>
  </si>
  <si>
    <t>Interlock 4 Alarm</t>
  </si>
  <si>
    <t>Interlock 5 Alarm</t>
  </si>
  <si>
    <t>Interlock 6 Alarm</t>
  </si>
  <si>
    <t>Interlock 7 Alarm</t>
  </si>
  <si>
    <t>Interlock 8 Alarm</t>
  </si>
  <si>
    <t>Interlock 9 Alarm</t>
  </si>
  <si>
    <t>Interlock 10 Alarm</t>
  </si>
  <si>
    <t>Interlock 11 Alarm</t>
  </si>
  <si>
    <t>Interlock 12 Alarm</t>
  </si>
  <si>
    <t>Interlock 1 Pickup</t>
  </si>
  <si>
    <t>Interlock 2 Pickup</t>
  </si>
  <si>
    <t>Interlock 3 Pickup</t>
  </si>
  <si>
    <t>Interlock 4 Pickup</t>
  </si>
  <si>
    <t>Interlock 5 Pickup</t>
  </si>
  <si>
    <t>Interlock 6 Pickup</t>
  </si>
  <si>
    <t>Interlock 7 Pickup</t>
  </si>
  <si>
    <t>Interlock 8 Pickup</t>
  </si>
  <si>
    <t>Interlock 9 Pickup</t>
  </si>
  <si>
    <t>Interlock 10 Pickup</t>
  </si>
  <si>
    <t>Interlock 11 Pickup</t>
  </si>
  <si>
    <t>Interlock 12 Pickup</t>
  </si>
  <si>
    <t>Interlock 1 Trip</t>
  </si>
  <si>
    <t>Interlock 2 Trip</t>
  </si>
  <si>
    <t>Interlock 3 Trip</t>
  </si>
  <si>
    <t>Interlock 4 Trip</t>
  </si>
  <si>
    <t>Interlock 5 Trip</t>
  </si>
  <si>
    <t>Interlock 6 Trip</t>
  </si>
  <si>
    <t>Interlock 7 Trip</t>
  </si>
  <si>
    <t>Interlock 8 Trip</t>
  </si>
  <si>
    <t>Interlock 9 Trip</t>
  </si>
  <si>
    <t>Interlock 10 Trip</t>
  </si>
  <si>
    <t>Interlock 11 Trip</t>
  </si>
  <si>
    <t>Interlock 12 Trip</t>
  </si>
  <si>
    <t>AI1 Alarm</t>
  </si>
  <si>
    <t>AI2 Alarm</t>
  </si>
  <si>
    <t>AI3 Alarm</t>
  </si>
  <si>
    <t>AI4 Alarm</t>
  </si>
  <si>
    <t>AI1 Pickup</t>
  </si>
  <si>
    <t>AI2 Pickup</t>
  </si>
  <si>
    <t>AI3 Pickup</t>
  </si>
  <si>
    <t>AI4 Pickup</t>
  </si>
  <si>
    <t>AI1 Trip</t>
  </si>
  <si>
    <t>AI2 Trip</t>
  </si>
  <si>
    <t>AI3 Trip</t>
  </si>
  <si>
    <t>AI4 Trip</t>
  </si>
  <si>
    <t>TI1 Alarm</t>
  </si>
  <si>
    <t>TI2 Alarm</t>
  </si>
  <si>
    <t>TI3 Alarm</t>
  </si>
  <si>
    <t>TI4 Alarm</t>
  </si>
  <si>
    <t>TI5 Alarm</t>
  </si>
  <si>
    <t>TI6 Alarm</t>
  </si>
  <si>
    <t>TI7 Alarm</t>
  </si>
  <si>
    <t>TI8 Alarm</t>
  </si>
  <si>
    <t>TI9 Alarm</t>
  </si>
  <si>
    <t>TI10 Alarm</t>
  </si>
  <si>
    <t>TI11 Alarm</t>
  </si>
  <si>
    <t>TI12 Alarm</t>
  </si>
  <si>
    <t>TI13 Alarm</t>
  </si>
  <si>
    <t>TI14 Alarm</t>
  </si>
  <si>
    <t>TI15 Alarm</t>
  </si>
  <si>
    <t>TI1 Pickup</t>
  </si>
  <si>
    <t>TI2 Pickup</t>
  </si>
  <si>
    <t>TI3 Pickup</t>
  </si>
  <si>
    <t>TI4 Pickup</t>
  </si>
  <si>
    <t>TI5 Pickup</t>
  </si>
  <si>
    <t>TI6 Pickup</t>
  </si>
  <si>
    <t>TI7 Pickup</t>
  </si>
  <si>
    <t>TI8 Pickup</t>
  </si>
  <si>
    <t>TI9 Pickup</t>
  </si>
  <si>
    <t>TI10 Pickup</t>
  </si>
  <si>
    <t>TI11 Pickup</t>
  </si>
  <si>
    <t>TI12 Pickup</t>
  </si>
  <si>
    <t>TI13 Pickup</t>
  </si>
  <si>
    <t>TI14 Pickup</t>
  </si>
  <si>
    <t>TI15 Pickup</t>
  </si>
  <si>
    <t>TI1 Trip</t>
  </si>
  <si>
    <t>TI2 Trip</t>
  </si>
  <si>
    <t>TI3 Trip</t>
  </si>
  <si>
    <t>TI4 Trip</t>
  </si>
  <si>
    <t>TI5 Trip</t>
  </si>
  <si>
    <t>TI6 Trip</t>
  </si>
  <si>
    <t>TI7 Trip</t>
  </si>
  <si>
    <t>TI8 Trip</t>
  </si>
  <si>
    <t>TI9 Trip</t>
  </si>
  <si>
    <t>TI10 Trip</t>
  </si>
  <si>
    <t>TI11 Trip</t>
  </si>
  <si>
    <t>TI12 Trip</t>
  </si>
  <si>
    <t>TI13 Trip</t>
  </si>
  <si>
    <t>TI14 Trip</t>
  </si>
  <si>
    <t>TI15 Trip</t>
  </si>
  <si>
    <t>CONTACTOR OUTPUT 1</t>
  </si>
  <si>
    <t>CONTACTOR OUTPUT 2</t>
  </si>
  <si>
    <t>CONTACTOR OUTPUT 3</t>
  </si>
  <si>
    <t>CONTACTOR OUTPUT 4</t>
  </si>
  <si>
    <t>CONTACTOR OUTPUT 5</t>
  </si>
  <si>
    <t>Motor forward running</t>
  </si>
  <si>
    <t>Motor reverse running</t>
  </si>
  <si>
    <t>Motor fast forward running</t>
  </si>
  <si>
    <t>Motor fast reverse running</t>
  </si>
  <si>
    <t>Motor running in star (Forward)</t>
  </si>
  <si>
    <t>Motor running in delta (Forward)</t>
  </si>
  <si>
    <t>Motor running in star (Reverse)</t>
  </si>
  <si>
    <t>Motor running in delta (Reverse)</t>
  </si>
  <si>
    <t>Motor in star-delta changeover (forward)</t>
  </si>
  <si>
    <t>Motor in star-delta changeover (reverse)</t>
  </si>
  <si>
    <t xml:space="preserve">Interlocking time active </t>
  </si>
  <si>
    <t>Change-over pause active</t>
  </si>
  <si>
    <t>Status - Permissive Command 1</t>
  </si>
  <si>
    <t>Status - Permissive Command 2</t>
  </si>
  <si>
    <t>Status - Permissive Command 3</t>
  </si>
  <si>
    <t>Status - Permissive Command 4</t>
  </si>
  <si>
    <t>Status - Permissive Command 5</t>
  </si>
  <si>
    <t>Status - Permissive Command 6</t>
  </si>
  <si>
    <t>Status - Permissive Command 7</t>
  </si>
  <si>
    <t>Status - Permissive Command 8</t>
  </si>
  <si>
    <t>No Voltage Inhibit</t>
  </si>
  <si>
    <t>Under Voltage Inhibit</t>
  </si>
  <si>
    <t>Trip Inhibit</t>
  </si>
  <si>
    <t>Thermal Inhibit</t>
  </si>
  <si>
    <t>Max Starts Inhibit</t>
  </si>
  <si>
    <t>Interlock 1 Inhibit</t>
  </si>
  <si>
    <t>Interlock 2 Inhibit</t>
  </si>
  <si>
    <t>Interlock 3 Inhibit</t>
  </si>
  <si>
    <t>Interlock 4 Inhibit</t>
  </si>
  <si>
    <t>Interlock 5 Inhibit</t>
  </si>
  <si>
    <t>Interlock 6 Inhibit</t>
  </si>
  <si>
    <t>Interlock 7 Inhibit</t>
  </si>
  <si>
    <t>Interlock 8 Inhibit</t>
  </si>
  <si>
    <t>Interlock 9 Inhibit</t>
  </si>
  <si>
    <t>Interlock 10 Inhibit</t>
  </si>
  <si>
    <t>Interlock 11 Inhibit</t>
  </si>
  <si>
    <t>Interlock 12 Inhibit</t>
  </si>
  <si>
    <t>Local DI Stop Inhibit</t>
  </si>
  <si>
    <t>Remote DI Stop Inhibit</t>
  </si>
  <si>
    <t>Communication Stop  Inhibit</t>
  </si>
  <si>
    <t>Force Stop Inhibit</t>
  </si>
  <si>
    <t>Antibackspin Inhibit</t>
  </si>
  <si>
    <t>Direction change Inhibit</t>
  </si>
  <si>
    <t>Speed change Inhibit</t>
  </si>
  <si>
    <t>Custom Stop Inhibit</t>
  </si>
  <si>
    <t>Sensor module communication error detected</t>
  </si>
  <si>
    <t>Expansion module communication error detected</t>
  </si>
  <si>
    <t>EEPROM interface error detected</t>
  </si>
  <si>
    <t>EEPROM checksum error detected</t>
  </si>
  <si>
    <t>Configuration error detected</t>
  </si>
  <si>
    <t>Watchdog timeout detected</t>
  </si>
  <si>
    <t>Energy Register Overflow</t>
  </si>
  <si>
    <t>Error detected during expansion module initialization</t>
  </si>
  <si>
    <t>SM Watchdog timeout detected</t>
  </si>
  <si>
    <t>ADC conversion error detected</t>
  </si>
  <si>
    <t>Flash error detected</t>
  </si>
  <si>
    <t>Voltage configuration not detected</t>
  </si>
  <si>
    <t>Calibration error detected</t>
  </si>
  <si>
    <t>VL1 measurement error detected</t>
  </si>
  <si>
    <t>VL2 measurement error detected</t>
  </si>
  <si>
    <t>VL3 measurement error detected</t>
  </si>
  <si>
    <t>IL1 low gain measurement error detected</t>
  </si>
  <si>
    <t>IL1 high gain measurement error detected</t>
  </si>
  <si>
    <t>IL2 low gain measurement error detected</t>
  </si>
  <si>
    <t>IL2 high gain measurement error detected</t>
  </si>
  <si>
    <t>IL3 low gain measurement error detected</t>
  </si>
  <si>
    <t>IL3 high gain measurement error detected</t>
  </si>
  <si>
    <t>712-65534</t>
  </si>
  <si>
    <t>This Index is not applicable in Comp Logic, Only Applicable for DO input source</t>
  </si>
  <si>
    <t>Hex</t>
  </si>
  <si>
    <t>address</t>
  </si>
  <si>
    <t>file name</t>
  </si>
  <si>
    <t>word size</t>
  </si>
  <si>
    <t>Min_Value</t>
  </si>
  <si>
    <t>MaxL_Value</t>
  </si>
  <si>
    <t>MaxH_Value</t>
  </si>
  <si>
    <t>step_size</t>
  </si>
  <si>
    <t>L1 RMS current</t>
  </si>
  <si>
    <t>0x0120</t>
  </si>
  <si>
    <t>L2 RMS current</t>
  </si>
  <si>
    <t>L3 RMS current</t>
  </si>
  <si>
    <t>Measured ground current</t>
  </si>
  <si>
    <t>Calculated ground current</t>
  </si>
  <si>
    <t>Current Imbalance</t>
  </si>
  <si>
    <t>Current Phase sequence</t>
  </si>
  <si>
    <t>0: -
1: L123
2: L132
3: CTWF (CT wiring fault)</t>
  </si>
  <si>
    <t>L1-L2 RMS voltage / L1-N RMS voltage</t>
  </si>
  <si>
    <t>L2-L3 RMS voltage</t>
  </si>
  <si>
    <t>L3-L1 RMS voltage</t>
  </si>
  <si>
    <t>Voltage Imbalance</t>
  </si>
  <si>
    <t>Voltage Phase sequence</t>
  </si>
  <si>
    <t>0: -
1: L123
2: L132</t>
  </si>
  <si>
    <t>System PF</t>
  </si>
  <si>
    <t>KW</t>
  </si>
  <si>
    <t xml:space="preserve">Total Reactive Power   </t>
  </si>
  <si>
    <t>KVAR</t>
  </si>
  <si>
    <t>KVA</t>
  </si>
  <si>
    <t xml:space="preserve">Total Active Energy </t>
  </si>
  <si>
    <t>UINT64</t>
  </si>
  <si>
    <t>KWh</t>
  </si>
  <si>
    <t xml:space="preserve">Total Reactive Energy   </t>
  </si>
  <si>
    <t>KVARh</t>
  </si>
  <si>
    <t xml:space="preserve">Total Apparent Energy </t>
  </si>
  <si>
    <t>KVah</t>
  </si>
  <si>
    <t>L1 Current THD</t>
  </si>
  <si>
    <t>L2 Current THD</t>
  </si>
  <si>
    <t>L3 Current THD</t>
  </si>
  <si>
    <t>L1-L2 Voltage THD / L1-N Voltage THD</t>
  </si>
  <si>
    <t>L2-L3 Voltage THD</t>
  </si>
  <si>
    <t>L3-L1 Voltage THD</t>
  </si>
  <si>
    <t>PT100</t>
  </si>
  <si>
    <t>°C or F</t>
  </si>
  <si>
    <t>Refer the unit selected for temperature measurement</t>
  </si>
  <si>
    <t>PTC Temperature in Ohm</t>
  </si>
  <si>
    <t>need</t>
  </si>
  <si>
    <t>MotorStatus</t>
  </si>
  <si>
    <t>1- Stop
2- Start
4- Run</t>
  </si>
  <si>
    <t>Thermal Memory</t>
  </si>
  <si>
    <t>Thermal Time to trip</t>
  </si>
  <si>
    <t>seconds</t>
  </si>
  <si>
    <t>Thermal Time to cool</t>
  </si>
  <si>
    <t>Max starts counter</t>
  </si>
  <si>
    <t>Max start inhibit time</t>
  </si>
  <si>
    <t>Motor Starting peak current</t>
  </si>
  <si>
    <t>Motor Starting time</t>
  </si>
  <si>
    <t>Total run hour</t>
  </si>
  <si>
    <t>Last run hour</t>
  </si>
  <si>
    <t>Number of Starts</t>
  </si>
  <si>
    <t>Number of Stops</t>
  </si>
  <si>
    <t>Motor Stop Cause</t>
  </si>
  <si>
    <t>0: None
1: HMI / DTM
2: LOCAL DI
3: REMOTE DI
4: Communication
5: Voltage Dip
6: Trip
7: No Current
8: Forced Stop
9: Change Direction
10: No Feedback
11: Change Speed
12: Custom Command
13: Mode Transfer
14: Reserved (Fallback mode will be implemented in Wave 2 of Ethernet)
15: No Voltage</t>
  </si>
  <si>
    <t>Trip Counter</t>
  </si>
  <si>
    <t>Last Motor Start Time Stamp</t>
  </si>
  <si>
    <t>Day</t>
  </si>
  <si>
    <t>Analog Module Data</t>
  </si>
  <si>
    <t>Analog input 1</t>
  </si>
  <si>
    <t>Analog input 2</t>
  </si>
  <si>
    <t>Analog input 3</t>
  </si>
  <si>
    <t>Analog input 4</t>
  </si>
  <si>
    <t>Analog output 1</t>
  </si>
  <si>
    <t>Analog output 2</t>
  </si>
  <si>
    <t>Temperature Input 1</t>
  </si>
  <si>
    <t>Temperature Input 2</t>
  </si>
  <si>
    <t>Temperature Input 3</t>
  </si>
  <si>
    <t>Temperature Input 4</t>
  </si>
  <si>
    <t>Temperature Input 5</t>
  </si>
  <si>
    <t>Temperature Input 6</t>
  </si>
  <si>
    <t>Temperature Input 7</t>
  </si>
  <si>
    <t>Temperature Input 8</t>
  </si>
  <si>
    <t>Temperature Input 9</t>
  </si>
  <si>
    <t>Temperature Input 10</t>
  </si>
  <si>
    <t>Temperature Input 11</t>
  </si>
  <si>
    <t>Temperature Input 12</t>
  </si>
  <si>
    <t>Temperature Input 13</t>
  </si>
  <si>
    <t>Temperature Input 14</t>
  </si>
  <si>
    <t>Temperature Input 15</t>
  </si>
  <si>
    <t>DI Status</t>
  </si>
  <si>
    <t>DO Status</t>
  </si>
  <si>
    <t>Custom Logic DI Status</t>
  </si>
  <si>
    <t>Bit 0:Local-START&gt; DI
Bit 1:Local-STOP DI
Bit 2:Local-START&gt;&gt; DI
Bit 3:Mode Selection 1
Bit 4:Local-START&lt; DI
Bit 5:Local-START&lt;&lt; DI
Bit 6:Remote-START&gt; DI
Bit 7:Remote-STOP DI
Bit 8:Remote-START&gt;&gt; DI
Bit 9:Mode Selection 2
Bit 10:Remote-START&lt; DI
Bit 11:Remote-START&lt;&lt; DI
Bit 12:Run DI
Bit 13:Speed Change
Bit 14:Not Used
Bit 15:Not Used</t>
  </si>
  <si>
    <t>Truth table</t>
  </si>
  <si>
    <t>Timer Status</t>
  </si>
  <si>
    <t>Counter Status</t>
  </si>
  <si>
    <t>Signal Conditioner Status</t>
  </si>
  <si>
    <t>Non-Volatile element status</t>
  </si>
  <si>
    <t>Analog comparator Output Status</t>
  </si>
  <si>
    <t>Bit 0:Analog Comparatoring 1 Output
Bit 1:Analog Comparatoring 2 Output
Bit 2:Analog Comparatoring 3 Output
Bit 3:Analog Comparatoring 4 Output</t>
  </si>
  <si>
    <t>Motor Status(Alarm,pickup,trip)</t>
  </si>
  <si>
    <t>Motor status(stop, start, run, inhibit)</t>
  </si>
  <si>
    <t>Alarm Bits</t>
  </si>
  <si>
    <t>Pickup Bits</t>
  </si>
  <si>
    <t>Trip Bits</t>
  </si>
  <si>
    <t>Interlock Alarm Bits</t>
  </si>
  <si>
    <t>Interlock Pickup Bits</t>
  </si>
  <si>
    <t>Interlock Trip Bits</t>
  </si>
  <si>
    <t>Analogue Unit Alarm Bits</t>
  </si>
  <si>
    <t>Analogue Unit Pickup Bits</t>
  </si>
  <si>
    <t>Analogue Unit Trip Bits</t>
  </si>
  <si>
    <t>Temperature Unit Alarm Bits</t>
  </si>
  <si>
    <t>Temperature Unit Pickup Bits</t>
  </si>
  <si>
    <t>Temperature Unit Trip Bits</t>
  </si>
  <si>
    <t>Starter Commands</t>
  </si>
  <si>
    <t>Motor Run Indicators</t>
  </si>
  <si>
    <t>Permissive command status</t>
  </si>
  <si>
    <t>Inhibit Status</t>
  </si>
  <si>
    <t>Device Inernal: MU</t>
  </si>
  <si>
    <t>Device Internal - CTVT</t>
  </si>
  <si>
    <t>Communication Status</t>
  </si>
  <si>
    <t>bit 0:Comm Fail
Bit 1: HMI Port - No Coomunication
Bit 2: NTP Not working
Bit 3: DHCP IP assignment Fail
Bit 4: Port 1 Link Fail
Bit 5: Port 2 Link Fail
All others are reserved</t>
  </si>
  <si>
    <t>Timer 1 - Actual value</t>
  </si>
  <si>
    <t>Timer 2 - Actual value</t>
  </si>
  <si>
    <t>Timer 3 - Actual value</t>
  </si>
  <si>
    <t>Timer 4 - Actual value</t>
  </si>
  <si>
    <t>Counter 1 - Actual value</t>
  </si>
  <si>
    <t>Counter 2 - Actual value</t>
  </si>
  <si>
    <t>Counter 3 - Actual value</t>
  </si>
  <si>
    <t>Counter 4 - Actual value</t>
  </si>
  <si>
    <t>Thermal Overload trip Counter</t>
  </si>
  <si>
    <t>Locked rotor trip counter</t>
  </si>
  <si>
    <t>Stalled rotor trip counter</t>
  </si>
  <si>
    <t>Definite time overcurrent trip counter</t>
  </si>
  <si>
    <t>Normal inverse overcurrent trip counter</t>
  </si>
  <si>
    <t>Short time overcurrent trip counter</t>
  </si>
  <si>
    <t>Calculated ground trip Counter</t>
  </si>
  <si>
    <t>Measured ground trip Counter</t>
  </si>
  <si>
    <t>Under current trip counter</t>
  </si>
  <si>
    <t>Current imbalance trip counter</t>
  </si>
  <si>
    <t>Current phase loss trip counter</t>
  </si>
  <si>
    <t>Current phase reversal trip counter</t>
  </si>
  <si>
    <t>Under voltage trip counter</t>
  </si>
  <si>
    <t>Over voltage trip counter</t>
  </si>
  <si>
    <t>Voltage phase loss trip counter</t>
  </si>
  <si>
    <t>Voltage imbalance trip counter</t>
  </si>
  <si>
    <t>Voltage phase reversal trip counter</t>
  </si>
  <si>
    <t>Under Frequency trip counter</t>
  </si>
  <si>
    <t>Over frequency trip counter</t>
  </si>
  <si>
    <t>Excessive start time trip Counter</t>
  </si>
  <si>
    <t>Communication loss trip Counter</t>
  </si>
  <si>
    <t>Main unit Temperature trip Counter</t>
  </si>
  <si>
    <t>Under Power trip Counter</t>
  </si>
  <si>
    <t>Over Power trip Counter</t>
  </si>
  <si>
    <t>Under Power factor trip Counter</t>
  </si>
  <si>
    <t>RESERVED_5</t>
  </si>
  <si>
    <t>Device Internal trip counter</t>
  </si>
  <si>
    <t>HMI communication loss trip counter</t>
  </si>
  <si>
    <t>RESERVED_8</t>
  </si>
  <si>
    <t>RESERVED_9</t>
  </si>
  <si>
    <t>RESERVED_10</t>
  </si>
  <si>
    <t>RESERVED_11</t>
  </si>
  <si>
    <t>DI Interlock 1 trip Counter</t>
  </si>
  <si>
    <t>DI Interlock 2 trip Counter</t>
  </si>
  <si>
    <t>DI Interlock 3 trip Counter</t>
  </si>
  <si>
    <t>DI Interlock 4 trip Counter</t>
  </si>
  <si>
    <t>DI Interlock 5 trip Counter</t>
  </si>
  <si>
    <t>DI Interlock 6 trip Counter</t>
  </si>
  <si>
    <t>DI Interlock 7 trip Counter</t>
  </si>
  <si>
    <t>DI Interlock 8 trip Counter</t>
  </si>
  <si>
    <t>DI Interlock 9 trip Counter</t>
  </si>
  <si>
    <t>DI Interlock 10 trip Counter</t>
  </si>
  <si>
    <t>DI Interlock 11 trip Counter</t>
  </si>
  <si>
    <t>DI Interlock 12 trip Counter</t>
  </si>
  <si>
    <t>RESERVED_13</t>
  </si>
  <si>
    <t>RESERVED_14</t>
  </si>
  <si>
    <t>RESERVED_15</t>
  </si>
  <si>
    <t>RESERVED_16</t>
  </si>
  <si>
    <t>Temperature input 1 trip Counter</t>
  </si>
  <si>
    <t>Temperature input 2 trip Counter</t>
  </si>
  <si>
    <t>Temperature input 3 trip Counter</t>
  </si>
  <si>
    <t>Temperature input 4 trip Counter</t>
  </si>
  <si>
    <t>Temperature input 5 trip Counter</t>
  </si>
  <si>
    <t>Temperature input 6 trip Counter</t>
  </si>
  <si>
    <t>Temperature input 7 trip Counter</t>
  </si>
  <si>
    <t>Temperature input 8 trip Counter</t>
  </si>
  <si>
    <t>Temperature input 9 trip Counter</t>
  </si>
  <si>
    <t>Temperature input 10 trip Counter</t>
  </si>
  <si>
    <t>Temperature input 11 trip Counter</t>
  </si>
  <si>
    <t>Temperature input 12 trip Counter</t>
  </si>
  <si>
    <t>Temperature input 13 trip Counter</t>
  </si>
  <si>
    <t>Temperature input 14 trip Counter</t>
  </si>
  <si>
    <t>Temperature input 15 trip Counter</t>
  </si>
  <si>
    <t>RESERVED_17</t>
  </si>
  <si>
    <t>Analog Input 1 trip Counter</t>
  </si>
  <si>
    <t>Analog Input 2 trip Counter</t>
  </si>
  <si>
    <t>Analog Input 3 trip Counter</t>
  </si>
  <si>
    <t>Analog Input 4 trip Counter</t>
  </si>
  <si>
    <t>Calculator 1 Output</t>
  </si>
  <si>
    <t>Calculator 2 Output</t>
  </si>
  <si>
    <t>Motor stop error detection trip counter</t>
  </si>
  <si>
    <t>Logic test interrupted trip counter</t>
  </si>
  <si>
    <t>Stucked reset key trip counter</t>
  </si>
  <si>
    <t>Status word 1</t>
  </si>
  <si>
    <t>Status word 2</t>
  </si>
  <si>
    <t>L1 Current (%IFLC)</t>
  </si>
  <si>
    <t>L2 Current (%IFLC)</t>
  </si>
  <si>
    <t>L3 Current (%IFLC)</t>
  </si>
  <si>
    <t>Calc Earth fault (%IFLC)</t>
  </si>
  <si>
    <t>Average Current (%IFLC)</t>
  </si>
  <si>
    <t>Maximum Current (Imax)</t>
  </si>
  <si>
    <t>L1-L2 voltage / L1-N Voltage</t>
  </si>
  <si>
    <t>Total RUN Hour</t>
  </si>
  <si>
    <t>Hr</t>
  </si>
  <si>
    <t>Last RUN Hour</t>
  </si>
  <si>
    <t>Motor Starting Time</t>
  </si>
  <si>
    <t>Sec</t>
  </si>
  <si>
    <t>Motor Starting current(%IFLC)</t>
  </si>
  <si>
    <t>Apparent power</t>
  </si>
  <si>
    <t>Active Energy</t>
  </si>
  <si>
    <t>KWH</t>
  </si>
  <si>
    <t>Reactive Energy</t>
  </si>
  <si>
    <t>Apparent Energy</t>
  </si>
  <si>
    <t>KVAh</t>
  </si>
  <si>
    <t>Mode status</t>
  </si>
  <si>
    <t>0: Local1
1: Remote
2: Local2
3: Local3</t>
  </si>
  <si>
    <t>Active trip count</t>
  </si>
  <si>
    <t>Active alarm count</t>
  </si>
  <si>
    <t>Size(in Bits)</t>
  </si>
  <si>
    <t xml:space="preserve">Digital Input 1 </t>
  </si>
  <si>
    <t>BOOL</t>
  </si>
  <si>
    <t>Digital Input 2</t>
  </si>
  <si>
    <t>Digital Input 3</t>
  </si>
  <si>
    <t>Digital Input 4</t>
  </si>
  <si>
    <t>Digital Input 5</t>
  </si>
  <si>
    <t>Digital Input 6</t>
  </si>
  <si>
    <t>Digital Input 7</t>
  </si>
  <si>
    <t>Digital Input 8</t>
  </si>
  <si>
    <t>Digital Input 9</t>
  </si>
  <si>
    <t>Digital Input 10</t>
  </si>
  <si>
    <t>Digital Input 11</t>
  </si>
  <si>
    <t>Digital Input 12</t>
  </si>
  <si>
    <t>Digital Input 13</t>
  </si>
  <si>
    <t>Digital Input 14</t>
  </si>
  <si>
    <t>Digital Input 15</t>
  </si>
  <si>
    <t>Digital Input 16</t>
  </si>
  <si>
    <t>Digital Input 17</t>
  </si>
  <si>
    <t>Digital Input 18</t>
  </si>
  <si>
    <t>Digital Input 19</t>
  </si>
  <si>
    <t>Digital Input 20</t>
  </si>
  <si>
    <t>Digital Input 21</t>
  </si>
  <si>
    <t>Digital Input 22</t>
  </si>
  <si>
    <t>Digital Input 23</t>
  </si>
  <si>
    <t>Digital Input 24</t>
  </si>
  <si>
    <t>Digital Input 25</t>
  </si>
  <si>
    <t>Digital Input 26</t>
  </si>
  <si>
    <t>Digital Input 27</t>
  </si>
  <si>
    <t>Digital Input 28</t>
  </si>
  <si>
    <t>Digital Input 29</t>
  </si>
  <si>
    <t>Digital Input 30</t>
  </si>
  <si>
    <t>Digital Input 31</t>
  </si>
  <si>
    <t>Digital Input 32</t>
  </si>
  <si>
    <t xml:space="preserve">Digital Output 1 </t>
  </si>
  <si>
    <t>Digital Output 2</t>
  </si>
  <si>
    <t>Digital Output 3</t>
  </si>
  <si>
    <t>Digital Output 4</t>
  </si>
  <si>
    <t>Digital Output 5</t>
  </si>
  <si>
    <t>Digital Output 6</t>
  </si>
  <si>
    <t>Digital Output 7</t>
  </si>
  <si>
    <t>Digital Output 8</t>
  </si>
  <si>
    <t>Digital Output 9</t>
  </si>
  <si>
    <t>Digital Output 10</t>
  </si>
  <si>
    <t>Digital Output 11</t>
  </si>
  <si>
    <t>Digital Output 12</t>
  </si>
  <si>
    <t>Digital Output 13</t>
  </si>
  <si>
    <t>Custom Logic DI status</t>
  </si>
  <si>
    <t>Mode Selection 1</t>
  </si>
  <si>
    <t>Mode Selection 2</t>
  </si>
  <si>
    <t>Run DI</t>
  </si>
  <si>
    <t>Speed Change</t>
  </si>
  <si>
    <t>Not Used</t>
  </si>
  <si>
    <t>Comp Logic - Truth Table Output</t>
  </si>
  <si>
    <t>Comp Logic - Timer Output</t>
  </si>
  <si>
    <t>Comp Logic - Counter Output</t>
  </si>
  <si>
    <t>Comp Logic - Signal Conditioner Output</t>
  </si>
  <si>
    <t>Comp Logic - NV Element Output</t>
  </si>
  <si>
    <t>Analog Comparator Output</t>
  </si>
  <si>
    <t>Common Trip, Alarm and Pickup Status</t>
  </si>
  <si>
    <t>Pickup Status</t>
  </si>
  <si>
    <t>Alarm Status</t>
  </si>
  <si>
    <t>Motor stop error detection trip</t>
  </si>
  <si>
    <t>Logic test interrupted trip</t>
  </si>
  <si>
    <t>Logic test interrupted pickup</t>
  </si>
  <si>
    <t>Stucked reset key trip</t>
  </si>
  <si>
    <t>Motor Status</t>
  </si>
  <si>
    <t>Remote Mode</t>
  </si>
  <si>
    <t>Protection Alarm Status</t>
  </si>
  <si>
    <t>HMI communication loss alarm</t>
  </si>
  <si>
    <t>Protection Pickup Status</t>
  </si>
  <si>
    <t>Internal Controller Malfunction (ICM) Pickup</t>
  </si>
  <si>
    <t>Protection Trip Status</t>
  </si>
  <si>
    <t>Internal Controller Malfunction (ICM) Trip</t>
  </si>
  <si>
    <t>HMI communication loss trip</t>
  </si>
  <si>
    <t>Interlock Protection Alarm Status</t>
  </si>
  <si>
    <t>Interlock Protection Pickup Status</t>
  </si>
  <si>
    <t>Interlock Protection Trip Status</t>
  </si>
  <si>
    <t>Analog Protection Alarm Status</t>
  </si>
  <si>
    <t>Analog Protection Pickup Status</t>
  </si>
  <si>
    <t>Analog Protection Trip Status</t>
  </si>
  <si>
    <t>Temperature Protection Alarm Status</t>
  </si>
  <si>
    <t>Temperature Protection Pickup Status</t>
  </si>
  <si>
    <t>Temperature Protection Trip Status</t>
  </si>
  <si>
    <t>Comp Logic - Motor Starter Output</t>
  </si>
  <si>
    <t>Comp Logic - Motor Indicators</t>
  </si>
  <si>
    <t>Comp Logic - Pemissive Commands Status</t>
  </si>
  <si>
    <t>Comp Logic - Inhibit Status</t>
  </si>
  <si>
    <t>Firmware Update Inhibit</t>
  </si>
  <si>
    <t>Internal controller malfunction detection - Main Controller</t>
  </si>
  <si>
    <t xml:space="preserve"> Write Pub Key failure</t>
  </si>
  <si>
    <t>Internal controller malfunction detection - Sensor Module</t>
  </si>
  <si>
    <t>ETH port Comm Fail</t>
  </si>
  <si>
    <t>HMI Port - No Coomunication</t>
  </si>
  <si>
    <t>NTP Not working</t>
  </si>
  <si>
    <t>DHCP IP assignment Fail</t>
  </si>
  <si>
    <t>Port 1 Link Fail</t>
  </si>
  <si>
    <t>Port 2 Link Fail</t>
  </si>
  <si>
    <t>Start &gt;</t>
  </si>
  <si>
    <t>0x01,0x05,0x0F</t>
  </si>
  <si>
    <t>Start &gt;&gt;</t>
  </si>
  <si>
    <t>Start &lt;</t>
  </si>
  <si>
    <t>Start &lt;&lt;</t>
  </si>
  <si>
    <t xml:space="preserve">Trip reset </t>
  </si>
  <si>
    <t>Inhibit reset (max starts)</t>
  </si>
  <si>
    <t>Reset starts counter</t>
  </si>
  <si>
    <t>Reset stops counter</t>
  </si>
  <si>
    <t>Clear thermal memory</t>
  </si>
  <si>
    <t>Reset total run hour</t>
  </si>
  <si>
    <t>Reset energy</t>
  </si>
  <si>
    <t>Emergancy start</t>
  </si>
  <si>
    <t>Logic test input</t>
  </si>
  <si>
    <t>Self test without trip</t>
  </si>
  <si>
    <t>Self test with trip</t>
  </si>
  <si>
    <t>Reset soft starter</t>
  </si>
  <si>
    <t>Reset trip counter</t>
  </si>
  <si>
    <t>Store Ref. Motor start record</t>
  </si>
  <si>
    <t>Clear Fault Reports</t>
  </si>
  <si>
    <t>Clear event records</t>
  </si>
  <si>
    <t>Factory Reset</t>
  </si>
  <si>
    <t>Permissive Command 1</t>
  </si>
  <si>
    <t>Permissive Command 2</t>
  </si>
  <si>
    <t>Permissive Command 3</t>
  </si>
  <si>
    <t>Permissive Command 4</t>
  </si>
  <si>
    <t>Permissive Command 5</t>
  </si>
  <si>
    <t>Permissive Command 6</t>
  </si>
  <si>
    <t>Permissive Command 7</t>
  </si>
  <si>
    <t>Permissive Command 8</t>
  </si>
  <si>
    <t>Local/Remote Mode Sel 1</t>
  </si>
  <si>
    <t>Local/Remote Mode Sel 2</t>
  </si>
  <si>
    <t>Trip Record</t>
  </si>
  <si>
    <t>Record 1</t>
  </si>
  <si>
    <t>Record 2</t>
  </si>
  <si>
    <t>Record 3</t>
  </si>
  <si>
    <t>Record 4</t>
  </si>
  <si>
    <t>Record 5</t>
  </si>
  <si>
    <t>Record 6</t>
  </si>
  <si>
    <t>Record 7</t>
  </si>
  <si>
    <t>Record 8</t>
  </si>
  <si>
    <t>Record 9</t>
  </si>
  <si>
    <t>Record 10</t>
  </si>
  <si>
    <t>Record 11</t>
  </si>
  <si>
    <t>Record 12</t>
  </si>
  <si>
    <t>Record 13</t>
  </si>
  <si>
    <t>Record 14</t>
  </si>
  <si>
    <t>Record 15</t>
  </si>
  <si>
    <t>Record 16</t>
  </si>
  <si>
    <t>Record 17</t>
  </si>
  <si>
    <t>Record 18</t>
  </si>
  <si>
    <t>Record 19</t>
  </si>
  <si>
    <t>Record 20</t>
  </si>
  <si>
    <t>Event Log</t>
  </si>
  <si>
    <t>Record 21</t>
  </si>
  <si>
    <t>Record 22</t>
  </si>
  <si>
    <t>Record 23</t>
  </si>
  <si>
    <t>Record 24</t>
  </si>
  <si>
    <t>Record 25</t>
  </si>
  <si>
    <t>Record 26</t>
  </si>
  <si>
    <t>Record 27</t>
  </si>
  <si>
    <t>Record 28</t>
  </si>
  <si>
    <t>Record 29</t>
  </si>
  <si>
    <t>Record 30</t>
  </si>
  <si>
    <t>Record 31</t>
  </si>
  <si>
    <t>Record 32</t>
  </si>
  <si>
    <t>Record 33</t>
  </si>
  <si>
    <t>Record 34</t>
  </si>
  <si>
    <t>Record 35</t>
  </si>
  <si>
    <t>Record 36</t>
  </si>
  <si>
    <t>Record 37</t>
  </si>
  <si>
    <t>Record 38</t>
  </si>
  <si>
    <t>Record 39</t>
  </si>
  <si>
    <t>Record 40</t>
  </si>
  <si>
    <t>Record 41</t>
  </si>
  <si>
    <t>Record 42</t>
  </si>
  <si>
    <t>Record 43</t>
  </si>
  <si>
    <t>Record 44</t>
  </si>
  <si>
    <t>Record 45</t>
  </si>
  <si>
    <t>Record 46</t>
  </si>
  <si>
    <t>Record 47</t>
  </si>
  <si>
    <t>Record 48</t>
  </si>
  <si>
    <t>Record 49</t>
  </si>
  <si>
    <t>Record 50</t>
  </si>
  <si>
    <t>Record 51</t>
  </si>
  <si>
    <t>Record 52</t>
  </si>
  <si>
    <t>Record 53</t>
  </si>
  <si>
    <t>Record 54</t>
  </si>
  <si>
    <t>Record 55</t>
  </si>
  <si>
    <t>Record 56</t>
  </si>
  <si>
    <t>Record 57</t>
  </si>
  <si>
    <t>Record 58</t>
  </si>
  <si>
    <t>Record 59</t>
  </si>
  <si>
    <t>Record 60</t>
  </si>
  <si>
    <t>Record 61</t>
  </si>
  <si>
    <t>Record 62</t>
  </si>
  <si>
    <t>Record 63</t>
  </si>
  <si>
    <t>Record 64</t>
  </si>
  <si>
    <t>Record 65</t>
  </si>
  <si>
    <t>Record 66</t>
  </si>
  <si>
    <t>Record 67</t>
  </si>
  <si>
    <t>Record 68</t>
  </si>
  <si>
    <t>Record 69</t>
  </si>
  <si>
    <t>Record 70</t>
  </si>
  <si>
    <t>Record 71</t>
  </si>
  <si>
    <t>Record 72</t>
  </si>
  <si>
    <t>Record 73</t>
  </si>
  <si>
    <t>Record 74</t>
  </si>
  <si>
    <t>Record 75</t>
  </si>
  <si>
    <t>Record 76</t>
  </si>
  <si>
    <t>Record 77</t>
  </si>
  <si>
    <t>Record 78</t>
  </si>
  <si>
    <t>Record 79</t>
  </si>
  <si>
    <t>Record 80</t>
  </si>
  <si>
    <t>Record 81</t>
  </si>
  <si>
    <t>Record 82</t>
  </si>
  <si>
    <t>Record 83</t>
  </si>
  <si>
    <t>Record 84</t>
  </si>
  <si>
    <t>Record 85</t>
  </si>
  <si>
    <t>Record 86</t>
  </si>
  <si>
    <t>Record 87</t>
  </si>
  <si>
    <t>Record 88</t>
  </si>
  <si>
    <t>Record 89</t>
  </si>
  <si>
    <t>Record 90</t>
  </si>
  <si>
    <t>Record 91</t>
  </si>
  <si>
    <t>Record 92</t>
  </si>
  <si>
    <t>Record 93</t>
  </si>
  <si>
    <t>Record 94</t>
  </si>
  <si>
    <t>Record 95</t>
  </si>
  <si>
    <t>Record 96</t>
  </si>
  <si>
    <t>Record 97</t>
  </si>
  <si>
    <t>Record 98</t>
  </si>
  <si>
    <t>Record 99</t>
  </si>
  <si>
    <t>Record 100</t>
  </si>
  <si>
    <t>Device Internal Log</t>
  </si>
  <si>
    <t>Motor Start - Latest Log</t>
  </si>
  <si>
    <t>Motor Start - Reference Log</t>
  </si>
  <si>
    <t>Audit Log</t>
  </si>
  <si>
    <t>Query</t>
  </si>
  <si>
    <t>Slave Address</t>
  </si>
  <si>
    <t>Function Code:0x47</t>
  </si>
  <si>
    <t>Record Number (Max. value:2048)</t>
  </si>
  <si>
    <t>Number Of Records to read (Max. Value: 12)</t>
  </si>
  <si>
    <t>CRC</t>
  </si>
  <si>
    <t>Size in Byte</t>
  </si>
  <si>
    <t>Response</t>
  </si>
  <si>
    <t>…...............</t>
  </si>
  <si>
    <t>Exceprion response</t>
  </si>
  <si>
    <t>Function Code:0xC7</t>
  </si>
  <si>
    <t>Error Code</t>
  </si>
  <si>
    <t>Audit Record</t>
  </si>
  <si>
    <t>Parameters</t>
  </si>
  <si>
    <t>Parameter Size in Bytes</t>
  </si>
  <si>
    <t>Record Size in Bytes</t>
  </si>
  <si>
    <t>Event Identifier</t>
  </si>
  <si>
    <t>Timestamp</t>
  </si>
  <si>
    <t>Category</t>
  </si>
  <si>
    <t>Event Type</t>
  </si>
  <si>
    <t>Event Result</t>
  </si>
  <si>
    <t>.</t>
  </si>
  <si>
    <t>Total size in Bytes</t>
  </si>
  <si>
    <t>Product Information</t>
  </si>
  <si>
    <t>Product ID</t>
  </si>
  <si>
    <t>Product S/R Number</t>
  </si>
  <si>
    <t>Product S/R number is in ASCII format</t>
  </si>
  <si>
    <t>Manufacture Day</t>
  </si>
  <si>
    <t>Manufacture Month</t>
  </si>
  <si>
    <t>Manufacture Year</t>
  </si>
  <si>
    <t>Manufacture Hour</t>
  </si>
  <si>
    <t>Manufacture Min</t>
  </si>
  <si>
    <t>Manufacture Seconds</t>
  </si>
  <si>
    <t xml:space="preserve">Standard Package Version </t>
  </si>
  <si>
    <t>Product Order code</t>
  </si>
  <si>
    <t>Product code is currently unused</t>
  </si>
  <si>
    <t>Main Unit Version</t>
  </si>
  <si>
    <t>Hardware Version</t>
  </si>
  <si>
    <t>ASCII format</t>
  </si>
  <si>
    <t>Firmware Version</t>
  </si>
  <si>
    <t>Boot Version</t>
  </si>
  <si>
    <t>CTVT Version</t>
  </si>
  <si>
    <t>Display Version</t>
  </si>
  <si>
    <t>EXP1 Version</t>
  </si>
  <si>
    <t>EXP2 Version</t>
  </si>
  <si>
    <t>EXP3 Version</t>
  </si>
  <si>
    <t>EXP4 Version</t>
  </si>
  <si>
    <t>EXP5 Version</t>
  </si>
  <si>
    <t>MAC ADDRESS</t>
  </si>
  <si>
    <t>MAC ADDRESS 0</t>
  </si>
  <si>
    <t>MAC ADDRESS 1</t>
  </si>
  <si>
    <t>MAC ADDRESS 2</t>
  </si>
  <si>
    <t>MAC ADDRESS 3</t>
  </si>
  <si>
    <t>MAC ADDRESS 4</t>
  </si>
  <si>
    <t>MAC ADDRESS 5</t>
  </si>
  <si>
    <t>Detected Expansions</t>
  </si>
  <si>
    <t xml:space="preserve">
1 - LTMTCT3L
2 - LTMTCTV3L
3 - LTMTCT3T
4 - LTMTCTV3T
5 - LTMTCT25L
6 - LTMTCTV25L
7 - LTMTCT25T
8 - LTMTCTV25T
9 - LTMTCT100L
10 - LTMTCTV100L
11 - LTMTCT100T
12 - LTMTCTV100T
13 - LTMTCT70L
14 - LTMTCTV70L
15 - LTMTCTV3UT
16 - LTMTCTV25UT
17 - LTMTCTV100UT</t>
  </si>
  <si>
    <t>EIP Product Details</t>
  </si>
  <si>
    <t>Vendor ID</t>
  </si>
  <si>
    <t>Device Profile</t>
  </si>
  <si>
    <t>Product Code</t>
  </si>
  <si>
    <t>See Remark</t>
  </si>
  <si>
    <t>240VAC= 0x3401 ; 24VDC = 0x3402</t>
  </si>
  <si>
    <t>CIP Serial Number</t>
  </si>
  <si>
    <t>Third Last byte of MAC: second last byte of Mac: Last byte of MAC : 0x20(0x20 is for Tesys T: will get for tera after registering our device with ODVA)</t>
  </si>
  <si>
    <t>CTVT Serial Number</t>
  </si>
  <si>
    <t>Serial Number</t>
  </si>
  <si>
    <t>EXP1 Serial Number</t>
  </si>
  <si>
    <t>EXP2 Serial Number</t>
  </si>
  <si>
    <t>EXP4 Serial Number</t>
  </si>
  <si>
    <t>EXP5 Serial Number</t>
  </si>
  <si>
    <t>Main Module Tag</t>
  </si>
  <si>
    <t>0x03, 0x06, 0x10</t>
  </si>
  <si>
    <t>CTVT Module Tag</t>
  </si>
  <si>
    <t>EXP1 Module Tag</t>
  </si>
  <si>
    <t>EXP2 Module Tag</t>
  </si>
  <si>
    <t>EXP3 Module Tag</t>
  </si>
  <si>
    <t>EXP4 Module Tag</t>
  </si>
  <si>
    <t>EXP5 Module Tag</t>
  </si>
  <si>
    <t>FC43 - Device identification</t>
  </si>
  <si>
    <t>Object ID</t>
  </si>
  <si>
    <t>Object Name</t>
  </si>
  <si>
    <t>Type</t>
  </si>
  <si>
    <t>M/O</t>
  </si>
  <si>
    <t>Assignment</t>
  </si>
  <si>
    <t>Size(Bytes)</t>
  </si>
  <si>
    <t>Vender Name</t>
  </si>
  <si>
    <t>ASCII String</t>
  </si>
  <si>
    <t>Mandatory</t>
  </si>
  <si>
    <t>"Schneider Electric" (configurable)</t>
  </si>
  <si>
    <t>Basic</t>
  </si>
  <si>
    <t>TBD (configurable)</t>
  </si>
  <si>
    <t>Major Minor Revision</t>
  </si>
  <si>
    <t>Vendor URL</t>
  </si>
  <si>
    <t>Optional</t>
  </si>
  <si>
    <t>www.se.com (configurable)</t>
  </si>
  <si>
    <t>Reguler</t>
  </si>
  <si>
    <t>Product name</t>
  </si>
  <si>
    <t>Motor protection relay (configurable)</t>
  </si>
  <si>
    <t>Model Name</t>
  </si>
  <si>
    <t>Tesys Tera (configurable)</t>
  </si>
  <si>
    <t>User Application Name</t>
  </si>
  <si>
    <t>FC66 User Define query</t>
  </si>
  <si>
    <t>Device ID</t>
  </si>
  <si>
    <t>FC</t>
  </si>
  <si>
    <t>length</t>
  </si>
  <si>
    <t xml:space="preserve">Data </t>
  </si>
  <si>
    <t>Data</t>
  </si>
  <si>
    <t>Parameter</t>
  </si>
  <si>
    <t>size</t>
  </si>
  <si>
    <t>Sr .No</t>
  </si>
  <si>
    <t>HR</t>
  </si>
  <si>
    <t>MIN</t>
  </si>
  <si>
    <t>SEC</t>
  </si>
  <si>
    <t>HW VERSION</t>
  </si>
  <si>
    <t>Read Only Data</t>
  </si>
  <si>
    <t>Display Status Data</t>
  </si>
  <si>
    <t>Motor Info</t>
  </si>
  <si>
    <t>Trip Code</t>
  </si>
  <si>
    <t>Display PowerUp Data</t>
  </si>
  <si>
    <t>Motor Tag</t>
  </si>
  <si>
    <t>Number of expansion unit</t>
  </si>
  <si>
    <t>Expansion Module 1 Variant</t>
  </si>
  <si>
    <t>Expansion Module 2 Variant</t>
  </si>
  <si>
    <t>Expansion Module 3 Variant</t>
  </si>
  <si>
    <t>Expansion Module 4 Variant</t>
  </si>
  <si>
    <t>Expansion Module 5 Variant</t>
  </si>
  <si>
    <t>CT type</t>
  </si>
  <si>
    <t>Logic ID</t>
  </si>
  <si>
    <t>Main unit- Communication type</t>
  </si>
  <si>
    <t>Starter Type (EOM ID)</t>
  </si>
  <si>
    <t>Test Mode (Enable/Disable)</t>
  </si>
  <si>
    <t>Main Unit Temp</t>
  </si>
  <si>
    <t>Load Type</t>
  </si>
  <si>
    <t>Emergency Start</t>
  </si>
  <si>
    <t>Max Start Function</t>
  </si>
  <si>
    <t>Debug counters</t>
  </si>
  <si>
    <t>Main unit to CTVT Query Counter</t>
  </si>
  <si>
    <t>Main unit to Exp Query Counter</t>
  </si>
  <si>
    <t>Main unit CTVT valid response counter</t>
  </si>
  <si>
    <t>Main unit Exp1 valid response counter</t>
  </si>
  <si>
    <t>Main unit Exp2 valid response counter</t>
  </si>
  <si>
    <t>Main unit Exp3 valid response counter</t>
  </si>
  <si>
    <t>Main unit Exp4 valid response counter</t>
  </si>
  <si>
    <t>Main unit Exp5 valid response counter</t>
  </si>
  <si>
    <t>Main unit to CTVT Comm Fail counter</t>
  </si>
  <si>
    <t>Main unit to EXP1 Comm Fail counter</t>
  </si>
  <si>
    <t>Main unit to EXP2 Comm Fail counter</t>
  </si>
  <si>
    <t>Main unit to EXP3 Comm Fail counter</t>
  </si>
  <si>
    <t>Main unit to EXP4 Comm Fail counter</t>
  </si>
  <si>
    <t>Main unit to EXP5 Comm Fail counter</t>
  </si>
  <si>
    <t>EEPROM Write fail counter</t>
  </si>
  <si>
    <t>EEPROM read fail counter</t>
  </si>
  <si>
    <t>EEPROM Write cycle counter</t>
  </si>
  <si>
    <t>Internal temperature fault counter</t>
  </si>
  <si>
    <t>PROFIBUS communication fail counter</t>
  </si>
  <si>
    <t>Modbus communication timeout counter</t>
  </si>
  <si>
    <t>Internal temperature max</t>
  </si>
  <si>
    <t>Main unit to CTVT Comm retry counter</t>
  </si>
  <si>
    <t>Main unit to EXP Comm retry counter</t>
  </si>
  <si>
    <t>HMI comunication timeout counter</t>
  </si>
  <si>
    <t>EEPROM Checksum fail counter</t>
  </si>
  <si>
    <t>Stack Usage of Protection task</t>
  </si>
  <si>
    <t>Stack Usage of Communication task</t>
  </si>
  <si>
    <t>Stack Usage of CTVT task</t>
  </si>
  <si>
    <t>Stack Usage of Exp task</t>
  </si>
  <si>
    <t>Stack Usage of DISP task</t>
  </si>
  <si>
    <t>Stack usage of NVModule task</t>
  </si>
  <si>
    <t>Reoccurance time of Protection task max</t>
  </si>
  <si>
    <t>Reoccurance time of Communication task max</t>
  </si>
  <si>
    <t>Reoccurance time of CTVT task max</t>
  </si>
  <si>
    <t>Reoccurance time of Exp task max</t>
  </si>
  <si>
    <t>Reoccurance time of DISP task max</t>
  </si>
  <si>
    <t>Reoccurance time of NVModule task max</t>
  </si>
  <si>
    <t>Average Queries per seconds to CTVT</t>
  </si>
  <si>
    <t>Average Queries per seconds to Exp</t>
  </si>
  <si>
    <t>max Queries per seconds to CTVT</t>
  </si>
  <si>
    <t>max Queries per seconds to Exp</t>
  </si>
  <si>
    <t>Power Down detection counter</t>
  </si>
  <si>
    <t>Power Down counter</t>
  </si>
  <si>
    <t>Power Up counter</t>
  </si>
  <si>
    <t>Watchdog reset counter</t>
  </si>
  <si>
    <t>Read Write Data</t>
  </si>
  <si>
    <t>Motor Validation Time</t>
  </si>
  <si>
    <t>Motor Stop Validation Time</t>
  </si>
  <si>
    <t>Motor Start Validation Time</t>
  </si>
  <si>
    <t>Motor Run Validation Time</t>
  </si>
  <si>
    <t>Older CTVT Version</t>
  </si>
  <si>
    <t>Motor RUN Threshold</t>
  </si>
  <si>
    <t>Version Support</t>
  </si>
  <si>
    <t>Force start command time</t>
  </si>
  <si>
    <t>Display Version Info</t>
  </si>
  <si>
    <t>Software Version</t>
  </si>
  <si>
    <t>Boot Software Version</t>
  </si>
  <si>
    <t>Main Unit Temperature Calibration Factor</t>
  </si>
  <si>
    <t>RTD Calibration Slope</t>
  </si>
  <si>
    <t>RTD Calibration Constant</t>
  </si>
  <si>
    <t>PTC Calibration Slope</t>
  </si>
  <si>
    <t>Calibration Day</t>
  </si>
  <si>
    <t>Calibration Month</t>
  </si>
  <si>
    <t>Calibration Year</t>
  </si>
  <si>
    <t>Calibration Hours</t>
  </si>
  <si>
    <t>Calibration Minutes</t>
  </si>
  <si>
    <t>Calibration Seconds</t>
  </si>
  <si>
    <t>PTC Calibration constant</t>
  </si>
  <si>
    <t>RTD/PTC Resistance</t>
  </si>
  <si>
    <t>RTD/PTC Voltage</t>
  </si>
  <si>
    <t>CTVT Calibration Factors</t>
  </si>
  <si>
    <t>R Phase Voltage</t>
  </si>
  <si>
    <t>Y Phase Voltage</t>
  </si>
  <si>
    <t>B Phase Voltage</t>
  </si>
  <si>
    <t>R Phase Current High Gain</t>
  </si>
  <si>
    <t>R Phase Current Low Gain</t>
  </si>
  <si>
    <t>Y Phase Current High Gain</t>
  </si>
  <si>
    <t>Y Phase Current Low Gain</t>
  </si>
  <si>
    <t>B Phase Current High Gain</t>
  </si>
  <si>
    <t>B Phase Current Low Gain</t>
  </si>
  <si>
    <t>R Phase Power High Gain</t>
  </si>
  <si>
    <t>R Phase Power Low Gain</t>
  </si>
  <si>
    <t>Y Phase Power High Gain</t>
  </si>
  <si>
    <t>Y Phase PowerLow Gain</t>
  </si>
  <si>
    <t>B Phase Power High Gain</t>
  </si>
  <si>
    <t>B Phase Power Low Gain</t>
  </si>
  <si>
    <t>Main unit Card Level Test</t>
  </si>
  <si>
    <t>Key Status</t>
  </si>
  <si>
    <t>LED</t>
  </si>
  <si>
    <t>Main unit RTC Calibration</t>
  </si>
  <si>
    <t>CALM</t>
  </si>
  <si>
    <t>CALP</t>
  </si>
  <si>
    <t>Enable Calibration</t>
  </si>
  <si>
    <t>Debug</t>
  </si>
  <si>
    <t>Write Debug Counters</t>
  </si>
  <si>
    <t>Reset debug counters</t>
  </si>
  <si>
    <t>Main unit Manufacturing</t>
  </si>
  <si>
    <t>Current Value</t>
  </si>
  <si>
    <t>MAC address for Write</t>
  </si>
  <si>
    <t>Port 1</t>
  </si>
  <si>
    <t>MAC byte 1</t>
  </si>
  <si>
    <t>schnier provided</t>
  </si>
  <si>
    <t>eth0</t>
  </si>
  <si>
    <t>MAC byte 2</t>
  </si>
  <si>
    <t>MAC byte 3</t>
  </si>
  <si>
    <t>MAC byte 4</t>
  </si>
  <si>
    <t>MAC byte 5</t>
  </si>
  <si>
    <t>MAC byte 6</t>
  </si>
  <si>
    <t>Port 2</t>
  </si>
  <si>
    <t>eth1 :port2 of MAC1 =  MAC1 of Port1 + 1</t>
  </si>
  <si>
    <t>PDD test byte</t>
  </si>
  <si>
    <t>PPDTestByte</t>
  </si>
  <si>
    <t>Value after power up should be what is set in Power down</t>
  </si>
  <si>
    <t>HMI Commands</t>
  </si>
  <si>
    <t>Commands Register 1</t>
  </si>
  <si>
    <t>bit 0: Motor run forward / High speed forward command
bit 1: Motor run reverse / High speed reverse command
bit 2:Local/Remote Mode Sel 1
bit 3: Trip reset command
bit 4: Local/Remote Mode Sel 2
bit 5: Self test (without trip) command
bit 6: Motor low speed forward command
bit 7: Motor low speed reverse command
bit 8: Reset Inhibit command
bit 9: Reset no of starts command
bit 10: Reset no of stops command
bit 11: Clear Energy command
bit 12: Motor Stop 
bit 13: Logic test command
bit 14: Reset run hour command
bit 15: Self test (with trip) command</t>
  </si>
  <si>
    <t>Commands Register 2</t>
  </si>
  <si>
    <r>
      <rPr>
        <sz val="11"/>
        <color rgb="FFFF0000"/>
        <rFont val="Calibri"/>
        <family val="2"/>
      </rPr>
      <t xml:space="preserve">bit 0: Clear all command
bit 1: Clear statistics command
</t>
    </r>
    <r>
      <rPr>
        <sz val="11"/>
        <rFont val="Calibri"/>
        <family val="2"/>
      </rPr>
      <t xml:space="preserve">bit 2: Clear thermal capacity level command
</t>
    </r>
    <r>
      <rPr>
        <sz val="11"/>
        <color rgb="FFFF0000"/>
        <rFont val="Calibri"/>
        <family val="2"/>
      </rPr>
      <t xml:space="preserve">bit 3: Clear controller settings command
bit 4: Clear network port settings command
</t>
    </r>
    <r>
      <rPr>
        <sz val="11"/>
        <rFont val="Calibri"/>
        <family val="2"/>
      </rPr>
      <t>bit 5: Clear Trip counter command
bit 6: Factory reset command
bit 7: Soft starter reset command
bits 8-12: Reserved
bit 13: Store reference start curve command
bit 14: Clear trip records command
bit 15: Clear event records command</t>
    </r>
  </si>
  <si>
    <t>Internal Commands</t>
  </si>
  <si>
    <t>bit 0: HMI FDR
bit 1: Ethernet Global Statistic Reset
bit 2: Modbus TCP port reset
bit 3: General Counter Reset
bit 4: Configured and learned reset
bit 5: RSTP port 1 Reset
bit 6: RSTP port 2 Reset</t>
  </si>
  <si>
    <t>Firmware Update Status and Commands</t>
  </si>
  <si>
    <t>Firmware Update status</t>
  </si>
  <si>
    <t>Bit 0:Main Module Firmware Available
Bit 1: sensor Module Firmware Available
Bit 2: Expansion Module Firmware Available
Bit 3: sensor Module Firmware Update Ongoing
Bit 4: Expansion Module Firmware  Update Ongoing
Bit 5: Main Module Firmware update Successful
Bit 6: sensor Module Firmware Update Successful
Bit 7: Expansion Module Firmware Update Successful</t>
  </si>
  <si>
    <t>Firmware Update Command</t>
  </si>
  <si>
    <t>Bit 0: Update Main Module Firmware
Bit 1: Update Sensor Module Firmware 
Bit 2: Update Expansion Module Firmware</t>
  </si>
  <si>
    <t>Firmware Update Error</t>
  </si>
  <si>
    <t>Bit 0: Main Module Firmware update error
Bit 1: sensor Module Firmware Update error
Bit 2: Expansion Module Firmware Update error
Bit 3: Reserved
Bit 4: Reserved
Bit 5: Reserved
Bit 6: Reserved
Bit 7: Main Module Firmware authentication error
Bit 8: sensor Module Firmware authentication error
Bit 9: Expansion Module Firmware authentication error</t>
  </si>
  <si>
    <t>Status Word 1 Configuration</t>
  </si>
  <si>
    <t>Bit 0</t>
  </si>
  <si>
    <t>0: None
1-704: Selectable register from 'Status' sheet</t>
  </si>
  <si>
    <t>Bit 1</t>
  </si>
  <si>
    <t>Bit 2</t>
  </si>
  <si>
    <t>Bit 3</t>
  </si>
  <si>
    <t>Bit 4</t>
  </si>
  <si>
    <t>Bit 5</t>
  </si>
  <si>
    <t>Bit 6</t>
  </si>
  <si>
    <t>Bit 7</t>
  </si>
  <si>
    <t>Bit 8</t>
  </si>
  <si>
    <t>Bit 9</t>
  </si>
  <si>
    <t>Bit 10</t>
  </si>
  <si>
    <t>Bit 11</t>
  </si>
  <si>
    <t>Bit 12</t>
  </si>
  <si>
    <t>Bit 13</t>
  </si>
  <si>
    <t>Bit 14</t>
  </si>
  <si>
    <t>Bit 15</t>
  </si>
  <si>
    <t>Status Word 2 Configuration</t>
  </si>
  <si>
    <t xml:space="preserve">Sl. No. </t>
  </si>
  <si>
    <t>Commercial Ref ID</t>
  </si>
  <si>
    <t>Short Description</t>
  </si>
  <si>
    <t>ERP-Print Medium Description</t>
  </si>
  <si>
    <t>New</t>
  </si>
  <si>
    <t>US</t>
  </si>
  <si>
    <t>LTMTPBD</t>
  </si>
  <si>
    <t>Electro relay main Profibus DP 24VDC</t>
  </si>
  <si>
    <t>Electronic motor relay main unit Profibus DP 24VDC</t>
  </si>
  <si>
    <t>Main Unit</t>
  </si>
  <si>
    <t>Yes</t>
  </si>
  <si>
    <t>LTMTPFM</t>
  </si>
  <si>
    <t>Electro relay mainProfibus DP 265V</t>
  </si>
  <si>
    <t>Electronic motor relay main unit Profibus DP 265V</t>
  </si>
  <si>
    <t>LTMTMBD</t>
  </si>
  <si>
    <t>Electro relay main Modbus 24VDC</t>
  </si>
  <si>
    <t>Electronic motor relay main unit  Modbus 24VDC</t>
  </si>
  <si>
    <t>LTMTMFM</t>
  </si>
  <si>
    <t>Electro relay main Modbus 265V</t>
  </si>
  <si>
    <t>Electronic motor relay main unit  Modbus 265V</t>
  </si>
  <si>
    <t>LTMTEBD</t>
  </si>
  <si>
    <t>Electro relay main EtherNet TCP/IP 24VDC</t>
  </si>
  <si>
    <t>Electronic motor relay main unit  EtherNet TCP/IP 24VDC</t>
  </si>
  <si>
    <t>LTMTEFM</t>
  </si>
  <si>
    <t>Electro relay main EtherNet TCP/IP 265V</t>
  </si>
  <si>
    <t>Electronic motor relay main unit  EtherNet TCP/IP 265V</t>
  </si>
  <si>
    <t>LTMTPNBD</t>
  </si>
  <si>
    <t>Electro relay main ProfiNet 24VDC</t>
  </si>
  <si>
    <t>Electronic motor relay main unit  ProfiNet 24VDC</t>
  </si>
  <si>
    <t>LTMTPNFM</t>
  </si>
  <si>
    <t>Electro relay main ProfiNet 265V</t>
  </si>
  <si>
    <t>Electronic motor relay main unit  ProfiNet 265V</t>
  </si>
  <si>
    <t>LTMT618BD</t>
  </si>
  <si>
    <t>Electro relay main IEC 61850 24VDC</t>
  </si>
  <si>
    <t>Electronic motor relay main unit  IEC 61850 24VDC</t>
  </si>
  <si>
    <t>LTMT618FM</t>
  </si>
  <si>
    <t>Electro relay main IEC 61850 265V</t>
  </si>
  <si>
    <t>Electronic motor relay main unit  IEC 61850 265V</t>
  </si>
  <si>
    <t>LTMTCT3L</t>
  </si>
  <si>
    <t>Electro relay sensor CT  0.3-3A</t>
  </si>
  <si>
    <t>Electronic motor relay sensor CT  0.3-3A</t>
  </si>
  <si>
    <t>Sensor</t>
  </si>
  <si>
    <t>LTMTCT25L</t>
  </si>
  <si>
    <t>Electro relay sensor CT  2.5-25A</t>
  </si>
  <si>
    <t>Electronic motor relay sensor  CT  2.5-25A</t>
  </si>
  <si>
    <t>LTMTCT70L</t>
  </si>
  <si>
    <t>Electro relay sensor CT  7-70A</t>
  </si>
  <si>
    <t>Electronic motor relay sensor  CT  7-70A</t>
  </si>
  <si>
    <t>LTMTCT100L</t>
  </si>
  <si>
    <t>Electro relay sensor CT  10-100A</t>
  </si>
  <si>
    <t>Electronic motor relay sensor  CT  10-100A</t>
  </si>
  <si>
    <t>LTMTCT3T</t>
  </si>
  <si>
    <t>Electro relay sensor CT Horizontal 0.3-3A</t>
  </si>
  <si>
    <t>Electronic motor relay sensor  CT Horizontal 0.3-3A</t>
  </si>
  <si>
    <t>LTMTCT25T</t>
  </si>
  <si>
    <t>Electro relay sensor CT Horizontal 2.5-25A</t>
  </si>
  <si>
    <t>Electronic motor relay sensor  CT Horizontal 2.5-25A</t>
  </si>
  <si>
    <t>LTMTCT100T</t>
  </si>
  <si>
    <t>Electro relay sensor CT Horizontal 10-100A</t>
  </si>
  <si>
    <t>Electronic motor relay sensor  CT Horizontal 10-100A</t>
  </si>
  <si>
    <t>LTMTCTV3L</t>
  </si>
  <si>
    <t>Electro relay sensor CTVT  0.3-3A</t>
  </si>
  <si>
    <t>Electronic motor relay sensor  CTVT  0.3-3A</t>
  </si>
  <si>
    <t>LTMTCTV25L</t>
  </si>
  <si>
    <t>Electro relay sensor CTVT  2.5-25A</t>
  </si>
  <si>
    <t>Electronic motor relay sensor  CTVT  2.5-25A</t>
  </si>
  <si>
    <t>LTMTCTV70L</t>
  </si>
  <si>
    <t>Electro relay sensor CTVT  7-70A</t>
  </si>
  <si>
    <t>Electronic motor relay sensor  CTVT  7-70A</t>
  </si>
  <si>
    <t>LTMTCTV100L</t>
  </si>
  <si>
    <t>Electro relay sensor CTVT  10-100A</t>
  </si>
  <si>
    <t>Electronic motor relay sensor  CTVT  10-100A</t>
  </si>
  <si>
    <t>LTMTCTV3T</t>
  </si>
  <si>
    <t>Electro relay sensor CTVT Horizont 0.3-3A</t>
  </si>
  <si>
    <t>Electronic motor relay sensor  CTVT Horizontal 0.3-3A</t>
  </si>
  <si>
    <t>LTMTCTV25T</t>
  </si>
  <si>
    <t>Electro relay sensor CTVT Horizont 2.5-25A</t>
  </si>
  <si>
    <t>Electronic motor relay sensor  CTVT Horizontal 2.5-25A</t>
  </si>
  <si>
    <t>LTMTCTV100T</t>
  </si>
  <si>
    <t>Electro relay sensor CTVT Horizont 10-100A</t>
  </si>
  <si>
    <t>Electronic motor relay sensor  CTVT Horizontal 10-100A</t>
  </si>
  <si>
    <t>LTMTIN42FM</t>
  </si>
  <si>
    <t>Electro relay exp 4 DI + 2 DO AC</t>
  </si>
  <si>
    <t>Electronic motor relay expansion Digital 4 Inputs 2 Outputs AC</t>
  </si>
  <si>
    <t>Expansion Module</t>
  </si>
  <si>
    <t>LTMTIN42BD</t>
  </si>
  <si>
    <t>Electro relay exp 4 DI + 2 DO DC</t>
  </si>
  <si>
    <t>Electronic motor relay expansion Digital 4 Inputs 2 Outputs DC</t>
  </si>
  <si>
    <t>LTMTIN60FM</t>
  </si>
  <si>
    <t>Electro relay exp 6 DI AC</t>
  </si>
  <si>
    <t>Electronic motor relay expansion 6 Digital Inputs AC</t>
  </si>
  <si>
    <t>LTMTIN60BD</t>
  </si>
  <si>
    <t>Electro relay exp 6 DI DC</t>
  </si>
  <si>
    <t>Electronic motor relay expansion 6 Digital Inputs DC</t>
  </si>
  <si>
    <t>LTMTZCT22FM</t>
  </si>
  <si>
    <t>Electro relay exp Earth Fault AC</t>
  </si>
  <si>
    <t>Electronic motor relay expansion Earth Fault AC</t>
  </si>
  <si>
    <t>LTMTZCT22BD</t>
  </si>
  <si>
    <t xml:space="preserve">Electro relay exp Earth Fault DC </t>
  </si>
  <si>
    <t xml:space="preserve">Electronic motor relay expansion Earth Fault DC </t>
  </si>
  <si>
    <t>LTMTAN21</t>
  </si>
  <si>
    <t>Electro relay exp Analog</t>
  </si>
  <si>
    <t>Electronic motor relay expansion Analog</t>
  </si>
  <si>
    <t>LTMTPTC</t>
  </si>
  <si>
    <t>Electro relay exp Additional PTC</t>
  </si>
  <si>
    <t>Electronic motor relay expansion Additional PTC</t>
  </si>
  <si>
    <t>LTMT9TCS</t>
  </si>
  <si>
    <t xml:space="preserve">Electro relay spare connector screw </t>
  </si>
  <si>
    <t xml:space="preserve">Electronic motor relay spare connector screw </t>
  </si>
  <si>
    <t>Screw</t>
  </si>
  <si>
    <t>LTMT9TCP</t>
  </si>
  <si>
    <t>Electro relay spare connector pushin</t>
  </si>
  <si>
    <t>Electronic motor relay spare connector pushin</t>
  </si>
  <si>
    <t>Pushin connector</t>
  </si>
  <si>
    <t>LTMT9RJ105</t>
  </si>
  <si>
    <t>Electro relay main CT RJ11 CONNECT 0,5M</t>
  </si>
  <si>
    <t>Electronic motor relay  main to Sensor RJ11 CONNECTOR 0,5M</t>
  </si>
  <si>
    <t>Cable - Sensor</t>
  </si>
  <si>
    <t>LTMT9RJ1015</t>
  </si>
  <si>
    <t>Electro relay main CT RJ11 CONNECT 0,15M</t>
  </si>
  <si>
    <t>Electronic motor relay  main to sensor RJ11 CONNECTOR 0,15M</t>
  </si>
  <si>
    <t>LTMT9RJ401</t>
  </si>
  <si>
    <t>Electro relay exp CT RJ45 CONNECT 0,1M</t>
  </si>
  <si>
    <t>Electronic motor relay  expansion cable  RJ45 CONNECTOR 0,1M</t>
  </si>
  <si>
    <t>Cable - Expansion</t>
  </si>
  <si>
    <t>LTMTCT3UT</t>
  </si>
  <si>
    <t>Electro relay sensor CT Horizontal 0.3-3A US</t>
  </si>
  <si>
    <t>Electronic motor relay sensor  CT Horizontal 0.3-3A US</t>
  </si>
  <si>
    <t>LTMTCT25UT</t>
  </si>
  <si>
    <t>Electro relay sensor CT Horizontal 2.5-25A US</t>
  </si>
  <si>
    <t>Electronic motor relay sensor  CT Horizontal 2.5-25A  US</t>
  </si>
  <si>
    <t>LTMTCT100UT</t>
  </si>
  <si>
    <t>Electro relay sensor CT Horizontal 10-100A US</t>
  </si>
  <si>
    <t>Electronic motor relay sensor  CT Horizontal 10-100A  US</t>
  </si>
  <si>
    <t>LTMTCTV3UT</t>
  </si>
  <si>
    <t>Electro relay sensor CTVT Horizont 0.3-3A US</t>
  </si>
  <si>
    <t>Electronic motor relay sensor  CTVT Horizontal 0.3-3A  US</t>
  </si>
  <si>
    <t>LTMTCTV25UT</t>
  </si>
  <si>
    <t>Electro relay sensor CTVT Horizont 2.5-25A US</t>
  </si>
  <si>
    <t>Electronic motor relay sensor  CTVT Horizontal 2.5-25A  US</t>
  </si>
  <si>
    <t>LTMTCTV100UT</t>
  </si>
  <si>
    <t>Electro relay sensor CTVT Horizont 10-100A US</t>
  </si>
  <si>
    <t>Electronic motor relay sensor  CTVT Horizontal 10-100A  US</t>
  </si>
  <si>
    <t>LTM9CU10</t>
  </si>
  <si>
    <t>LTMR/LTME TO LTMCU HMI DEVICE CABLE 1M</t>
  </si>
  <si>
    <t>Same as Tesys T cable</t>
  </si>
  <si>
    <t>Cable- Expansion/HMI</t>
  </si>
  <si>
    <t>LTM9CU30</t>
  </si>
  <si>
    <t>LTMR/LTME TO LTMCU HMI DEVICE CABLE 3M</t>
  </si>
  <si>
    <t>Cable</t>
  </si>
  <si>
    <t>LTMCUF</t>
  </si>
  <si>
    <t>Electro relay screen</t>
  </si>
  <si>
    <t>Electronic motor relay screen</t>
  </si>
  <si>
    <t>1 - LTMTCT3L
2 - LTMTCTV3L
3 - LTMTCT3T
4 - LTMTCTV3T
15 - LTMTCTV3UT</t>
  </si>
  <si>
    <t xml:space="preserve">5 - LTMTCT25L
6 - LTMTCTV25L
7 - LTMTCT25T
8 - LTMTCTV25T
16 - LTMTCTV25UT
</t>
  </si>
  <si>
    <t xml:space="preserve">9 - LTMTCT100L
10 - LTMTCTV100L
11 - LTMTCT100T
12 - LTMTCTV100T
17 - LTMTCTV100UT
</t>
  </si>
  <si>
    <t xml:space="preserve">13 - LTMTCT70L
14 - LTMTCTV70L
</t>
  </si>
  <si>
    <t>Range</t>
  </si>
  <si>
    <t>Default</t>
  </si>
  <si>
    <t>1 to 1000</t>
  </si>
  <si>
    <t>1 to 10</t>
  </si>
  <si>
    <t>Full load Current</t>
  </si>
  <si>
    <t>0.1 to 1000.0</t>
  </si>
  <si>
    <t>0.3 to 1000.0</t>
  </si>
  <si>
    <t>1.0 to 100.0</t>
  </si>
  <si>
    <t>0.7 to 70</t>
  </si>
  <si>
    <t>Speed 2 CT secondary passes</t>
  </si>
  <si>
    <t>IFLC Min &amp; Max range calculation</t>
  </si>
  <si>
    <t>CT Type</t>
  </si>
  <si>
    <t>CT Primary</t>
  </si>
  <si>
    <t>CT Primary should be always 1</t>
  </si>
  <si>
    <t>CT secondary</t>
  </si>
  <si>
    <t>if CT primary is &gt;= 5, then allow CT secondary as 5, else 1</t>
  </si>
  <si>
    <t xml:space="preserve"> if CT primary is &gt;1, then only Allow CT Secondary = 5</t>
  </si>
  <si>
    <t>CT Secondary should be always 1</t>
  </si>
  <si>
    <t>CT secondary passes</t>
  </si>
  <si>
    <t>IFLC Min range</t>
  </si>
  <si>
    <t>IFLC Max Range</t>
  </si>
  <si>
    <t>TeSys Tera Class 1</t>
  </si>
  <si>
    <t xml:space="preserve">Assembly </t>
  </si>
  <si>
    <t>T-&gt;O</t>
  </si>
  <si>
    <t>Point to Point</t>
  </si>
  <si>
    <t>Fixed Size</t>
  </si>
  <si>
    <t>Scheduled</t>
  </si>
  <si>
    <t>Data Size</t>
  </si>
  <si>
    <t>Details</t>
  </si>
  <si>
    <t>Size in bytes</t>
  </si>
  <si>
    <t>Remark</t>
  </si>
  <si>
    <t>Byte 0</t>
  </si>
  <si>
    <t>R phase current</t>
  </si>
  <si>
    <t>Byte 4</t>
  </si>
  <si>
    <t>Y phase current</t>
  </si>
  <si>
    <t>Byte 8</t>
  </si>
  <si>
    <t>B phase current</t>
  </si>
  <si>
    <t>Byte 12</t>
  </si>
  <si>
    <t>motor Status</t>
  </si>
  <si>
    <t>Start, Stop, Run, Inhibit, Remote Mode 3</t>
  </si>
  <si>
    <t>Byte 14</t>
  </si>
  <si>
    <t>Motor OP status</t>
  </si>
  <si>
    <t>Pickup, alarm, Trip</t>
  </si>
  <si>
    <t>Byte 16</t>
  </si>
  <si>
    <t>DI status</t>
  </si>
  <si>
    <t>Byte 20</t>
  </si>
  <si>
    <t>DO status</t>
  </si>
  <si>
    <t>Byte 24</t>
  </si>
  <si>
    <t>Stop cause</t>
  </si>
  <si>
    <t>Byte 26</t>
  </si>
  <si>
    <t>Thermal memory</t>
  </si>
  <si>
    <t>Byte 28</t>
  </si>
  <si>
    <t>R phase Voltage</t>
  </si>
  <si>
    <t>Byte 32</t>
  </si>
  <si>
    <t>Y phase Voltage</t>
  </si>
  <si>
    <t>Byte 36</t>
  </si>
  <si>
    <t>B phase Voltage</t>
  </si>
  <si>
    <t>O-&gt;T</t>
  </si>
  <si>
    <t>Cyclic</t>
  </si>
  <si>
    <t>Timout multiplier 16</t>
  </si>
  <si>
    <t>Run/Idle checked</t>
  </si>
  <si>
    <t>Command 1</t>
  </si>
  <si>
    <t>Modbus Register 704_LSB</t>
  </si>
  <si>
    <t>Command 2</t>
  </si>
  <si>
    <t>Modbus Register 704_MSB</t>
  </si>
  <si>
    <t>bit 0: Reset Inhibit command
bit 1: Reset no of starts command
bit 2: Reset no of stops command
bit 3: Clear Energy command
bit 4: Motor Stop command
bit 5: Logic test command
bit 6: Reset run hour command
bit 7: Self test (with trip) command</t>
  </si>
  <si>
    <t>Command 3</t>
  </si>
  <si>
    <t>Modbus Register 705_LSB</t>
  </si>
  <si>
    <t>Bold are not required:
Bit 0,1,2 &amp; 5 are supported</t>
  </si>
  <si>
    <t>Modbus Register 700</t>
  </si>
  <si>
    <t>EDS Profiles</t>
  </si>
  <si>
    <t>Sr no</t>
  </si>
  <si>
    <t>Name</t>
  </si>
  <si>
    <t>O-&gt;T instance</t>
  </si>
  <si>
    <t>O-&gt;T size</t>
  </si>
  <si>
    <t>T-&gt;O instance</t>
  </si>
  <si>
    <t>T-&gt;O size</t>
  </si>
  <si>
    <t>Config Instance</t>
  </si>
  <si>
    <t>Config Size</t>
  </si>
  <si>
    <t>O-&gt;T    IO</t>
  </si>
  <si>
    <t>O-&gt;T    LO</t>
  </si>
  <si>
    <t>0: Tera Profile</t>
  </si>
  <si>
    <t>Remove Run/idle header check</t>
  </si>
  <si>
    <t>1: Tera Basic Overload</t>
  </si>
  <si>
    <t>2: Tera Extended Overload</t>
  </si>
  <si>
    <t>3: Tera Basic Motor Starter</t>
  </si>
  <si>
    <t>4: Tera Extended Contactor</t>
  </si>
  <si>
    <t>5: Tera Extended Motor Starter 1</t>
  </si>
  <si>
    <t>6: Tera Extended Motor Starter 2</t>
  </si>
  <si>
    <t>7: Tera  Control and Monitoring</t>
  </si>
  <si>
    <t>8: Tera PKW</t>
  </si>
  <si>
    <t xml:space="preserve">9: Tera PKW and Extended Motor Starter </t>
  </si>
  <si>
    <t>10: Tera PKW and  Management</t>
  </si>
  <si>
    <t>11: Tera E_TeSys Tera Fast Access</t>
  </si>
  <si>
    <t>12: Tera EIOS_TeSys Tera</t>
  </si>
  <si>
    <t>Reference</t>
  </si>
  <si>
    <t>Tesy T Ethernet Communication guide</t>
  </si>
  <si>
    <t>DOCA0129EN-03 07/2023</t>
  </si>
  <si>
    <t>Output Assembly Data</t>
  </si>
  <si>
    <r>
      <t xml:space="preserve">Instance 2: </t>
    </r>
    <r>
      <rPr>
        <sz val="10"/>
        <color theme="1"/>
        <rFont val="Arial"/>
        <family val="2"/>
      </rPr>
      <t>Basic Overload</t>
    </r>
  </si>
  <si>
    <t>Ethernet Communication Guide</t>
  </si>
  <si>
    <t>Byte</t>
  </si>
  <si>
    <t>TripReset</t>
  </si>
  <si>
    <r>
      <t>Instance</t>
    </r>
    <r>
      <rPr>
        <b/>
        <sz val="10"/>
        <color theme="1"/>
        <rFont val="Arial"/>
        <family val="2"/>
      </rPr>
      <t xml:space="preserve"> 3: </t>
    </r>
    <r>
      <rPr>
        <sz val="10"/>
        <color theme="1"/>
        <rFont val="Arial"/>
        <family val="2"/>
      </rPr>
      <t>Basic Motor Starter</t>
    </r>
  </si>
  <si>
    <t>Run 1</t>
  </si>
  <si>
    <r>
      <t>Instance</t>
    </r>
    <r>
      <rPr>
        <b/>
        <sz val="10"/>
        <color theme="1"/>
        <rFont val="Arial"/>
        <family val="2"/>
      </rPr>
      <t xml:space="preserve"> 4: </t>
    </r>
    <r>
      <rPr>
        <sz val="10"/>
        <color theme="1"/>
        <rFont val="Arial"/>
        <family val="2"/>
      </rPr>
      <t>Extended Contactor</t>
    </r>
  </si>
  <si>
    <t>Run 2</t>
  </si>
  <si>
    <r>
      <t xml:space="preserve">Instance 5: </t>
    </r>
    <r>
      <rPr>
        <sz val="10"/>
        <color theme="1"/>
        <rFont val="Arial"/>
        <family val="2"/>
      </rPr>
      <t>Extended Motor Starter</t>
    </r>
  </si>
  <si>
    <r>
      <t>NOTE:</t>
    </r>
    <r>
      <rPr>
        <b/>
        <sz val="10"/>
        <color theme="1"/>
        <rFont val="Arial"/>
        <family val="2"/>
      </rPr>
      <t xml:space="preserve"> </t>
    </r>
    <r>
      <rPr>
        <sz val="10"/>
        <color theme="1"/>
        <rFont val="Arial"/>
        <family val="2"/>
      </rPr>
      <t>TripReset, Run1, and Run2 are commands in the Control register 1.</t>
    </r>
  </si>
  <si>
    <r>
      <t xml:space="preserve">Instance 100: </t>
    </r>
    <r>
      <rPr>
        <sz val="10"/>
        <color theme="1"/>
        <rFont val="Arial"/>
        <family val="2"/>
      </rPr>
      <t>LTMR Control Registers</t>
    </r>
  </si>
  <si>
    <t>This assembly contains several control registers commonly used with an LTMR device.</t>
  </si>
  <si>
    <t>Byte 1</t>
  </si>
  <si>
    <t>Byte 2</t>
  </si>
  <si>
    <t>Byte 3</t>
  </si>
  <si>
    <t>Byte 5</t>
  </si>
  <si>
    <t>path: 6C : 01 : 05</t>
  </si>
  <si>
    <t>path: 6C : 01 : 04</t>
  </si>
  <si>
    <t>path: 6C : 01 : 01</t>
  </si>
  <si>
    <t>(Register 704)</t>
  </si>
  <si>
    <t>(Register 703)</t>
  </si>
  <si>
    <t>(Register 700)</t>
  </si>
  <si>
    <t>LSB (least significant byte)</t>
  </si>
  <si>
    <t>MSB (most significant byte)</t>
  </si>
  <si>
    <t>LSB Reserved (value = 0)</t>
  </si>
  <si>
    <t>MSB Reserved (value = 0)</t>
  </si>
  <si>
    <t>LSB</t>
  </si>
  <si>
    <t>MSB</t>
  </si>
  <si>
    <r>
      <t xml:space="preserve">Instance 101: </t>
    </r>
    <r>
      <rPr>
        <sz val="10"/>
        <color theme="1"/>
        <rFont val="Arial"/>
        <family val="2"/>
      </rPr>
      <t>PKW Request Object</t>
    </r>
  </si>
  <si>
    <t>https://www.se.com/in/en/download/document/DOCA0129EN/</t>
  </si>
  <si>
    <t>This assembly is vendor-specific. It is used to implement the request object of PKW protocol.</t>
  </si>
  <si>
    <t>Byte 6</t>
  </si>
  <si>
    <t>Byte 7</t>
  </si>
  <si>
    <r>
      <t xml:space="preserve">Instance 102: </t>
    </r>
    <r>
      <rPr>
        <sz val="10"/>
        <color theme="1"/>
        <rFont val="Arial"/>
        <family val="2"/>
      </rPr>
      <t>PKW Request and Extended Motor Starter This assembly is vendor-specific.</t>
    </r>
  </si>
  <si>
    <t>Bytes 0 to 7</t>
  </si>
  <si>
    <t>Byte 9</t>
  </si>
  <si>
    <t>See Instance 101 above.</t>
  </si>
  <si>
    <t>Reserved (value=0)</t>
  </si>
  <si>
    <t>See Instance 5 above.</t>
  </si>
  <si>
    <r>
      <t xml:space="preserve">Instance 103: </t>
    </r>
    <r>
      <rPr>
        <sz val="10"/>
        <color theme="1"/>
        <rFont val="Arial"/>
        <family val="2"/>
      </rPr>
      <t>PKW Request and LTMR Control Registers This assembly is vendor-specific.</t>
    </r>
  </si>
  <si>
    <t>Byte 8 to 13</t>
  </si>
  <si>
    <t>See Instance 100 above.</t>
  </si>
  <si>
    <r>
      <t xml:space="preserve">Instance 105: </t>
    </r>
    <r>
      <rPr>
        <sz val="10"/>
        <color theme="1"/>
        <rFont val="Arial"/>
        <family val="2"/>
      </rPr>
      <t>E_TeSys T FastAccess Output</t>
    </r>
  </si>
  <si>
    <t>This assembly is vendor-specific. All registers are in little endian.</t>
  </si>
  <si>
    <t>path: 8C : 01 : 07</t>
  </si>
  <si>
    <t>path: 8C : 01 : 08</t>
  </si>
  <si>
    <t>path: 8C : 01 : 09</t>
  </si>
  <si>
    <t>(Register 2506)</t>
  </si>
  <si>
    <t>(Register 2507)</t>
  </si>
  <si>
    <t>(Register 2508)</t>
  </si>
  <si>
    <r>
      <t xml:space="preserve">Instance 106: </t>
    </r>
    <r>
      <rPr>
        <sz val="10"/>
        <color theme="1"/>
        <rFont val="Arial"/>
        <family val="2"/>
      </rPr>
      <t>EIOS_TeSys T Output</t>
    </r>
  </si>
  <si>
    <t>path: 6C : 01 : 02</t>
  </si>
  <si>
    <t>path: 6C : 01 : 03</t>
  </si>
  <si>
    <t>Reserved (value = 0)</t>
  </si>
  <si>
    <t>Input Assembly Data</t>
  </si>
  <si>
    <r>
      <t xml:space="preserve">Instance 50: </t>
    </r>
    <r>
      <rPr>
        <sz val="10"/>
        <color theme="1"/>
        <rFont val="Arial"/>
        <family val="2"/>
      </rPr>
      <t>Basic Overload</t>
    </r>
  </si>
  <si>
    <t>Tripped</t>
  </si>
  <si>
    <r>
      <t>Instance</t>
    </r>
    <r>
      <rPr>
        <b/>
        <sz val="10"/>
        <color theme="1"/>
        <rFont val="Arial"/>
        <family val="2"/>
      </rPr>
      <t xml:space="preserve"> 51: </t>
    </r>
    <r>
      <rPr>
        <sz val="10"/>
        <color theme="1"/>
        <rFont val="Arial"/>
        <family val="2"/>
      </rPr>
      <t>Extended Overload</t>
    </r>
  </si>
  <si>
    <r>
      <t>Instance</t>
    </r>
    <r>
      <rPr>
        <b/>
        <sz val="10"/>
        <color theme="1"/>
        <rFont val="Arial"/>
        <family val="2"/>
      </rPr>
      <t xml:space="preserve"> 52: </t>
    </r>
    <r>
      <rPr>
        <sz val="10"/>
        <color theme="1"/>
        <rFont val="Arial"/>
        <family val="2"/>
      </rPr>
      <t>Basic Motor Starter</t>
    </r>
  </si>
  <si>
    <t>Running1</t>
  </si>
  <si>
    <r>
      <t>Instance</t>
    </r>
    <r>
      <rPr>
        <b/>
        <sz val="10"/>
        <color theme="1"/>
        <rFont val="Arial"/>
        <family val="2"/>
      </rPr>
      <t xml:space="preserve"> 53: </t>
    </r>
    <r>
      <rPr>
        <sz val="10"/>
        <color theme="1"/>
        <rFont val="Arial"/>
        <family val="2"/>
      </rPr>
      <t>Extended Motor Starter 1</t>
    </r>
  </si>
  <si>
    <t>CntrlfromNet</t>
  </si>
  <si>
    <t>Ready</t>
  </si>
  <si>
    <r>
      <t>Instance</t>
    </r>
    <r>
      <rPr>
        <b/>
        <sz val="10"/>
        <color theme="1"/>
        <rFont val="Arial"/>
        <family val="2"/>
      </rPr>
      <t xml:space="preserve"> 54: </t>
    </r>
    <r>
      <rPr>
        <sz val="10"/>
        <color theme="1"/>
        <rFont val="Arial"/>
        <family val="2"/>
      </rPr>
      <t>Extended Motor Starter 2</t>
    </r>
  </si>
  <si>
    <t>Running2</t>
  </si>
  <si>
    <r>
      <t>NOTE:</t>
    </r>
    <r>
      <rPr>
        <b/>
        <sz val="10"/>
        <color theme="1"/>
        <rFont val="Arial"/>
        <family val="2"/>
      </rPr>
      <t xml:space="preserve"> </t>
    </r>
    <r>
      <rPr>
        <sz val="10"/>
        <color theme="1"/>
        <rFont val="Arial"/>
        <family val="2"/>
      </rPr>
      <t>The instances contain data processed from the System status register 1 and the Control register 1:</t>
    </r>
  </si>
  <si>
    <r>
      <t>•</t>
    </r>
    <r>
      <rPr>
        <sz val="7"/>
        <color theme="1"/>
        <rFont val="Times New Roman"/>
        <family val="1"/>
      </rPr>
      <t xml:space="preserve">        </t>
    </r>
    <r>
      <rPr>
        <sz val="10"/>
        <color theme="1"/>
        <rFont val="Arial"/>
        <family val="2"/>
      </rPr>
      <t>CntrlfromNet = In remote (status bit)</t>
    </r>
  </si>
  <si>
    <r>
      <t>•</t>
    </r>
    <r>
      <rPr>
        <sz val="7"/>
        <color theme="1"/>
        <rFont val="Times New Roman"/>
        <family val="1"/>
      </rPr>
      <t xml:space="preserve">        </t>
    </r>
    <r>
      <rPr>
        <sz val="10"/>
        <color theme="1"/>
        <rFont val="Arial"/>
        <family val="2"/>
      </rPr>
      <t>Ready = System ready (status bit)</t>
    </r>
  </si>
  <si>
    <r>
      <t>•</t>
    </r>
    <r>
      <rPr>
        <sz val="7"/>
        <color theme="1"/>
        <rFont val="Times New Roman"/>
        <family val="1"/>
      </rPr>
      <t xml:space="preserve">        </t>
    </r>
    <r>
      <rPr>
        <sz val="10"/>
        <color theme="1"/>
        <rFont val="Arial"/>
        <family val="2"/>
      </rPr>
      <t>Running2 = Motor running (status bit) AND Motor run reverse command (control bit)</t>
    </r>
  </si>
  <si>
    <r>
      <t>•</t>
    </r>
    <r>
      <rPr>
        <sz val="7"/>
        <color theme="1"/>
        <rFont val="Times New Roman"/>
        <family val="1"/>
      </rPr>
      <t xml:space="preserve">        </t>
    </r>
    <r>
      <rPr>
        <sz val="10"/>
        <color theme="1"/>
        <rFont val="Arial"/>
        <family val="2"/>
      </rPr>
      <t>Running1 = Motor running (status bit) AND Motor run forward command (control bit)</t>
    </r>
  </si>
  <si>
    <r>
      <t>•</t>
    </r>
    <r>
      <rPr>
        <sz val="7"/>
        <color theme="1"/>
        <rFont val="Times New Roman"/>
        <family val="1"/>
      </rPr>
      <t xml:space="preserve">        </t>
    </r>
    <r>
      <rPr>
        <sz val="10"/>
        <color theme="1"/>
        <rFont val="Arial"/>
        <family val="2"/>
      </rPr>
      <t>Alarm = System alarm (status bit)</t>
    </r>
  </si>
  <si>
    <r>
      <t>•</t>
    </r>
    <r>
      <rPr>
        <sz val="7"/>
        <color theme="1"/>
        <rFont val="Times New Roman"/>
        <family val="1"/>
      </rPr>
      <t xml:space="preserve">        </t>
    </r>
    <r>
      <rPr>
        <sz val="10"/>
        <color theme="1"/>
        <rFont val="Arial"/>
        <family val="2"/>
      </rPr>
      <t>Trip = System Trip (status bit) OR System Tripped (status bit)</t>
    </r>
  </si>
  <si>
    <r>
      <t xml:space="preserve">Instance 110: </t>
    </r>
    <r>
      <rPr>
        <sz val="10"/>
        <color theme="1"/>
        <rFont val="Arial"/>
        <family val="2"/>
      </rPr>
      <t>LTMR Monitoring Registers (with dynamic configuration)</t>
    </r>
  </si>
  <si>
    <t>This assembly contains several monitoring registers commonly used with an LTMR device. You can choose registers by setting attributes 1...4 of TeSys T Monitoring Control Object. See TeSys T Monitoring and Control Object, page 84 for more information.</t>
  </si>
  <si>
    <t>Value of register pointed to in path: C6 : 01 : 01</t>
  </si>
  <si>
    <t>Value of register pointed to in path: C6: 01 : 02</t>
  </si>
  <si>
    <t>Value of register pointed to in path: C6 : 01 : 03</t>
  </si>
  <si>
    <t>Value of register pointed to in path: C6 : 01 : 04</t>
  </si>
  <si>
    <t>Register 455 at power-up</t>
  </si>
  <si>
    <t>Register 456 at power-up</t>
  </si>
  <si>
    <t>Register 457 at power-up</t>
  </si>
  <si>
    <t>Register 459 at power-up</t>
  </si>
  <si>
    <r>
      <t xml:space="preserve">Instance 111: </t>
    </r>
    <r>
      <rPr>
        <sz val="10"/>
        <color theme="1"/>
        <rFont val="Arial"/>
        <family val="2"/>
      </rPr>
      <t>PKW Response Object</t>
    </r>
  </si>
  <si>
    <t>This assembly is vendor-specific. It is used to implement the response object of PKW protocol.</t>
  </si>
  <si>
    <t>See PKW, page 81 for details.</t>
  </si>
  <si>
    <r>
      <t xml:space="preserve">Instance 112: </t>
    </r>
    <r>
      <rPr>
        <sz val="10"/>
        <color theme="1"/>
        <rFont val="Arial"/>
        <family val="2"/>
      </rPr>
      <t>PKW Response and Extended Motor Starter This assembly is vendor-specific.</t>
    </r>
  </si>
  <si>
    <t>See Instance 111 above.</t>
  </si>
  <si>
    <t>See Instance 54 above.</t>
  </si>
  <si>
    <r>
      <t xml:space="preserve">Instance 113: </t>
    </r>
    <r>
      <rPr>
        <sz val="10"/>
        <color theme="1"/>
        <rFont val="Arial"/>
        <family val="2"/>
      </rPr>
      <t>PKW Response and LTMR Monitoring Registers This assembly is vendor-specific.</t>
    </r>
  </si>
  <si>
    <t>Byte 8 to 15</t>
  </si>
  <si>
    <t>See Instance 110 above.</t>
  </si>
  <si>
    <r>
      <t xml:space="preserve">Instance 115: </t>
    </r>
    <r>
      <rPr>
        <sz val="10"/>
        <color theme="1"/>
        <rFont val="Arial"/>
        <family val="2"/>
      </rPr>
      <t>E_TeSys T FastAccess Input</t>
    </r>
  </si>
  <si>
    <t>path: 8C : 01 : 01</t>
  </si>
  <si>
    <t>path: 8C : 01 : 02</t>
  </si>
  <si>
    <t>path: 8C : 01 : 03</t>
  </si>
  <si>
    <t>(Register 2500)</t>
  </si>
  <si>
    <t>(Register 2501)</t>
  </si>
  <si>
    <t>(Register 2502)</t>
  </si>
  <si>
    <t>Byte 10</t>
  </si>
  <si>
    <t>Byte 11</t>
  </si>
  <si>
    <t>path: 8C : 01 : 04</t>
  </si>
  <si>
    <t>path: 8C : 01 : 05</t>
  </si>
  <si>
    <t>path: 8C : 01 : 06</t>
  </si>
  <si>
    <t>(Register 2503)</t>
  </si>
  <si>
    <t>(Register 2504)</t>
  </si>
  <si>
    <t>(Register 2505)</t>
  </si>
  <si>
    <r>
      <t xml:space="preserve">Instance 116: </t>
    </r>
    <r>
      <rPr>
        <sz val="10"/>
        <color theme="1"/>
        <rFont val="Arial"/>
        <family val="2"/>
      </rPr>
      <t>EIOS_TeSys T Input</t>
    </r>
  </si>
  <si>
    <t>This assembly is vendor specific. All registers are in little endian.</t>
  </si>
  <si>
    <t>path: 68 : 01 : 02</t>
  </si>
  <si>
    <t>path: 68 : 01 : 03</t>
  </si>
  <si>
    <t>path: 68 : 01 : 04</t>
  </si>
  <si>
    <t>path: 68 : 01 : 05</t>
  </si>
  <si>
    <t>(Register 451)</t>
  </si>
  <si>
    <t>(Register 452)</t>
  </si>
  <si>
    <t>(Register 453)</t>
  </si>
  <si>
    <t>(Register 454)</t>
  </si>
  <si>
    <t>Byte 13</t>
  </si>
  <si>
    <t>Byte 15</t>
  </si>
  <si>
    <t>path: 68 : 01 : 06</t>
  </si>
  <si>
    <t>path: 68 : 01 : 07</t>
  </si>
  <si>
    <t>path: 68 : 01 : 08</t>
  </si>
  <si>
    <t>path: 68 : 01 : 09</t>
  </si>
  <si>
    <t>(Register 455)</t>
  </si>
  <si>
    <t>(Register 456)</t>
  </si>
  <si>
    <t>(Register 457)</t>
  </si>
  <si>
    <t>(Register 458)</t>
  </si>
  <si>
    <t>Byte 17</t>
  </si>
  <si>
    <t>Byte 18</t>
  </si>
  <si>
    <t>Byte 19</t>
  </si>
  <si>
    <t>Byte 21</t>
  </si>
  <si>
    <t>Byte 22</t>
  </si>
  <si>
    <t>Byte 23</t>
  </si>
  <si>
    <t>path: 68 : 01 : 0A</t>
  </si>
  <si>
    <t>path: 68 : 01 : 0B</t>
  </si>
  <si>
    <t>path: 68 : 01 : 0C</t>
  </si>
  <si>
    <t>path: 68 : 01 : 0D</t>
  </si>
  <si>
    <t>(Register 459)</t>
  </si>
  <si>
    <t>(Register 460)</t>
  </si>
  <si>
    <t>(Register 461)</t>
  </si>
  <si>
    <t>(Register 462)</t>
  </si>
  <si>
    <t>Byte 25</t>
  </si>
  <si>
    <t>Byte 27</t>
  </si>
  <si>
    <t>Byte 29</t>
  </si>
  <si>
    <t>Byte 30</t>
  </si>
  <si>
    <t>Byte 31</t>
  </si>
  <si>
    <t>path: 68 : 01 : 0E</t>
  </si>
  <si>
    <t>path: 68 : 01 : 0F</t>
  </si>
  <si>
    <t>path: 68 : 01 : 10</t>
  </si>
  <si>
    <t>path: 68 : 01 : 11</t>
  </si>
  <si>
    <t>(Register 463)</t>
  </si>
  <si>
    <t>(Register 464)</t>
  </si>
  <si>
    <t>(Register 465)</t>
  </si>
  <si>
    <t>(Register 466)</t>
  </si>
  <si>
    <t>Byte 33</t>
  </si>
  <si>
    <t>Byte 34</t>
  </si>
  <si>
    <t>Byte 35</t>
  </si>
  <si>
    <t>Byte 37</t>
  </si>
  <si>
    <t>Byte 38</t>
  </si>
  <si>
    <t>Byte 39</t>
  </si>
  <si>
    <t>path: 68 : 01 : 12</t>
  </si>
  <si>
    <t>path: 68 : 01 : 13</t>
  </si>
  <si>
    <t>path: 68 : 01 : 14</t>
  </si>
  <si>
    <t>path: 68 : 01 : 15</t>
  </si>
  <si>
    <t>(Register 467)</t>
  </si>
  <si>
    <t>(Register 468)</t>
  </si>
  <si>
    <t>(Register 469)</t>
  </si>
  <si>
    <t>(Register 470)</t>
  </si>
  <si>
    <t>Byte 40</t>
  </si>
  <si>
    <t>Byte 41</t>
  </si>
  <si>
    <t>Byte 42</t>
  </si>
  <si>
    <t>Byte 43</t>
  </si>
  <si>
    <t>Byte 44</t>
  </si>
  <si>
    <t>Byte 45</t>
  </si>
  <si>
    <t>Byte 46</t>
  </si>
  <si>
    <t>Byte 47</t>
  </si>
  <si>
    <t>path: 68 : 01 : 16</t>
  </si>
  <si>
    <t>path: 68 : 01 : 17</t>
  </si>
  <si>
    <t>path: 68 : 01 : 18</t>
  </si>
  <si>
    <t>path: 68 : 01 : 19</t>
  </si>
  <si>
    <t>(Register 471)</t>
  </si>
  <si>
    <t>(Register 472)</t>
  </si>
  <si>
    <t>(Register 473)</t>
  </si>
  <si>
    <t>(Register 474)</t>
  </si>
  <si>
    <t>Byte 48</t>
  </si>
  <si>
    <t>Byte 49</t>
  </si>
  <si>
    <t>Byte 50</t>
  </si>
  <si>
    <t>Byte 51</t>
  </si>
  <si>
    <t>Byte 52</t>
  </si>
  <si>
    <t>Byte 53</t>
  </si>
  <si>
    <t>Byte 54</t>
  </si>
  <si>
    <t>Byte 55</t>
  </si>
  <si>
    <t>path: 68 : 01 : 1A</t>
  </si>
  <si>
    <t>path: 68 : 01 : 1B</t>
  </si>
  <si>
    <t>path: 68 : 01 : 1C</t>
  </si>
  <si>
    <t>path: 68 : 01 : 1D</t>
  </si>
  <si>
    <t>(Register 475)</t>
  </si>
  <si>
    <t>(Register 476)</t>
  </si>
  <si>
    <t>(Register 477)</t>
  </si>
  <si>
    <t>(Register 478)</t>
  </si>
  <si>
    <t>Byte 56</t>
  </si>
  <si>
    <t>Byte 57</t>
  </si>
  <si>
    <t>Byte 58</t>
  </si>
  <si>
    <t>Byte 59</t>
  </si>
  <si>
    <t>Byte 60</t>
  </si>
  <si>
    <t>Byte 61</t>
  </si>
  <si>
    <t>Byte 62</t>
  </si>
  <si>
    <t>Byte 63</t>
  </si>
  <si>
    <t>path: 68 : 01 : 1E</t>
  </si>
  <si>
    <t>path: 68 : 01 : 1F</t>
  </si>
  <si>
    <t>path: 68 : 01 : 20</t>
  </si>
  <si>
    <t>path: 68 : 01 : 21</t>
  </si>
  <si>
    <t>(Register 479)</t>
  </si>
  <si>
    <t>(Register 480)</t>
  </si>
  <si>
    <t>(Register 481)</t>
  </si>
  <si>
    <t>(Register 482)</t>
  </si>
  <si>
    <t>Byte 64</t>
  </si>
  <si>
    <t>Byte 65</t>
  </si>
  <si>
    <t>Byte 66</t>
  </si>
  <si>
    <t>Byte 67</t>
  </si>
  <si>
    <t>Byte 68</t>
  </si>
  <si>
    <t>Byte 69</t>
  </si>
  <si>
    <t>Byte 70</t>
  </si>
  <si>
    <t>Byte 71</t>
  </si>
  <si>
    <t>path: 68 : 01 : 22</t>
  </si>
  <si>
    <t>path: 68 : 01 : 23</t>
  </si>
  <si>
    <t>path: 68 : 01 : 24</t>
  </si>
  <si>
    <t>path: 68 : 01 : 25</t>
  </si>
  <si>
    <t>(Register 483)</t>
  </si>
  <si>
    <t>(Register 484)</t>
  </si>
  <si>
    <t>(Register 485)</t>
  </si>
  <si>
    <t>(Register 486)</t>
  </si>
  <si>
    <t>Byte 72</t>
  </si>
  <si>
    <t>Byte 73</t>
  </si>
  <si>
    <t>Byte 74</t>
  </si>
  <si>
    <t>Byte 75</t>
  </si>
  <si>
    <t>Byte 76</t>
  </si>
  <si>
    <t>Byte 77</t>
  </si>
  <si>
    <t>Byte 78</t>
  </si>
  <si>
    <t>Byte 79</t>
  </si>
  <si>
    <t>path: 68 : 01 : 26</t>
  </si>
  <si>
    <t>path: 68 : 01 : 27</t>
  </si>
  <si>
    <t>path: 68 : 01 : 28</t>
  </si>
  <si>
    <t>path: 68 : 01 : 29</t>
  </si>
  <si>
    <t>(Register 487)</t>
  </si>
  <si>
    <t>(Register 488)</t>
  </si>
  <si>
    <t>(Register 489)</t>
  </si>
  <si>
    <t>(Register 490)</t>
  </si>
  <si>
    <t>Byte 80</t>
  </si>
  <si>
    <t>Byte 81</t>
  </si>
  <si>
    <t>Byte 82</t>
  </si>
  <si>
    <t>Byte 83</t>
  </si>
  <si>
    <t>Byte 84</t>
  </si>
  <si>
    <t>Byte 85</t>
  </si>
  <si>
    <t>Byte 86</t>
  </si>
  <si>
    <t>Byte 87</t>
  </si>
  <si>
    <t>path: 68 : 01 : 2A</t>
  </si>
  <si>
    <t>path: 68 : 01 : 2B</t>
  </si>
  <si>
    <t>path: 68 : 01 : 2C</t>
  </si>
  <si>
    <t>path: 68 : 01 : 2D</t>
  </si>
  <si>
    <t>(Register 491)</t>
  </si>
  <si>
    <t>(Register 492)</t>
  </si>
  <si>
    <t>(Register 493)</t>
  </si>
  <si>
    <t>(Register 494)</t>
  </si>
  <si>
    <t>Byte 88</t>
  </si>
  <si>
    <t>Byte 89</t>
  </si>
  <si>
    <t>Byte 90</t>
  </si>
  <si>
    <t>Byte 91</t>
  </si>
  <si>
    <t>Byte 92</t>
  </si>
  <si>
    <t>Byte 93</t>
  </si>
  <si>
    <t>Byte 94</t>
  </si>
  <si>
    <t>Byte 95</t>
  </si>
  <si>
    <t>path: 68 : 01 : 2E</t>
  </si>
  <si>
    <t>path: 68 : 01 : 2F</t>
  </si>
  <si>
    <t>path: 68 : 01 : 30</t>
  </si>
  <si>
    <t>path: 68 : 01 : 31</t>
  </si>
  <si>
    <t>(Register 495)</t>
  </si>
  <si>
    <t>(Register 496)</t>
  </si>
  <si>
    <t>(Register 497)</t>
  </si>
  <si>
    <t>(Register 498)</t>
  </si>
  <si>
    <t>Byte 96</t>
  </si>
  <si>
    <t>Byte 97</t>
  </si>
  <si>
    <t>Byte 98</t>
  </si>
  <si>
    <t>Byte 99</t>
  </si>
  <si>
    <t>Byte 100</t>
  </si>
  <si>
    <t>Byte 101</t>
  </si>
  <si>
    <t>Byte 102</t>
  </si>
  <si>
    <t>Byte 103</t>
  </si>
  <si>
    <t>path: 68 : 01 : 32</t>
  </si>
  <si>
    <t>path: 68 : 01 : 33</t>
  </si>
  <si>
    <t>path: 68 : 01 : 34</t>
  </si>
  <si>
    <t>path: 68 : 01 : 35</t>
  </si>
  <si>
    <t>(Register 499)</t>
  </si>
  <si>
    <t>(Register 500)</t>
  </si>
  <si>
    <t>(Register 501)</t>
  </si>
  <si>
    <t>(Register 502)</t>
  </si>
  <si>
    <t>Byte 104</t>
  </si>
  <si>
    <t>Byte 105</t>
  </si>
  <si>
    <t>Byte 106</t>
  </si>
  <si>
    <t>Byte 107</t>
  </si>
  <si>
    <t>Byte 108</t>
  </si>
  <si>
    <t>Byte 109</t>
  </si>
  <si>
    <t>Byte 110</t>
  </si>
  <si>
    <t>Byte 111</t>
  </si>
  <si>
    <t>path: 68 : 01 : 36</t>
  </si>
  <si>
    <t>path: 68 : 01 : 37</t>
  </si>
  <si>
    <t>path: 68 : 01 : 38</t>
  </si>
  <si>
    <t>path: 68 : 01 : 39</t>
  </si>
  <si>
    <t>(Register 503)</t>
  </si>
  <si>
    <t>(Register 504)</t>
  </si>
  <si>
    <t>(Register 505)</t>
  </si>
  <si>
    <t>(Register 506)</t>
  </si>
  <si>
    <t>Byte 112</t>
  </si>
  <si>
    <t>Byte 113</t>
  </si>
  <si>
    <t>Byte 114</t>
  </si>
  <si>
    <t>Byte 115</t>
  </si>
  <si>
    <t>Byte 116</t>
  </si>
  <si>
    <t>Byte 117</t>
  </si>
  <si>
    <t>Byte 118</t>
  </si>
  <si>
    <t>Byte 119</t>
  </si>
  <si>
    <t>path: 68 : 01 : 3A</t>
  </si>
  <si>
    <t>path: 68 : 01 : 3B</t>
  </si>
  <si>
    <t>path: 68 : 01 : 3C</t>
  </si>
  <si>
    <t>path: 68 : 01 : 3D</t>
  </si>
  <si>
    <t>(Register 507)</t>
  </si>
  <si>
    <t>(Register 508)</t>
  </si>
  <si>
    <t>(Register 509)</t>
  </si>
  <si>
    <t>(Register 510)</t>
  </si>
  <si>
    <t>Byte 120</t>
  </si>
  <si>
    <t>Byte 121</t>
  </si>
  <si>
    <t>Byte 122</t>
  </si>
  <si>
    <t>Byte 123</t>
  </si>
  <si>
    <t>Byte 124</t>
  </si>
  <si>
    <t>Byte 125</t>
  </si>
  <si>
    <t>Byte 126</t>
  </si>
  <si>
    <t>Byte 127</t>
  </si>
  <si>
    <t>path: 68 : 01 : 3E</t>
  </si>
  <si>
    <t>path: 68 : 01 : 3F</t>
  </si>
  <si>
    <t>path: 68 : 01 : 40</t>
  </si>
  <si>
    <t>path: 68 : 01 : 41</t>
  </si>
  <si>
    <t>(Register 511)</t>
  </si>
  <si>
    <t>(Register 512)</t>
  </si>
  <si>
    <t>(Register 513)</t>
  </si>
  <si>
    <t>(Register 514)</t>
  </si>
  <si>
    <t>Tera</t>
  </si>
  <si>
    <t>Tera Data</t>
  </si>
  <si>
    <t>IDENTITY OBJECT</t>
  </si>
  <si>
    <t>Class Attributes</t>
  </si>
  <si>
    <t>Access</t>
  </si>
  <si>
    <t>Attribute ID</t>
  </si>
  <si>
    <t xml:space="preserve">Description </t>
  </si>
  <si>
    <t>get</t>
  </si>
  <si>
    <t>set</t>
  </si>
  <si>
    <t>01h</t>
  </si>
  <si>
    <t xml:space="preserve">Revision </t>
  </si>
  <si>
    <t>ü</t>
  </si>
  <si>
    <t>The Identity Objects implementation revision.
Returns 0x02</t>
  </si>
  <si>
    <t>02h</t>
  </si>
  <si>
    <t>Maximum  instance</t>
  </si>
  <si>
    <t>The largest instance number.
Returns 0x01.</t>
  </si>
  <si>
    <t>03h</t>
  </si>
  <si>
    <t>Number of instances</t>
  </si>
  <si>
    <t>The number of object instances.
Returns 0x01.</t>
  </si>
  <si>
    <t>06h</t>
  </si>
  <si>
    <t>Max Class Attribute</t>
  </si>
  <si>
    <t>û</t>
  </si>
  <si>
    <t>07h</t>
  </si>
  <si>
    <t>Max Instance Attribute</t>
  </si>
  <si>
    <t>Class Services</t>
  </si>
  <si>
    <t>Service code</t>
  </si>
  <si>
    <t>Parameter options</t>
  </si>
  <si>
    <t>Get_Attributes_All</t>
  </si>
  <si>
    <t>0Eh</t>
  </si>
  <si>
    <t>Get_Attributes_Single</t>
  </si>
  <si>
    <t>Instance : 1</t>
  </si>
  <si>
    <t>Instance Attributes</t>
  </si>
  <si>
    <t>Vendor Id</t>
  </si>
  <si>
    <t>Vendor ID (243: Schneider Electri)</t>
  </si>
  <si>
    <t>Device Type</t>
  </si>
  <si>
    <t>Motor starter profile (22)</t>
  </si>
  <si>
    <t>Device code</t>
  </si>
  <si>
    <t>LTMTEFM: 0x3401
LTMTEBD: 0x3402</t>
  </si>
  <si>
    <t>04h</t>
  </si>
  <si>
    <t>Identity Revision</t>
  </si>
  <si>
    <t>Product version. product communication version: 1.1</t>
  </si>
  <si>
    <t>05h</t>
  </si>
  <si>
    <t>Identity Status</t>
  </si>
  <si>
    <t>Current status of the device</t>
  </si>
  <si>
    <t>DeviceSerial Number</t>
  </si>
  <si>
    <t>Based on device entity and MAC:
• 0x20: Byte 0 (Entity ID for TeSys T)
• Bytes 1-3: Last 3 bytes of MAC address</t>
  </si>
  <si>
    <t>Product Name</t>
  </si>
  <si>
    <t>Commercial reference</t>
  </si>
  <si>
    <t>Instance Services</t>
  </si>
  <si>
    <t>ID</t>
  </si>
  <si>
    <t>Reset</t>
  </si>
  <si>
    <t>MESSAGE ROUTER OBJECT</t>
  </si>
  <si>
    <t>Optional Attribute list</t>
  </si>
  <si>
    <t>Optional Service list</t>
  </si>
  <si>
    <t>Max Class Attributes</t>
  </si>
  <si>
    <t>Object List</t>
  </si>
  <si>
    <t>Max connection supported</t>
  </si>
  <si>
    <t>Number of active connections</t>
  </si>
  <si>
    <t>Active connection list</t>
  </si>
  <si>
    <t>64h</t>
  </si>
  <si>
    <t>Total incoming Class 1 packets received during the last second</t>
  </si>
  <si>
    <t>65h</t>
  </si>
  <si>
    <t>Total outgoing Class 1 packets sent during the last second</t>
  </si>
  <si>
    <t>66h</t>
  </si>
  <si>
    <t>Total incoming Class 3 packets received during the last second</t>
  </si>
  <si>
    <t>67h</t>
  </si>
  <si>
    <t>Total outgoing Class 3 packets sent during the last second</t>
  </si>
  <si>
    <t>68h</t>
  </si>
  <si>
    <t>Total incoming unconnected packets received during the last second</t>
  </si>
  <si>
    <t>69h</t>
  </si>
  <si>
    <t>Total outgoing unconnected packets sent during the last second</t>
  </si>
  <si>
    <t>6Ah</t>
  </si>
  <si>
    <t>Total incoming EtherNet/IP packets received during the last second</t>
  </si>
  <si>
    <t>6Bh</t>
  </si>
  <si>
    <t>Total outgoing EtherNet/IP packets sent during the last second</t>
  </si>
  <si>
    <t>6Ch</t>
  </si>
  <si>
    <t>Total incoming Class 1 packets received</t>
  </si>
  <si>
    <t>6Dh</t>
  </si>
  <si>
    <t>Total outgoing Class 1 packets sent</t>
  </si>
  <si>
    <t>6Eh</t>
  </si>
  <si>
    <t>Total incoming Class 3 packets received</t>
  </si>
  <si>
    <t>6Fh</t>
  </si>
  <si>
    <t xml:space="preserve">
Total incoming Class 3 packets Invalid Parameter Value</t>
  </si>
  <si>
    <t>70h</t>
  </si>
  <si>
    <t>Total incoming Class 3 packets invalid format</t>
  </si>
  <si>
    <t>71h</t>
  </si>
  <si>
    <t xml:space="preserve">	
Total outgoing Class 3 packets sent</t>
  </si>
  <si>
    <t>72h</t>
  </si>
  <si>
    <t>Total incoming unconnected packets received</t>
  </si>
  <si>
    <t>73h</t>
  </si>
  <si>
    <t>Total incoming unconnected packets Invalid Parameter Value</t>
  </si>
  <si>
    <t>74h</t>
  </si>
  <si>
    <t xml:space="preserve">	
Total incoming unconnected packets Invalid Format</t>
  </si>
  <si>
    <t>75h</t>
  </si>
  <si>
    <t>Total outgoing unconnected packets sent</t>
  </si>
  <si>
    <t>76h</t>
  </si>
  <si>
    <t xml:space="preserve">	
Total incoming EtherNet/IP packets</t>
  </si>
  <si>
    <t>77h</t>
  </si>
  <si>
    <t xml:space="preserve">	
Total outgoing EtherNet/IP packets</t>
  </si>
  <si>
    <t>0Ah</t>
  </si>
  <si>
    <t>Multiple Service</t>
  </si>
  <si>
    <t>ASSEMBLY OBJECT</t>
  </si>
  <si>
    <t>The maximum numeric value of the instance number.
Returns 117</t>
  </si>
  <si>
    <t xml:space="preserve">The number of supported assembly instances.
</t>
  </si>
  <si>
    <t>Optional Attribute List</t>
  </si>
  <si>
    <t>Get_Attributes_single</t>
  </si>
  <si>
    <t>10h</t>
  </si>
  <si>
    <t>Set_Attributes_Single</t>
  </si>
  <si>
    <t>Assembly Instance Data</t>
  </si>
  <si>
    <t>Instance data returned as an array of bytes. Access is Read
Only for the input data assemblies and Read/Write for the
output data assemblies.</t>
  </si>
  <si>
    <t>Instance Data Size</t>
  </si>
  <si>
    <t>CONNECTION MANAGER OBJECT</t>
  </si>
  <si>
    <t>The Connection Manager implementation revision.
Returns 0x01.</t>
  </si>
  <si>
    <t>Incoming Forward Open requests count</t>
  </si>
  <si>
    <t>Total number of incoming connection open requests.</t>
  </si>
  <si>
    <t>Forward Open Format Unsuccessful count</t>
  </si>
  <si>
    <t>The number of Forward Open requests rejected because of the unexpected format of the Forward Open request</t>
  </si>
  <si>
    <t>Forward Open Resource Unsuccessful count</t>
  </si>
  <si>
    <t>The number of Forward Open requests rejected because of insufficient resources</t>
  </si>
  <si>
    <t>Forward Open Parameter Value count</t>
  </si>
  <si>
    <t>The number of Forward Open requests rejected because of the parameter value sent with Forward Open.</t>
  </si>
  <si>
    <t>Incoming Forward Close requests count</t>
  </si>
  <si>
    <t>Total number of incoming connection close requests</t>
  </si>
  <si>
    <t>Forward Close Format Unsuccessful count</t>
  </si>
  <si>
    <t>The number of Forward Close requests that has invalid format</t>
  </si>
  <si>
    <t>Forward Close Matching Unsuccessful count</t>
  </si>
  <si>
    <t>The number of Forward Close requests that could not be matched to an active connection.</t>
  </si>
  <si>
    <t>08h</t>
  </si>
  <si>
    <t>Timed out Connections count</t>
  </si>
  <si>
    <t>The number of connections that has timed out because the other side stopped producing or there was a network interruption.</t>
  </si>
  <si>
    <t>Set Attributes All</t>
  </si>
  <si>
    <t>Set Attributes Single</t>
  </si>
  <si>
    <t>4Eh</t>
  </si>
  <si>
    <t>Forward close</t>
  </si>
  <si>
    <t>52h</t>
  </si>
  <si>
    <t>Unconnected Send</t>
  </si>
  <si>
    <t>54h</t>
  </si>
  <si>
    <t>Forward Open</t>
  </si>
  <si>
    <t>5Ah</t>
  </si>
  <si>
    <t>Get Conncetion</t>
  </si>
  <si>
    <t>5Bh</t>
  </si>
  <si>
    <t>Large Forward Open</t>
  </si>
  <si>
    <t>QoS OBJECT</t>
  </si>
  <si>
    <t>DSCP Urgent</t>
  </si>
  <si>
    <t>DSCP Scheduled</t>
  </si>
  <si>
    <t>DSCP high</t>
  </si>
  <si>
    <t>DSCP low</t>
  </si>
  <si>
    <t>DSCP Explicit</t>
  </si>
  <si>
    <t>TCP/IP OBJECT</t>
  </si>
  <si>
    <t>Info</t>
  </si>
  <si>
    <t>The TCP/IP Object implementation revision. Returns 0x04.</t>
  </si>
  <si>
    <t>Indicate that there is only one host IP address. Returns 0x01.</t>
  </si>
  <si>
    <t>The number of object instances. Returns 0x01.</t>
  </si>
  <si>
    <t>Configuration Status</t>
  </si>
  <si>
    <t>Indicates whether you configured TCP/IP object and its parameters
or not.</t>
  </si>
  <si>
    <t>Configuration Capability</t>
  </si>
  <si>
    <t>Configuration Control</t>
  </si>
  <si>
    <t>Physical link</t>
  </si>
  <si>
    <t>Interface Configuration</t>
  </si>
  <si>
    <t>TCP/IP parameters including the following:
• DWORD containing the device IP address.
• DWORD containing the subnet mask.
• DWORD containing the gateway address.
• DWORD containing the name server IP address.: Value of 0 indicates no name server address has been configured. 
• DWORD containing the second name server IP address.:Value of 0 indicates no name server address has been configured. 
• WORD containing number of ASCII characters in the domain
name if applicable</t>
  </si>
  <si>
    <t>Host Name</t>
  </si>
  <si>
    <t>Data type is :STRING</t>
  </si>
  <si>
    <t>Safety Network Number</t>
  </si>
  <si>
    <t xml:space="preserve"> TTL Value</t>
  </si>
  <si>
    <t>09h</t>
  </si>
  <si>
    <t xml:space="preserve">MCast Config </t>
  </si>
  <si>
    <t>Select Acd</t>
  </si>
  <si>
    <t>0Bh</t>
  </si>
  <si>
    <t xml:space="preserve">Last Conflict Detected </t>
  </si>
  <si>
    <t>0Ch</t>
  </si>
  <si>
    <t>EIP Quick Connect</t>
  </si>
  <si>
    <t>0Dh</t>
  </si>
  <si>
    <t>Encapsulation Inactivity Timeout</t>
  </si>
  <si>
    <t>ETHERNET LINK OBJECT</t>
  </si>
  <si>
    <t>The Ethernet Link Object implementation revision. Returns 0x04</t>
  </si>
  <si>
    <t>Returns 0x02 to represent two Ethernet port instances.</t>
  </si>
  <si>
    <t>The number of object instances. Returns 0x02 to represent two Ethernet port instances.</t>
  </si>
  <si>
    <t>Interface Speed</t>
  </si>
  <si>
    <t>Interface Flag</t>
  </si>
  <si>
    <t>Physical Address</t>
  </si>
  <si>
    <t>Interface Counters</t>
  </si>
  <si>
    <t>Media Counters</t>
  </si>
  <si>
    <t>Interface Control</t>
  </si>
  <si>
    <t>Interface Type</t>
  </si>
  <si>
    <t>Interface State</t>
  </si>
  <si>
    <t>Admin State</t>
  </si>
  <si>
    <t>Interace Label</t>
  </si>
  <si>
    <t>Interface Capability</t>
  </si>
  <si>
    <t>4Ch</t>
  </si>
  <si>
    <t>Get_and_clear</t>
  </si>
  <si>
    <t xml:space="preserve">Control Supervisor Object </t>
  </si>
  <si>
    <t>State</t>
  </si>
  <si>
    <t>Running 1</t>
  </si>
  <si>
    <t>Running 2</t>
  </si>
  <si>
    <t>Trip Reset</t>
  </si>
  <si>
    <t>Alarm code</t>
  </si>
  <si>
    <t>0Fh</t>
  </si>
  <si>
    <t>Control from Network</t>
  </si>
  <si>
    <t>Net Trip Mode</t>
  </si>
  <si>
    <t>14h</t>
  </si>
  <si>
    <t>Net idle Mode</t>
  </si>
  <si>
    <t xml:space="preserve">OVERLOAD Object </t>
  </si>
  <si>
    <t>Attribute Count</t>
  </si>
  <si>
    <t>Attribute List</t>
  </si>
  <si>
    <t>not supported</t>
  </si>
  <si>
    <t>Trip FLC set</t>
  </si>
  <si>
    <t>Not supported</t>
  </si>
  <si>
    <t>supported</t>
  </si>
  <si>
    <t>Avg Current</t>
  </si>
  <si>
    <t>%ph Imbal</t>
  </si>
  <si>
    <t>%thermal</t>
  </si>
  <si>
    <t>IL1 Current</t>
  </si>
  <si>
    <t>IL2 Current</t>
  </si>
  <si>
    <t>IL3 Current</t>
  </si>
  <si>
    <t>IL1 Current Ratio</t>
  </si>
  <si>
    <t>IL2 Current Ratio</t>
  </si>
  <si>
    <t>IL3 Current Ratio</t>
  </si>
  <si>
    <t>IAV Average Current Ratio</t>
  </si>
  <si>
    <t>Thermal Capacity Level</t>
  </si>
  <si>
    <t>Current phase imbalance</t>
  </si>
  <si>
    <t>Time to trip</t>
  </si>
  <si>
    <t>Time to Reset</t>
  </si>
  <si>
    <t>7Fh</t>
  </si>
  <si>
    <t>Single/Three Ph</t>
  </si>
  <si>
    <t>80h</t>
  </si>
  <si>
    <t>TripFLCSet</t>
  </si>
  <si>
    <t>81h</t>
  </si>
  <si>
    <t>84h</t>
  </si>
  <si>
    <t>Thermal Alarm Level</t>
  </si>
  <si>
    <t>85h</t>
  </si>
  <si>
    <t>PL Inhibit Time</t>
  </si>
  <si>
    <t>86h</t>
  </si>
  <si>
    <t>PL Trip Delay</t>
  </si>
  <si>
    <t>88h</t>
  </si>
  <si>
    <t>Ground Current Trip Delay</t>
  </si>
  <si>
    <t>89h</t>
  </si>
  <si>
    <t>Ground Current Trip Level</t>
  </si>
  <si>
    <t>8Ah</t>
  </si>
  <si>
    <t>Ground Current Alarm Level</t>
  </si>
  <si>
    <t>8Bh</t>
  </si>
  <si>
    <t>Stall Enabled Time</t>
  </si>
  <si>
    <t>8Ch</t>
  </si>
  <si>
    <t>Stall Trip Level</t>
  </si>
  <si>
    <t>8Eh</t>
  </si>
  <si>
    <t>Jam Trip Delay</t>
  </si>
  <si>
    <t>8Fh</t>
  </si>
  <si>
    <t>Jam Trip Level</t>
  </si>
  <si>
    <t>90h</t>
  </si>
  <si>
    <t>Jam Alarm Level</t>
  </si>
  <si>
    <t>92h</t>
  </si>
  <si>
    <t>UL Trip Delay</t>
  </si>
  <si>
    <t>93h</t>
  </si>
  <si>
    <t>UL Trip Level</t>
  </si>
  <si>
    <t>94h</t>
  </si>
  <si>
    <t>UL Alarm Level</t>
  </si>
  <si>
    <t>95h</t>
  </si>
  <si>
    <t>CI Inhibit Time</t>
  </si>
  <si>
    <t>96h</t>
  </si>
  <si>
    <t>CI Trip Delay</t>
  </si>
  <si>
    <t>97h</t>
  </si>
  <si>
    <t>CI Trip Level</t>
  </si>
  <si>
    <t>98h</t>
  </si>
  <si>
    <t>CI Alarm Level</t>
  </si>
  <si>
    <t>B2h</t>
  </si>
  <si>
    <t>CT Ratio</t>
  </si>
  <si>
    <t xml:space="preserve">PKW Object </t>
  </si>
  <si>
    <t>PKW feature is supported in Tera</t>
  </si>
  <si>
    <t>Request Object</t>
  </si>
  <si>
    <t>Response Object</t>
  </si>
  <si>
    <t>Monitoring Data of Tesys T is Mapped to Tera</t>
  </si>
  <si>
    <t>Default modbus register address</t>
  </si>
  <si>
    <t>TeSys T Monitoring Word 0 Address</t>
  </si>
  <si>
    <t>TeSys T Monitoring Word 1 Address</t>
  </si>
  <si>
    <t>TeSys T Monitoring Word 2 Address</t>
  </si>
  <si>
    <t>TeSys T Monitoring Word 3 Address</t>
  </si>
  <si>
    <t>EtherNet/IP Interface Diagnostic Object</t>
  </si>
  <si>
    <t>limits</t>
  </si>
  <si>
    <t>Protocols supported</t>
  </si>
  <si>
    <t>Connection diagnostics</t>
  </si>
  <si>
    <t>I/O Messaging Diagnostics</t>
  </si>
  <si>
    <t>Explicit Messaging Diagnostics</t>
  </si>
  <si>
    <t>Communication Capacity</t>
  </si>
  <si>
    <t>Bandwidth Diagnostics</t>
  </si>
  <si>
    <t>Modbus Diagnostic</t>
  </si>
  <si>
    <t>I/O Connection Diagnostic Object</t>
  </si>
  <si>
    <t>I/O Communication Diagnostics</t>
  </si>
  <si>
    <t>Explicit Connection Diagnostic Object</t>
  </si>
  <si>
    <t>Originator Connection ID</t>
  </si>
  <si>
    <t>Originator IP</t>
  </si>
  <si>
    <t>Originator TCP Port</t>
  </si>
  <si>
    <t>Target Connection ID</t>
  </si>
  <si>
    <t>Target IP</t>
  </si>
  <si>
    <t>Target TCP Port</t>
  </si>
  <si>
    <t>Message Send Counter</t>
  </si>
  <si>
    <t>Message Receive Counter</t>
  </si>
  <si>
    <t>Explicit Connection Diagnostic List Object</t>
  </si>
  <si>
    <t>Number of Connections</t>
  </si>
  <si>
    <t>Explicit Messaging Connections Diagnostic List</t>
  </si>
  <si>
    <t>Create</t>
  </si>
  <si>
    <t>Delete</t>
  </si>
  <si>
    <t>33h</t>
  </si>
  <si>
    <t>Explicit Connections Diagnostic Read</t>
  </si>
  <si>
    <t>LDP Enable(LLDP Enable Array Length, LLDP Enable Array)</t>
  </si>
  <si>
    <t>msgTxInterval</t>
  </si>
  <si>
    <t xml:space="preserve">MsgTxHold </t>
  </si>
  <si>
    <t>LLDP Datastore</t>
  </si>
  <si>
    <t xml:space="preserve">Last Change </t>
  </si>
  <si>
    <t>Services</t>
  </si>
  <si>
    <t>Class</t>
  </si>
  <si>
    <t>Instance</t>
  </si>
  <si>
    <t>Ethernet Link Instance Number</t>
  </si>
  <si>
    <t>MAC Address</t>
  </si>
  <si>
    <t xml:space="preserve">Interface Label </t>
  </si>
  <si>
    <t xml:space="preserve">Time to live </t>
  </si>
  <si>
    <t>System Capabilities TLV,System Capabilities, Enabled Capabilities</t>
  </si>
  <si>
    <t>IPv4 Management Addresses:Management Address Count,Management Address</t>
  </si>
  <si>
    <t>CIP Identification: Vendor ID,Device Type,Product Code,Major Revison,Minor Revision,CIP Servial Number</t>
  </si>
  <si>
    <t>Additional Ethernet Capabilities</t>
  </si>
  <si>
    <t>Find_Next_Object_Instance</t>
  </si>
  <si>
    <t>EIP attribute address (Decimal)</t>
  </si>
  <si>
    <t>EIP attribute address(Hex)</t>
  </si>
  <si>
    <t>Ethernet Settings</t>
  </si>
  <si>
    <t>Decimal
136-&gt;01-&gt;
(starting address)</t>
  </si>
  <si>
    <t>Hex
88-&gt;01-&gt;
(starting address)</t>
  </si>
  <si>
    <t>HMI Allowed Read/Write Access for Configuration</t>
  </si>
  <si>
    <t>Port Configuration*********</t>
  </si>
  <si>
    <t>Protocol selection</t>
  </si>
  <si>
    <t>0 - Modbus/TCP
1 - Ehernet/IP
2- Profinet</t>
  </si>
  <si>
    <t>0- RSTP
1- DLR
2- MRP</t>
  </si>
  <si>
    <t>EIP Device Profile Selection</t>
  </si>
  <si>
    <t>0: Tera Profile
1: Tera Basic Overload
2: Tera Extended Overload
3: Tera Basic Motor Starter
4: Tera Extended Contactor
5: Tera Extended Motor Starter 1
6: Tera Extended Motor Starter 2
7: Tera LTMR Control and Monitoring
8: Tera PKW
9: Tera PKW and Extended Motor Starter 
10: Tera PKW and LTMR Management
11: Tera  E_TeSys T Fast Access
12: Tera EIOS_TeSys T</t>
  </si>
  <si>
    <t>FB access from EIP is needed but not from Modbus TCP/Even from Modbus</t>
  </si>
  <si>
    <t>IP address Byte 3</t>
  </si>
  <si>
    <t>IP address Byte 2</t>
  </si>
  <si>
    <t>IP address Byte 1</t>
  </si>
  <si>
    <t>2nd Last Byte of MAC</t>
  </si>
  <si>
    <t>IP address Byte 0</t>
  </si>
  <si>
    <t>Last Byte Of MAC</t>
  </si>
  <si>
    <t>Subnet Mask Byte 3</t>
  </si>
  <si>
    <t>Subnet Mask Byte 2</t>
  </si>
  <si>
    <t>Subnet Mask Byte 1</t>
  </si>
  <si>
    <t>Subnet Mask Byte 0</t>
  </si>
  <si>
    <t>Default gateway Byte 3</t>
  </si>
  <si>
    <t>Default gateway Byte 2</t>
  </si>
  <si>
    <t>Default gateway Byte 1</t>
  </si>
  <si>
    <t>Default gateway Byte 0</t>
  </si>
  <si>
    <t>NTP/SNTP primary server Byte 3</t>
  </si>
  <si>
    <t>NTP/SNTP primary server Byte 2</t>
  </si>
  <si>
    <t>NTP/SNTP primary server Byte 1</t>
  </si>
  <si>
    <t>NTP/SNTP primary server Byte 0</t>
  </si>
  <si>
    <t>SNTP selection</t>
  </si>
  <si>
    <t>0:Manual(Wepage),1:sntp2: from FB Protocol</t>
  </si>
  <si>
    <t>SNTP Time Zone</t>
  </si>
  <si>
    <t>time zone: total 28 time zone</t>
  </si>
  <si>
    <t>Time Zone</t>
  </si>
  <si>
    <t>IP Configuration</t>
  </si>
  <si>
    <t>0: DHCP
1: Reserved
2: Manual</t>
  </si>
  <si>
    <t>UTC−12:00</t>
  </si>
  <si>
    <t>Modbus TCP Endian Selection</t>
  </si>
  <si>
    <t>0: Big Endian
1: Little Endian</t>
  </si>
  <si>
    <t>UTC−11:00</t>
  </si>
  <si>
    <t>Modbus TCP Unit ID</t>
  </si>
  <si>
    <t>UTC−10:00</t>
  </si>
  <si>
    <t>SNMP V3 ********</t>
  </si>
  <si>
    <t>UTC−09:00</t>
  </si>
  <si>
    <t>SNMP Enable/Disable</t>
  </si>
  <si>
    <t>0-DISABLE
1-ENABLE</t>
  </si>
  <si>
    <t>UTC−08:00</t>
  </si>
  <si>
    <t xml:space="preserve">Version  </t>
  </si>
  <si>
    <t>0 - V3
1 - V2</t>
  </si>
  <si>
    <t>UTC−07:00</t>
  </si>
  <si>
    <t>This is same as Motor Tag Name</t>
  </si>
  <si>
    <t>UTC−06:00</t>
  </si>
  <si>
    <t>Auth algorithm</t>
  </si>
  <si>
    <t>MD5(MD5,SHA,SHA224,SHA256,SHA384,SHA512)</t>
  </si>
  <si>
    <t>UTC−05:00</t>
  </si>
  <si>
    <t>Auth password</t>
  </si>
  <si>
    <t>UTC−04:00</t>
  </si>
  <si>
    <t>Privacy Algorithm</t>
  </si>
  <si>
    <t>DES(DES,AES,AES192,AES256,3DES)</t>
  </si>
  <si>
    <t>UTC−03:00</t>
  </si>
  <si>
    <t>Privacy password</t>
  </si>
  <si>
    <t>UTC−02:00</t>
  </si>
  <si>
    <t>Trap Receipt</t>
  </si>
  <si>
    <t>UTC−01:00</t>
  </si>
  <si>
    <t>SNMP port</t>
  </si>
  <si>
    <t>UTC+00:00</t>
  </si>
  <si>
    <t>SNMP Read Community</t>
  </si>
  <si>
    <t>Blank</t>
  </si>
  <si>
    <t>UTC+01:00</t>
  </si>
  <si>
    <t>SNMP Write Community</t>
  </si>
  <si>
    <t>UTC+02:00</t>
  </si>
  <si>
    <t>SNMP Trap Community</t>
  </si>
  <si>
    <t>UTC+03:00</t>
  </si>
  <si>
    <t>USM User</t>
  </si>
  <si>
    <t>UTC+04:00</t>
  </si>
  <si>
    <t>Cold Start Trap</t>
  </si>
  <si>
    <t>UTC+05:00</t>
  </si>
  <si>
    <t>Warm Start Trap</t>
  </si>
  <si>
    <t>UTC+05:30</t>
  </si>
  <si>
    <t>Link Down Trap</t>
  </si>
  <si>
    <t>UTC+06:00</t>
  </si>
  <si>
    <t>Link up Trap</t>
  </si>
  <si>
    <t>UTC+07:00</t>
  </si>
  <si>
    <t>Authentication failer Trap</t>
  </si>
  <si>
    <t>UTC+08:00</t>
  </si>
  <si>
    <t>UTC+09:00</t>
  </si>
  <si>
    <t>HTTPS</t>
  </si>
  <si>
    <t>UTC+09:30</t>
  </si>
  <si>
    <t>UTC+10:00</t>
  </si>
  <si>
    <t>Port number</t>
  </si>
  <si>
    <t>UTC+11:00</t>
  </si>
  <si>
    <t>UTC+12:00</t>
  </si>
  <si>
    <t>DPWS</t>
  </si>
  <si>
    <t>UTC+13:00</t>
  </si>
  <si>
    <t>Enable/disable</t>
  </si>
  <si>
    <t>0=disable;1= enable</t>
  </si>
  <si>
    <t>Silent Mode</t>
  </si>
  <si>
    <t>0 = silent; 1= non silent</t>
  </si>
  <si>
    <t>Port</t>
  </si>
  <si>
    <t>Port number = 5357</t>
  </si>
  <si>
    <t>FDR PLC</t>
  </si>
  <si>
    <t>FDR Function</t>
  </si>
  <si>
    <t>FDR Auto backup Enabled</t>
  </si>
  <si>
    <t>FDR auto backup period Settings</t>
  </si>
  <si>
    <t>Communication Configuraiton********</t>
  </si>
  <si>
    <t>client IP Address - Byte 3</t>
  </si>
  <si>
    <t>Client IP Address - Byte 2</t>
  </si>
  <si>
    <t>Client IP Address - Byte 1</t>
  </si>
  <si>
    <t>Client IP Address - Byte 0</t>
  </si>
  <si>
    <t>Communication timeout</t>
  </si>
  <si>
    <t xml:space="preserve"> numeric or string for NTP primary and secondary(for internal Purpose)</t>
  </si>
  <si>
    <t xml:space="preserve"> 0- Both Pri and Sec: Str name
 1- Pri as IP and Sec as Str name
  2- Pri as Str name and Sec as IP
  3- Pri as IP and Sec as IP     </t>
  </si>
  <si>
    <t>Modbus TCP port</t>
  </si>
  <si>
    <t>Broadcast Storm Protection Enable/Disable</t>
  </si>
  <si>
    <t>Broadcast Storm Protection</t>
  </si>
  <si>
    <t>0 - lowest (Display Name and not rate)1000 packets/second
1 - low: 2000 packets/sec
2 -  Medium Low:3000 packets/seconds
3 - Medium High
4 -  High
5 - Highest</t>
  </si>
  <si>
    <t>Only applicable for Webservices No Read and Write from Modbus / EIP</t>
  </si>
  <si>
    <t>IP filter selection</t>
  </si>
  <si>
    <t>Access Level for first IP allow list</t>
  </si>
  <si>
    <t>0 - None
1 - Read/Write</t>
  </si>
  <si>
    <t>IP allowlist range1 address - Byte 3</t>
  </si>
  <si>
    <t>IP allowlist range1 address - Byte 2</t>
  </si>
  <si>
    <t>IP allowlist range1 address - Byte 1</t>
  </si>
  <si>
    <t>IP allowlist range1 address - Byte 0</t>
  </si>
  <si>
    <t>NTP/SNTP secondary server Byte 3</t>
  </si>
  <si>
    <t>NTP/SNTP secondary server Byte 2</t>
  </si>
  <si>
    <t>NTP/SNTP secondary server Byte 1</t>
  </si>
  <si>
    <t>NTP/SNTP secondary server Byte 0</t>
  </si>
  <si>
    <t xml:space="preserve">Access Level for first IP </t>
  </si>
  <si>
    <t>DNS Primary Server address Byte 3</t>
  </si>
  <si>
    <t>DNS Primary Server address Byte 2</t>
  </si>
  <si>
    <t>DNS Primary Server address Byte 1</t>
  </si>
  <si>
    <t>DNS Primary Server address Byte 0</t>
  </si>
  <si>
    <t xml:space="preserve">Access Level for second IP </t>
  </si>
  <si>
    <t>IP allowlist range2 address - Byte 3</t>
  </si>
  <si>
    <t>IP allowlist range2 address - Byte 2</t>
  </si>
  <si>
    <t>IP allowlist range2 address - Byte 1</t>
  </si>
  <si>
    <t>IP allowlist range2 address - Byte 0</t>
  </si>
  <si>
    <t>DNS Secondary Server address Byte 3</t>
  </si>
  <si>
    <t>DNS Secondary Server address Byte 2</t>
  </si>
  <si>
    <t>DNS Secondary Server address Byte 1</t>
  </si>
  <si>
    <t>DNS Secondary Server address Byte 0</t>
  </si>
  <si>
    <t xml:space="preserve">Access Level for third IP </t>
  </si>
  <si>
    <t>IP allowlist range3 address - Byte 3</t>
  </si>
  <si>
    <t>IP allowlist range3 address - Byte 2</t>
  </si>
  <si>
    <t>IP allowlist range3 address - Byte 1</t>
  </si>
  <si>
    <t>IP allowlist range3 address - Byte 0</t>
  </si>
  <si>
    <t xml:space="preserve">Access Level for fourth IP </t>
  </si>
  <si>
    <t>IP allowlist range4 address - Byte 3</t>
  </si>
  <si>
    <t>IP allowlist range4 address - Byte 2</t>
  </si>
  <si>
    <t>IP allowlist range4 address - Byte 1</t>
  </si>
  <si>
    <t>IP allowlist range4 address - Byte 0</t>
  </si>
  <si>
    <t xml:space="preserve">Access Level for fifth IP </t>
  </si>
  <si>
    <t>IP allowlist range5 address - Byte 3</t>
  </si>
  <si>
    <t>IP allowlist range5 address - Byte 2</t>
  </si>
  <si>
    <t>IP allowlist range5 address - Byte 1</t>
  </si>
  <si>
    <t>IP allowlist range5 address - Byte 0</t>
  </si>
  <si>
    <t>RSTP*******</t>
  </si>
  <si>
    <t>RSTP Enable/Disable</t>
  </si>
  <si>
    <t>Bridge priority</t>
  </si>
  <si>
    <t>Hello Time</t>
  </si>
  <si>
    <t>Max Age Time</t>
  </si>
  <si>
    <t>Transmit Hold Count</t>
  </si>
  <si>
    <t>Forward Delay</t>
  </si>
  <si>
    <t>RSTP Port 1&amp;2 Settings***********</t>
  </si>
  <si>
    <t>Port 1 Automatic/Manual</t>
  </si>
  <si>
    <t>1 - Automatic
0 - Manual</t>
  </si>
  <si>
    <t>Port 1 priority</t>
  </si>
  <si>
    <t>Port 1 Path Cost</t>
  </si>
  <si>
    <t>Port 2 Automatic/Manual</t>
  </si>
  <si>
    <t>Port 2 priority</t>
  </si>
  <si>
    <t>Port 2 Path Cost</t>
  </si>
  <si>
    <t>SysLog************</t>
  </si>
  <si>
    <t>SysLog service automatic export</t>
  </si>
  <si>
    <t>0-Disable
1-Enable</t>
  </si>
  <si>
    <t>SysLog Server Address************</t>
  </si>
  <si>
    <t>IP address byte 3</t>
  </si>
  <si>
    <t>Connection Mode</t>
  </si>
  <si>
    <t>0- TCP/TLS:6514
1- TCP:801
2- UDP:514</t>
  </si>
  <si>
    <t>Syslog Server Port</t>
  </si>
  <si>
    <t>Export Interval</t>
  </si>
  <si>
    <t>Modbus Disable / Enable*************</t>
  </si>
  <si>
    <t>Modbus HMI Selection</t>
  </si>
  <si>
    <t>0: Disable
1:  Enable</t>
  </si>
  <si>
    <t>Modbus TCP Selection</t>
  </si>
  <si>
    <t>Daylight Saving Settings: For Internal Testing setting is given trhough Modbus ***********</t>
  </si>
  <si>
    <t>Only applicable for Webservices: Not there in MKT05</t>
  </si>
  <si>
    <t>Daylight Saving Selection</t>
  </si>
  <si>
    <t>0:Disable
1:Enable</t>
  </si>
  <si>
    <t>Start Day</t>
  </si>
  <si>
    <t>Start Week</t>
  </si>
  <si>
    <t>1=Sunday, 2=Monday, 3=Tuesday, 4=Wednsday, 5=Thursday, 6=Friday, 7=Saturday</t>
  </si>
  <si>
    <t>Start Month</t>
  </si>
  <si>
    <t>Start Time</t>
  </si>
  <si>
    <t>End Day</t>
  </si>
  <si>
    <t>End Week</t>
  </si>
  <si>
    <t>End Month</t>
  </si>
  <si>
    <t>End Time</t>
  </si>
  <si>
    <t>Primary and Secondary NTP/SNTP server name (IP address are in different address)</t>
  </si>
  <si>
    <t>primary server name (NTP/SNTP)</t>
  </si>
  <si>
    <t>0x7469
0x6D65
0x2E6E
0x6577
0x7365
0x7276
0x6572
0x2E63
0x6F6D</t>
  </si>
  <si>
    <t>time.newserver.com</t>
  </si>
  <si>
    <t>Secondary server name (NTP/SNTP)</t>
  </si>
  <si>
    <t>0x7469
0x6D65
0x2E62
0x6163
0x6B75
0x7073
0x6572
0x7665
0x722E
0x636F
0x6D00</t>
  </si>
  <si>
    <t>time.backupserver.com</t>
  </si>
  <si>
    <t>DNS Enable Disable</t>
  </si>
  <si>
    <t>0:: Obtain IP fron DHCP/BOOTP
1: Manual</t>
  </si>
  <si>
    <t>data Address</t>
  </si>
  <si>
    <t>Ethernet Global Statistics</t>
  </si>
  <si>
    <t>Frames Received OK</t>
  </si>
  <si>
    <t>Frames Transmitted OK</t>
  </si>
  <si>
    <t>Reception Error</t>
  </si>
  <si>
    <t>Transmission Errors</t>
  </si>
  <si>
    <t>Port 1 Statistics</t>
  </si>
  <si>
    <t>Link Speed</t>
  </si>
  <si>
    <t>0: 100 Mbps
1: 10 Mbps
2: Auto Negotiation
3: NA</t>
  </si>
  <si>
    <t>Duplex</t>
  </si>
  <si>
    <t>0: Full Duplex
1: Half Duplex
2: Auto Negotiation
3: NA</t>
  </si>
  <si>
    <t>Port 2 Statistics</t>
  </si>
  <si>
    <t>pending</t>
  </si>
  <si>
    <t>Modbus TCP Global Diagnostics</t>
  </si>
  <si>
    <t>Port Status</t>
  </si>
  <si>
    <t>0: Not operational;  1: Operational</t>
  </si>
  <si>
    <t>Open TCP Connection</t>
  </si>
  <si>
    <t>Total Received Messages</t>
  </si>
  <si>
    <t>Total Transmitted Messages</t>
  </si>
  <si>
    <t>Modbus TCP Port Diagnostics</t>
  </si>
  <si>
    <t>Connection 1 Remote IP</t>
  </si>
  <si>
    <t>Connection 1 Remote port</t>
  </si>
  <si>
    <t>Connection 1 Local Port</t>
  </si>
  <si>
    <t>Connection 1 Received Messages</t>
  </si>
  <si>
    <t>Connection 1 Transmitted Messages</t>
  </si>
  <si>
    <t>Connection 1 Sent Errors</t>
  </si>
  <si>
    <t>Connection 2 Remote IP</t>
  </si>
  <si>
    <t>Connection 2 Remote port</t>
  </si>
  <si>
    <t>Connection 2 Local Port</t>
  </si>
  <si>
    <t>Connection 2 Received Messages</t>
  </si>
  <si>
    <t>Connection 2 Transmitted Messages</t>
  </si>
  <si>
    <t>Connection 2 Sent Errors</t>
  </si>
  <si>
    <t>Connection 3 Remote IP</t>
  </si>
  <si>
    <t>Connection 3 Remote port</t>
  </si>
  <si>
    <t>Connection 3 Local Port</t>
  </si>
  <si>
    <t>Connection 3 Received Messages</t>
  </si>
  <si>
    <t>Connection 3 Transmitted Messages</t>
  </si>
  <si>
    <t>Connection 3 Sent Errors</t>
  </si>
  <si>
    <t>Connection 4 Remote IP</t>
  </si>
  <si>
    <t>Connection 4 Remote port</t>
  </si>
  <si>
    <t>Connection 4 Local Port</t>
  </si>
  <si>
    <t>Connection 4 Received Messages</t>
  </si>
  <si>
    <t>Connection 4 Transmitted Messages</t>
  </si>
  <si>
    <t>Connection 4 Sent Errors</t>
  </si>
  <si>
    <t>Connection 5 Remote IP</t>
  </si>
  <si>
    <t>Connection 5 Remote port</t>
  </si>
  <si>
    <t>Connection 5 Local Port</t>
  </si>
  <si>
    <t>Connection 5 Received Messages</t>
  </si>
  <si>
    <t>Connection 5 Transmitted Messages</t>
  </si>
  <si>
    <t>Connection 5 Sent Errors</t>
  </si>
  <si>
    <t>Connection 6 Remote IP</t>
  </si>
  <si>
    <t>Connection 6 Remote port</t>
  </si>
  <si>
    <t>Connection 6 Local Port</t>
  </si>
  <si>
    <t>Connection 6 Received Messages</t>
  </si>
  <si>
    <t>Connection 6 Transmitted Messages</t>
  </si>
  <si>
    <t>Connection 6 Sent Errors</t>
  </si>
  <si>
    <t>Connection 7 Remote IP</t>
  </si>
  <si>
    <t>Connection 7 Remote port</t>
  </si>
  <si>
    <t>Connection 7 Local Port</t>
  </si>
  <si>
    <t>Connection 7 Received Messages</t>
  </si>
  <si>
    <t>Connection 7 Transmitted Messages</t>
  </si>
  <si>
    <t>Connection 7 Sent Errors</t>
  </si>
  <si>
    <t>Connection 8 Remote IP</t>
  </si>
  <si>
    <t>Connection 8 Remote port</t>
  </si>
  <si>
    <t>Connection 8 Local Port</t>
  </si>
  <si>
    <t>Connection 8 Received Messages</t>
  </si>
  <si>
    <t>Connection 8 Transmitted Messages</t>
  </si>
  <si>
    <t>Connection 8 Sent Errors</t>
  </si>
  <si>
    <t>Modbus RTU  Statistics</t>
  </si>
  <si>
    <t>Frames Received</t>
  </si>
  <si>
    <t>Frames Transmitted</t>
  </si>
  <si>
    <t>Baudrate</t>
  </si>
  <si>
    <t>Stop Bit</t>
  </si>
  <si>
    <t>0 = 0
1 = 1 
2 = 2</t>
  </si>
  <si>
    <t>Slave ID</t>
  </si>
  <si>
    <t>Redundancy Stats</t>
  </si>
  <si>
    <t>Bridge Status</t>
  </si>
  <si>
    <t>0-1 stesp size 1 (enable/disable)</t>
  </si>
  <si>
    <t>Bridge ID</t>
  </si>
  <si>
    <t>Root ID</t>
  </si>
  <si>
    <t>Root Port</t>
  </si>
  <si>
    <t>Root Path Cost</t>
  </si>
  <si>
    <t>Total Topology change</t>
  </si>
  <si>
    <t>Configured Bridge Hello Time</t>
  </si>
  <si>
    <t>Learned Bridge Hello Time</t>
  </si>
  <si>
    <t>Configured Bridge Forward Delay</t>
  </si>
  <si>
    <t>Learned Bridge Forward Delay</t>
  </si>
  <si>
    <t>Configured Bridge Max Age Time</t>
  </si>
  <si>
    <t>Learned Bridge Max Age Time</t>
  </si>
  <si>
    <t>Port 1 State</t>
  </si>
  <si>
    <t>Port 1 Role</t>
  </si>
  <si>
    <t>Port 1 Priority</t>
  </si>
  <si>
    <t>0-15 step size 1</t>
  </si>
  <si>
    <t>0- 200000000 stepsize 1</t>
  </si>
  <si>
    <t>Received  RST</t>
  </si>
  <si>
    <t>Transmitted RST</t>
  </si>
  <si>
    <t>Received  TCN</t>
  </si>
  <si>
    <t>Transmitted TCN</t>
  </si>
  <si>
    <t>Port 2 State</t>
  </si>
  <si>
    <t>Port 2 Role</t>
  </si>
  <si>
    <t>Port 2 Priority</t>
  </si>
  <si>
    <t>0-15 step size 1 (15*4096)</t>
  </si>
  <si>
    <t>Date &amp; Time Stats</t>
  </si>
  <si>
    <t>Time Source</t>
  </si>
  <si>
    <t>0: Manual; 1: NTP; 2: FB</t>
  </si>
  <si>
    <t>Last Synchronised</t>
  </si>
  <si>
    <t>NTP Synchronization status</t>
  </si>
  <si>
    <t>0: Not synchronised; 1: Synchronised</t>
  </si>
  <si>
    <t>256-511</t>
  </si>
  <si>
    <t>General Settings
: Custom Logic starter added in Table 2</t>
  </si>
  <si>
    <t>General Setting: Table 6: Overload: Do3 Active Type Value changed to 0 to 1</t>
  </si>
  <si>
    <t>EIP Address</t>
  </si>
  <si>
    <t>HEX</t>
  </si>
  <si>
    <t xml:space="preserve">Protection Setting: Device Internal: Reserved default value change to 0 : Internal Temperature </t>
  </si>
  <si>
    <t>IP address allowlist (not needed to update over Modbus register) have kept here for future development reference only</t>
  </si>
  <si>
    <t>IP Filtering Global Access List (not needed to update over Modbus register) have kept here for future development reference only</t>
  </si>
  <si>
    <t>IP Filtering Exceptional List: if define individaul IP address takes priority(not needed to update over Modbus register) have kept here for future development reference only</t>
  </si>
  <si>
    <t>Ethernet Settings: IP allow list data not needed to update over modbus register : it is kept of development future refernce (TTET-1013)</t>
  </si>
  <si>
    <r>
      <t xml:space="preserve">The producer must have an </t>
    </r>
    <r>
      <rPr>
        <b/>
        <sz val="11"/>
        <color theme="1"/>
        <rFont val="Calibri"/>
        <family val="2"/>
        <scheme val="minor"/>
      </rPr>
      <t>active Exclusive Owner</t>
    </r>
    <r>
      <rPr>
        <sz val="11"/>
        <color theme="1"/>
        <rFont val="Calibri"/>
        <family val="2"/>
        <scheme val="minor"/>
      </rPr>
      <t xml:space="preserve"> or </t>
    </r>
    <r>
      <rPr>
        <b/>
        <sz val="11"/>
        <color theme="1"/>
        <rFont val="Calibri"/>
        <family val="2"/>
        <scheme val="minor"/>
      </rPr>
      <t>Input Only</t>
    </r>
    <r>
      <rPr>
        <sz val="11"/>
        <color theme="1"/>
        <rFont val="Calibri"/>
        <family val="2"/>
        <scheme val="minor"/>
      </rPr>
      <t xml:space="preserve"> connection.</t>
    </r>
  </si>
  <si>
    <t>Status-&gt; Internal controller malfunction detection - Main Controller-&gt; HMI Comm Error Detected changed to Reserved(TTET-264)</t>
  </si>
  <si>
    <t>Product Info: Product Code: Word size increase to 2 from 1</t>
  </si>
  <si>
    <t>Status-&gt; Protection Pickup Status -&gt; Excessive Start Time Pickup changed to Reserved,</t>
  </si>
  <si>
    <t>DO_CompLogic_List -&gt; Excessive Start Time Pickup changed to Reserved,</t>
  </si>
  <si>
    <t>DO_CompLogic_List -&gt; Excessive Start Time Trip changed to Reserved(TTET-1103).</t>
  </si>
  <si>
    <t>DO_CompLogic_List -&gt; HMI communication error detected changed to Reserved(TTET-264)</t>
  </si>
  <si>
    <t>Excessive start time Pickup</t>
  </si>
  <si>
    <t>Excessive start time trip</t>
  </si>
  <si>
    <t>HMI Communication error detected</t>
  </si>
  <si>
    <t>Excessive Start time pickup</t>
  </si>
  <si>
    <t>Status-&gt; Protection Trip Status -&gt; Excessive Start Time Trip changed to Reserved,</t>
  </si>
  <si>
    <t xml:space="preserve">0 - Disable
</t>
  </si>
  <si>
    <t>Protection Settings-&gt; Excessive Start Function -&gt; Min Max updated</t>
  </si>
  <si>
    <t>0x11</t>
  </si>
  <si>
    <t>Find Next Object Instance</t>
  </si>
  <si>
    <r>
      <t>bit 0: Motor run forward / High speed forward command
bit 1: Motor run reverse / High speed reverse command
bit 2:</t>
    </r>
    <r>
      <rPr>
        <sz val="12"/>
        <color rgb="FFFF0000"/>
        <rFont val="Calibri"/>
        <family val="2"/>
      </rPr>
      <t>Local/Remote Mode Sel 1</t>
    </r>
    <r>
      <rPr>
        <sz val="12"/>
        <rFont val="Calibri"/>
        <family val="2"/>
      </rPr>
      <t xml:space="preserve">
bit 3: Trip reset command
bit 4:</t>
    </r>
    <r>
      <rPr>
        <sz val="12"/>
        <color rgb="FFFF0000"/>
        <rFont val="Calibri"/>
        <family val="2"/>
      </rPr>
      <t xml:space="preserve"> Local/Remote Mode Sel 2</t>
    </r>
    <r>
      <rPr>
        <sz val="12"/>
        <rFont val="Calibri"/>
        <family val="2"/>
      </rPr>
      <t xml:space="preserve">
bit 5: Self test (without trip) command
bit 6: Motor low speed forward command
bit 7: Motor low speed reverse command
</t>
    </r>
  </si>
  <si>
    <t>RUN1 = is mapped to 704 register bit 0</t>
  </si>
  <si>
    <t>RUN2 = is mapped to 704 register bit 1</t>
  </si>
  <si>
    <t>Version (Internal Only)</t>
  </si>
  <si>
    <t>Uboot  Version</t>
  </si>
  <si>
    <t>Kernel Version</t>
  </si>
  <si>
    <t>Filesystem Version</t>
  </si>
  <si>
    <r>
      <t xml:space="preserve">bit 0: Clear all command
Clear all parameters, except:
-Motor LO1 closings count
-Motor LO2 closings count
-Controller internal temperature max
-Thermal capacity level
bit 1: </t>
    </r>
    <r>
      <rPr>
        <b/>
        <sz val="12"/>
        <rFont val="Calibri"/>
        <family val="2"/>
      </rPr>
      <t>NA</t>
    </r>
    <r>
      <rPr>
        <sz val="12"/>
        <rFont val="Calibri"/>
        <family val="2"/>
      </rPr>
      <t xml:space="preserve">
bit 2: Clear thermal capacity level command
</t>
    </r>
    <r>
      <rPr>
        <b/>
        <sz val="12"/>
        <rFont val="Calibri"/>
        <family val="2"/>
      </rPr>
      <t>bit 3: NA
bit 4: NA</t>
    </r>
    <r>
      <rPr>
        <sz val="12"/>
        <rFont val="Calibri"/>
        <family val="2"/>
      </rPr>
      <t xml:space="preserve">
bit 5: Clear Trip counter command
</t>
    </r>
    <r>
      <rPr>
        <b/>
        <sz val="12"/>
        <rFont val="Calibri"/>
        <family val="2"/>
      </rPr>
      <t>bit 6-7: NA</t>
    </r>
  </si>
  <si>
    <t xml:space="preserve">1) EIP Cyclic Parameter : Comment Added for RUN1 and RUN2 bits
2) EIP Cyclic Parameter : Register 704 , bit 1 changed to Reserved
3) Product Info: Version information added for Internal Purpose only
</t>
  </si>
  <si>
    <t xml:space="preserve">RDOL </t>
  </si>
  <si>
    <t xml:space="preserve">star delta </t>
  </si>
  <si>
    <t xml:space="preserve">heater </t>
  </si>
  <si>
    <t xml:space="preserve">done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</si>
</sst>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_(* \(#,##0.00\);_(* &quot;-&quot;??_);_(@_)"/>
    <numFmt numFmtId="165" formatCode="00000"/>
    <numFmt numFmtId="166" formatCode="0.0000"/>
    <numFmt numFmtId="167" formatCode="0.0"/>
  </numFmts>
  <fonts count="55" x14ac:knownFonts="1">
    <font>
      <sz val="11"/>
      <color theme="1"/>
      <name val="Calibri"/>
      <family val="2"/>
      <scheme val="minor"/>
    </font>
    <font>
      <sz val="12"/>
      <name val="Verdana"/>
      <family val="2"/>
    </font>
    <font>
      <sz val="10"/>
      <name val="Times New Roman"/>
      <family val="1"/>
    </font>
    <font>
      <sz val="12"/>
      <name val="Times New Roman"/>
      <family val="1"/>
    </font>
    <font>
      <b/>
      <sz val="12"/>
      <name val="Times New Roman"/>
      <family val="1"/>
    </font>
    <font>
      <sz val="8"/>
      <name val="Times New Roman"/>
      <family val="1"/>
    </font>
    <font>
      <b/>
      <sz val="10"/>
      <name val="Times New Roman"/>
      <family val="1"/>
    </font>
    <font>
      <b/>
      <sz val="11"/>
      <color theme="1"/>
      <name val="Calibri"/>
      <family val="2"/>
      <scheme val="minor"/>
    </font>
    <font>
      <sz val="12"/>
      <name val="Calibri"/>
      <family val="2"/>
      <scheme val="minor"/>
    </font>
    <font>
      <sz val="12"/>
      <color theme="1"/>
      <name val="Verdana"/>
      <family val="2"/>
    </font>
    <font>
      <b/>
      <sz val="12"/>
      <color theme="1"/>
      <name val="Calibri"/>
      <family val="2"/>
      <scheme val="minor"/>
    </font>
    <font>
      <sz val="11"/>
      <color theme="1"/>
      <name val="Calibri"/>
      <family val="2"/>
      <scheme val="minor"/>
    </font>
    <font>
      <sz val="10"/>
      <name val="Arial"/>
      <family val="2"/>
    </font>
    <font>
      <sz val="10"/>
      <name val="Arial"/>
      <family val="2"/>
    </font>
    <font>
      <sz val="12"/>
      <name val="Calibri"/>
      <family val="2"/>
    </font>
    <font>
      <b/>
      <sz val="9"/>
      <color indexed="81"/>
      <name val="Tahoma"/>
      <family val="2"/>
    </font>
    <font>
      <sz val="9"/>
      <color indexed="81"/>
      <name val="Tahoma"/>
      <family val="2"/>
    </font>
    <font>
      <sz val="12"/>
      <color theme="1"/>
      <name val="Calibri"/>
      <family val="2"/>
      <scheme val="minor"/>
    </font>
    <font>
      <sz val="11"/>
      <color rgb="FF000000"/>
      <name val="Calibri"/>
      <family val="2"/>
    </font>
    <font>
      <sz val="16"/>
      <name val="Calibri"/>
      <family val="2"/>
      <scheme val="minor"/>
    </font>
    <font>
      <sz val="11"/>
      <name val="Calibri"/>
      <family val="2"/>
      <scheme val="minor"/>
    </font>
    <font>
      <sz val="12"/>
      <color theme="1"/>
      <name val="Calibri"/>
      <family val="2"/>
    </font>
    <font>
      <sz val="11"/>
      <name val="Times New Roman"/>
      <family val="1"/>
    </font>
    <font>
      <sz val="11"/>
      <name val="Verdana"/>
      <family val="2"/>
    </font>
    <font>
      <b/>
      <sz val="12"/>
      <name val="Verdana"/>
      <family val="2"/>
    </font>
    <font>
      <b/>
      <sz val="10"/>
      <color indexed="81"/>
      <name val="Tahoma"/>
      <family val="2"/>
    </font>
    <font>
      <b/>
      <i/>
      <sz val="12"/>
      <color rgb="FFFF0000"/>
      <name val="Calibri"/>
      <family val="2"/>
      <scheme val="minor"/>
    </font>
    <font>
      <b/>
      <u/>
      <sz val="11"/>
      <color theme="1"/>
      <name val="Calibri"/>
      <family val="2"/>
      <scheme val="minor"/>
    </font>
    <font>
      <i/>
      <sz val="11"/>
      <color theme="1"/>
      <name val="Calibri"/>
      <family val="2"/>
      <scheme val="minor"/>
    </font>
    <font>
      <i/>
      <sz val="11"/>
      <color rgb="FFFF0000"/>
      <name val="Calibri"/>
      <family val="2"/>
      <scheme val="minor"/>
    </font>
    <font>
      <sz val="8"/>
      <name val="Calibri"/>
      <family val="2"/>
      <scheme val="minor"/>
    </font>
    <font>
      <b/>
      <sz val="11"/>
      <color rgb="FF000000"/>
      <name val="Calibri"/>
      <family val="2"/>
      <scheme val="minor"/>
    </font>
    <font>
      <sz val="11"/>
      <color rgb="FF000000"/>
      <name val="Calibri"/>
      <family val="2"/>
      <scheme val="minor"/>
    </font>
    <font>
      <sz val="12"/>
      <color rgb="FFFF0000"/>
      <name val="Calibri"/>
      <family val="2"/>
    </font>
    <font>
      <sz val="11"/>
      <name val="Calibri"/>
      <family val="2"/>
    </font>
    <font>
      <sz val="11"/>
      <color rgb="FFFF0000"/>
      <name val="Calibri"/>
      <family val="2"/>
    </font>
    <font>
      <b/>
      <sz val="16"/>
      <color theme="1"/>
      <name val="Calibri"/>
      <family val="2"/>
      <scheme val="minor"/>
    </font>
    <font>
      <b/>
      <sz val="14"/>
      <color theme="1"/>
      <name val="Calibri"/>
      <family val="2"/>
      <scheme val="minor"/>
    </font>
    <font>
      <sz val="10"/>
      <color theme="1"/>
      <name val="Times New Roman"/>
      <family val="1"/>
    </font>
    <font>
      <u/>
      <sz val="11"/>
      <color theme="10"/>
      <name val="Calibri"/>
      <family val="2"/>
      <scheme val="minor"/>
    </font>
    <font>
      <b/>
      <sz val="12"/>
      <name val="Calibri"/>
      <family val="2"/>
    </font>
    <font>
      <b/>
      <sz val="14"/>
      <color rgb="FF00932F"/>
      <name val="Arial"/>
      <family val="2"/>
    </font>
    <font>
      <b/>
      <sz val="10"/>
      <color theme="1"/>
      <name val="Arial"/>
      <family val="2"/>
    </font>
    <font>
      <sz val="10"/>
      <color theme="1"/>
      <name val="Arial"/>
      <family val="2"/>
    </font>
    <font>
      <sz val="6"/>
      <color theme="1"/>
      <name val="Arial"/>
      <family val="2"/>
    </font>
    <font>
      <b/>
      <sz val="8"/>
      <color theme="1"/>
      <name val="Arial"/>
      <family val="2"/>
    </font>
    <font>
      <sz val="8"/>
      <color theme="1"/>
      <name val="Arial"/>
      <family val="2"/>
    </font>
    <font>
      <i/>
      <sz val="8"/>
      <color theme="1"/>
      <name val="Arial"/>
      <family val="2"/>
    </font>
    <font>
      <b/>
      <sz val="10"/>
      <color rgb="FFFFFFFF"/>
      <name val="Arial"/>
      <family val="2"/>
    </font>
    <font>
      <sz val="6.5"/>
      <color theme="1"/>
      <name val="Arial"/>
      <family val="2"/>
    </font>
    <font>
      <sz val="7.5"/>
      <color theme="1"/>
      <name val="Arial"/>
      <family val="2"/>
    </font>
    <font>
      <sz val="7"/>
      <color theme="1"/>
      <name val="Times New Roman"/>
      <family val="1"/>
    </font>
    <font>
      <sz val="9"/>
      <color theme="1"/>
      <name val="Arial"/>
      <family val="2"/>
    </font>
    <font>
      <sz val="6"/>
      <color rgb="FF333333"/>
      <name val="Arial"/>
      <family val="2"/>
    </font>
    <font>
      <sz val="11"/>
      <color theme="1"/>
      <name val="Wingdings"/>
      <charset val="2"/>
    </font>
  </fonts>
  <fills count="40">
    <fill>
      <patternFill patternType="none"/>
    </fill>
    <fill>
      <patternFill patternType="gray125"/>
    </fill>
    <fill>
      <patternFill patternType="solid">
        <fgColor indexed="2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rgb="FF00B0F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3" tint="0.39997558519241921"/>
        <bgColor indexed="64"/>
      </patternFill>
    </fill>
    <fill>
      <patternFill patternType="solid">
        <fgColor theme="0" tint="-0.499984740745262"/>
        <bgColor indexed="64"/>
      </patternFill>
    </fill>
    <fill>
      <patternFill patternType="solid">
        <fgColor rgb="FF00CC00"/>
        <bgColor indexed="64"/>
      </patternFill>
    </fill>
    <fill>
      <patternFill patternType="solid">
        <fgColor rgb="FF00FFFF"/>
        <bgColor indexed="64"/>
      </patternFill>
    </fill>
    <fill>
      <patternFill patternType="solid">
        <fgColor rgb="FFFFCCFF"/>
        <bgColor indexed="64"/>
      </patternFill>
    </fill>
    <fill>
      <patternFill patternType="solid">
        <fgColor rgb="FFFF0000"/>
        <bgColor indexed="64"/>
      </patternFill>
    </fill>
    <fill>
      <patternFill patternType="solid">
        <fgColor rgb="FF00B050"/>
        <bgColor indexed="64"/>
      </patternFill>
    </fill>
    <fill>
      <patternFill patternType="solid">
        <fgColor rgb="FF66FF99"/>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theme="5"/>
        <bgColor indexed="64"/>
      </patternFill>
    </fill>
    <fill>
      <patternFill patternType="solid">
        <fgColor rgb="FF99FFCC"/>
        <bgColor indexed="64"/>
      </patternFill>
    </fill>
    <fill>
      <patternFill patternType="solid">
        <fgColor rgb="FFCC66FF"/>
        <bgColor indexed="64"/>
      </patternFill>
    </fill>
    <fill>
      <patternFill patternType="solid">
        <fgColor theme="9" tint="-0.249977111117893"/>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rgb="FFFF99CC"/>
        <bgColor indexed="64"/>
      </patternFill>
    </fill>
    <fill>
      <patternFill patternType="solid">
        <fgColor theme="0"/>
        <bgColor rgb="FF000000"/>
      </patternFill>
    </fill>
    <fill>
      <patternFill patternType="solid">
        <fgColor theme="9" tint="0.39997558519241921"/>
        <bgColor rgb="FF000000"/>
      </patternFill>
    </fill>
    <fill>
      <patternFill patternType="solid">
        <fgColor theme="9"/>
        <bgColor indexed="64"/>
      </patternFill>
    </fill>
    <fill>
      <patternFill patternType="solid">
        <fgColor theme="4"/>
        <bgColor indexed="64"/>
      </patternFill>
    </fill>
    <fill>
      <patternFill patternType="solid">
        <fgColor theme="8" tint="0.39997558519241921"/>
        <bgColor indexed="64"/>
      </patternFill>
    </fill>
    <fill>
      <patternFill patternType="solid">
        <fgColor theme="2" tint="-9.9978637043366805E-2"/>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diagonal/>
    </border>
    <border>
      <left/>
      <right style="thin">
        <color indexed="64"/>
      </right>
      <top style="medium">
        <color indexed="64"/>
      </top>
      <bottom style="medium">
        <color indexed="64"/>
      </bottom>
      <diagonal/>
    </border>
    <border>
      <left/>
      <right style="medium">
        <color indexed="64"/>
      </right>
      <top/>
      <bottom/>
      <diagonal/>
    </border>
    <border>
      <left style="thin">
        <color indexed="64"/>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s>
  <cellStyleXfs count="16">
    <xf numFmtId="0" fontId="0" fillId="0" borderId="0"/>
    <xf numFmtId="0" fontId="11" fillId="0" borderId="0"/>
    <xf numFmtId="0" fontId="12" fillId="0" borderId="0"/>
    <xf numFmtId="0" fontId="13" fillId="0" borderId="0"/>
    <xf numFmtId="43" fontId="12" fillId="0" borderId="0" applyFont="0" applyFill="0" applyBorder="0" applyAlignment="0" applyProtection="0"/>
    <xf numFmtId="0" fontId="11"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164" fontId="12" fillId="0" borderId="0" applyFont="0" applyFill="0" applyBorder="0" applyAlignment="0" applyProtection="0"/>
    <xf numFmtId="0" fontId="12" fillId="0" borderId="0"/>
    <xf numFmtId="0" fontId="39" fillId="0" borderId="0" applyNumberFormat="0" applyFill="0" applyBorder="0" applyAlignment="0" applyProtection="0"/>
  </cellStyleXfs>
  <cellXfs count="543">
    <xf numFmtId="0" fontId="0" fillId="0" borderId="0" xfId="0"/>
    <xf numFmtId="0" fontId="2" fillId="0" borderId="0" xfId="0" applyFont="1" applyAlignment="1" applyProtection="1">
      <alignment vertical="top" wrapText="1"/>
      <protection locked="0"/>
    </xf>
    <xf numFmtId="0" fontId="3" fillId="0" borderId="8" xfId="0" applyFont="1" applyBorder="1" applyAlignment="1" applyProtection="1">
      <alignment vertical="top" wrapText="1"/>
      <protection locked="0"/>
    </xf>
    <xf numFmtId="0" fontId="3" fillId="0" borderId="13" xfId="0" applyFont="1" applyBorder="1" applyAlignment="1" applyProtection="1">
      <alignment vertical="top" wrapText="1"/>
      <protection locked="0"/>
    </xf>
    <xf numFmtId="0" fontId="6" fillId="0" borderId="0" xfId="0" applyFont="1" applyAlignment="1" applyProtection="1">
      <alignment vertical="top" wrapText="1"/>
      <protection locked="0"/>
    </xf>
    <xf numFmtId="0" fontId="3" fillId="0" borderId="0" xfId="0" applyFont="1" applyAlignment="1" applyProtection="1">
      <alignment vertical="top" wrapText="1"/>
      <protection locked="0"/>
    </xf>
    <xf numFmtId="0" fontId="17" fillId="0" borderId="0" xfId="0" applyFont="1"/>
    <xf numFmtId="0" fontId="17" fillId="0" borderId="1" xfId="0" applyFont="1" applyBorder="1"/>
    <xf numFmtId="0" fontId="17" fillId="0" borderId="0" xfId="0" applyFont="1" applyAlignment="1">
      <alignment horizontal="center" vertical="center"/>
    </xf>
    <xf numFmtId="15" fontId="3" fillId="0" borderId="10" xfId="0" applyNumberFormat="1" applyFont="1" applyBorder="1" applyAlignment="1">
      <alignment horizontal="center" vertical="top" wrapText="1"/>
    </xf>
    <xf numFmtId="0" fontId="14" fillId="0" borderId="1" xfId="6" applyFont="1" applyBorder="1" applyAlignment="1">
      <alignment horizontal="center" vertical="center"/>
    </xf>
    <xf numFmtId="0" fontId="8" fillId="0" borderId="0" xfId="2" applyFont="1" applyAlignment="1">
      <alignment horizontal="center" vertical="center"/>
    </xf>
    <xf numFmtId="0" fontId="14" fillId="0" borderId="0" xfId="2" applyFont="1" applyAlignment="1">
      <alignment horizontal="center" vertical="center"/>
    </xf>
    <xf numFmtId="0" fontId="21" fillId="0" borderId="0" xfId="0" applyFont="1" applyAlignment="1">
      <alignment horizontal="center" vertical="center"/>
    </xf>
    <xf numFmtId="0" fontId="17" fillId="7" borderId="0" xfId="0" applyFont="1" applyFill="1"/>
    <xf numFmtId="0" fontId="14" fillId="0" borderId="0" xfId="6" applyFont="1" applyAlignment="1">
      <alignment horizontal="right" vertical="center"/>
    </xf>
    <xf numFmtId="0" fontId="0" fillId="0" borderId="0" xfId="0" applyAlignment="1">
      <alignment horizontal="right" vertical="center"/>
    </xf>
    <xf numFmtId="0" fontId="20" fillId="0" borderId="0" xfId="0" applyFont="1" applyAlignment="1">
      <alignment horizontal="right" vertical="center"/>
    </xf>
    <xf numFmtId="0" fontId="14" fillId="0" borderId="0" xfId="0" applyFont="1" applyAlignment="1">
      <alignment horizontal="right" vertical="center" wrapText="1"/>
    </xf>
    <xf numFmtId="0" fontId="21" fillId="0" borderId="0" xfId="0" applyFont="1" applyAlignment="1">
      <alignment horizontal="right" vertical="center"/>
    </xf>
    <xf numFmtId="0" fontId="22" fillId="0" borderId="0" xfId="0" applyFont="1" applyAlignment="1">
      <alignment horizontal="right" vertical="center" wrapText="1"/>
    </xf>
    <xf numFmtId="0" fontId="17" fillId="0" borderId="0" xfId="0" applyFont="1" applyAlignment="1">
      <alignment horizontal="center"/>
    </xf>
    <xf numFmtId="0" fontId="9" fillId="0" borderId="14" xfId="0" applyFont="1" applyBorder="1" applyAlignment="1">
      <alignment horizontal="left" vertical="center" wrapText="1"/>
    </xf>
    <xf numFmtId="0" fontId="21" fillId="0" borderId="0" xfId="0" applyFont="1" applyAlignment="1">
      <alignment horizontal="left" vertical="center"/>
    </xf>
    <xf numFmtId="166" fontId="21" fillId="0" borderId="0" xfId="0" applyNumberFormat="1" applyFont="1" applyAlignment="1">
      <alignment horizontal="center" vertical="center"/>
    </xf>
    <xf numFmtId="16" fontId="14" fillId="0" borderId="0" xfId="6" applyNumberFormat="1" applyFont="1" applyAlignment="1">
      <alignment horizontal="center" vertical="center"/>
    </xf>
    <xf numFmtId="0" fontId="0" fillId="0" borderId="0" xfId="0" applyAlignment="1">
      <alignment vertical="center"/>
    </xf>
    <xf numFmtId="0" fontId="20" fillId="0" borderId="0" xfId="0" applyFont="1" applyAlignment="1">
      <alignment vertical="center"/>
    </xf>
    <xf numFmtId="0" fontId="0" fillId="0" borderId="6" xfId="0" applyBorder="1" applyAlignment="1">
      <alignment vertical="center"/>
    </xf>
    <xf numFmtId="0" fontId="0" fillId="0" borderId="0" xfId="0" applyAlignment="1">
      <alignment horizontal="left" vertical="center"/>
    </xf>
    <xf numFmtId="0" fontId="0" fillId="0" borderId="5" xfId="0" applyBorder="1" applyAlignment="1">
      <alignment vertical="center"/>
    </xf>
    <xf numFmtId="0" fontId="0" fillId="0" borderId="1" xfId="0" applyBorder="1" applyAlignment="1">
      <alignment vertical="center"/>
    </xf>
    <xf numFmtId="0" fontId="17" fillId="0" borderId="0" xfId="0" applyFont="1" applyAlignment="1">
      <alignment vertical="center"/>
    </xf>
    <xf numFmtId="0" fontId="9" fillId="0" borderId="0" xfId="1" applyFont="1" applyAlignment="1">
      <alignment horizontal="center" vertical="center"/>
    </xf>
    <xf numFmtId="165" fontId="17" fillId="0" borderId="0" xfId="0" applyNumberFormat="1" applyFont="1" applyAlignment="1">
      <alignment horizontal="center" vertical="center"/>
    </xf>
    <xf numFmtId="0" fontId="17" fillId="7" borderId="0" xfId="0" applyFont="1" applyFill="1" applyAlignment="1">
      <alignment horizontal="center" vertical="center"/>
    </xf>
    <xf numFmtId="0" fontId="2" fillId="0" borderId="0" xfId="0" applyFont="1" applyAlignment="1" applyProtection="1">
      <alignment horizontal="center" vertical="center" wrapText="1"/>
      <protection locked="0"/>
    </xf>
    <xf numFmtId="0" fontId="3" fillId="0" borderId="6"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2" fontId="3" fillId="0" borderId="9" xfId="0" applyNumberFormat="1" applyFont="1" applyBorder="1" applyAlignment="1" applyProtection="1">
      <alignment horizontal="center" vertical="center" wrapText="1"/>
      <protection locked="0"/>
    </xf>
    <xf numFmtId="2" fontId="3" fillId="0" borderId="0" xfId="0" applyNumberFormat="1" applyFont="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3" fillId="0" borderId="12" xfId="0" applyFont="1" applyBorder="1" applyAlignment="1" applyProtection="1">
      <alignment horizontal="center" vertical="center" wrapText="1"/>
      <protection locked="0"/>
    </xf>
    <xf numFmtId="0" fontId="6" fillId="2" borderId="1" xfId="0" applyFont="1" applyFill="1" applyBorder="1" applyAlignment="1" applyProtection="1">
      <alignment horizontal="center" vertical="center" wrapText="1"/>
      <protection locked="0"/>
    </xf>
    <xf numFmtId="0" fontId="17" fillId="0" borderId="0" xfId="0" applyFont="1" applyAlignment="1">
      <alignment horizontal="left"/>
    </xf>
    <xf numFmtId="0" fontId="17" fillId="0" borderId="0" xfId="0" applyFont="1" applyAlignment="1">
      <alignment horizontal="center" vertical="center" wrapText="1"/>
    </xf>
    <xf numFmtId="0" fontId="17" fillId="5" borderId="0" xfId="0" applyFont="1" applyFill="1"/>
    <xf numFmtId="0" fontId="17" fillId="0" borderId="12" xfId="0" applyFont="1" applyBorder="1" applyAlignment="1">
      <alignment horizontal="center" vertical="center"/>
    </xf>
    <xf numFmtId="0" fontId="17" fillId="0" borderId="12" xfId="0" applyFont="1" applyBorder="1"/>
    <xf numFmtId="0" fontId="17" fillId="5" borderId="12" xfId="0" applyFont="1" applyFill="1" applyBorder="1"/>
    <xf numFmtId="0" fontId="24" fillId="0" borderId="0" xfId="0" applyFont="1" applyAlignment="1">
      <alignment horizontal="center" vertical="center" wrapText="1"/>
    </xf>
    <xf numFmtId="0" fontId="10" fillId="0" borderId="0" xfId="0" applyFont="1" applyAlignment="1">
      <alignment horizontal="center" vertical="center"/>
    </xf>
    <xf numFmtId="0" fontId="0" fillId="0" borderId="1" xfId="0" applyBorder="1" applyAlignment="1">
      <alignment horizontal="center" vertical="center"/>
    </xf>
    <xf numFmtId="0" fontId="0" fillId="0" borderId="1" xfId="0" applyBorder="1"/>
    <xf numFmtId="0" fontId="0" fillId="0" borderId="0" xfId="0" applyAlignment="1">
      <alignment horizontal="center" vertical="center"/>
    </xf>
    <xf numFmtId="0" fontId="0" fillId="0" borderId="0" xfId="0" applyAlignment="1">
      <alignment horizontal="center" vertical="top"/>
    </xf>
    <xf numFmtId="0" fontId="1" fillId="0" borderId="0" xfId="0" applyFont="1" applyAlignment="1">
      <alignment horizontal="center" vertical="center" wrapText="1"/>
    </xf>
    <xf numFmtId="0" fontId="17" fillId="0" borderId="1" xfId="0" applyFont="1" applyBorder="1" applyAlignment="1">
      <alignment horizontal="center" vertical="center"/>
    </xf>
    <xf numFmtId="1" fontId="0" fillId="0" borderId="0" xfId="0" applyNumberFormat="1"/>
    <xf numFmtId="1" fontId="0" fillId="0" borderId="0" xfId="0" applyNumberFormat="1" applyAlignment="1">
      <alignment horizontal="center" vertical="center"/>
    </xf>
    <xf numFmtId="0" fontId="7" fillId="0" borderId="0" xfId="0" applyFont="1"/>
    <xf numFmtId="0" fontId="1" fillId="0" borderId="0" xfId="0" applyFont="1" applyAlignment="1">
      <alignment horizontal="center" vertical="center"/>
    </xf>
    <xf numFmtId="16" fontId="14" fillId="0" borderId="1" xfId="6" quotePrefix="1" applyNumberFormat="1" applyFont="1" applyBorder="1" applyAlignment="1">
      <alignment horizontal="center" vertical="center"/>
    </xf>
    <xf numFmtId="0" fontId="1" fillId="3" borderId="15"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4" fillId="0" borderId="2" xfId="6" applyFont="1" applyBorder="1" applyAlignment="1">
      <alignment horizontal="center" vertical="center"/>
    </xf>
    <xf numFmtId="0" fontId="14" fillId="0" borderId="0" xfId="6" applyFont="1" applyAlignment="1">
      <alignment horizontal="center" vertical="center"/>
    </xf>
    <xf numFmtId="0" fontId="17" fillId="0" borderId="1" xfId="0" applyFont="1" applyBorder="1" applyAlignment="1">
      <alignment horizontal="center"/>
    </xf>
    <xf numFmtId="0" fontId="0" fillId="0" borderId="1" xfId="0" applyBorder="1" applyAlignment="1">
      <alignment horizontal="center"/>
    </xf>
    <xf numFmtId="0" fontId="23" fillId="3" borderId="15" xfId="0" applyFont="1" applyFill="1" applyBorder="1" applyAlignment="1">
      <alignment horizontal="center" vertical="center" wrapText="1"/>
    </xf>
    <xf numFmtId="0" fontId="14" fillId="0" borderId="5" xfId="6" applyFont="1" applyBorder="1" applyAlignment="1">
      <alignment horizontal="center" vertical="center"/>
    </xf>
    <xf numFmtId="0" fontId="2" fillId="0" borderId="1" xfId="0" applyFont="1" applyBorder="1" applyAlignment="1" applyProtection="1">
      <alignment horizontal="center" vertical="center" wrapText="1"/>
      <protection locked="0"/>
    </xf>
    <xf numFmtId="0" fontId="17" fillId="0" borderId="1" xfId="0" applyFont="1" applyBorder="1" applyAlignment="1">
      <alignment horizontal="center" vertical="center" wrapText="1"/>
    </xf>
    <xf numFmtId="49" fontId="14" fillId="0" borderId="1" xfId="6" applyNumberFormat="1" applyFont="1" applyBorder="1" applyAlignment="1">
      <alignment horizontal="center" vertical="center"/>
    </xf>
    <xf numFmtId="0" fontId="1" fillId="3" borderId="21" xfId="0" applyFont="1" applyFill="1" applyBorder="1" applyAlignment="1">
      <alignment horizontal="center" vertical="center" wrapText="1"/>
    </xf>
    <xf numFmtId="1" fontId="14" fillId="0" borderId="1" xfId="6" applyNumberFormat="1" applyFont="1" applyBorder="1" applyAlignment="1">
      <alignment horizontal="center" vertical="center"/>
    </xf>
    <xf numFmtId="0" fontId="17" fillId="0" borderId="0" xfId="0" applyFont="1" applyAlignment="1">
      <alignment horizontal="left" vertical="center" wrapText="1"/>
    </xf>
    <xf numFmtId="0" fontId="0" fillId="0" borderId="1" xfId="0" applyBorder="1" applyAlignment="1">
      <alignment horizontal="left" vertical="center" wrapText="1"/>
    </xf>
    <xf numFmtId="0" fontId="17" fillId="0" borderId="1" xfId="0" applyFont="1" applyBorder="1" applyAlignment="1">
      <alignment horizontal="left" vertical="center" wrapText="1"/>
    </xf>
    <xf numFmtId="0" fontId="17" fillId="8" borderId="1" xfId="0" applyFont="1" applyFill="1" applyBorder="1" applyAlignment="1">
      <alignment horizontal="left" vertical="center" wrapText="1"/>
    </xf>
    <xf numFmtId="0" fontId="1" fillId="3" borderId="19" xfId="0" applyFont="1" applyFill="1" applyBorder="1" applyAlignment="1">
      <alignment horizontal="center" vertical="center" wrapText="1"/>
    </xf>
    <xf numFmtId="0" fontId="9" fillId="0" borderId="20" xfId="0" applyFont="1" applyBorder="1" applyAlignment="1">
      <alignment horizontal="left" vertical="center" wrapText="1"/>
    </xf>
    <xf numFmtId="0" fontId="9" fillId="3" borderId="22" xfId="0" applyFont="1" applyFill="1" applyBorder="1" applyAlignment="1">
      <alignment horizontal="left" vertical="center" wrapText="1"/>
    </xf>
    <xf numFmtId="0" fontId="9" fillId="0" borderId="1" xfId="1" applyFont="1" applyBorder="1" applyAlignment="1">
      <alignment horizontal="center" vertical="center"/>
    </xf>
    <xf numFmtId="0" fontId="21" fillId="0" borderId="1" xfId="0" applyFont="1" applyBorder="1" applyAlignment="1">
      <alignment horizontal="center" vertical="center"/>
    </xf>
    <xf numFmtId="0" fontId="14" fillId="0" borderId="1" xfId="6" applyFont="1" applyBorder="1" applyAlignment="1">
      <alignment vertical="center"/>
    </xf>
    <xf numFmtId="0" fontId="17" fillId="8" borderId="1" xfId="0" applyFont="1" applyFill="1" applyBorder="1" applyAlignment="1">
      <alignment horizontal="center" vertical="center" wrapText="1"/>
    </xf>
    <xf numFmtId="0" fontId="0" fillId="0" borderId="0" xfId="0" applyAlignment="1">
      <alignment horizontal="center"/>
    </xf>
    <xf numFmtId="0" fontId="3" fillId="0" borderId="9" xfId="0"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10" xfId="0" applyFont="1" applyBorder="1" applyAlignment="1" applyProtection="1">
      <alignment horizontal="center" vertical="top" wrapText="1"/>
      <protection locked="0"/>
    </xf>
    <xf numFmtId="0" fontId="4" fillId="0" borderId="10" xfId="0" applyFont="1" applyBorder="1" applyAlignment="1" applyProtection="1">
      <alignment horizontal="center" vertical="top" wrapText="1"/>
      <protection locked="0"/>
    </xf>
    <xf numFmtId="0" fontId="17" fillId="9" borderId="1" xfId="0" applyFont="1" applyFill="1" applyBorder="1" applyAlignment="1">
      <alignment horizontal="center" vertical="center"/>
    </xf>
    <xf numFmtId="0" fontId="26" fillId="9" borderId="1" xfId="0" applyFont="1" applyFill="1" applyBorder="1" applyAlignment="1">
      <alignment horizontal="left"/>
    </xf>
    <xf numFmtId="0" fontId="27" fillId="0" borderId="0" xfId="0" applyFont="1" applyAlignment="1">
      <alignment vertical="center"/>
    </xf>
    <xf numFmtId="0" fontId="28" fillId="0" borderId="0" xfId="0" applyFont="1" applyAlignment="1">
      <alignment vertical="center"/>
    </xf>
    <xf numFmtId="0" fontId="28" fillId="0" borderId="0" xfId="0" applyFont="1"/>
    <xf numFmtId="0" fontId="0" fillId="0" borderId="26" xfId="0" applyBorder="1" applyAlignment="1">
      <alignment horizontal="center" vertical="center" wrapText="1"/>
    </xf>
    <xf numFmtId="0" fontId="0" fillId="0" borderId="18" xfId="0" applyBorder="1" applyAlignment="1">
      <alignment horizontal="center" vertical="center" wrapText="1"/>
    </xf>
    <xf numFmtId="0" fontId="29" fillId="9" borderId="0" xfId="0" applyFont="1" applyFill="1"/>
    <xf numFmtId="0" fontId="0" fillId="9" borderId="17" xfId="0" applyFill="1" applyBorder="1" applyAlignment="1">
      <alignment horizontal="center" vertical="center" wrapText="1"/>
    </xf>
    <xf numFmtId="0" fontId="0" fillId="9" borderId="19" xfId="0" applyFill="1" applyBorder="1" applyAlignment="1">
      <alignment horizontal="center" vertical="center" wrapText="1"/>
    </xf>
    <xf numFmtId="0" fontId="28" fillId="9" borderId="27" xfId="0" applyFont="1" applyFill="1" applyBorder="1" applyAlignment="1">
      <alignment vertical="center"/>
    </xf>
    <xf numFmtId="0" fontId="0" fillId="9" borderId="28" xfId="0" applyFill="1" applyBorder="1"/>
    <xf numFmtId="0" fontId="0" fillId="9" borderId="29" xfId="0" applyFill="1" applyBorder="1"/>
    <xf numFmtId="0" fontId="0" fillId="9" borderId="26" xfId="0" applyFill="1" applyBorder="1"/>
    <xf numFmtId="0" fontId="10" fillId="0" borderId="0" xfId="0" applyFont="1"/>
    <xf numFmtId="0" fontId="14" fillId="0" borderId="1" xfId="6" applyFont="1" applyBorder="1" applyAlignment="1">
      <alignment horizontal="center" vertical="center" wrapText="1"/>
    </xf>
    <xf numFmtId="0" fontId="14" fillId="0" borderId="1" xfId="6" applyFont="1" applyBorder="1" applyAlignment="1">
      <alignment horizontal="left" vertical="center" wrapText="1"/>
    </xf>
    <xf numFmtId="0" fontId="14" fillId="0" borderId="1" xfId="6" applyFont="1" applyBorder="1" applyAlignment="1">
      <alignment horizontal="left" vertical="center"/>
    </xf>
    <xf numFmtId="0" fontId="0" fillId="0" borderId="1" xfId="0" applyBorder="1" applyAlignment="1">
      <alignment horizontal="left" vertical="center"/>
    </xf>
    <xf numFmtId="0" fontId="14" fillId="0" borderId="0" xfId="6" applyFont="1" applyAlignment="1">
      <alignment horizontal="left" vertical="center"/>
    </xf>
    <xf numFmtId="2" fontId="5" fillId="0" borderId="10" xfId="0" applyNumberFormat="1" applyFont="1" applyBorder="1" applyAlignment="1" applyProtection="1">
      <alignment horizontal="right" vertical="top" wrapText="1"/>
      <protection locked="0"/>
    </xf>
    <xf numFmtId="15" fontId="3" fillId="0" borderId="1" xfId="0" applyNumberFormat="1" applyFont="1" applyBorder="1" applyAlignment="1" applyProtection="1">
      <alignment horizontal="center" vertical="center" wrapText="1"/>
      <protection locked="0"/>
    </xf>
    <xf numFmtId="0" fontId="14" fillId="9" borderId="1" xfId="6" applyFont="1" applyFill="1" applyBorder="1" applyAlignment="1">
      <alignment horizontal="left" vertical="center" wrapText="1"/>
    </xf>
    <xf numFmtId="0" fontId="14" fillId="9" borderId="1" xfId="6" applyFont="1" applyFill="1" applyBorder="1" applyAlignment="1">
      <alignment horizontal="center" vertical="center"/>
    </xf>
    <xf numFmtId="0" fontId="0" fillId="0" borderId="0" xfId="0" applyAlignment="1">
      <alignment wrapText="1"/>
    </xf>
    <xf numFmtId="0" fontId="0" fillId="6" borderId="1" xfId="0" applyFill="1" applyBorder="1" applyAlignment="1">
      <alignment wrapText="1"/>
    </xf>
    <xf numFmtId="0" fontId="0" fillId="11" borderId="1" xfId="0" applyFill="1" applyBorder="1" applyAlignment="1">
      <alignment wrapText="1"/>
    </xf>
    <xf numFmtId="0" fontId="0" fillId="12" borderId="1" xfId="0" applyFill="1" applyBorder="1" applyAlignment="1">
      <alignment wrapText="1"/>
    </xf>
    <xf numFmtId="0" fontId="0" fillId="5" borderId="1" xfId="0" applyFill="1" applyBorder="1" applyAlignment="1">
      <alignment wrapText="1"/>
    </xf>
    <xf numFmtId="0" fontId="0" fillId="13" borderId="1" xfId="0" applyFill="1" applyBorder="1" applyAlignment="1">
      <alignment wrapText="1"/>
    </xf>
    <xf numFmtId="0" fontId="0" fillId="14" borderId="1" xfId="0" applyFill="1" applyBorder="1" applyAlignment="1">
      <alignment wrapText="1"/>
    </xf>
    <xf numFmtId="0" fontId="31" fillId="0" borderId="17" xfId="0" applyFont="1" applyBorder="1" applyAlignment="1">
      <alignment vertical="center"/>
    </xf>
    <xf numFmtId="0" fontId="31" fillId="0" borderId="19" xfId="0" applyFont="1" applyBorder="1" applyAlignment="1">
      <alignment vertical="center"/>
    </xf>
    <xf numFmtId="0" fontId="31" fillId="0" borderId="19" xfId="0" applyFont="1" applyBorder="1" applyAlignment="1">
      <alignment vertical="center" wrapText="1"/>
    </xf>
    <xf numFmtId="0" fontId="32" fillId="0" borderId="26" xfId="0" applyFont="1" applyBorder="1" applyAlignment="1">
      <alignment vertical="center"/>
    </xf>
    <xf numFmtId="0" fontId="32" fillId="0" borderId="31" xfId="0" applyFont="1" applyBorder="1" applyAlignment="1">
      <alignment vertical="center" wrapText="1"/>
    </xf>
    <xf numFmtId="0" fontId="32" fillId="0" borderId="18" xfId="0" applyFont="1" applyBorder="1" applyAlignment="1">
      <alignment vertical="center" wrapText="1"/>
    </xf>
    <xf numFmtId="0" fontId="32" fillId="0" borderId="18" xfId="0" applyFont="1" applyBorder="1" applyAlignment="1">
      <alignment vertical="center"/>
    </xf>
    <xf numFmtId="0" fontId="32" fillId="0" borderId="26" xfId="0" applyFont="1" applyBorder="1" applyAlignment="1">
      <alignment horizontal="right" vertical="center"/>
    </xf>
    <xf numFmtId="0" fontId="0" fillId="0" borderId="1" xfId="0" applyBorder="1" applyAlignment="1">
      <alignment wrapText="1"/>
    </xf>
    <xf numFmtId="0" fontId="21" fillId="0" borderId="1" xfId="6" applyFont="1" applyBorder="1" applyAlignment="1">
      <alignment horizontal="center" vertical="center"/>
    </xf>
    <xf numFmtId="0" fontId="0" fillId="9" borderId="1" xfId="0" applyFill="1" applyBorder="1"/>
    <xf numFmtId="0" fontId="27" fillId="0" borderId="0" xfId="0" applyFont="1"/>
    <xf numFmtId="0" fontId="0" fillId="9" borderId="1" xfId="0" applyFill="1" applyBorder="1" applyAlignment="1">
      <alignment horizontal="center" vertical="center"/>
    </xf>
    <xf numFmtId="0" fontId="9" fillId="0" borderId="0" xfId="0" applyFont="1" applyAlignment="1">
      <alignment horizontal="left" vertical="center" wrapText="1"/>
    </xf>
    <xf numFmtId="0" fontId="9" fillId="3" borderId="34" xfId="0" applyFont="1" applyFill="1" applyBorder="1" applyAlignment="1">
      <alignment horizontal="left" vertical="center" wrapText="1"/>
    </xf>
    <xf numFmtId="0" fontId="32" fillId="0" borderId="35" xfId="0" applyFont="1" applyBorder="1" applyAlignment="1">
      <alignment vertical="center"/>
    </xf>
    <xf numFmtId="0" fontId="0" fillId="13" borderId="0" xfId="0" applyFill="1" applyAlignment="1">
      <alignment wrapText="1"/>
    </xf>
    <xf numFmtId="0" fontId="14" fillId="7" borderId="1" xfId="6" applyFont="1" applyFill="1" applyBorder="1" applyAlignment="1">
      <alignment horizontal="center" vertical="center"/>
    </xf>
    <xf numFmtId="15" fontId="2" fillId="0" borderId="1" xfId="0" applyNumberFormat="1" applyFont="1" applyBorder="1" applyAlignment="1" applyProtection="1">
      <alignment horizontal="center" vertical="center" wrapText="1"/>
      <protection locked="0"/>
    </xf>
    <xf numFmtId="0" fontId="2" fillId="0" borderId="1" xfId="0" applyFont="1" applyBorder="1" applyAlignment="1" applyProtection="1">
      <alignment vertical="top" wrapText="1"/>
      <protection locked="0"/>
    </xf>
    <xf numFmtId="0" fontId="17" fillId="8" borderId="1" xfId="0" applyFont="1" applyFill="1" applyBorder="1" applyAlignment="1">
      <alignment horizontal="left"/>
    </xf>
    <xf numFmtId="0" fontId="17" fillId="8" borderId="1" xfId="0" applyFont="1" applyFill="1" applyBorder="1" applyAlignment="1">
      <alignment horizontal="center" vertical="center"/>
    </xf>
    <xf numFmtId="0" fontId="14" fillId="0" borderId="1" xfId="6" applyFont="1" applyBorder="1" applyAlignment="1">
      <alignment vertical="center" wrapText="1"/>
    </xf>
    <xf numFmtId="0" fontId="14" fillId="0" borderId="0" xfId="6" applyFont="1"/>
    <xf numFmtId="0" fontId="0" fillId="0" borderId="1" xfId="0" applyBorder="1" applyAlignment="1">
      <alignment horizontal="left"/>
    </xf>
    <xf numFmtId="0" fontId="0" fillId="0" borderId="0" xfId="0" applyAlignment="1">
      <alignment horizontal="left"/>
    </xf>
    <xf numFmtId="17" fontId="0" fillId="0" borderId="1" xfId="0" applyNumberFormat="1" applyBorder="1" applyAlignment="1">
      <alignment horizontal="left" vertical="center"/>
    </xf>
    <xf numFmtId="0" fontId="0" fillId="15" borderId="1" xfId="0" applyFill="1" applyBorder="1" applyAlignment="1">
      <alignment horizontal="left"/>
    </xf>
    <xf numFmtId="0" fontId="0" fillId="15" borderId="1" xfId="0" applyFill="1" applyBorder="1" applyAlignment="1">
      <alignment horizontal="left" vertical="center" wrapText="1"/>
    </xf>
    <xf numFmtId="0" fontId="0" fillId="15" borderId="1" xfId="0" applyFill="1" applyBorder="1"/>
    <xf numFmtId="0" fontId="0" fillId="14" borderId="1" xfId="0" applyFill="1" applyBorder="1"/>
    <xf numFmtId="16" fontId="0" fillId="0" borderId="1" xfId="0" applyNumberFormat="1" applyBorder="1" applyAlignment="1">
      <alignment horizontal="left" vertical="center"/>
    </xf>
    <xf numFmtId="0" fontId="17" fillId="0" borderId="1" xfId="0" applyFont="1" applyBorder="1" applyAlignment="1">
      <alignment horizontal="left"/>
    </xf>
    <xf numFmtId="0" fontId="10" fillId="0" borderId="0" xfId="0" applyFont="1" applyAlignment="1">
      <alignment horizontal="left" vertical="center" wrapText="1"/>
    </xf>
    <xf numFmtId="0" fontId="9" fillId="0" borderId="0" xfId="0" applyFont="1" applyAlignment="1">
      <alignment horizontal="center" vertical="center" wrapText="1"/>
    </xf>
    <xf numFmtId="0" fontId="18" fillId="0" borderId="0" xfId="0" applyFont="1" applyAlignment="1">
      <alignment horizontal="center" vertical="center"/>
    </xf>
    <xf numFmtId="0" fontId="14" fillId="0" borderId="0" xfId="6" applyFont="1" applyAlignment="1">
      <alignment horizontal="center"/>
    </xf>
    <xf numFmtId="0" fontId="0" fillId="8" borderId="1" xfId="0" applyFill="1" applyBorder="1" applyAlignment="1">
      <alignment horizontal="center" vertical="center" wrapText="1"/>
    </xf>
    <xf numFmtId="0" fontId="0" fillId="0" borderId="1" xfId="0" applyBorder="1" applyAlignment="1">
      <alignment horizontal="center" vertical="center" wrapText="1"/>
    </xf>
    <xf numFmtId="0" fontId="17" fillId="0" borderId="1" xfId="0" quotePrefix="1" applyFont="1" applyBorder="1" applyAlignment="1">
      <alignment horizontal="center"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17" fillId="8" borderId="1" xfId="0" applyFont="1" applyFill="1" applyBorder="1" applyAlignment="1">
      <alignment horizontal="center"/>
    </xf>
    <xf numFmtId="0" fontId="0" fillId="0" borderId="1" xfId="0" applyBorder="1" applyAlignment="1">
      <alignment vertical="top" wrapText="1"/>
    </xf>
    <xf numFmtId="0" fontId="34" fillId="0" borderId="1" xfId="6" applyFont="1" applyBorder="1" applyAlignment="1">
      <alignment horizontal="left" vertical="top" wrapText="1"/>
    </xf>
    <xf numFmtId="0" fontId="0" fillId="0" borderId="5" xfId="0" applyBorder="1"/>
    <xf numFmtId="0" fontId="7" fillId="10" borderId="1" xfId="0" applyFont="1" applyFill="1" applyBorder="1" applyAlignment="1">
      <alignment horizontal="center" vertical="center" wrapText="1"/>
    </xf>
    <xf numFmtId="0" fontId="7" fillId="10" borderId="1" xfId="0" applyFont="1" applyFill="1" applyBorder="1" applyAlignment="1">
      <alignment vertical="center" wrapText="1"/>
    </xf>
    <xf numFmtId="0" fontId="7" fillId="16" borderId="1" xfId="0" applyFont="1" applyFill="1" applyBorder="1" applyAlignment="1">
      <alignment vertical="center" wrapText="1"/>
    </xf>
    <xf numFmtId="0" fontId="7" fillId="16" borderId="20" xfId="0" applyFont="1" applyFill="1" applyBorder="1" applyAlignment="1">
      <alignment horizontal="center" vertical="center" wrapText="1"/>
    </xf>
    <xf numFmtId="0" fontId="0" fillId="9" borderId="1" xfId="0" applyFill="1" applyBorder="1" applyAlignment="1">
      <alignment horizontal="center"/>
    </xf>
    <xf numFmtId="0" fontId="0" fillId="7" borderId="1" xfId="0" applyFill="1" applyBorder="1"/>
    <xf numFmtId="0" fontId="0" fillId="7" borderId="1" xfId="0" applyFill="1" applyBorder="1" applyAlignment="1">
      <alignment horizontal="center"/>
    </xf>
    <xf numFmtId="0" fontId="0" fillId="7" borderId="0" xfId="0" applyFill="1"/>
    <xf numFmtId="0" fontId="37" fillId="0" borderId="2" xfId="0" applyFont="1" applyBorder="1" applyAlignment="1">
      <alignment horizontal="center"/>
    </xf>
    <xf numFmtId="0" fontId="37" fillId="0" borderId="1" xfId="0" applyFont="1" applyBorder="1" applyAlignment="1">
      <alignment horizontal="center" wrapText="1"/>
    </xf>
    <xf numFmtId="0" fontId="0" fillId="18" borderId="1" xfId="0" applyFill="1" applyBorder="1"/>
    <xf numFmtId="0" fontId="0" fillId="18" borderId="1" xfId="0" applyFill="1" applyBorder="1" applyAlignment="1">
      <alignment wrapText="1"/>
    </xf>
    <xf numFmtId="0" fontId="0" fillId="9" borderId="1" xfId="0" applyFill="1" applyBorder="1" applyAlignment="1">
      <alignment wrapText="1"/>
    </xf>
    <xf numFmtId="0" fontId="14" fillId="9" borderId="1" xfId="6" applyFont="1" applyFill="1" applyBorder="1" applyAlignment="1">
      <alignment horizontal="center" vertical="center" wrapText="1"/>
    </xf>
    <xf numFmtId="0" fontId="7" fillId="0" borderId="1" xfId="0" applyFont="1" applyBorder="1" applyAlignment="1">
      <alignment horizontal="center"/>
    </xf>
    <xf numFmtId="0" fontId="14" fillId="9" borderId="1" xfId="6" applyFont="1" applyFill="1" applyBorder="1" applyAlignment="1">
      <alignment horizontal="left" vertical="center"/>
    </xf>
    <xf numFmtId="0" fontId="0" fillId="19" borderId="1" xfId="0" applyFill="1" applyBorder="1" applyAlignment="1">
      <alignment horizontal="left"/>
    </xf>
    <xf numFmtId="0" fontId="14" fillId="19" borderId="1" xfId="6" applyFont="1" applyFill="1" applyBorder="1" applyAlignment="1">
      <alignment horizontal="left" vertical="center"/>
    </xf>
    <xf numFmtId="0" fontId="17" fillId="19" borderId="1" xfId="0" applyFont="1" applyFill="1" applyBorder="1" applyAlignment="1">
      <alignment horizontal="left"/>
    </xf>
    <xf numFmtId="0" fontId="17" fillId="0" borderId="1" xfId="0" applyFont="1" applyBorder="1" applyAlignment="1">
      <alignment horizontal="center" vertical="top" wrapText="1"/>
    </xf>
    <xf numFmtId="0" fontId="17" fillId="9" borderId="1" xfId="0" applyFont="1" applyFill="1" applyBorder="1" applyAlignment="1">
      <alignment horizontal="left"/>
    </xf>
    <xf numFmtId="0" fontId="14" fillId="0" borderId="1" xfId="6" applyFont="1" applyBorder="1" applyAlignment="1">
      <alignment horizontal="left" vertical="top" wrapText="1"/>
    </xf>
    <xf numFmtId="0" fontId="14" fillId="20" borderId="1" xfId="6" applyFont="1" applyFill="1" applyBorder="1" applyAlignment="1">
      <alignment horizontal="center" vertical="center"/>
    </xf>
    <xf numFmtId="0" fontId="9" fillId="3" borderId="34"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23" fillId="3" borderId="21" xfId="0" applyFont="1" applyFill="1" applyBorder="1" applyAlignment="1">
      <alignment horizontal="center" vertical="center" wrapText="1"/>
    </xf>
    <xf numFmtId="0" fontId="1" fillId="3" borderId="36" xfId="0" applyFont="1" applyFill="1" applyBorder="1" applyAlignment="1">
      <alignment horizontal="left" vertical="center" wrapText="1"/>
    </xf>
    <xf numFmtId="0" fontId="17" fillId="20" borderId="1" xfId="0" applyFont="1" applyFill="1" applyBorder="1" applyAlignment="1">
      <alignment horizontal="center"/>
    </xf>
    <xf numFmtId="0" fontId="21" fillId="0" borderId="1" xfId="6" applyFont="1" applyBorder="1" applyAlignment="1">
      <alignment horizontal="center" vertical="center" wrapText="1"/>
    </xf>
    <xf numFmtId="0" fontId="14" fillId="20" borderId="1" xfId="6" applyFont="1" applyFill="1" applyBorder="1" applyAlignment="1">
      <alignment horizontal="left" vertical="center" wrapText="1"/>
    </xf>
    <xf numFmtId="16" fontId="14" fillId="20" borderId="1" xfId="6" quotePrefix="1" applyNumberFormat="1" applyFont="1" applyFill="1" applyBorder="1" applyAlignment="1">
      <alignment horizontal="center" vertical="center"/>
    </xf>
    <xf numFmtId="0" fontId="38" fillId="0" borderId="1" xfId="0" applyFont="1" applyBorder="1" applyAlignment="1" applyProtection="1">
      <alignment vertical="top" wrapText="1"/>
      <protection locked="0"/>
    </xf>
    <xf numFmtId="0" fontId="14" fillId="20" borderId="1" xfId="6" applyFont="1" applyFill="1" applyBorder="1" applyAlignment="1">
      <alignment horizontal="left" vertical="center"/>
    </xf>
    <xf numFmtId="2" fontId="2" fillId="0" borderId="1" xfId="0" applyNumberFormat="1" applyFont="1" applyBorder="1" applyAlignment="1" applyProtection="1">
      <alignment horizontal="center" vertical="center" wrapText="1"/>
      <protection locked="0"/>
    </xf>
    <xf numFmtId="0" fontId="0" fillId="20" borderId="1" xfId="0" applyFill="1" applyBorder="1" applyAlignment="1">
      <alignment horizontal="center" vertical="center"/>
    </xf>
    <xf numFmtId="16" fontId="0" fillId="0" borderId="1" xfId="0" quotePrefix="1" applyNumberFormat="1" applyBorder="1" applyAlignment="1">
      <alignment horizontal="center" vertical="center"/>
    </xf>
    <xf numFmtId="0" fontId="26" fillId="9" borderId="1" xfId="0" applyFont="1" applyFill="1" applyBorder="1" applyAlignment="1">
      <alignment horizontal="left" vertical="center"/>
    </xf>
    <xf numFmtId="0" fontId="17" fillId="20" borderId="1" xfId="0" applyFont="1" applyFill="1" applyBorder="1" applyAlignment="1">
      <alignment horizontal="left"/>
    </xf>
    <xf numFmtId="0" fontId="17" fillId="20" borderId="1" xfId="0" applyFont="1" applyFill="1" applyBorder="1" applyAlignment="1">
      <alignment wrapText="1"/>
    </xf>
    <xf numFmtId="0" fontId="14" fillId="20" borderId="1" xfId="6" applyFont="1" applyFill="1" applyBorder="1" applyAlignment="1">
      <alignment horizontal="left" vertical="top" wrapText="1"/>
    </xf>
    <xf numFmtId="167" fontId="0" fillId="0" borderId="0" xfId="0" applyNumberFormat="1"/>
    <xf numFmtId="167" fontId="0" fillId="14" borderId="1" xfId="0" applyNumberFormat="1" applyFill="1" applyBorder="1"/>
    <xf numFmtId="0" fontId="17" fillId="9" borderId="1" xfId="0" applyFont="1" applyFill="1" applyBorder="1" applyAlignment="1">
      <alignment horizontal="left" vertical="center" wrapText="1"/>
    </xf>
    <xf numFmtId="0" fontId="14" fillId="18" borderId="1" xfId="6" applyFont="1" applyFill="1" applyBorder="1" applyAlignment="1">
      <alignment horizontal="center" vertical="center"/>
    </xf>
    <xf numFmtId="0" fontId="17" fillId="18" borderId="1" xfId="0" applyFont="1" applyFill="1" applyBorder="1" applyAlignment="1">
      <alignment horizontal="center" vertical="center"/>
    </xf>
    <xf numFmtId="0" fontId="14" fillId="18" borderId="1" xfId="6" applyFont="1" applyFill="1" applyBorder="1" applyAlignment="1">
      <alignment horizontal="left" vertical="center"/>
    </xf>
    <xf numFmtId="0" fontId="17" fillId="18" borderId="1" xfId="0" applyFont="1" applyFill="1" applyBorder="1" applyAlignment="1">
      <alignment horizontal="center" vertical="center" wrapText="1"/>
    </xf>
    <xf numFmtId="0" fontId="14" fillId="18" borderId="1" xfId="6" applyFont="1" applyFill="1" applyBorder="1" applyAlignment="1">
      <alignment horizontal="left" vertical="center" wrapText="1"/>
    </xf>
    <xf numFmtId="0" fontId="14" fillId="21" borderId="1" xfId="6" applyFont="1" applyFill="1" applyBorder="1" applyAlignment="1">
      <alignment horizontal="center" vertical="center"/>
    </xf>
    <xf numFmtId="0" fontId="14" fillId="21" borderId="1" xfId="6" applyFont="1" applyFill="1" applyBorder="1" applyAlignment="1">
      <alignment horizontal="left" vertical="center" wrapText="1"/>
    </xf>
    <xf numFmtId="0" fontId="0" fillId="21" borderId="1" xfId="0" applyFill="1" applyBorder="1" applyAlignment="1">
      <alignment horizontal="center"/>
    </xf>
    <xf numFmtId="0" fontId="14" fillId="21" borderId="1" xfId="6" applyFont="1" applyFill="1" applyBorder="1" applyAlignment="1">
      <alignment horizontal="left" vertical="center"/>
    </xf>
    <xf numFmtId="0" fontId="17" fillId="21" borderId="1" xfId="0" applyFont="1" applyFill="1" applyBorder="1"/>
    <xf numFmtId="14" fontId="2" fillId="0" borderId="1" xfId="0" applyNumberFormat="1" applyFont="1" applyBorder="1" applyAlignment="1" applyProtection="1">
      <alignment horizontal="center" vertical="center" wrapText="1"/>
      <protection locked="0"/>
    </xf>
    <xf numFmtId="0" fontId="7" fillId="9" borderId="0" xfId="0" applyFont="1" applyFill="1" applyAlignment="1">
      <alignment horizontal="center" vertical="center"/>
    </xf>
    <xf numFmtId="0" fontId="0" fillId="0" borderId="1" xfId="0" applyBorder="1" applyAlignment="1">
      <alignment horizontal="center" vertical="top"/>
    </xf>
    <xf numFmtId="0" fontId="0" fillId="0" borderId="1" xfId="0" applyBorder="1" applyAlignment="1">
      <alignment horizontal="center" vertical="top" wrapText="1"/>
    </xf>
    <xf numFmtId="0" fontId="7" fillId="9" borderId="1" xfId="0" applyFont="1" applyFill="1" applyBorder="1" applyAlignment="1">
      <alignment vertical="center"/>
    </xf>
    <xf numFmtId="0" fontId="7" fillId="9" borderId="0" xfId="0" applyFont="1" applyFill="1" applyAlignment="1">
      <alignment vertical="center"/>
    </xf>
    <xf numFmtId="0" fontId="41" fillId="0" borderId="0" xfId="0" applyFont="1" applyAlignment="1">
      <alignment horizontal="left" vertical="center" indent="1"/>
    </xf>
    <xf numFmtId="0" fontId="42" fillId="0" borderId="0" xfId="0" applyFont="1" applyAlignment="1">
      <alignment horizontal="left" vertical="center" indent="15"/>
    </xf>
    <xf numFmtId="0" fontId="44" fillId="0" borderId="0" xfId="0" applyFont="1" applyAlignment="1">
      <alignment vertical="center"/>
    </xf>
    <xf numFmtId="0" fontId="45" fillId="0" borderId="37" xfId="0" applyFont="1" applyBorder="1" applyAlignment="1">
      <alignment vertical="center" wrapText="1"/>
    </xf>
    <xf numFmtId="0" fontId="45" fillId="0" borderId="38" xfId="0" applyFont="1" applyBorder="1" applyAlignment="1">
      <alignment vertical="center" wrapText="1"/>
    </xf>
    <xf numFmtId="0" fontId="45" fillId="0" borderId="0" xfId="0" applyFont="1" applyAlignment="1">
      <alignment vertical="center" wrapText="1"/>
    </xf>
    <xf numFmtId="0" fontId="46" fillId="0" borderId="39" xfId="0" applyFont="1" applyBorder="1" applyAlignment="1">
      <alignment vertical="center" wrapText="1"/>
    </xf>
    <xf numFmtId="0" fontId="47" fillId="0" borderId="40" xfId="0" applyFont="1" applyBorder="1" applyAlignment="1">
      <alignment vertical="center" wrapText="1"/>
    </xf>
    <xf numFmtId="0" fontId="46" fillId="0" borderId="40" xfId="0" applyFont="1" applyBorder="1" applyAlignment="1">
      <alignment vertical="center" wrapText="1"/>
    </xf>
    <xf numFmtId="0" fontId="47" fillId="0" borderId="0" xfId="0" applyFont="1" applyAlignment="1">
      <alignment vertical="center" wrapText="1"/>
    </xf>
    <xf numFmtId="0" fontId="48" fillId="0" borderId="0" xfId="0" applyFont="1" applyAlignment="1">
      <alignment horizontal="left" vertical="center" indent="15"/>
    </xf>
    <xf numFmtId="0" fontId="46" fillId="0" borderId="0" xfId="0" applyFont="1" applyAlignment="1">
      <alignment vertical="center" wrapText="1"/>
    </xf>
    <xf numFmtId="0" fontId="43" fillId="0" borderId="0" xfId="0" applyFont="1" applyAlignment="1">
      <alignment vertical="center"/>
    </xf>
    <xf numFmtId="0" fontId="43" fillId="0" borderId="0" xfId="0" applyFont="1" applyAlignment="1">
      <alignment horizontal="left" vertical="center" indent="15"/>
    </xf>
    <xf numFmtId="0" fontId="49" fillId="0" borderId="0" xfId="0" applyFont="1" applyAlignment="1">
      <alignment vertical="center"/>
    </xf>
    <xf numFmtId="0" fontId="46" fillId="0" borderId="0" xfId="0" applyFont="1" applyAlignment="1">
      <alignment vertical="center"/>
    </xf>
    <xf numFmtId="0" fontId="50" fillId="0" borderId="0" xfId="0" applyFont="1" applyAlignment="1">
      <alignment vertical="center"/>
    </xf>
    <xf numFmtId="0" fontId="39" fillId="0" borderId="0" xfId="15" applyAlignment="1">
      <alignment horizontal="left" vertical="center" indent="15"/>
    </xf>
    <xf numFmtId="0" fontId="52" fillId="0" borderId="0" xfId="0" applyFont="1" applyAlignment="1">
      <alignment vertical="center"/>
    </xf>
    <xf numFmtId="0" fontId="7" fillId="5" borderId="1" xfId="0" applyFont="1" applyFill="1" applyBorder="1"/>
    <xf numFmtId="0" fontId="53" fillId="0" borderId="1" xfId="0" applyFont="1" applyBorder="1"/>
    <xf numFmtId="0" fontId="54" fillId="0" borderId="1" xfId="0" applyFont="1" applyBorder="1" applyAlignment="1">
      <alignment horizontal="center"/>
    </xf>
    <xf numFmtId="0" fontId="54" fillId="0" borderId="1" xfId="0" applyFont="1" applyBorder="1" applyAlignment="1">
      <alignment horizontal="center" vertical="center"/>
    </xf>
    <xf numFmtId="0" fontId="0" fillId="9" borderId="0" xfId="0" applyFill="1"/>
    <xf numFmtId="0" fontId="0" fillId="0" borderId="14" xfId="0" applyBorder="1"/>
    <xf numFmtId="0" fontId="0" fillId="5" borderId="1" xfId="0" applyFill="1" applyBorder="1"/>
    <xf numFmtId="0" fontId="0" fillId="5" borderId="0" xfId="0" applyFill="1"/>
    <xf numFmtId="0" fontId="7" fillId="5" borderId="0" xfId="0" applyFont="1" applyFill="1"/>
    <xf numFmtId="0" fontId="0" fillId="0" borderId="3" xfId="0" applyBorder="1"/>
    <xf numFmtId="0" fontId="0" fillId="0" borderId="14" xfId="0" applyBorder="1" applyAlignment="1">
      <alignment horizontal="center" vertical="center"/>
    </xf>
    <xf numFmtId="0" fontId="0" fillId="22" borderId="12" xfId="0" applyFill="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xf>
    <xf numFmtId="0" fontId="0" fillId="0" borderId="4" xfId="0" applyBorder="1"/>
    <xf numFmtId="0" fontId="1" fillId="3" borderId="46" xfId="0" applyFont="1" applyFill="1" applyBorder="1" applyAlignment="1">
      <alignment horizontal="center" vertical="center" wrapText="1"/>
    </xf>
    <xf numFmtId="0" fontId="17" fillId="23" borderId="0" xfId="0" applyFont="1" applyFill="1" applyAlignment="1">
      <alignment horizontal="left"/>
    </xf>
    <xf numFmtId="0" fontId="17" fillId="23" borderId="0" xfId="0" applyFont="1" applyFill="1" applyAlignment="1">
      <alignment horizontal="center" vertical="center" wrapText="1"/>
    </xf>
    <xf numFmtId="0" fontId="17" fillId="23" borderId="0" xfId="0" applyFont="1" applyFill="1" applyAlignment="1">
      <alignment horizontal="center" vertical="center"/>
    </xf>
    <xf numFmtId="0" fontId="10" fillId="23" borderId="0" xfId="0" applyFont="1" applyFill="1" applyAlignment="1">
      <alignment horizontal="center" vertical="center"/>
    </xf>
    <xf numFmtId="0" fontId="10" fillId="23" borderId="1" xfId="0" applyFont="1" applyFill="1" applyBorder="1" applyAlignment="1">
      <alignment horizontal="center" wrapText="1"/>
    </xf>
    <xf numFmtId="0" fontId="0" fillId="7" borderId="1" xfId="0" applyFill="1" applyBorder="1" applyAlignment="1">
      <alignment horizontal="center" vertical="center"/>
    </xf>
    <xf numFmtId="0" fontId="18" fillId="0" borderId="1" xfId="0" applyFont="1" applyBorder="1" applyAlignment="1">
      <alignment vertical="center"/>
    </xf>
    <xf numFmtId="0" fontId="14" fillId="0" borderId="1" xfId="6" applyFont="1" applyBorder="1"/>
    <xf numFmtId="0" fontId="18" fillId="0" borderId="5" xfId="0" applyFont="1" applyBorder="1" applyAlignment="1">
      <alignment vertical="center"/>
    </xf>
    <xf numFmtId="0" fontId="18" fillId="0" borderId="2" xfId="0" applyFont="1" applyBorder="1" applyAlignment="1">
      <alignment vertical="center"/>
    </xf>
    <xf numFmtId="0" fontId="0" fillId="0" borderId="14" xfId="0" applyBorder="1" applyAlignment="1">
      <alignment horizontal="left"/>
    </xf>
    <xf numFmtId="0" fontId="0" fillId="0" borderId="1" xfId="0" applyBorder="1" applyAlignment="1">
      <alignment horizontal="left" vertical="top"/>
    </xf>
    <xf numFmtId="16" fontId="14" fillId="7" borderId="1" xfId="6" quotePrefix="1" applyNumberFormat="1" applyFont="1" applyFill="1" applyBorder="1" applyAlignment="1">
      <alignment horizontal="center" vertical="center"/>
    </xf>
    <xf numFmtId="0" fontId="14" fillId="7" borderId="1" xfId="6" applyFont="1" applyFill="1" applyBorder="1" applyAlignment="1">
      <alignment horizontal="left" vertical="center"/>
    </xf>
    <xf numFmtId="0" fontId="17" fillId="7" borderId="1" xfId="0" applyFont="1" applyFill="1" applyBorder="1" applyAlignment="1">
      <alignment horizontal="left"/>
    </xf>
    <xf numFmtId="0" fontId="17" fillId="7" borderId="1" xfId="0" applyFont="1" applyFill="1" applyBorder="1" applyAlignment="1">
      <alignment horizontal="center"/>
    </xf>
    <xf numFmtId="0" fontId="9" fillId="24" borderId="11" xfId="0" applyFont="1" applyFill="1" applyBorder="1" applyAlignment="1">
      <alignment horizontal="center" vertical="center" wrapText="1"/>
    </xf>
    <xf numFmtId="0" fontId="9" fillId="24" borderId="12" xfId="0" applyFont="1" applyFill="1" applyBorder="1" applyAlignment="1">
      <alignment horizontal="center" vertical="center" wrapText="1"/>
    </xf>
    <xf numFmtId="0" fontId="33" fillId="0" borderId="1" xfId="6" applyFont="1" applyBorder="1" applyAlignment="1">
      <alignment horizontal="center" vertical="center"/>
    </xf>
    <xf numFmtId="0" fontId="7" fillId="9" borderId="1" xfId="0" applyFont="1" applyFill="1" applyBorder="1"/>
    <xf numFmtId="0" fontId="7" fillId="9" borderId="3" xfId="0" applyFont="1" applyFill="1" applyBorder="1"/>
    <xf numFmtId="0" fontId="7" fillId="9" borderId="1" xfId="0" applyFont="1" applyFill="1" applyBorder="1" applyAlignment="1">
      <alignment horizontal="center" vertical="center"/>
    </xf>
    <xf numFmtId="0" fontId="0" fillId="25" borderId="1" xfId="0" applyFill="1" applyBorder="1"/>
    <xf numFmtId="0" fontId="36" fillId="26" borderId="1" xfId="0" applyFont="1" applyFill="1" applyBorder="1" applyAlignment="1">
      <alignment horizontal="center"/>
    </xf>
    <xf numFmtId="0" fontId="0" fillId="0" borderId="2" xfId="0" applyBorder="1" applyAlignment="1">
      <alignment horizontal="left" vertical="center"/>
    </xf>
    <xf numFmtId="0" fontId="0" fillId="27" borderId="12" xfId="0" applyFill="1" applyBorder="1"/>
    <xf numFmtId="0" fontId="0" fillId="0" borderId="1" xfId="0" applyBorder="1" applyAlignment="1">
      <alignment horizontal="left" indent="2"/>
    </xf>
    <xf numFmtId="0" fontId="0" fillId="17" borderId="1" xfId="0" applyFill="1" applyBorder="1" applyAlignment="1">
      <alignment horizontal="left" vertical="center"/>
    </xf>
    <xf numFmtId="0" fontId="0" fillId="17" borderId="4" xfId="0" applyFill="1" applyBorder="1"/>
    <xf numFmtId="0" fontId="0" fillId="27" borderId="4" xfId="0" applyFill="1" applyBorder="1"/>
    <xf numFmtId="0" fontId="0" fillId="0" borderId="1" xfId="0" applyBorder="1" applyAlignment="1">
      <alignment horizontal="left" vertical="center" indent="2"/>
    </xf>
    <xf numFmtId="0" fontId="0" fillId="17" borderId="1" xfId="0" applyFill="1" applyBorder="1" applyAlignment="1">
      <alignment horizontal="left" vertical="center" indent="2"/>
    </xf>
    <xf numFmtId="0" fontId="0" fillId="17" borderId="3" xfId="0" applyFill="1" applyBorder="1"/>
    <xf numFmtId="0" fontId="0" fillId="17" borderId="1" xfId="0" applyFill="1" applyBorder="1" applyAlignment="1">
      <alignment horizontal="left" indent="2"/>
    </xf>
    <xf numFmtId="0" fontId="0" fillId="27" borderId="3" xfId="0" applyFill="1" applyBorder="1"/>
    <xf numFmtId="0" fontId="0" fillId="9" borderId="1" xfId="0" applyFill="1" applyBorder="1" applyAlignment="1">
      <alignment horizontal="left" indent="2"/>
    </xf>
    <xf numFmtId="0" fontId="0" fillId="9" borderId="3" xfId="0" applyFill="1" applyBorder="1"/>
    <xf numFmtId="0" fontId="14" fillId="28" borderId="1" xfId="6" applyFont="1" applyFill="1" applyBorder="1" applyAlignment="1">
      <alignment horizontal="center" vertical="center"/>
    </xf>
    <xf numFmtId="0" fontId="17" fillId="7" borderId="1" xfId="0" applyFont="1" applyFill="1" applyBorder="1" applyAlignment="1">
      <alignment horizontal="center" vertical="center" wrapText="1"/>
    </xf>
    <xf numFmtId="0" fontId="17" fillId="7" borderId="1" xfId="0" applyFont="1" applyFill="1" applyBorder="1" applyAlignment="1">
      <alignment horizontal="center" vertical="center"/>
    </xf>
    <xf numFmtId="0" fontId="0" fillId="7" borderId="1" xfId="0" applyFill="1" applyBorder="1" applyAlignment="1">
      <alignment horizontal="left"/>
    </xf>
    <xf numFmtId="0" fontId="18" fillId="7" borderId="1" xfId="0" applyFont="1" applyFill="1" applyBorder="1" applyAlignment="1">
      <alignment vertical="center"/>
    </xf>
    <xf numFmtId="0" fontId="14" fillId="7" borderId="1" xfId="6" applyFont="1" applyFill="1" applyBorder="1"/>
    <xf numFmtId="0" fontId="0" fillId="7" borderId="5" xfId="0" applyFill="1" applyBorder="1" applyAlignment="1">
      <alignment horizontal="left" vertical="top"/>
    </xf>
    <xf numFmtId="0" fontId="0" fillId="7" borderId="1" xfId="0" applyFill="1" applyBorder="1" applyAlignment="1">
      <alignment horizontal="left" vertical="top"/>
    </xf>
    <xf numFmtId="0" fontId="18" fillId="7" borderId="1" xfId="0" applyFont="1" applyFill="1" applyBorder="1" applyAlignment="1">
      <alignment horizontal="center" vertical="top"/>
    </xf>
    <xf numFmtId="0" fontId="0" fillId="7" borderId="1" xfId="0" applyFill="1" applyBorder="1" applyAlignment="1">
      <alignment horizontal="center" vertical="top"/>
    </xf>
    <xf numFmtId="0" fontId="14" fillId="7" borderId="1" xfId="6" applyFont="1" applyFill="1" applyBorder="1" applyAlignment="1">
      <alignment horizontal="center" vertical="top"/>
    </xf>
    <xf numFmtId="0" fontId="0" fillId="28" borderId="3" xfId="0" applyFill="1" applyBorder="1"/>
    <xf numFmtId="0" fontId="0" fillId="0" borderId="51" xfId="0" applyBorder="1"/>
    <xf numFmtId="0" fontId="0" fillId="0" borderId="52" xfId="0" applyBorder="1"/>
    <xf numFmtId="0" fontId="0" fillId="0" borderId="53" xfId="0" applyBorder="1"/>
    <xf numFmtId="0" fontId="0" fillId="0" borderId="54" xfId="0" applyBorder="1"/>
    <xf numFmtId="0" fontId="7" fillId="9" borderId="50" xfId="0" applyFont="1" applyFill="1" applyBorder="1"/>
    <xf numFmtId="0" fontId="7" fillId="9" borderId="49" xfId="0" applyFont="1" applyFill="1" applyBorder="1"/>
    <xf numFmtId="0" fontId="0" fillId="28" borderId="4" xfId="0" applyFill="1" applyBorder="1"/>
    <xf numFmtId="0" fontId="0" fillId="28" borderId="1" xfId="0" applyFill="1" applyBorder="1" applyAlignment="1">
      <alignment horizontal="left" indent="2"/>
    </xf>
    <xf numFmtId="0" fontId="0" fillId="7" borderId="0" xfId="0" applyFill="1" applyAlignment="1">
      <alignment wrapText="1"/>
    </xf>
    <xf numFmtId="0" fontId="0" fillId="20" borderId="1" xfId="0" applyFill="1" applyBorder="1" applyAlignment="1">
      <alignment horizontal="left" vertical="top"/>
    </xf>
    <xf numFmtId="0" fontId="18" fillId="20" borderId="1" xfId="0" applyFont="1" applyFill="1" applyBorder="1" applyAlignment="1">
      <alignment horizontal="center" vertical="top"/>
    </xf>
    <xf numFmtId="0" fontId="0" fillId="20" borderId="1" xfId="0" applyFill="1" applyBorder="1" applyAlignment="1">
      <alignment horizontal="center" vertical="top"/>
    </xf>
    <xf numFmtId="0" fontId="14" fillId="20" borderId="1" xfId="6" applyFont="1" applyFill="1" applyBorder="1" applyAlignment="1">
      <alignment horizontal="center" vertical="top"/>
    </xf>
    <xf numFmtId="0" fontId="0" fillId="20" borderId="1" xfId="0" applyFill="1" applyBorder="1" applyAlignment="1">
      <alignment horizontal="center" vertical="top" wrapText="1"/>
    </xf>
    <xf numFmtId="0" fontId="18" fillId="9" borderId="1" xfId="0" applyFont="1" applyFill="1" applyBorder="1" applyAlignment="1">
      <alignment vertical="center"/>
    </xf>
    <xf numFmtId="0" fontId="14" fillId="9" borderId="1" xfId="6" applyFont="1" applyFill="1" applyBorder="1"/>
    <xf numFmtId="0" fontId="14" fillId="0" borderId="3" xfId="6" applyFont="1" applyBorder="1" applyAlignment="1">
      <alignment horizontal="center" vertical="center"/>
    </xf>
    <xf numFmtId="0" fontId="0" fillId="29" borderId="1" xfId="0" applyFill="1" applyBorder="1" applyAlignment="1">
      <alignment horizontal="left" vertical="top"/>
    </xf>
    <xf numFmtId="0" fontId="14" fillId="0" borderId="3" xfId="6" applyFont="1" applyBorder="1" applyAlignment="1">
      <alignment horizontal="center" vertical="center" wrapText="1"/>
    </xf>
    <xf numFmtId="0" fontId="17" fillId="0" borderId="3" xfId="0" applyFont="1" applyBorder="1" applyAlignment="1">
      <alignment horizontal="center" vertical="center"/>
    </xf>
    <xf numFmtId="0" fontId="14" fillId="7" borderId="3" xfId="6" applyFont="1" applyFill="1" applyBorder="1" applyAlignment="1">
      <alignment horizontal="center" vertical="center"/>
    </xf>
    <xf numFmtId="0" fontId="0" fillId="20" borderId="3" xfId="0" applyFill="1" applyBorder="1" applyAlignment="1">
      <alignment horizontal="center" vertical="center"/>
    </xf>
    <xf numFmtId="0" fontId="0" fillId="20" borderId="3" xfId="0" applyFill="1" applyBorder="1" applyAlignment="1">
      <alignment horizontal="center" vertical="center" wrapText="1"/>
    </xf>
    <xf numFmtId="0" fontId="14" fillId="30" borderId="1" xfId="6" applyFont="1" applyFill="1" applyBorder="1" applyAlignment="1">
      <alignment horizontal="center" vertical="center"/>
    </xf>
    <xf numFmtId="0" fontId="10" fillId="23" borderId="0" xfId="0" applyFont="1" applyFill="1" applyAlignment="1">
      <alignment horizontal="center" vertical="center" wrapText="1"/>
    </xf>
    <xf numFmtId="0" fontId="0" fillId="30" borderId="1" xfId="0" applyFill="1" applyBorder="1" applyAlignment="1">
      <alignment horizontal="left"/>
    </xf>
    <xf numFmtId="0" fontId="0" fillId="30" borderId="1" xfId="0" applyFill="1" applyBorder="1" applyAlignment="1">
      <alignment horizontal="center" vertical="center"/>
    </xf>
    <xf numFmtId="0" fontId="14" fillId="30" borderId="1" xfId="6" applyFont="1" applyFill="1" applyBorder="1" applyAlignment="1">
      <alignment horizontal="center" vertical="center" wrapText="1"/>
    </xf>
    <xf numFmtId="0" fontId="0" fillId="7" borderId="3" xfId="0" applyFill="1" applyBorder="1" applyAlignment="1">
      <alignment horizontal="center" vertical="center" wrapText="1"/>
    </xf>
    <xf numFmtId="0" fontId="7" fillId="9" borderId="3" xfId="0" applyFont="1" applyFill="1" applyBorder="1" applyAlignment="1">
      <alignment horizontal="center" vertical="center"/>
    </xf>
    <xf numFmtId="0" fontId="0" fillId="0" borderId="55" xfId="0" applyBorder="1" applyAlignment="1">
      <alignment horizontal="center" vertical="center" wrapText="1"/>
    </xf>
    <xf numFmtId="0" fontId="0" fillId="7" borderId="3" xfId="0" applyFill="1" applyBorder="1" applyAlignment="1">
      <alignment horizontal="center" vertical="center"/>
    </xf>
    <xf numFmtId="0" fontId="0" fillId="0" borderId="3" xfId="0" applyBorder="1" applyAlignment="1">
      <alignment horizontal="center" vertical="center" wrapText="1"/>
    </xf>
    <xf numFmtId="0" fontId="0" fillId="28" borderId="3" xfId="0" applyFill="1" applyBorder="1" applyAlignment="1">
      <alignment horizontal="center" vertical="center" wrapText="1"/>
    </xf>
    <xf numFmtId="0" fontId="0" fillId="30" borderId="3" xfId="0" applyFill="1" applyBorder="1" applyAlignment="1">
      <alignment horizontal="center" vertical="center" wrapText="1"/>
    </xf>
    <xf numFmtId="0" fontId="17" fillId="30" borderId="3" xfId="0" applyFont="1" applyFill="1" applyBorder="1" applyAlignment="1">
      <alignment horizontal="center" vertical="center" wrapText="1"/>
    </xf>
    <xf numFmtId="0" fontId="14" fillId="29" borderId="1" xfId="6" applyFont="1" applyFill="1" applyBorder="1" applyAlignment="1">
      <alignment horizontal="center" vertical="center"/>
    </xf>
    <xf numFmtId="0" fontId="14" fillId="29" borderId="1" xfId="6" applyFont="1" applyFill="1" applyBorder="1" applyAlignment="1">
      <alignment horizontal="left" vertical="center" wrapText="1"/>
    </xf>
    <xf numFmtId="0" fontId="14" fillId="5" borderId="1" xfId="6" applyFont="1" applyFill="1" applyBorder="1" applyAlignment="1">
      <alignment horizontal="center" vertical="center"/>
    </xf>
    <xf numFmtId="0" fontId="0" fillId="30" borderId="3" xfId="0" applyFill="1" applyBorder="1" applyAlignment="1">
      <alignment horizontal="center" vertical="top" wrapText="1"/>
    </xf>
    <xf numFmtId="0" fontId="0" fillId="30" borderId="1" xfId="0" applyFill="1" applyBorder="1" applyAlignment="1">
      <alignment horizontal="left" vertical="top" wrapText="1"/>
    </xf>
    <xf numFmtId="0" fontId="14" fillId="14" borderId="1" xfId="6" applyFont="1" applyFill="1" applyBorder="1" applyAlignment="1">
      <alignment horizontal="center" vertical="center" wrapText="1"/>
    </xf>
    <xf numFmtId="0" fontId="17" fillId="14" borderId="1" xfId="0" applyFont="1" applyFill="1" applyBorder="1" applyAlignment="1">
      <alignment horizontal="center" wrapText="1"/>
    </xf>
    <xf numFmtId="0" fontId="14" fillId="31" borderId="5" xfId="6" applyFont="1" applyFill="1" applyBorder="1" applyAlignment="1">
      <alignment horizontal="center" vertical="center"/>
    </xf>
    <xf numFmtId="0" fontId="14" fillId="31" borderId="1" xfId="6" applyFont="1" applyFill="1" applyBorder="1" applyAlignment="1">
      <alignment horizontal="center" vertical="center"/>
    </xf>
    <xf numFmtId="0" fontId="14" fillId="9" borderId="2" xfId="6" applyFont="1" applyFill="1" applyBorder="1" applyAlignment="1">
      <alignment horizontal="center" vertical="center"/>
    </xf>
    <xf numFmtId="0" fontId="32" fillId="0" borderId="31" xfId="0" applyFont="1" applyBorder="1" applyAlignment="1">
      <alignment vertical="center"/>
    </xf>
    <xf numFmtId="0" fontId="31" fillId="9" borderId="17" xfId="0" applyFont="1" applyFill="1" applyBorder="1" applyAlignment="1">
      <alignment horizontal="center" vertical="center"/>
    </xf>
    <xf numFmtId="0" fontId="31" fillId="9" borderId="19" xfId="0" applyFont="1" applyFill="1" applyBorder="1" applyAlignment="1">
      <alignment horizontal="center" vertical="center"/>
    </xf>
    <xf numFmtId="0" fontId="32" fillId="0" borderId="26" xfId="0" applyFont="1" applyBorder="1" applyAlignment="1">
      <alignment horizontal="center" vertical="center"/>
    </xf>
    <xf numFmtId="0" fontId="32" fillId="0" borderId="35" xfId="0" applyFont="1" applyBorder="1" applyAlignment="1">
      <alignment horizontal="center" vertical="center"/>
    </xf>
    <xf numFmtId="0" fontId="0" fillId="17" borderId="1" xfId="0" applyFill="1" applyBorder="1" applyAlignment="1">
      <alignment horizontal="center" vertical="center"/>
    </xf>
    <xf numFmtId="0" fontId="34" fillId="17" borderId="5" xfId="6" applyFont="1" applyFill="1" applyBorder="1" applyAlignment="1">
      <alignment horizontal="left" vertical="top" wrapText="1"/>
    </xf>
    <xf numFmtId="0" fontId="14" fillId="17" borderId="1" xfId="6" applyFont="1" applyFill="1" applyBorder="1" applyAlignment="1">
      <alignment horizontal="center" vertical="center"/>
    </xf>
    <xf numFmtId="16" fontId="14" fillId="17" borderId="1" xfId="6" quotePrefix="1" applyNumberFormat="1" applyFont="1" applyFill="1" applyBorder="1" applyAlignment="1">
      <alignment horizontal="center" vertical="center"/>
    </xf>
    <xf numFmtId="0" fontId="0" fillId="13" borderId="1" xfId="0" applyFill="1" applyBorder="1" applyAlignment="1">
      <alignment vertical="center"/>
    </xf>
    <xf numFmtId="0" fontId="7" fillId="13" borderId="1" xfId="0" applyFont="1" applyFill="1" applyBorder="1" applyAlignment="1">
      <alignment horizontal="center" vertical="center"/>
    </xf>
    <xf numFmtId="0" fontId="0" fillId="0" borderId="1" xfId="0" applyBorder="1" applyAlignment="1">
      <alignment horizontal="left" vertical="top" wrapText="1"/>
    </xf>
    <xf numFmtId="0" fontId="0" fillId="5" borderId="1" xfId="0" applyFill="1" applyBorder="1" applyAlignment="1">
      <alignment horizontal="center" vertical="top" wrapText="1"/>
    </xf>
    <xf numFmtId="0" fontId="14" fillId="5" borderId="2" xfId="6" applyFont="1" applyFill="1" applyBorder="1" applyAlignment="1">
      <alignment horizontal="center" vertical="center"/>
    </xf>
    <xf numFmtId="0" fontId="14" fillId="5" borderId="1" xfId="6" applyFont="1" applyFill="1" applyBorder="1" applyAlignment="1">
      <alignment horizontal="left" vertical="center" wrapText="1"/>
    </xf>
    <xf numFmtId="0" fontId="39" fillId="0" borderId="1" xfId="15" quotePrefix="1" applyBorder="1" applyAlignment="1">
      <alignment horizontal="center"/>
    </xf>
    <xf numFmtId="0" fontId="17" fillId="0" borderId="0" xfId="0" applyFont="1" applyAlignment="1">
      <alignment horizontal="left" vertical="center"/>
    </xf>
    <xf numFmtId="0" fontId="17" fillId="32" borderId="1" xfId="0" applyFont="1" applyFill="1" applyBorder="1" applyAlignment="1">
      <alignment horizontal="center" vertical="center" wrapText="1"/>
    </xf>
    <xf numFmtId="0" fontId="39" fillId="0" borderId="0" xfId="15" applyAlignment="1">
      <alignment horizontal="left"/>
    </xf>
    <xf numFmtId="0" fontId="14" fillId="32" borderId="1" xfId="6" applyFont="1" applyFill="1" applyBorder="1" applyAlignment="1">
      <alignment horizontal="center" vertical="center" wrapText="1"/>
    </xf>
    <xf numFmtId="2" fontId="2" fillId="0" borderId="14" xfId="0" applyNumberFormat="1" applyFont="1" applyBorder="1" applyAlignment="1" applyProtection="1">
      <alignment horizontal="center" vertical="center" wrapText="1"/>
      <protection locked="0"/>
    </xf>
    <xf numFmtId="15" fontId="2" fillId="0" borderId="14" xfId="0" applyNumberFormat="1" applyFont="1" applyBorder="1" applyAlignment="1" applyProtection="1">
      <alignment horizontal="center" vertical="center" wrapText="1"/>
      <protection locked="0"/>
    </xf>
    <xf numFmtId="0" fontId="2" fillId="0" borderId="14" xfId="0" applyFont="1" applyBorder="1" applyAlignment="1" applyProtection="1">
      <alignment horizontal="center" vertical="center" wrapText="1"/>
      <protection locked="0"/>
    </xf>
    <xf numFmtId="0" fontId="39" fillId="0" borderId="0" xfId="15" applyAlignment="1">
      <alignment horizontal="center"/>
    </xf>
    <xf numFmtId="0" fontId="33" fillId="9" borderId="1" xfId="6" applyFont="1" applyFill="1" applyBorder="1" applyAlignment="1">
      <alignment horizontal="center" vertical="center"/>
    </xf>
    <xf numFmtId="0" fontId="17" fillId="10" borderId="1" xfId="0" applyFont="1" applyFill="1" applyBorder="1" applyAlignment="1">
      <alignment horizontal="left" vertical="center" wrapText="1"/>
    </xf>
    <xf numFmtId="0" fontId="0" fillId="10" borderId="1" xfId="0" applyFill="1" applyBorder="1" applyAlignment="1">
      <alignment horizontal="center" vertical="center" wrapText="1"/>
    </xf>
    <xf numFmtId="0" fontId="17" fillId="10" borderId="1" xfId="0" applyFont="1" applyFill="1" applyBorder="1" applyAlignment="1">
      <alignment horizontal="center" vertical="center" wrapText="1"/>
    </xf>
    <xf numFmtId="0" fontId="17" fillId="10" borderId="1" xfId="0" quotePrefix="1" applyFont="1" applyFill="1" applyBorder="1" applyAlignment="1">
      <alignment horizontal="center" vertical="center" wrapText="1"/>
    </xf>
    <xf numFmtId="0" fontId="14" fillId="33" borderId="1" xfId="6" applyFont="1" applyFill="1" applyBorder="1" applyAlignment="1">
      <alignment horizontal="center" vertical="center"/>
    </xf>
    <xf numFmtId="46" fontId="7" fillId="6" borderId="0" xfId="0" applyNumberFormat="1" applyFont="1" applyFill="1" applyAlignment="1">
      <alignment horizontal="center" vertical="center"/>
    </xf>
    <xf numFmtId="0" fontId="14" fillId="0" borderId="3" xfId="6" applyFont="1" applyBorder="1" applyAlignment="1">
      <alignment horizontal="left" vertical="center" wrapText="1"/>
    </xf>
    <xf numFmtId="0" fontId="14" fillId="24" borderId="3" xfId="6" applyFont="1" applyFill="1" applyBorder="1" applyAlignment="1">
      <alignment horizontal="left" vertical="center" wrapText="1"/>
    </xf>
    <xf numFmtId="0" fontId="14" fillId="21" borderId="3" xfId="6" applyFont="1" applyFill="1" applyBorder="1" applyAlignment="1">
      <alignment horizontal="left" vertical="center" wrapText="1"/>
    </xf>
    <xf numFmtId="0" fontId="14" fillId="20" borderId="3" xfId="6" applyFont="1" applyFill="1" applyBorder="1" applyAlignment="1">
      <alignment horizontal="left" vertical="center" wrapText="1"/>
    </xf>
    <xf numFmtId="46" fontId="17" fillId="0" borderId="0" xfId="0" applyNumberFormat="1" applyFont="1"/>
    <xf numFmtId="46" fontId="17" fillId="0" borderId="1" xfId="0" applyNumberFormat="1" applyFont="1" applyBorder="1"/>
    <xf numFmtId="0" fontId="2" fillId="0" borderId="4" xfId="0" applyFont="1" applyBorder="1" applyAlignment="1" applyProtection="1">
      <alignment horizontal="center" vertical="center" wrapText="1"/>
      <protection locked="0"/>
    </xf>
    <xf numFmtId="14" fontId="2" fillId="0" borderId="4" xfId="0" applyNumberFormat="1" applyFont="1" applyBorder="1" applyAlignment="1" applyProtection="1">
      <alignment horizontal="center" vertical="center" wrapText="1"/>
      <protection locked="0"/>
    </xf>
    <xf numFmtId="0" fontId="2" fillId="0" borderId="4" xfId="0" applyFont="1" applyBorder="1" applyAlignment="1" applyProtection="1">
      <alignment vertical="top" wrapText="1"/>
      <protection locked="0"/>
    </xf>
    <xf numFmtId="0" fontId="14" fillId="26" borderId="1" xfId="6" applyFont="1" applyFill="1" applyBorder="1" applyAlignment="1">
      <alignment horizontal="center" vertical="center"/>
    </xf>
    <xf numFmtId="0" fontId="2" fillId="34" borderId="14" xfId="0" applyFont="1" applyFill="1" applyBorder="1" applyAlignment="1">
      <alignment horizontal="left" vertical="top" wrapText="1"/>
    </xf>
    <xf numFmtId="0" fontId="2" fillId="34" borderId="20" xfId="0" applyFont="1" applyFill="1" applyBorder="1" applyAlignment="1">
      <alignment horizontal="left" vertical="top" wrapText="1"/>
    </xf>
    <xf numFmtId="0" fontId="2" fillId="34" borderId="2" xfId="0" applyFont="1" applyFill="1" applyBorder="1" applyAlignment="1">
      <alignment horizontal="left" vertical="top" wrapText="1"/>
    </xf>
    <xf numFmtId="0" fontId="8" fillId="35" borderId="1" xfId="0" applyFont="1" applyFill="1" applyBorder="1" applyAlignment="1">
      <alignment horizontal="left" vertical="center"/>
    </xf>
    <xf numFmtId="0" fontId="8" fillId="35" borderId="1" xfId="0" applyFont="1" applyFill="1" applyBorder="1" applyAlignment="1">
      <alignment horizontal="center" vertical="center"/>
    </xf>
    <xf numFmtId="0" fontId="14" fillId="36" borderId="1" xfId="6" applyFont="1" applyFill="1" applyBorder="1" applyAlignment="1">
      <alignment horizontal="center" vertical="center"/>
    </xf>
    <xf numFmtId="0" fontId="54" fillId="0" borderId="0" xfId="0" applyFont="1" applyAlignment="1">
      <alignment horizontal="center"/>
    </xf>
    <xf numFmtId="0" fontId="45" fillId="37" borderId="0" xfId="0" applyFont="1" applyFill="1" applyAlignment="1">
      <alignment vertical="center" wrapText="1"/>
    </xf>
    <xf numFmtId="0" fontId="0" fillId="39" borderId="1" xfId="0" applyFill="1" applyBorder="1"/>
    <xf numFmtId="0" fontId="2" fillId="34" borderId="14" xfId="0" applyFont="1" applyFill="1" applyBorder="1" applyAlignment="1">
      <alignment horizontal="center" vertical="center" wrapText="1"/>
    </xf>
    <xf numFmtId="0" fontId="2" fillId="34" borderId="20" xfId="0" applyFont="1" applyFill="1" applyBorder="1" applyAlignment="1">
      <alignment horizontal="center" vertical="center" wrapText="1"/>
    </xf>
    <xf numFmtId="0" fontId="2" fillId="34" borderId="2" xfId="0" applyFont="1" applyFill="1" applyBorder="1" applyAlignment="1">
      <alignment horizontal="center" vertical="center" wrapText="1"/>
    </xf>
    <xf numFmtId="14" fontId="2" fillId="34" borderId="14" xfId="0" applyNumberFormat="1" applyFont="1" applyFill="1" applyBorder="1" applyAlignment="1">
      <alignment horizontal="center" vertical="center" wrapText="1"/>
    </xf>
    <xf numFmtId="14" fontId="2" fillId="34" borderId="20" xfId="0" applyNumberFormat="1" applyFont="1" applyFill="1" applyBorder="1" applyAlignment="1">
      <alignment horizontal="center" vertical="center" wrapText="1"/>
    </xf>
    <xf numFmtId="15" fontId="3" fillId="0" borderId="14" xfId="0" applyNumberFormat="1" applyFont="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2" fontId="3" fillId="0" borderId="14" xfId="0" applyNumberFormat="1" applyFont="1" applyBorder="1" applyAlignment="1" applyProtection="1">
      <alignment horizontal="center" vertical="center" wrapText="1"/>
      <protection locked="0"/>
    </xf>
    <xf numFmtId="2" fontId="3" fillId="0" borderId="2" xfId="0" applyNumberFormat="1" applyFont="1" applyBorder="1" applyAlignment="1" applyProtection="1">
      <alignment horizontal="center" vertical="center" wrapText="1"/>
      <protection locked="0"/>
    </xf>
    <xf numFmtId="0" fontId="3" fillId="0" borderId="14" xfId="0" applyFont="1" applyBorder="1" applyAlignment="1" applyProtection="1">
      <alignment horizontal="left" vertical="center" wrapText="1"/>
      <protection locked="0"/>
    </xf>
    <xf numFmtId="0" fontId="3" fillId="0" borderId="2" xfId="0" applyFont="1" applyBorder="1" applyAlignment="1" applyProtection="1">
      <alignment horizontal="left" vertical="center" wrapText="1"/>
      <protection locked="0"/>
    </xf>
    <xf numFmtId="0" fontId="6" fillId="2" borderId="3" xfId="0" applyFont="1" applyFill="1" applyBorder="1" applyAlignment="1" applyProtection="1">
      <alignment horizontal="center" vertical="top" wrapText="1"/>
      <protection locked="0"/>
    </xf>
    <xf numFmtId="0" fontId="2" fillId="2" borderId="5" xfId="0" applyFont="1" applyFill="1" applyBorder="1" applyAlignment="1" applyProtection="1">
      <alignment horizontal="center" vertical="top" wrapText="1"/>
      <protection locked="0"/>
    </xf>
    <xf numFmtId="0" fontId="3" fillId="0" borderId="9" xfId="0"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9" xfId="0" applyFont="1" applyBorder="1" applyAlignment="1" applyProtection="1">
      <alignment horizontal="center" vertical="top" wrapText="1"/>
      <protection locked="0"/>
    </xf>
    <xf numFmtId="0" fontId="3" fillId="0" borderId="0" xfId="0" applyFont="1" applyAlignment="1" applyProtection="1">
      <alignment horizontal="center" vertical="top" wrapText="1"/>
      <protection locked="0"/>
    </xf>
    <xf numFmtId="0" fontId="3" fillId="0" borderId="10" xfId="0" applyFont="1" applyBorder="1" applyAlignment="1" applyProtection="1">
      <alignment horizontal="center" vertical="top" wrapText="1"/>
      <protection locked="0"/>
    </xf>
    <xf numFmtId="0" fontId="4" fillId="0" borderId="9" xfId="0" applyFont="1" applyBorder="1" applyAlignment="1" applyProtection="1">
      <alignment horizontal="center" vertical="top" wrapText="1"/>
      <protection locked="0"/>
    </xf>
    <xf numFmtId="0" fontId="4" fillId="0" borderId="0" xfId="0" applyFont="1" applyAlignment="1" applyProtection="1">
      <alignment horizontal="center" vertical="top" wrapText="1"/>
      <protection locked="0"/>
    </xf>
    <xf numFmtId="0" fontId="4" fillId="0" borderId="10" xfId="0" applyFont="1" applyBorder="1" applyAlignment="1" applyProtection="1">
      <alignment horizontal="center" vertical="top" wrapText="1"/>
      <protection locked="0"/>
    </xf>
    <xf numFmtId="2" fontId="3" fillId="0" borderId="9" xfId="0" applyNumberFormat="1" applyFont="1" applyBorder="1" applyAlignment="1" applyProtection="1">
      <alignment horizontal="center" vertical="top" wrapText="1"/>
      <protection locked="0"/>
    </xf>
    <xf numFmtId="2" fontId="3" fillId="0" borderId="0" xfId="0" applyNumberFormat="1" applyFont="1" applyAlignment="1" applyProtection="1">
      <alignment horizontal="center" vertical="top" wrapText="1"/>
      <protection locked="0"/>
    </xf>
    <xf numFmtId="2" fontId="3" fillId="0" borderId="10" xfId="0" applyNumberFormat="1" applyFont="1" applyBorder="1" applyAlignment="1" applyProtection="1">
      <alignment horizontal="center" vertical="top" wrapText="1"/>
      <protection locked="0"/>
    </xf>
    <xf numFmtId="0" fontId="4" fillId="0" borderId="0" xfId="0" applyFont="1" applyAlignment="1" applyProtection="1">
      <alignment horizontal="left" vertical="top" wrapText="1"/>
      <protection locked="0"/>
    </xf>
    <xf numFmtId="0" fontId="0" fillId="0" borderId="1" xfId="0" applyBorder="1" applyAlignment="1">
      <alignment horizontal="center" vertical="center"/>
    </xf>
    <xf numFmtId="0" fontId="10" fillId="17" borderId="47" xfId="0" applyFont="1" applyFill="1" applyBorder="1" applyAlignment="1">
      <alignment horizontal="center" vertical="center"/>
    </xf>
    <xf numFmtId="0" fontId="10" fillId="17" borderId="12" xfId="0" applyFont="1" applyFill="1" applyBorder="1" applyAlignment="1">
      <alignment horizontal="center" vertical="center"/>
    </xf>
    <xf numFmtId="0" fontId="10" fillId="17" borderId="13" xfId="0" applyFont="1" applyFill="1" applyBorder="1" applyAlignment="1">
      <alignment horizontal="center" vertical="center"/>
    </xf>
    <xf numFmtId="0" fontId="10" fillId="17" borderId="48" xfId="0" applyFont="1" applyFill="1" applyBorder="1" applyAlignment="1">
      <alignment horizontal="center" vertical="center"/>
    </xf>
    <xf numFmtId="0" fontId="10" fillId="17" borderId="49" xfId="0" applyFont="1" applyFill="1" applyBorder="1" applyAlignment="1">
      <alignment horizontal="center" vertical="center"/>
    </xf>
    <xf numFmtId="0" fontId="36" fillId="26" borderId="1" xfId="0" applyFont="1" applyFill="1" applyBorder="1" applyAlignment="1">
      <alignment horizontal="center" vertical="center"/>
    </xf>
    <xf numFmtId="0" fontId="0" fillId="0" borderId="5" xfId="0"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vertical="center"/>
    </xf>
    <xf numFmtId="0" fontId="17" fillId="0" borderId="3" xfId="0" applyFont="1" applyBorder="1" applyAlignment="1">
      <alignment horizontal="center"/>
    </xf>
    <xf numFmtId="0" fontId="17" fillId="0" borderId="4" xfId="0" applyFont="1" applyBorder="1" applyAlignment="1">
      <alignment horizontal="center"/>
    </xf>
    <xf numFmtId="0" fontId="17" fillId="0" borderId="5" xfId="0" applyFont="1" applyBorder="1" applyAlignment="1">
      <alignment horizontal="center"/>
    </xf>
    <xf numFmtId="0" fontId="17" fillId="0" borderId="1" xfId="0" applyFont="1" applyBorder="1" applyAlignment="1">
      <alignment horizontal="left" vertical="center" wrapText="1"/>
    </xf>
    <xf numFmtId="0" fontId="17" fillId="32" borderId="1" xfId="0" applyFont="1" applyFill="1" applyBorder="1" applyAlignment="1">
      <alignment horizontal="center" vertical="center"/>
    </xf>
    <xf numFmtId="0" fontId="17" fillId="32" borderId="1" xfId="0" applyFont="1" applyFill="1" applyBorder="1" applyAlignment="1">
      <alignment horizontal="left" vertical="center" wrapText="1"/>
    </xf>
    <xf numFmtId="0" fontId="8" fillId="24" borderId="1" xfId="0" applyFont="1" applyFill="1" applyBorder="1" applyAlignment="1">
      <alignment horizontal="center"/>
    </xf>
    <xf numFmtId="0" fontId="9" fillId="24" borderId="11" xfId="0" applyFont="1" applyFill="1" applyBorder="1" applyAlignment="1">
      <alignment horizontal="center" vertical="center" wrapText="1"/>
    </xf>
    <xf numFmtId="0" fontId="9" fillId="24" borderId="12"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7" fillId="9" borderId="0" xfId="0" applyFont="1" applyFill="1" applyAlignment="1">
      <alignment horizontal="center" vertical="center"/>
    </xf>
    <xf numFmtId="0" fontId="0" fillId="0" borderId="3" xfId="0" applyBorder="1" applyAlignment="1">
      <alignment horizontal="left" vertical="top"/>
    </xf>
    <xf numFmtId="0" fontId="0" fillId="0" borderId="5" xfId="0" applyBorder="1" applyAlignment="1">
      <alignment horizontal="left" vertical="top"/>
    </xf>
    <xf numFmtId="0" fontId="46" fillId="0" borderId="41" xfId="0" applyFont="1" applyBorder="1" applyAlignment="1">
      <alignment vertical="center" wrapText="1"/>
    </xf>
    <xf numFmtId="0" fontId="46" fillId="0" borderId="42" xfId="0" applyFont="1" applyBorder="1" applyAlignment="1">
      <alignment vertical="center" wrapText="1"/>
    </xf>
    <xf numFmtId="0" fontId="46" fillId="0" borderId="43" xfId="0" applyFont="1" applyBorder="1" applyAlignment="1">
      <alignment vertical="center" wrapText="1"/>
    </xf>
    <xf numFmtId="0" fontId="46" fillId="0" borderId="40" xfId="0" applyFont="1" applyBorder="1" applyAlignment="1">
      <alignment vertical="center" wrapText="1"/>
    </xf>
    <xf numFmtId="0" fontId="39" fillId="0" borderId="44" xfId="15" applyBorder="1" applyAlignment="1">
      <alignment vertical="center" wrapText="1"/>
    </xf>
    <xf numFmtId="0" fontId="39" fillId="0" borderId="45" xfId="15" applyBorder="1" applyAlignment="1">
      <alignment vertical="center" wrapText="1"/>
    </xf>
    <xf numFmtId="0" fontId="39" fillId="0" borderId="38" xfId="15" applyBorder="1" applyAlignment="1">
      <alignment vertical="center" wrapText="1"/>
    </xf>
    <xf numFmtId="0" fontId="7" fillId="6" borderId="3"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10" fillId="18" borderId="1" xfId="0" applyFont="1" applyFill="1" applyBorder="1" applyAlignment="1">
      <alignment horizontal="center"/>
    </xf>
    <xf numFmtId="0" fontId="19" fillId="5" borderId="3" xfId="2" applyFont="1" applyFill="1" applyBorder="1" applyAlignment="1">
      <alignment horizontal="center" vertical="center"/>
    </xf>
    <xf numFmtId="0" fontId="19" fillId="5" borderId="4" xfId="2" applyFont="1" applyFill="1" applyBorder="1" applyAlignment="1">
      <alignment horizontal="center" vertical="center"/>
    </xf>
    <xf numFmtId="0" fontId="19" fillId="5" borderId="5" xfId="2" applyFont="1" applyFill="1" applyBorder="1" applyAlignment="1">
      <alignment horizontal="center" vertical="center"/>
    </xf>
    <xf numFmtId="0" fontId="10" fillId="4" borderId="1" xfId="0" applyFont="1" applyFill="1" applyBorder="1" applyAlignment="1">
      <alignment horizontal="center"/>
    </xf>
    <xf numFmtId="0" fontId="19" fillId="5" borderId="1" xfId="2" applyFont="1" applyFill="1" applyBorder="1" applyAlignment="1">
      <alignment horizontal="center" vertical="center"/>
    </xf>
    <xf numFmtId="0" fontId="10" fillId="4" borderId="3" xfId="0" applyFont="1" applyFill="1" applyBorder="1" applyAlignment="1">
      <alignment horizontal="center"/>
    </xf>
    <xf numFmtId="0" fontId="10" fillId="4" borderId="4" xfId="0" applyFont="1" applyFill="1" applyBorder="1" applyAlignment="1">
      <alignment horizontal="center"/>
    </xf>
    <xf numFmtId="0" fontId="10" fillId="4" borderId="5" xfId="0" applyFont="1" applyFill="1" applyBorder="1" applyAlignment="1">
      <alignment horizontal="center"/>
    </xf>
    <xf numFmtId="0" fontId="10" fillId="22" borderId="3" xfId="0" applyFont="1" applyFill="1" applyBorder="1" applyAlignment="1">
      <alignment horizontal="center"/>
    </xf>
    <xf numFmtId="0" fontId="10" fillId="22" borderId="4" xfId="0" applyFont="1" applyFill="1" applyBorder="1" applyAlignment="1">
      <alignment horizontal="center"/>
    </xf>
    <xf numFmtId="0" fontId="10" fillId="22" borderId="5" xfId="0" applyFont="1" applyFill="1" applyBorder="1" applyAlignment="1">
      <alignment horizontal="center"/>
    </xf>
    <xf numFmtId="0" fontId="10" fillId="21" borderId="1" xfId="0" applyFont="1" applyFill="1" applyBorder="1" applyAlignment="1">
      <alignment horizontal="center"/>
    </xf>
    <xf numFmtId="0" fontId="10" fillId="21" borderId="3" xfId="0" applyFont="1" applyFill="1" applyBorder="1" applyAlignment="1">
      <alignment horizontal="center" vertical="center"/>
    </xf>
    <xf numFmtId="0" fontId="10" fillId="21" borderId="4" xfId="0" applyFont="1" applyFill="1" applyBorder="1" applyAlignment="1">
      <alignment horizontal="center" vertical="center"/>
    </xf>
    <xf numFmtId="0" fontId="10" fillId="21" borderId="5"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5" xfId="0" applyFont="1" applyFill="1" applyBorder="1" applyAlignment="1">
      <alignment horizontal="center" vertical="center"/>
    </xf>
    <xf numFmtId="0" fontId="26" fillId="9"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36" fillId="0" borderId="1" xfId="0" applyFont="1" applyBorder="1" applyAlignment="1">
      <alignment horizontal="center" vertical="center" wrapText="1"/>
    </xf>
    <xf numFmtId="0" fontId="17" fillId="6" borderId="2" xfId="0" applyFont="1" applyFill="1" applyBorder="1" applyAlignment="1">
      <alignment horizontal="center"/>
    </xf>
    <xf numFmtId="0" fontId="17" fillId="6" borderId="1" xfId="0" applyFont="1" applyFill="1" applyBorder="1" applyAlignment="1">
      <alignment horizontal="center"/>
    </xf>
    <xf numFmtId="0" fontId="17" fillId="6" borderId="3" xfId="0" applyFont="1" applyFill="1" applyBorder="1" applyAlignment="1">
      <alignment horizontal="center"/>
    </xf>
    <xf numFmtId="0" fontId="17" fillId="5" borderId="1" xfId="0" applyFont="1" applyFill="1" applyBorder="1" applyAlignment="1">
      <alignment horizontal="center"/>
    </xf>
    <xf numFmtId="0" fontId="32" fillId="0" borderId="32" xfId="0" applyFont="1" applyBorder="1" applyAlignment="1">
      <alignment vertical="center"/>
    </xf>
    <xf numFmtId="0" fontId="32" fillId="0" borderId="31" xfId="0" applyFont="1" applyBorder="1" applyAlignment="1">
      <alignment vertical="center"/>
    </xf>
    <xf numFmtId="0" fontId="32" fillId="0" borderId="30" xfId="0" applyFont="1" applyBorder="1" applyAlignment="1">
      <alignment vertical="center"/>
    </xf>
    <xf numFmtId="0" fontId="32" fillId="0" borderId="33" xfId="0" applyFont="1" applyBorder="1" applyAlignment="1">
      <alignment vertical="center"/>
    </xf>
    <xf numFmtId="0" fontId="32" fillId="0" borderId="18" xfId="0" applyFont="1" applyBorder="1" applyAlignment="1">
      <alignment vertical="center"/>
    </xf>
    <xf numFmtId="0" fontId="9" fillId="4" borderId="1" xfId="0" applyFont="1" applyFill="1" applyBorder="1" applyAlignment="1">
      <alignment horizontal="center"/>
    </xf>
    <xf numFmtId="0" fontId="9" fillId="4" borderId="24" xfId="0" applyFont="1" applyFill="1" applyBorder="1" applyAlignment="1">
      <alignment horizontal="center"/>
    </xf>
    <xf numFmtId="0" fontId="9" fillId="4" borderId="23" xfId="0" applyFont="1" applyFill="1" applyBorder="1" applyAlignment="1">
      <alignment horizontal="center"/>
    </xf>
    <xf numFmtId="0" fontId="9" fillId="4" borderId="25" xfId="0" applyFont="1" applyFill="1" applyBorder="1" applyAlignment="1">
      <alignment horizontal="center"/>
    </xf>
    <xf numFmtId="0" fontId="17" fillId="6" borderId="4" xfId="0" applyFont="1" applyFill="1" applyBorder="1" applyAlignment="1">
      <alignment horizontal="center"/>
    </xf>
    <xf numFmtId="0" fontId="17" fillId="6" borderId="5" xfId="0" applyFont="1" applyFill="1" applyBorder="1" applyAlignment="1">
      <alignment horizontal="center"/>
    </xf>
    <xf numFmtId="0" fontId="17" fillId="38" borderId="3" xfId="0" applyFont="1" applyFill="1" applyBorder="1" applyAlignment="1">
      <alignment horizontal="center"/>
    </xf>
    <xf numFmtId="0" fontId="17" fillId="38" borderId="4" xfId="0" applyFont="1" applyFill="1" applyBorder="1" applyAlignment="1">
      <alignment horizontal="center"/>
    </xf>
    <xf numFmtId="0" fontId="17" fillId="38" borderId="5" xfId="0" applyFont="1" applyFill="1" applyBorder="1" applyAlignment="1">
      <alignment horizontal="center"/>
    </xf>
    <xf numFmtId="0" fontId="17" fillId="24" borderId="3" xfId="0" applyFont="1" applyFill="1" applyBorder="1" applyAlignment="1">
      <alignment horizontal="center"/>
    </xf>
    <xf numFmtId="0" fontId="17" fillId="24" borderId="4" xfId="0" applyFont="1" applyFill="1" applyBorder="1" applyAlignment="1">
      <alignment horizontal="center"/>
    </xf>
    <xf numFmtId="0" fontId="17" fillId="24" borderId="5" xfId="0" applyFont="1" applyFill="1" applyBorder="1" applyAlignment="1">
      <alignment horizontal="center"/>
    </xf>
    <xf numFmtId="0" fontId="14" fillId="0" borderId="3" xfId="6" applyFont="1" applyBorder="1" applyAlignment="1">
      <alignment horizontal="center" vertical="center"/>
    </xf>
    <xf numFmtId="0" fontId="14" fillId="0" borderId="5" xfId="6" applyFont="1" applyBorder="1" applyAlignment="1">
      <alignment horizontal="center" vertical="center"/>
    </xf>
    <xf numFmtId="0" fontId="17" fillId="24" borderId="7" xfId="0" applyFont="1" applyFill="1" applyBorder="1" applyAlignment="1">
      <alignment horizontal="center"/>
    </xf>
    <xf numFmtId="0" fontId="17" fillId="24" borderId="8" xfId="0" applyFont="1" applyFill="1" applyBorder="1" applyAlignment="1">
      <alignment horizontal="center"/>
    </xf>
    <xf numFmtId="0" fontId="17" fillId="10" borderId="1" xfId="0" applyFont="1" applyFill="1" applyBorder="1" applyAlignment="1">
      <alignment horizontal="center"/>
    </xf>
    <xf numFmtId="0" fontId="17" fillId="10" borderId="3" xfId="0" applyFont="1" applyFill="1" applyBorder="1" applyAlignment="1">
      <alignment horizontal="center"/>
    </xf>
    <xf numFmtId="0" fontId="17" fillId="10" borderId="4" xfId="0" applyFont="1" applyFill="1" applyBorder="1" applyAlignment="1">
      <alignment horizontal="center"/>
    </xf>
    <xf numFmtId="0" fontId="17" fillId="10" borderId="5" xfId="0" applyFont="1" applyFill="1" applyBorder="1" applyAlignment="1">
      <alignment horizontal="center"/>
    </xf>
    <xf numFmtId="0" fontId="0" fillId="17" borderId="1" xfId="0" applyFill="1" applyBorder="1" applyAlignment="1">
      <alignment horizontal="center"/>
    </xf>
    <xf numFmtId="0" fontId="0" fillId="13" borderId="1" xfId="0" applyFill="1" applyBorder="1" applyAlignment="1">
      <alignment horizontal="center" vertical="center"/>
    </xf>
    <xf numFmtId="0" fontId="0" fillId="14" borderId="3" xfId="0" applyFill="1" applyBorder="1" applyAlignment="1">
      <alignment horizontal="center" vertical="center"/>
    </xf>
    <xf numFmtId="0" fontId="0" fillId="14" borderId="4" xfId="0" applyFill="1" applyBorder="1" applyAlignment="1">
      <alignment horizontal="center" vertical="center"/>
    </xf>
    <xf numFmtId="0" fontId="10" fillId="14" borderId="1" xfId="0" applyFont="1" applyFill="1" applyBorder="1" applyAlignment="1">
      <alignment horizontal="center"/>
    </xf>
    <xf numFmtId="0" fontId="10" fillId="14" borderId="3" xfId="0" applyFont="1" applyFill="1" applyBorder="1" applyAlignment="1">
      <alignment horizontal="center"/>
    </xf>
    <xf numFmtId="0" fontId="10" fillId="14" borderId="4" xfId="0" applyFont="1" applyFill="1" applyBorder="1" applyAlignment="1">
      <alignment horizontal="center"/>
    </xf>
    <xf numFmtId="0" fontId="10" fillId="14" borderId="5" xfId="0" applyFont="1" applyFill="1" applyBorder="1" applyAlignment="1">
      <alignment horizontal="center"/>
    </xf>
    <xf numFmtId="0" fontId="0" fillId="7" borderId="32" xfId="0" applyFill="1" applyBorder="1" applyAlignment="1">
      <alignment horizontal="center" vertical="center" wrapText="1"/>
    </xf>
    <xf numFmtId="0" fontId="0" fillId="7" borderId="31" xfId="0" applyFill="1" applyBorder="1" applyAlignment="1">
      <alignment horizontal="center" vertical="center" wrapText="1"/>
    </xf>
    <xf numFmtId="0" fontId="0" fillId="7" borderId="18" xfId="0" applyFill="1" applyBorder="1" applyAlignment="1">
      <alignment horizontal="center" vertical="center" wrapText="1"/>
    </xf>
    <xf numFmtId="0" fontId="0" fillId="7" borderId="10" xfId="0" applyFill="1" applyBorder="1" applyAlignment="1">
      <alignment horizontal="center" vertical="center" wrapText="1"/>
    </xf>
    <xf numFmtId="0" fontId="10" fillId="9" borderId="1" xfId="0" applyFont="1" applyFill="1" applyBorder="1" applyAlignment="1">
      <alignment horizontal="center"/>
    </xf>
    <xf numFmtId="0" fontId="10" fillId="9" borderId="3" xfId="0" applyFont="1" applyFill="1" applyBorder="1" applyAlignment="1">
      <alignment horizontal="center"/>
    </xf>
    <xf numFmtId="0" fontId="7" fillId="9" borderId="3" xfId="0" applyFont="1" applyFill="1" applyBorder="1" applyAlignment="1">
      <alignment horizontal="center"/>
    </xf>
    <xf numFmtId="0" fontId="7" fillId="9" borderId="4" xfId="0" applyFont="1" applyFill="1" applyBorder="1" applyAlignment="1">
      <alignment horizontal="center"/>
    </xf>
    <xf numFmtId="0" fontId="0" fillId="7" borderId="6" xfId="0" applyFill="1" applyBorder="1" applyAlignment="1">
      <alignment horizontal="center" vertical="center" wrapText="1"/>
    </xf>
    <xf numFmtId="0" fontId="0" fillId="7" borderId="9" xfId="0" applyFill="1" applyBorder="1" applyAlignment="1">
      <alignment horizontal="center" vertical="center" wrapText="1"/>
    </xf>
    <xf numFmtId="0" fontId="0" fillId="7" borderId="11" xfId="0" applyFill="1" applyBorder="1" applyAlignment="1">
      <alignment horizontal="center" vertical="center" wrapText="1"/>
    </xf>
  </cellXfs>
  <cellStyles count="16">
    <cellStyle name="Comma 2" xfId="4" xr:uid="{00000000-0005-0000-0000-000000000000}"/>
    <cellStyle name="Comma 2 2" xfId="13" xr:uid="{00000000-0005-0000-0000-000001000000}"/>
    <cellStyle name="Hyperlink" xfId="15" builtinId="8"/>
    <cellStyle name="Normal" xfId="0" builtinId="0"/>
    <cellStyle name="Normal 2" xfId="2" xr:uid="{00000000-0005-0000-0000-000003000000}"/>
    <cellStyle name="Normal 3" xfId="1" xr:uid="{00000000-0005-0000-0000-000004000000}"/>
    <cellStyle name="Normal 3 2" xfId="5" xr:uid="{00000000-0005-0000-0000-000005000000}"/>
    <cellStyle name="Normal 4" xfId="3" xr:uid="{00000000-0005-0000-0000-000006000000}"/>
    <cellStyle name="Normal 4 2" xfId="7" xr:uid="{00000000-0005-0000-0000-000007000000}"/>
    <cellStyle name="Normal 4 3" xfId="9" xr:uid="{00000000-0005-0000-0000-000008000000}"/>
    <cellStyle name="Normal 4 4" xfId="8" xr:uid="{00000000-0005-0000-0000-000009000000}"/>
    <cellStyle name="Normal 4 5" xfId="10" xr:uid="{00000000-0005-0000-0000-00000A000000}"/>
    <cellStyle name="Normal 4 6" xfId="11" xr:uid="{00000000-0005-0000-0000-00000B000000}"/>
    <cellStyle name="Normal 4 7" xfId="12" xr:uid="{00000000-0005-0000-0000-00000C000000}"/>
    <cellStyle name="Normal 5" xfId="14" xr:uid="{00000000-0005-0000-0000-00000D000000}"/>
    <cellStyle name="TableStyleLight1" xfId="6" xr:uid="{00000000-0005-0000-0000-00000E000000}"/>
  </cellStyles>
  <dxfs count="1235">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s>
  <tableStyles count="0" defaultTableStyle="TableStyleMedium9" defaultPivotStyle="PivotStyleLight16"/>
  <colors>
    <mruColors>
      <color rgb="FF00FFFF"/>
      <color rgb="FFFF99CC"/>
      <color rgb="FFCC66FF"/>
      <color rgb="FF00CC00"/>
      <color rgb="FF99FFCC"/>
      <color rgb="FFFFCCFF"/>
      <color rgb="FF66FF99"/>
      <color rgb="FFFF0066"/>
      <color rgb="FF6252DA"/>
      <color rgb="FF3D2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microsoft.com/office/2017/10/relationships/person" Target="persons/person.xml"/><Relationship Id="rId35" Type="http://schemas.openxmlformats.org/officeDocument/2006/relationships/customXml" Target="../customXml/item4.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person displayName="Vipin Mishra" id="{2EB4B42A-6C93-460E-ADBA-3A85ED77E28D}" userId="S::SESA584623@se.com::ab1bf9d6-8259-4052-90e1-ffab30e2cc2e" providerId="AD"/>
  <person displayName="Vrund Rana" id="{C2B290B4-839A-48B2-8DA2-C59D99AFF1AC}" userId="S::SESA586038@se.com::a43667d2-cef7-42b9-bd48-566e578526f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25" dT="2023-09-05T03:59:53.10" personId="{C2B290B4-839A-48B2-8DA2-C59D99AFF1AC}" id="{2F8AB6F4-BCE1-4A4F-A5EA-593705467695}">
    <text>Reference:
bit 0: Clear all command
Clear all parameters, except:
-Motor LO1 closings count
-Motor LO2 closings count
-Controller internal temperature max
-Thermal capacity level
bit 1: Reserved
bit 2: Clear thermal capacity level command
bit 3: Clear controller settings command
bit 4: Clear network port settings command
bit 5: Clear Trip counter command
bit 6: Factory reset command
bit 7: Soft starter reset command
bits 8-12: Reserved
bit 13: Store reference start curve command
bit 14: Clear trip records command
bit 15: Clear event records command</text>
  </threadedComment>
</ThreadedComments>
</file>

<file path=xl/threadedComments/threadedComment2.xml><?xml version="1.0" encoding="utf-8"?>
<ThreadedComments xmlns="http://schemas.microsoft.com/office/spreadsheetml/2018/threadedcomments" xmlns:x="http://schemas.openxmlformats.org/spreadsheetml/2006/main">
  <threadedComment ref="T7" dT="2024-09-16T05:04:08.69" personId="{C2B290B4-839A-48B2-8DA2-C59D99AFF1AC}" id="{B69FCC8A-8A6A-4791-A4CD-B806F5926691}">
    <text>for LTMTEFM and LTMTEBD only Mobus TCP and EIP applicable</text>
  </threadedComment>
  <threadedComment ref="B32" dT="2022-05-12T09:41:00.94" personId="{2EB4B42A-6C93-460E-ADBA-3A85ED77E28D}" id="{09987C01-2417-4777-83CB-06C033C17F39}">
    <text>0 -  Disable
1 -  Enable</text>
  </threadedComment>
  <threadedComment ref="B33" dT="2022-05-12T07:05:25.75" personId="{2EB4B42A-6C93-460E-ADBA-3A85ED77E28D}" id="{61333057-88AF-4EE5-9C5D-D12D084DE4E1}">
    <text>0 - V2
1 - V3</text>
  </threadedComment>
  <threadedComment ref="B35" dT="2022-05-12T07:08:10.58" personId="{2EB4B42A-6C93-460E-ADBA-3A85ED77E28D}" id="{149F0F3C-2CD4-42EA-9A97-466BAF0EB6C6}">
    <text>0 - MD5
1 - SHA</text>
  </threadedComment>
  <threadedComment ref="B37" dT="2022-05-12T07:08:35.80" personId="{2EB4B42A-6C93-460E-ADBA-3A85ED77E28D}" id="{7DA37B4E-FD8D-4D55-95E2-807F6FC06606}">
    <text>0 - DES
1 - AES</text>
  </threadedComment>
  <threadedComment ref="B38" dT="2022-05-12T08:07:36.17" personId="{2EB4B42A-6C93-460E-ADBA-3A85ED77E28D}" id="{F886B71E-248A-4EB8-A9A2-CBECED176D58}">
    <text>0- Disable
1- Enable</text>
  </threadedComment>
  <threadedComment ref="B39" dT="2022-05-12T08:07:51.73" personId="{2EB4B42A-6C93-460E-ADBA-3A85ED77E28D}" id="{89850492-5953-492C-B7C7-E90FE647E04C}">
    <text>0- Disable
1- Enable</text>
  </threadedComment>
  <threadedComment ref="B52" dT="2022-05-12T09:41:00.94" personId="{2EB4B42A-6C93-460E-ADBA-3A85ED77E28D}" id="{B2B8DE24-EA64-49A0-879A-E9DC02C5F85D}">
    <text>0 -  Disable
1 -  Enable</text>
  </threadedComment>
  <threadedComment ref="B57" dT="2022-05-13T03:46:04.98" personId="{2EB4B42A-6C93-460E-ADBA-3A85ED77E28D}" id="{011A2038-D849-4669-98CC-17CB3EB8A82E}">
    <text>0 - OFF
1 - -ON</text>
  </threadedComment>
  <threadedComment ref="B58" dT="2022-05-13T03:46:27.63" personId="{2EB4B42A-6C93-460E-ADBA-3A85ED77E28D}" id="{D5302779-3237-4747-9AF8-6F4FDCDA98EC}">
    <text>0 -  Disable
1 -  Enable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T83"/>
  <sheetViews>
    <sheetView topLeftCell="A75" zoomScale="90" zoomScaleNormal="90" workbookViewId="0">
      <selection activeCell="D87" sqref="D87"/>
    </sheetView>
  </sheetViews>
  <sheetFormatPr defaultColWidth="9.44140625" defaultRowHeight="13.2" x14ac:dyDescent="0.3"/>
  <cols>
    <col min="1" max="1" width="11.44140625" style="36" customWidth="1"/>
    <col min="2" max="2" width="16.44140625" style="36" customWidth="1"/>
    <col min="3" max="3" width="12.44140625" style="36" customWidth="1"/>
    <col min="4" max="4" width="75.44140625" style="1" customWidth="1"/>
    <col min="5" max="5" width="2.5546875" style="1" customWidth="1"/>
    <col min="6" max="16384" width="9.44140625" style="1"/>
  </cols>
  <sheetData>
    <row r="2" spans="1:254" ht="15.6" x14ac:dyDescent="0.3">
      <c r="B2" s="37"/>
      <c r="C2" s="38"/>
      <c r="D2" s="2"/>
    </row>
    <row r="3" spans="1:254" ht="15.6" x14ac:dyDescent="0.3">
      <c r="B3" s="425" t="s">
        <v>0</v>
      </c>
      <c r="C3" s="426"/>
      <c r="D3" s="9">
        <v>45764</v>
      </c>
    </row>
    <row r="4" spans="1:254" ht="15.6" x14ac:dyDescent="0.3">
      <c r="B4" s="427"/>
      <c r="C4" s="428"/>
      <c r="D4" s="429"/>
    </row>
    <row r="5" spans="1:254" ht="15.6" x14ac:dyDescent="0.3">
      <c r="B5" s="430" t="s">
        <v>1</v>
      </c>
      <c r="C5" s="431"/>
      <c r="D5" s="432"/>
    </row>
    <row r="6" spans="1:254" ht="15.6" x14ac:dyDescent="0.3">
      <c r="B6" s="90"/>
      <c r="C6" s="91"/>
      <c r="D6" s="92"/>
    </row>
    <row r="7" spans="1:254" ht="15.6" x14ac:dyDescent="0.3">
      <c r="B7" s="90"/>
      <c r="C7" s="91"/>
      <c r="D7" s="92"/>
    </row>
    <row r="8" spans="1:254" ht="15.6" x14ac:dyDescent="0.3">
      <c r="B8" s="40" t="s">
        <v>2</v>
      </c>
      <c r="C8" s="39"/>
      <c r="D8" s="93"/>
    </row>
    <row r="9" spans="1:254" ht="15.6" x14ac:dyDescent="0.3">
      <c r="B9" s="433">
        <v>2.6</v>
      </c>
      <c r="C9" s="434"/>
      <c r="D9" s="435"/>
    </row>
    <row r="10" spans="1:254" ht="15.6" x14ac:dyDescent="0.3">
      <c r="B10" s="41"/>
      <c r="C10" s="42"/>
      <c r="D10" s="114"/>
    </row>
    <row r="11" spans="1:254" ht="15.6" x14ac:dyDescent="0.3">
      <c r="B11" s="43"/>
      <c r="C11" s="44"/>
      <c r="D11" s="3"/>
    </row>
    <row r="13" spans="1:254" ht="15.6" x14ac:dyDescent="0.3">
      <c r="A13" s="436" t="s">
        <v>3</v>
      </c>
      <c r="B13" s="436"/>
      <c r="C13" s="436"/>
      <c r="D13" s="436"/>
      <c r="E13" s="436"/>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row>
    <row r="15" spans="1:254" ht="44.25" customHeight="1" x14ac:dyDescent="0.3">
      <c r="A15" s="45" t="s">
        <v>4</v>
      </c>
      <c r="B15" s="45" t="s">
        <v>5</v>
      </c>
      <c r="C15" s="45" t="s">
        <v>6</v>
      </c>
      <c r="D15" s="423" t="s">
        <v>7</v>
      </c>
      <c r="E15" s="424"/>
      <c r="F15" s="5"/>
    </row>
    <row r="16" spans="1:254" x14ac:dyDescent="0.3">
      <c r="A16" s="419">
        <v>2</v>
      </c>
      <c r="B16" s="417">
        <v>44583</v>
      </c>
      <c r="C16" s="73" t="s">
        <v>8</v>
      </c>
      <c r="D16" s="421" t="s">
        <v>9</v>
      </c>
    </row>
    <row r="17" spans="1:4" ht="15.6" x14ac:dyDescent="0.3">
      <c r="A17" s="420"/>
      <c r="B17" s="418"/>
      <c r="C17" s="115">
        <v>44583</v>
      </c>
      <c r="D17" s="422"/>
    </row>
    <row r="18" spans="1:4" x14ac:dyDescent="0.3">
      <c r="A18" s="419">
        <v>2.0099999999999998</v>
      </c>
      <c r="B18" s="417">
        <v>44663</v>
      </c>
      <c r="C18" s="73" t="s">
        <v>10</v>
      </c>
      <c r="D18" s="421" t="s">
        <v>11</v>
      </c>
    </row>
    <row r="19" spans="1:4" ht="57.6" customHeight="1" x14ac:dyDescent="0.3">
      <c r="A19" s="420"/>
      <c r="B19" s="418"/>
      <c r="C19" s="115">
        <v>44663</v>
      </c>
      <c r="D19" s="422"/>
    </row>
    <row r="20" spans="1:4" ht="39.6" x14ac:dyDescent="0.3">
      <c r="A20" s="73">
        <v>2.02</v>
      </c>
      <c r="B20" s="143">
        <v>44677</v>
      </c>
      <c r="C20" s="73" t="s">
        <v>12</v>
      </c>
      <c r="D20" s="144" t="s">
        <v>13</v>
      </c>
    </row>
    <row r="21" spans="1:4" ht="118.8" x14ac:dyDescent="0.3">
      <c r="A21" s="73">
        <v>2.0299999999999998</v>
      </c>
      <c r="B21" s="143">
        <v>44700</v>
      </c>
      <c r="C21" s="73" t="s">
        <v>8</v>
      </c>
      <c r="D21" s="144" t="s">
        <v>14</v>
      </c>
    </row>
    <row r="22" spans="1:4" ht="39.6" x14ac:dyDescent="0.3">
      <c r="A22" s="73">
        <v>2.04</v>
      </c>
      <c r="B22" s="143">
        <v>44704</v>
      </c>
      <c r="C22" s="73" t="s">
        <v>15</v>
      </c>
      <c r="D22" s="144" t="s">
        <v>16</v>
      </c>
    </row>
    <row r="23" spans="1:4" ht="184.8" x14ac:dyDescent="0.3">
      <c r="A23" s="73">
        <v>2.0499999999999998</v>
      </c>
      <c r="B23" s="143">
        <v>44754</v>
      </c>
      <c r="C23" s="73" t="s">
        <v>8</v>
      </c>
      <c r="D23" s="144" t="s">
        <v>17</v>
      </c>
    </row>
    <row r="24" spans="1:4" ht="190.35" customHeight="1" x14ac:dyDescent="0.3">
      <c r="A24" s="73">
        <v>2.06</v>
      </c>
      <c r="B24" s="143">
        <v>44809</v>
      </c>
      <c r="C24" s="73" t="s">
        <v>12</v>
      </c>
      <c r="D24" s="144" t="s">
        <v>18</v>
      </c>
    </row>
    <row r="25" spans="1:4" ht="81.599999999999994" customHeight="1" x14ac:dyDescent="0.3">
      <c r="A25" s="73">
        <v>2.0699999999999998</v>
      </c>
      <c r="B25" s="143">
        <v>44836</v>
      </c>
      <c r="C25" s="73" t="s">
        <v>19</v>
      </c>
      <c r="D25" s="144" t="s">
        <v>20</v>
      </c>
    </row>
    <row r="26" spans="1:4" ht="250.8" x14ac:dyDescent="0.3">
      <c r="A26" s="73">
        <v>2.08</v>
      </c>
      <c r="B26" s="143">
        <v>44872</v>
      </c>
      <c r="C26" s="73" t="s">
        <v>19</v>
      </c>
      <c r="D26" s="144" t="s">
        <v>21</v>
      </c>
    </row>
    <row r="27" spans="1:4" ht="52.8" x14ac:dyDescent="0.3">
      <c r="A27" s="73">
        <v>2.09</v>
      </c>
      <c r="B27" s="143">
        <v>44880</v>
      </c>
      <c r="C27" s="73" t="s">
        <v>19</v>
      </c>
      <c r="D27" s="144" t="s">
        <v>22</v>
      </c>
    </row>
    <row r="28" spans="1:4" ht="79.2" x14ac:dyDescent="0.3">
      <c r="A28" s="73">
        <v>2.1</v>
      </c>
      <c r="B28" s="143">
        <v>44886</v>
      </c>
      <c r="C28" s="73" t="s">
        <v>23</v>
      </c>
      <c r="D28" s="144" t="s">
        <v>24</v>
      </c>
    </row>
    <row r="29" spans="1:4" ht="79.2" x14ac:dyDescent="0.3">
      <c r="A29" s="73">
        <v>2.11</v>
      </c>
      <c r="B29" s="143">
        <v>44902</v>
      </c>
      <c r="C29" s="73" t="s">
        <v>8</v>
      </c>
      <c r="D29" s="144" t="s">
        <v>25</v>
      </c>
    </row>
    <row r="30" spans="1:4" ht="26.4" x14ac:dyDescent="0.3">
      <c r="A30" s="73">
        <v>2.12</v>
      </c>
      <c r="B30" s="143">
        <v>44903</v>
      </c>
      <c r="C30" s="73" t="s">
        <v>26</v>
      </c>
      <c r="D30" s="144" t="s">
        <v>27</v>
      </c>
    </row>
    <row r="31" spans="1:4" ht="26.4" x14ac:dyDescent="0.3">
      <c r="A31" s="73">
        <v>2.13</v>
      </c>
      <c r="B31" s="143">
        <v>44957</v>
      </c>
      <c r="C31" s="73" t="s">
        <v>26</v>
      </c>
      <c r="D31" s="144" t="s">
        <v>28</v>
      </c>
    </row>
    <row r="32" spans="1:4" ht="171.6" customHeight="1" x14ac:dyDescent="0.3">
      <c r="A32" s="73">
        <v>2.14</v>
      </c>
      <c r="B32" s="143">
        <v>44975</v>
      </c>
      <c r="C32" s="73" t="s">
        <v>26</v>
      </c>
      <c r="D32" s="144" t="s">
        <v>29</v>
      </c>
    </row>
    <row r="33" spans="1:4" ht="52.8" x14ac:dyDescent="0.3">
      <c r="A33" s="73">
        <v>2.15</v>
      </c>
      <c r="B33" s="143">
        <v>44979</v>
      </c>
      <c r="C33" s="73" t="s">
        <v>8</v>
      </c>
      <c r="D33" s="144" t="s">
        <v>30</v>
      </c>
    </row>
    <row r="34" spans="1:4" ht="52.8" x14ac:dyDescent="0.3">
      <c r="A34" s="73">
        <v>2.16</v>
      </c>
      <c r="B34" s="143">
        <v>44993</v>
      </c>
      <c r="C34" s="73" t="s">
        <v>31</v>
      </c>
      <c r="D34" s="144" t="s">
        <v>32</v>
      </c>
    </row>
    <row r="35" spans="1:4" ht="19.5" customHeight="1" x14ac:dyDescent="0.3">
      <c r="A35" s="73">
        <v>2.17</v>
      </c>
      <c r="B35" s="143">
        <v>45021</v>
      </c>
      <c r="C35" s="73" t="s">
        <v>31</v>
      </c>
      <c r="D35" s="144" t="s">
        <v>33</v>
      </c>
    </row>
    <row r="36" spans="1:4" ht="290.39999999999998" x14ac:dyDescent="0.3">
      <c r="A36" s="73">
        <v>2.1800000000000002</v>
      </c>
      <c r="B36" s="143">
        <v>45051</v>
      </c>
      <c r="C36" s="73" t="s">
        <v>26</v>
      </c>
      <c r="D36" s="204" t="s">
        <v>34</v>
      </c>
    </row>
    <row r="37" spans="1:4" ht="118.8" x14ac:dyDescent="0.3">
      <c r="A37" s="73">
        <v>2.19</v>
      </c>
      <c r="B37" s="143">
        <v>45056</v>
      </c>
      <c r="C37" s="73" t="s">
        <v>26</v>
      </c>
      <c r="D37" s="204" t="s">
        <v>35</v>
      </c>
    </row>
    <row r="38" spans="1:4" ht="26.4" x14ac:dyDescent="0.3">
      <c r="A38" s="206">
        <v>2.2000000000000002</v>
      </c>
      <c r="B38" s="143">
        <v>45064</v>
      </c>
      <c r="C38" s="73" t="s">
        <v>26</v>
      </c>
      <c r="D38" s="204" t="s">
        <v>36</v>
      </c>
    </row>
    <row r="39" spans="1:4" ht="52.8" x14ac:dyDescent="0.3">
      <c r="A39" s="206">
        <v>2.21</v>
      </c>
      <c r="B39" s="143">
        <v>45106</v>
      </c>
      <c r="C39" s="73" t="s">
        <v>26</v>
      </c>
      <c r="D39" s="204" t="s">
        <v>37</v>
      </c>
    </row>
    <row r="40" spans="1:4" ht="112.8" customHeight="1" x14ac:dyDescent="0.3">
      <c r="A40" s="206">
        <v>2.2200000000000002</v>
      </c>
      <c r="B40" s="143">
        <v>45128</v>
      </c>
      <c r="C40" s="73" t="s">
        <v>26</v>
      </c>
      <c r="D40" s="204" t="s">
        <v>38</v>
      </c>
    </row>
    <row r="41" spans="1:4" ht="52.8" x14ac:dyDescent="0.3">
      <c r="A41" s="206">
        <v>2.23</v>
      </c>
      <c r="B41" s="143">
        <v>45168</v>
      </c>
      <c r="C41" s="73" t="s">
        <v>26</v>
      </c>
      <c r="D41" s="204" t="s">
        <v>39</v>
      </c>
    </row>
    <row r="42" spans="1:4" ht="52.8" x14ac:dyDescent="0.3">
      <c r="A42" s="206">
        <v>2.2400000000000002</v>
      </c>
      <c r="B42" s="143">
        <v>45180</v>
      </c>
      <c r="C42" s="73" t="s">
        <v>26</v>
      </c>
      <c r="D42" s="204" t="s">
        <v>40</v>
      </c>
    </row>
    <row r="43" spans="1:4" ht="132" x14ac:dyDescent="0.3">
      <c r="A43" s="206">
        <v>2.25</v>
      </c>
      <c r="B43" s="143">
        <v>45184</v>
      </c>
      <c r="C43" s="73" t="s">
        <v>26</v>
      </c>
      <c r="D43" s="204" t="s">
        <v>41</v>
      </c>
    </row>
    <row r="44" spans="1:4" ht="79.2" x14ac:dyDescent="0.3">
      <c r="A44" s="206">
        <v>2.2599999999999998</v>
      </c>
      <c r="B44" s="143">
        <v>45210</v>
      </c>
      <c r="C44" s="73" t="s">
        <v>8</v>
      </c>
      <c r="D44" s="204" t="s">
        <v>42</v>
      </c>
    </row>
    <row r="45" spans="1:4" ht="145.19999999999999" x14ac:dyDescent="0.3">
      <c r="A45" s="206">
        <v>2.27</v>
      </c>
      <c r="B45" s="143">
        <v>45293</v>
      </c>
      <c r="C45" s="73" t="s">
        <v>8</v>
      </c>
      <c r="D45" s="204" t="s">
        <v>43</v>
      </c>
    </row>
    <row r="46" spans="1:4" ht="39.6" x14ac:dyDescent="0.3">
      <c r="A46" s="206">
        <v>2.2799999999999998</v>
      </c>
      <c r="B46" s="143">
        <v>45302</v>
      </c>
      <c r="C46" s="73" t="s">
        <v>8</v>
      </c>
      <c r="D46" s="204" t="s">
        <v>44</v>
      </c>
    </row>
    <row r="47" spans="1:4" ht="79.2" x14ac:dyDescent="0.3">
      <c r="A47" s="206">
        <v>2.29</v>
      </c>
      <c r="B47" s="143">
        <v>45395</v>
      </c>
      <c r="C47" s="73" t="s">
        <v>8</v>
      </c>
      <c r="D47" s="204" t="s">
        <v>45</v>
      </c>
    </row>
    <row r="48" spans="1:4" ht="52.8" x14ac:dyDescent="0.3">
      <c r="A48" s="206">
        <v>2.2999999999999998</v>
      </c>
      <c r="B48" s="143">
        <v>45398</v>
      </c>
      <c r="C48" s="73" t="s">
        <v>8</v>
      </c>
      <c r="D48" s="204" t="s">
        <v>46</v>
      </c>
    </row>
    <row r="49" spans="1:4" ht="79.2" x14ac:dyDescent="0.3">
      <c r="A49" s="206">
        <v>2.31</v>
      </c>
      <c r="B49" s="143">
        <v>45405</v>
      </c>
      <c r="C49" s="73" t="s">
        <v>8</v>
      </c>
      <c r="D49" s="204" t="s">
        <v>47</v>
      </c>
    </row>
    <row r="50" spans="1:4" ht="66" x14ac:dyDescent="0.3">
      <c r="A50" s="206">
        <v>2.3199999999999998</v>
      </c>
      <c r="B50" s="143">
        <v>45440</v>
      </c>
      <c r="C50" s="73" t="s">
        <v>8</v>
      </c>
      <c r="D50" s="204" t="s">
        <v>48</v>
      </c>
    </row>
    <row r="51" spans="1:4" ht="26.4" x14ac:dyDescent="0.3">
      <c r="A51" s="206">
        <v>2.33</v>
      </c>
      <c r="B51" s="143">
        <v>45449</v>
      </c>
      <c r="C51" s="73" t="s">
        <v>8</v>
      </c>
      <c r="D51" s="204" t="s">
        <v>49</v>
      </c>
    </row>
    <row r="52" spans="1:4" ht="52.8" x14ac:dyDescent="0.3">
      <c r="A52" s="206">
        <v>2.34</v>
      </c>
      <c r="B52" s="143">
        <v>45455</v>
      </c>
      <c r="C52" s="73" t="s">
        <v>8</v>
      </c>
      <c r="D52" s="204" t="s">
        <v>50</v>
      </c>
    </row>
    <row r="53" spans="1:4" ht="224.4" x14ac:dyDescent="0.3">
      <c r="A53" s="206">
        <v>2.35</v>
      </c>
      <c r="B53" s="143">
        <v>45482</v>
      </c>
      <c r="C53" s="73" t="s">
        <v>26</v>
      </c>
      <c r="D53" s="204" t="s">
        <v>51</v>
      </c>
    </row>
    <row r="54" spans="1:4" ht="198" x14ac:dyDescent="0.3">
      <c r="A54" s="206">
        <v>2.36</v>
      </c>
      <c r="B54" s="143">
        <v>45485</v>
      </c>
      <c r="C54" s="73" t="s">
        <v>8</v>
      </c>
      <c r="D54" s="204" t="s">
        <v>52</v>
      </c>
    </row>
    <row r="55" spans="1:4" ht="52.8" x14ac:dyDescent="0.3">
      <c r="A55" s="206">
        <v>2.37</v>
      </c>
      <c r="B55" s="143">
        <v>45503</v>
      </c>
      <c r="C55" s="73" t="s">
        <v>8</v>
      </c>
      <c r="D55" s="204" t="s">
        <v>53</v>
      </c>
    </row>
    <row r="56" spans="1:4" ht="158.4" x14ac:dyDescent="0.3">
      <c r="A56" s="73">
        <v>2.38</v>
      </c>
      <c r="B56" s="226">
        <v>45506</v>
      </c>
      <c r="C56" s="73" t="s">
        <v>54</v>
      </c>
      <c r="D56" s="144" t="s">
        <v>55</v>
      </c>
    </row>
    <row r="57" spans="1:4" ht="26.4" x14ac:dyDescent="0.3">
      <c r="A57" s="206">
        <v>2.39</v>
      </c>
      <c r="B57" s="143">
        <v>45505</v>
      </c>
      <c r="C57" s="73" t="s">
        <v>8</v>
      </c>
      <c r="D57" s="204" t="s">
        <v>56</v>
      </c>
    </row>
    <row r="58" spans="1:4" ht="26.4" x14ac:dyDescent="0.3">
      <c r="A58" s="206">
        <v>2.4</v>
      </c>
      <c r="B58" s="143">
        <v>45520</v>
      </c>
      <c r="C58" s="73" t="s">
        <v>8</v>
      </c>
      <c r="D58" s="204" t="s">
        <v>57</v>
      </c>
    </row>
    <row r="59" spans="1:4" ht="26.4" x14ac:dyDescent="0.3">
      <c r="A59" s="206">
        <v>2.41</v>
      </c>
      <c r="B59" s="143">
        <v>45521</v>
      </c>
      <c r="C59" s="73" t="s">
        <v>8</v>
      </c>
      <c r="D59" s="204" t="s">
        <v>58</v>
      </c>
    </row>
    <row r="60" spans="1:4" ht="184.8" x14ac:dyDescent="0.3">
      <c r="A60" s="73">
        <v>2.42</v>
      </c>
      <c r="B60" s="143">
        <v>45544</v>
      </c>
      <c r="C60" s="73" t="s">
        <v>54</v>
      </c>
      <c r="D60" s="144" t="s">
        <v>59</v>
      </c>
    </row>
    <row r="61" spans="1:4" ht="224.4" x14ac:dyDescent="0.3">
      <c r="A61" s="73">
        <v>2.4300000000000002</v>
      </c>
      <c r="B61" s="143">
        <v>45544</v>
      </c>
      <c r="C61" s="73" t="s">
        <v>54</v>
      </c>
      <c r="D61" s="144" t="s">
        <v>60</v>
      </c>
    </row>
    <row r="62" spans="1:4" ht="26.4" x14ac:dyDescent="0.3">
      <c r="A62" s="73">
        <v>2.44</v>
      </c>
      <c r="B62" s="143">
        <v>45649</v>
      </c>
      <c r="C62" s="73" t="s">
        <v>54</v>
      </c>
      <c r="D62" s="144" t="s">
        <v>61</v>
      </c>
    </row>
    <row r="63" spans="1:4" ht="26.4" x14ac:dyDescent="0.3">
      <c r="A63" s="73">
        <v>2.4500000000000002</v>
      </c>
      <c r="B63" s="143">
        <v>45661</v>
      </c>
      <c r="C63" s="73" t="s">
        <v>54</v>
      </c>
      <c r="D63" s="144" t="s">
        <v>62</v>
      </c>
    </row>
    <row r="64" spans="1:4" ht="39.6" x14ac:dyDescent="0.3">
      <c r="A64" s="73">
        <v>2.46</v>
      </c>
      <c r="B64" s="143">
        <v>45681</v>
      </c>
      <c r="C64" s="73" t="s">
        <v>54</v>
      </c>
      <c r="D64" s="144" t="s">
        <v>63</v>
      </c>
    </row>
    <row r="65" spans="1:4" ht="105.6" x14ac:dyDescent="0.3">
      <c r="A65" s="73">
        <v>2.4700000000000002</v>
      </c>
      <c r="B65" s="143">
        <v>45719</v>
      </c>
      <c r="C65" s="73" t="s">
        <v>54</v>
      </c>
      <c r="D65" s="144" t="s">
        <v>64</v>
      </c>
    </row>
    <row r="66" spans="1:4" ht="39.6" x14ac:dyDescent="0.3">
      <c r="A66" s="73">
        <v>2.48</v>
      </c>
      <c r="B66" s="143">
        <v>45733</v>
      </c>
      <c r="C66" s="73" t="s">
        <v>54</v>
      </c>
      <c r="D66" s="144" t="s">
        <v>65</v>
      </c>
    </row>
    <row r="67" spans="1:4" ht="198" x14ac:dyDescent="0.3">
      <c r="A67" s="73">
        <v>2.4900000000000002</v>
      </c>
      <c r="B67" s="143">
        <v>45737</v>
      </c>
      <c r="C67" s="73" t="s">
        <v>54</v>
      </c>
      <c r="D67" s="144" t="s">
        <v>66</v>
      </c>
    </row>
    <row r="68" spans="1:4" ht="52.8" x14ac:dyDescent="0.3">
      <c r="A68" s="382">
        <v>2.5</v>
      </c>
      <c r="B68" s="383">
        <v>45791</v>
      </c>
      <c r="C68" s="384" t="s">
        <v>54</v>
      </c>
      <c r="D68" s="1" t="s">
        <v>67</v>
      </c>
    </row>
    <row r="69" spans="1:4" ht="66" x14ac:dyDescent="0.3">
      <c r="A69" s="206">
        <v>2.5099999999999998</v>
      </c>
      <c r="B69" s="143">
        <v>45798</v>
      </c>
      <c r="C69" s="73" t="s">
        <v>54</v>
      </c>
      <c r="D69" s="144" t="s">
        <v>68</v>
      </c>
    </row>
    <row r="70" spans="1:4" ht="26.4" x14ac:dyDescent="0.3">
      <c r="A70" s="206">
        <v>2.52</v>
      </c>
      <c r="B70" s="143">
        <v>45846</v>
      </c>
      <c r="C70" s="73" t="s">
        <v>54</v>
      </c>
      <c r="D70" s="144" t="s">
        <v>69</v>
      </c>
    </row>
    <row r="71" spans="1:4" ht="26.4" x14ac:dyDescent="0.3">
      <c r="A71" s="73">
        <v>2.5299999999999998</v>
      </c>
      <c r="B71" s="226">
        <v>45874</v>
      </c>
      <c r="C71" s="73" t="s">
        <v>54</v>
      </c>
      <c r="D71" s="144" t="s">
        <v>3829</v>
      </c>
    </row>
    <row r="72" spans="1:4" x14ac:dyDescent="0.3">
      <c r="A72" s="73">
        <v>2.54</v>
      </c>
      <c r="B72" s="226">
        <v>45895</v>
      </c>
      <c r="C72" s="73" t="s">
        <v>54</v>
      </c>
      <c r="D72" s="144" t="s">
        <v>3830</v>
      </c>
    </row>
    <row r="73" spans="1:4" x14ac:dyDescent="0.3">
      <c r="A73" s="399">
        <v>2.5499999999999998</v>
      </c>
      <c r="B73" s="400">
        <v>45936</v>
      </c>
      <c r="C73" s="399" t="s">
        <v>54</v>
      </c>
      <c r="D73" s="401" t="s">
        <v>3833</v>
      </c>
    </row>
    <row r="74" spans="1:4" ht="26.4" x14ac:dyDescent="0.3">
      <c r="A74" s="73">
        <v>2.56</v>
      </c>
      <c r="B74" s="226">
        <v>45961</v>
      </c>
      <c r="C74" s="73" t="s">
        <v>54</v>
      </c>
      <c r="D74" s="144" t="s">
        <v>3837</v>
      </c>
    </row>
    <row r="75" spans="1:4" x14ac:dyDescent="0.3">
      <c r="A75" s="73">
        <v>2.57</v>
      </c>
      <c r="B75" s="226">
        <v>45974</v>
      </c>
      <c r="C75" s="73" t="s">
        <v>54</v>
      </c>
      <c r="D75" s="144" t="s">
        <v>3840</v>
      </c>
    </row>
    <row r="76" spans="1:4" ht="26.4" x14ac:dyDescent="0.3">
      <c r="A76" s="73">
        <v>2.58</v>
      </c>
      <c r="B76" s="226">
        <v>45980</v>
      </c>
      <c r="C76" s="73" t="s">
        <v>54</v>
      </c>
      <c r="D76" s="144" t="s">
        <v>3839</v>
      </c>
    </row>
    <row r="77" spans="1:4" x14ac:dyDescent="0.3">
      <c r="A77" s="412">
        <v>2.59</v>
      </c>
      <c r="B77" s="415">
        <v>45987</v>
      </c>
      <c r="C77" s="412" t="s">
        <v>54</v>
      </c>
      <c r="D77" s="403" t="s">
        <v>3841</v>
      </c>
    </row>
    <row r="78" spans="1:4" x14ac:dyDescent="0.3">
      <c r="A78" s="413"/>
      <c r="B78" s="416"/>
      <c r="C78" s="413"/>
      <c r="D78" s="404" t="s">
        <v>3849</v>
      </c>
    </row>
    <row r="79" spans="1:4" x14ac:dyDescent="0.3">
      <c r="A79" s="413"/>
      <c r="B79" s="413"/>
      <c r="C79" s="413"/>
      <c r="D79" s="404" t="s">
        <v>3851</v>
      </c>
    </row>
    <row r="80" spans="1:4" x14ac:dyDescent="0.3">
      <c r="A80" s="413"/>
      <c r="B80" s="413"/>
      <c r="C80" s="413"/>
      <c r="D80" s="404" t="s">
        <v>3842</v>
      </c>
    </row>
    <row r="81" spans="1:4" x14ac:dyDescent="0.3">
      <c r="A81" s="413"/>
      <c r="B81" s="413"/>
      <c r="C81" s="413"/>
      <c r="D81" s="404" t="s">
        <v>3843</v>
      </c>
    </row>
    <row r="82" spans="1:4" x14ac:dyDescent="0.3">
      <c r="A82" s="414"/>
      <c r="B82" s="414"/>
      <c r="C82" s="414"/>
      <c r="D82" s="405" t="s">
        <v>3844</v>
      </c>
    </row>
    <row r="83" spans="1:4" ht="52.8" x14ac:dyDescent="0.3">
      <c r="A83" s="206">
        <v>2.6</v>
      </c>
      <c r="B83" s="226">
        <v>46129</v>
      </c>
      <c r="C83" s="73" t="s">
        <v>54</v>
      </c>
      <c r="D83" s="144" t="s">
        <v>3862</v>
      </c>
    </row>
  </sheetData>
  <mergeCells count="15">
    <mergeCell ref="B3:C3"/>
    <mergeCell ref="B4:D4"/>
    <mergeCell ref="B5:D5"/>
    <mergeCell ref="B9:D9"/>
    <mergeCell ref="A13:E13"/>
    <mergeCell ref="D18:D19"/>
    <mergeCell ref="A16:A17"/>
    <mergeCell ref="B16:B17"/>
    <mergeCell ref="D16:D17"/>
    <mergeCell ref="D15:E15"/>
    <mergeCell ref="A77:A82"/>
    <mergeCell ref="B77:B82"/>
    <mergeCell ref="C77:C82"/>
    <mergeCell ref="B18:B19"/>
    <mergeCell ref="A18:A19"/>
  </mergeCells>
  <conditionalFormatting sqref="A16:B16 E77:XFD82">
    <cfRule type="cellIs" dxfId="746" priority="57" stopIfTrue="1" operator="notEqual">
      <formula>INDIRECT("Dummy_for_Comparison1!"&amp;ADDRESS(ROW(),COLUMN()))</formula>
    </cfRule>
  </conditionalFormatting>
  <conditionalFormatting sqref="A18:B18">
    <cfRule type="cellIs" dxfId="745" priority="38" stopIfTrue="1" operator="notEqual">
      <formula>INDIRECT("Dummy_for_Comparison1!"&amp;ADDRESS(ROW(),COLUMN()))</formula>
    </cfRule>
  </conditionalFormatting>
  <conditionalFormatting sqref="A1:XFD76 A83:XFD1048576">
    <cfRule type="cellIs" dxfId="744" priority="1" stopIfTrue="1" operator="notEqual">
      <formula>INDIRECT("Dummy_for_Comparison1!"&amp;ADDRESS(ROW(),COLUMN()))</formula>
    </cfRule>
  </conditionalFormatting>
  <conditionalFormatting sqref="C17">
    <cfRule type="cellIs" dxfId="743" priority="56" stopIfTrue="1" operator="notEqual">
      <formula>INDIRECT("Dummy_for_Comparison1!"&amp;ADDRESS(ROW(),COLUMN()))</formula>
    </cfRule>
  </conditionalFormatting>
  <conditionalFormatting sqref="C19">
    <cfRule type="cellIs" dxfId="742" priority="37" stopIfTrue="1" operator="notEqual">
      <formula>INDIRECT("Dummy_for_Comparison1!"&amp;ADDRESS(ROW(),COLUMN()))</formula>
    </cfRule>
  </conditionalFormatting>
  <pageMargins left="0.7" right="0.7" top="0.75" bottom="0.75" header="0.3" footer="0.3"/>
  <pageSetup paperSize="9" orientation="portrait" r:id="rId1"/>
  <headerFooter>
    <oddFooter>&amp;C_x000D_&amp;1#&amp;"Calibri"&amp;6&amp;K626469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A2ECA-8D47-457B-8F6E-7903A59F90CF}">
  <sheetPr codeName="Sheet2"/>
  <dimension ref="C3:I1048561"/>
  <sheetViews>
    <sheetView topLeftCell="A31" zoomScale="66" zoomScaleNormal="130" workbookViewId="0">
      <selection activeCell="F36" sqref="F36"/>
    </sheetView>
  </sheetViews>
  <sheetFormatPr defaultColWidth="8.77734375" defaultRowHeight="14.4" x14ac:dyDescent="0.3"/>
  <cols>
    <col min="3" max="3" width="45.21875" bestFit="1" customWidth="1"/>
    <col min="4" max="4" width="27.21875" bestFit="1" customWidth="1"/>
    <col min="5" max="5" width="27.21875" customWidth="1"/>
    <col min="6" max="6" width="62.21875" bestFit="1" customWidth="1"/>
    <col min="7" max="7" width="30.5546875" customWidth="1"/>
    <col min="8" max="8" width="34.5546875" customWidth="1"/>
    <col min="9" max="9" width="36.88671875" customWidth="1"/>
  </cols>
  <sheetData>
    <row r="3" spans="3:9" ht="15" thickBot="1" x14ac:dyDescent="0.35"/>
    <row r="4" spans="3:9" ht="15.6" x14ac:dyDescent="0.3">
      <c r="C4" s="438" t="s">
        <v>70</v>
      </c>
      <c r="D4" s="439"/>
      <c r="E4" s="440"/>
      <c r="F4" s="441" t="s">
        <v>71</v>
      </c>
      <c r="G4" s="442"/>
    </row>
    <row r="5" spans="3:9" x14ac:dyDescent="0.3">
      <c r="C5" s="286" t="s">
        <v>72</v>
      </c>
      <c r="D5" s="286" t="s">
        <v>73</v>
      </c>
      <c r="E5" s="286" t="s">
        <v>74</v>
      </c>
      <c r="F5" s="286" t="s">
        <v>75</v>
      </c>
      <c r="G5" s="287" t="s">
        <v>74</v>
      </c>
      <c r="H5" s="288" t="s">
        <v>76</v>
      </c>
      <c r="I5" s="288" t="s">
        <v>77</v>
      </c>
    </row>
    <row r="6" spans="3:9" x14ac:dyDescent="0.3">
      <c r="C6" s="55" t="s">
        <v>78</v>
      </c>
      <c r="D6" s="55" t="s">
        <v>79</v>
      </c>
      <c r="E6" s="55" t="s">
        <v>80</v>
      </c>
      <c r="F6" s="289" t="s">
        <v>81</v>
      </c>
      <c r="G6" s="55"/>
      <c r="H6" s="55"/>
      <c r="I6" s="55"/>
    </row>
    <row r="7" spans="3:9" x14ac:dyDescent="0.3">
      <c r="C7" s="55" t="s">
        <v>82</v>
      </c>
      <c r="D7" s="55" t="s">
        <v>83</v>
      </c>
      <c r="E7" s="55" t="s">
        <v>84</v>
      </c>
      <c r="F7" s="55" t="s">
        <v>85</v>
      </c>
      <c r="G7" s="55" t="s">
        <v>86</v>
      </c>
      <c r="H7" s="55" t="s">
        <v>87</v>
      </c>
      <c r="I7" s="55" t="s">
        <v>88</v>
      </c>
    </row>
    <row r="8" spans="3:9" x14ac:dyDescent="0.3">
      <c r="C8" s="55" t="s">
        <v>89</v>
      </c>
      <c r="D8" s="55" t="s">
        <v>90</v>
      </c>
      <c r="E8" s="55" t="s">
        <v>91</v>
      </c>
      <c r="F8" s="55" t="s">
        <v>92</v>
      </c>
      <c r="G8" s="55" t="s">
        <v>93</v>
      </c>
      <c r="H8" s="55" t="s">
        <v>94</v>
      </c>
      <c r="I8" s="55" t="s">
        <v>88</v>
      </c>
    </row>
    <row r="9" spans="3:9" x14ac:dyDescent="0.3">
      <c r="C9" s="55" t="s">
        <v>95</v>
      </c>
      <c r="D9" s="55" t="s">
        <v>96</v>
      </c>
      <c r="E9" s="55" t="s">
        <v>97</v>
      </c>
      <c r="F9" s="55" t="s">
        <v>98</v>
      </c>
      <c r="G9" s="55" t="s">
        <v>99</v>
      </c>
      <c r="H9" s="55" t="s">
        <v>100</v>
      </c>
      <c r="I9" s="55" t="s">
        <v>101</v>
      </c>
    </row>
    <row r="10" spans="3:9" x14ac:dyDescent="0.3">
      <c r="C10" s="55" t="s">
        <v>102</v>
      </c>
      <c r="D10" s="55" t="s">
        <v>103</v>
      </c>
      <c r="E10" s="55" t="s">
        <v>104</v>
      </c>
      <c r="F10" s="55" t="s">
        <v>105</v>
      </c>
      <c r="G10" s="55" t="s">
        <v>106</v>
      </c>
      <c r="H10" s="55" t="s">
        <v>107</v>
      </c>
      <c r="I10" s="55" t="s">
        <v>108</v>
      </c>
    </row>
    <row r="11" spans="3:9" x14ac:dyDescent="0.3">
      <c r="C11" s="55" t="s">
        <v>109</v>
      </c>
      <c r="D11" s="55" t="s">
        <v>110</v>
      </c>
      <c r="E11" s="55" t="s">
        <v>111</v>
      </c>
      <c r="F11" s="55" t="s">
        <v>112</v>
      </c>
      <c r="G11" s="55" t="s">
        <v>111</v>
      </c>
      <c r="H11" s="55" t="s">
        <v>113</v>
      </c>
      <c r="I11" s="55" t="s">
        <v>108</v>
      </c>
    </row>
    <row r="12" spans="3:9" x14ac:dyDescent="0.3">
      <c r="C12" s="55" t="s">
        <v>114</v>
      </c>
      <c r="D12" s="55" t="s">
        <v>115</v>
      </c>
      <c r="E12" s="55" t="s">
        <v>116</v>
      </c>
      <c r="F12" s="55" t="s">
        <v>117</v>
      </c>
      <c r="G12" s="55" t="s">
        <v>116</v>
      </c>
      <c r="H12" s="55" t="s">
        <v>118</v>
      </c>
      <c r="I12" s="55" t="s">
        <v>101</v>
      </c>
    </row>
    <row r="13" spans="3:9" x14ac:dyDescent="0.3">
      <c r="C13" s="55" t="s">
        <v>119</v>
      </c>
      <c r="D13" s="55" t="s">
        <v>120</v>
      </c>
      <c r="E13" s="55" t="s">
        <v>121</v>
      </c>
      <c r="F13" s="289" t="s">
        <v>122</v>
      </c>
      <c r="G13" s="55"/>
      <c r="H13" s="55"/>
      <c r="I13" s="55"/>
    </row>
    <row r="14" spans="3:9" x14ac:dyDescent="0.3">
      <c r="C14" s="55" t="s">
        <v>123</v>
      </c>
      <c r="D14" s="55" t="s">
        <v>124</v>
      </c>
      <c r="E14" s="55" t="s">
        <v>125</v>
      </c>
      <c r="F14" s="55" t="s">
        <v>126</v>
      </c>
      <c r="G14" s="55" t="s">
        <v>127</v>
      </c>
      <c r="H14" s="55" t="s">
        <v>128</v>
      </c>
      <c r="I14" s="55" t="s">
        <v>101</v>
      </c>
    </row>
    <row r="15" spans="3:9" x14ac:dyDescent="0.3">
      <c r="C15" s="55" t="s">
        <v>129</v>
      </c>
      <c r="D15" s="55" t="s">
        <v>130</v>
      </c>
      <c r="E15" s="55" t="s">
        <v>131</v>
      </c>
      <c r="F15" s="289" t="s">
        <v>132</v>
      </c>
      <c r="G15" s="135"/>
      <c r="H15" s="55"/>
      <c r="I15" s="55"/>
    </row>
    <row r="16" spans="3:9" ht="15" thickBot="1" x14ac:dyDescent="0.35"/>
    <row r="17" spans="3:9" ht="21" x14ac:dyDescent="0.4">
      <c r="C17" s="320" t="s">
        <v>133</v>
      </c>
      <c r="D17" s="321" t="s">
        <v>134</v>
      </c>
      <c r="F17" s="443" t="s">
        <v>135</v>
      </c>
      <c r="G17" s="443"/>
      <c r="H17" s="290" t="s">
        <v>136</v>
      </c>
    </row>
    <row r="18" spans="3:9" x14ac:dyDescent="0.3">
      <c r="C18" s="316" t="s">
        <v>137</v>
      </c>
      <c r="D18" s="317" t="s">
        <v>138</v>
      </c>
      <c r="F18" s="291" t="s">
        <v>139</v>
      </c>
      <c r="G18" s="292" t="s">
        <v>140</v>
      </c>
      <c r="H18" s="55"/>
    </row>
    <row r="19" spans="3:9" x14ac:dyDescent="0.3">
      <c r="C19" s="316" t="s">
        <v>141</v>
      </c>
      <c r="D19" s="317" t="s">
        <v>142</v>
      </c>
      <c r="E19" s="444" t="s">
        <v>143</v>
      </c>
      <c r="F19" s="293" t="s">
        <v>144</v>
      </c>
      <c r="G19" s="265" t="s">
        <v>145</v>
      </c>
      <c r="H19" s="55" t="s">
        <v>88</v>
      </c>
    </row>
    <row r="20" spans="3:9" x14ac:dyDescent="0.3">
      <c r="C20" s="316" t="s">
        <v>146</v>
      </c>
      <c r="D20" s="317" t="s">
        <v>147</v>
      </c>
      <c r="E20" s="444"/>
      <c r="F20" s="293" t="s">
        <v>148</v>
      </c>
      <c r="G20" s="265" t="s">
        <v>149</v>
      </c>
      <c r="H20" s="55" t="s">
        <v>88</v>
      </c>
    </row>
    <row r="21" spans="3:9" ht="15" thickBot="1" x14ac:dyDescent="0.35">
      <c r="C21" s="318" t="s">
        <v>150</v>
      </c>
      <c r="D21" s="319" t="s">
        <v>151</v>
      </c>
      <c r="E21" s="444"/>
      <c r="F21" s="293" t="s">
        <v>152</v>
      </c>
      <c r="G21" s="265" t="s">
        <v>153</v>
      </c>
      <c r="H21" s="55" t="s">
        <v>88</v>
      </c>
    </row>
    <row r="22" spans="3:9" x14ac:dyDescent="0.3">
      <c r="E22" s="437"/>
      <c r="F22" s="293" t="s">
        <v>154</v>
      </c>
      <c r="G22" s="265" t="s">
        <v>155</v>
      </c>
      <c r="H22" s="55" t="s">
        <v>88</v>
      </c>
    </row>
    <row r="23" spans="3:9" x14ac:dyDescent="0.3">
      <c r="E23" s="437"/>
      <c r="F23" s="293" t="s">
        <v>156</v>
      </c>
      <c r="G23" s="265" t="s">
        <v>157</v>
      </c>
      <c r="H23" s="55" t="s">
        <v>88</v>
      </c>
    </row>
    <row r="24" spans="3:9" ht="15" thickBot="1" x14ac:dyDescent="0.35">
      <c r="E24" s="437"/>
      <c r="F24" s="293" t="s">
        <v>158</v>
      </c>
      <c r="G24" s="265" t="s">
        <v>159</v>
      </c>
      <c r="H24" s="55" t="s">
        <v>88</v>
      </c>
      <c r="I24" s="118"/>
    </row>
    <row r="25" spans="3:9" ht="15" thickBot="1" x14ac:dyDescent="0.35">
      <c r="C25" s="363" t="s">
        <v>160</v>
      </c>
      <c r="D25" s="364" t="s">
        <v>161</v>
      </c>
      <c r="E25" s="437"/>
      <c r="F25" s="293" t="s">
        <v>162</v>
      </c>
      <c r="G25" s="265" t="s">
        <v>163</v>
      </c>
      <c r="H25" s="55" t="s">
        <v>88</v>
      </c>
    </row>
    <row r="26" spans="3:9" ht="15" thickBot="1" x14ac:dyDescent="0.35">
      <c r="C26" s="131"/>
      <c r="D26" s="365"/>
      <c r="E26" s="437"/>
      <c r="F26" s="293" t="s">
        <v>164</v>
      </c>
      <c r="G26" s="265" t="s">
        <v>165</v>
      </c>
      <c r="H26" s="55" t="s">
        <v>88</v>
      </c>
    </row>
    <row r="27" spans="3:9" ht="15" thickBot="1" x14ac:dyDescent="0.35">
      <c r="C27" s="130" t="s">
        <v>166</v>
      </c>
      <c r="D27" s="365" t="s">
        <v>138</v>
      </c>
      <c r="E27" s="54" t="s">
        <v>167</v>
      </c>
      <c r="F27" s="323" t="s">
        <v>168</v>
      </c>
      <c r="G27" s="322" t="s">
        <v>169</v>
      </c>
      <c r="H27" s="55" t="s">
        <v>88</v>
      </c>
    </row>
    <row r="28" spans="3:9" ht="15" thickBot="1" x14ac:dyDescent="0.35">
      <c r="C28" s="130" t="s">
        <v>170</v>
      </c>
      <c r="D28" s="365" t="s">
        <v>142</v>
      </c>
      <c r="F28" s="294" t="s">
        <v>171</v>
      </c>
      <c r="G28" s="295" t="s">
        <v>172</v>
      </c>
      <c r="H28" s="55"/>
    </row>
    <row r="29" spans="3:9" ht="15" thickBot="1" x14ac:dyDescent="0.35">
      <c r="C29" s="130" t="s">
        <v>173</v>
      </c>
      <c r="D29" s="365" t="s">
        <v>174</v>
      </c>
      <c r="F29" s="55"/>
      <c r="H29" s="55"/>
    </row>
    <row r="30" spans="3:9" ht="15" thickBot="1" x14ac:dyDescent="0.35">
      <c r="C30" s="130" t="s">
        <v>175</v>
      </c>
      <c r="D30" s="365" t="s">
        <v>176</v>
      </c>
      <c r="F30" s="294" t="s">
        <v>177</v>
      </c>
      <c r="G30" s="295" t="s">
        <v>178</v>
      </c>
      <c r="H30" s="55"/>
    </row>
    <row r="31" spans="3:9" ht="15" thickBot="1" x14ac:dyDescent="0.35">
      <c r="C31" s="130" t="s">
        <v>179</v>
      </c>
      <c r="D31" s="365" t="s">
        <v>180</v>
      </c>
      <c r="F31" s="55"/>
      <c r="G31" s="260"/>
      <c r="H31" s="55"/>
    </row>
    <row r="32" spans="3:9" ht="15" thickBot="1" x14ac:dyDescent="0.35">
      <c r="C32" s="130" t="s">
        <v>181</v>
      </c>
      <c r="D32" s="365" t="s">
        <v>182</v>
      </c>
      <c r="F32" s="112" t="s">
        <v>183</v>
      </c>
      <c r="G32" s="296" t="s">
        <v>184</v>
      </c>
      <c r="H32" s="55"/>
    </row>
    <row r="33" spans="3:8" ht="15" thickBot="1" x14ac:dyDescent="0.35">
      <c r="C33" s="130" t="s">
        <v>185</v>
      </c>
      <c r="D33" s="365" t="s">
        <v>186</v>
      </c>
      <c r="E33" s="437" t="s">
        <v>187</v>
      </c>
      <c r="F33" s="293" t="s">
        <v>188</v>
      </c>
      <c r="G33" s="260" t="s">
        <v>189</v>
      </c>
      <c r="H33" s="55" t="s">
        <v>137</v>
      </c>
    </row>
    <row r="34" spans="3:8" ht="15" thickBot="1" x14ac:dyDescent="0.35">
      <c r="C34" s="130" t="s">
        <v>190</v>
      </c>
      <c r="D34" s="365" t="s">
        <v>191</v>
      </c>
      <c r="E34" s="437"/>
      <c r="F34" s="297" t="s">
        <v>192</v>
      </c>
      <c r="G34" s="260" t="s">
        <v>193</v>
      </c>
      <c r="H34" s="55" t="s">
        <v>137</v>
      </c>
    </row>
    <row r="35" spans="3:8" ht="15" thickBot="1" x14ac:dyDescent="0.35">
      <c r="C35" s="130" t="s">
        <v>194</v>
      </c>
      <c r="D35" s="365" t="s">
        <v>195</v>
      </c>
      <c r="E35" s="437"/>
      <c r="F35" s="293" t="s">
        <v>196</v>
      </c>
      <c r="G35" s="260" t="s">
        <v>197</v>
      </c>
      <c r="H35" s="55" t="s">
        <v>137</v>
      </c>
    </row>
    <row r="36" spans="3:8" ht="15" thickBot="1" x14ac:dyDescent="0.35">
      <c r="C36" s="130" t="s">
        <v>198</v>
      </c>
      <c r="D36" s="365" t="s">
        <v>199</v>
      </c>
      <c r="F36" s="298" t="s">
        <v>200</v>
      </c>
      <c r="G36" s="299" t="s">
        <v>201</v>
      </c>
      <c r="H36" s="55"/>
    </row>
    <row r="37" spans="3:8" ht="15" thickBot="1" x14ac:dyDescent="0.35">
      <c r="C37" s="131" t="s">
        <v>202</v>
      </c>
      <c r="D37" s="365" t="s">
        <v>203</v>
      </c>
      <c r="F37" s="300" t="s">
        <v>204</v>
      </c>
      <c r="G37" s="299" t="s">
        <v>201</v>
      </c>
      <c r="H37" s="55"/>
    </row>
    <row r="38" spans="3:8" ht="15" thickBot="1" x14ac:dyDescent="0.35">
      <c r="C38" s="131" t="s">
        <v>205</v>
      </c>
      <c r="D38" s="365" t="s">
        <v>206</v>
      </c>
      <c r="H38" s="55"/>
    </row>
    <row r="39" spans="3:8" ht="15" thickBot="1" x14ac:dyDescent="0.35">
      <c r="C39" s="131" t="s">
        <v>207</v>
      </c>
      <c r="D39" s="365" t="s">
        <v>208</v>
      </c>
      <c r="F39" s="55" t="s">
        <v>209</v>
      </c>
      <c r="G39" s="301" t="s">
        <v>210</v>
      </c>
      <c r="H39" s="55"/>
    </row>
    <row r="40" spans="3:8" ht="15" thickBot="1" x14ac:dyDescent="0.35">
      <c r="C40" s="131" t="s">
        <v>211</v>
      </c>
      <c r="D40" s="365" t="s">
        <v>212</v>
      </c>
      <c r="E40" s="437" t="s">
        <v>213</v>
      </c>
      <c r="F40" s="293" t="s">
        <v>214</v>
      </c>
      <c r="G40" s="260" t="s">
        <v>215</v>
      </c>
      <c r="H40" s="55" t="s">
        <v>108</v>
      </c>
    </row>
    <row r="41" spans="3:8" ht="15" thickBot="1" x14ac:dyDescent="0.35">
      <c r="C41" s="131" t="s">
        <v>216</v>
      </c>
      <c r="D41" s="365" t="s">
        <v>217</v>
      </c>
      <c r="E41" s="437"/>
      <c r="F41" s="293" t="s">
        <v>218</v>
      </c>
      <c r="G41" s="260" t="s">
        <v>219</v>
      </c>
      <c r="H41" s="55" t="s">
        <v>108</v>
      </c>
    </row>
    <row r="42" spans="3:8" ht="15" thickBot="1" x14ac:dyDescent="0.35">
      <c r="C42" s="131" t="s">
        <v>220</v>
      </c>
      <c r="D42" s="365" t="s">
        <v>221</v>
      </c>
      <c r="E42" s="437"/>
      <c r="F42" s="293" t="s">
        <v>222</v>
      </c>
      <c r="G42" s="260" t="s">
        <v>223</v>
      </c>
      <c r="H42" s="55" t="s">
        <v>108</v>
      </c>
    </row>
    <row r="43" spans="3:8" ht="15" thickBot="1" x14ac:dyDescent="0.35">
      <c r="C43" s="131" t="s">
        <v>224</v>
      </c>
      <c r="D43" s="365" t="s">
        <v>225</v>
      </c>
      <c r="E43" s="437" t="s">
        <v>226</v>
      </c>
      <c r="F43" s="293" t="s">
        <v>227</v>
      </c>
      <c r="G43" s="260" t="s">
        <v>228</v>
      </c>
      <c r="H43" s="55" t="s">
        <v>108</v>
      </c>
    </row>
    <row r="44" spans="3:8" ht="15" thickBot="1" x14ac:dyDescent="0.35">
      <c r="C44" s="131" t="s">
        <v>78</v>
      </c>
      <c r="D44" s="365" t="s">
        <v>229</v>
      </c>
      <c r="E44" s="437"/>
      <c r="F44" s="293" t="s">
        <v>230</v>
      </c>
      <c r="G44" s="260" t="s">
        <v>231</v>
      </c>
      <c r="H44" s="55" t="s">
        <v>108</v>
      </c>
    </row>
    <row r="45" spans="3:8" ht="15" thickBot="1" x14ac:dyDescent="0.35">
      <c r="C45" s="131" t="s">
        <v>82</v>
      </c>
      <c r="D45" s="365" t="s">
        <v>232</v>
      </c>
      <c r="E45" s="437"/>
      <c r="F45" s="293" t="s">
        <v>233</v>
      </c>
      <c r="G45" s="260" t="s">
        <v>234</v>
      </c>
      <c r="H45" s="55" t="s">
        <v>108</v>
      </c>
    </row>
    <row r="46" spans="3:8" ht="15" thickBot="1" x14ac:dyDescent="0.35">
      <c r="C46" s="131" t="s">
        <v>89</v>
      </c>
      <c r="D46" s="365" t="s">
        <v>235</v>
      </c>
      <c r="E46" s="437"/>
      <c r="F46" s="293" t="s">
        <v>236</v>
      </c>
      <c r="G46" s="260" t="s">
        <v>237</v>
      </c>
      <c r="H46" s="55" t="s">
        <v>108</v>
      </c>
    </row>
    <row r="47" spans="3:8" ht="15" thickBot="1" x14ac:dyDescent="0.35">
      <c r="C47" s="131" t="s">
        <v>95</v>
      </c>
      <c r="D47" s="365" t="s">
        <v>238</v>
      </c>
      <c r="E47" s="55"/>
      <c r="F47" s="55" t="s">
        <v>239</v>
      </c>
      <c r="G47" s="301" t="s">
        <v>240</v>
      </c>
      <c r="H47" s="55"/>
    </row>
    <row r="48" spans="3:8" ht="15" thickBot="1" x14ac:dyDescent="0.35">
      <c r="C48" s="131" t="s">
        <v>102</v>
      </c>
      <c r="D48" s="365" t="s">
        <v>241</v>
      </c>
      <c r="E48" s="437" t="s">
        <v>242</v>
      </c>
      <c r="F48" s="293" t="s">
        <v>243</v>
      </c>
      <c r="G48" s="260" t="s">
        <v>244</v>
      </c>
      <c r="H48" s="55" t="s">
        <v>108</v>
      </c>
    </row>
    <row r="49" spans="3:8" ht="15" thickBot="1" x14ac:dyDescent="0.35">
      <c r="C49" s="131" t="s">
        <v>109</v>
      </c>
      <c r="D49" s="365" t="s">
        <v>245</v>
      </c>
      <c r="E49" s="437"/>
      <c r="F49" s="293" t="s">
        <v>246</v>
      </c>
      <c r="G49" s="260" t="s">
        <v>247</v>
      </c>
      <c r="H49" s="55" t="s">
        <v>108</v>
      </c>
    </row>
    <row r="50" spans="3:8" ht="15" thickBot="1" x14ac:dyDescent="0.35">
      <c r="C50" s="131" t="s">
        <v>114</v>
      </c>
      <c r="D50" s="365" t="s">
        <v>248</v>
      </c>
      <c r="E50" s="437"/>
      <c r="F50" s="293" t="s">
        <v>249</v>
      </c>
      <c r="G50" s="260" t="s">
        <v>250</v>
      </c>
      <c r="H50" s="55" t="s">
        <v>108</v>
      </c>
    </row>
    <row r="51" spans="3:8" ht="15" thickBot="1" x14ac:dyDescent="0.35">
      <c r="C51" s="131" t="s">
        <v>119</v>
      </c>
      <c r="D51" s="365" t="s">
        <v>251</v>
      </c>
      <c r="E51" s="437"/>
      <c r="F51" s="293" t="s">
        <v>252</v>
      </c>
      <c r="G51" s="260" t="s">
        <v>253</v>
      </c>
      <c r="H51" s="55" t="s">
        <v>108</v>
      </c>
    </row>
    <row r="52" spans="3:8" ht="15" thickBot="1" x14ac:dyDescent="0.35">
      <c r="C52" s="131" t="s">
        <v>123</v>
      </c>
      <c r="D52" s="365" t="s">
        <v>254</v>
      </c>
      <c r="E52" s="437"/>
      <c r="F52" s="293" t="s">
        <v>255</v>
      </c>
      <c r="G52" s="260" t="s">
        <v>256</v>
      </c>
      <c r="H52" s="55" t="s">
        <v>108</v>
      </c>
    </row>
    <row r="53" spans="3:8" x14ac:dyDescent="0.3">
      <c r="C53" s="362" t="s">
        <v>129</v>
      </c>
      <c r="D53" s="366" t="s">
        <v>257</v>
      </c>
      <c r="E53" s="437"/>
      <c r="F53" s="293" t="s">
        <v>258</v>
      </c>
      <c r="G53" s="315" t="s">
        <v>259</v>
      </c>
      <c r="H53" s="55" t="s">
        <v>108</v>
      </c>
    </row>
    <row r="54" spans="3:8" ht="15" thickBot="1" x14ac:dyDescent="0.35">
      <c r="C54" s="131"/>
      <c r="D54" s="128"/>
      <c r="E54" s="437"/>
      <c r="F54" s="293" t="s">
        <v>260</v>
      </c>
      <c r="G54" s="315" t="s">
        <v>261</v>
      </c>
      <c r="H54" s="55" t="s">
        <v>108</v>
      </c>
    </row>
    <row r="55" spans="3:8" x14ac:dyDescent="0.3">
      <c r="E55" s="437" t="s">
        <v>262</v>
      </c>
      <c r="F55" s="293" t="s">
        <v>263</v>
      </c>
      <c r="G55" s="260" t="s">
        <v>264</v>
      </c>
      <c r="H55" s="55" t="s">
        <v>108</v>
      </c>
    </row>
    <row r="56" spans="3:8" x14ac:dyDescent="0.3">
      <c r="E56" s="437"/>
      <c r="F56" s="293" t="s">
        <v>265</v>
      </c>
      <c r="G56" s="260" t="s">
        <v>266</v>
      </c>
      <c r="H56" s="55" t="s">
        <v>108</v>
      </c>
    </row>
    <row r="57" spans="3:8" x14ac:dyDescent="0.3">
      <c r="E57" s="437"/>
      <c r="F57" s="293" t="s">
        <v>267</v>
      </c>
      <c r="G57" s="260" t="s">
        <v>268</v>
      </c>
      <c r="H57" s="55" t="s">
        <v>108</v>
      </c>
    </row>
    <row r="58" spans="3:8" x14ac:dyDescent="0.3">
      <c r="E58" s="55"/>
      <c r="F58" s="149" t="s">
        <v>269</v>
      </c>
      <c r="G58" s="301" t="s">
        <v>270</v>
      </c>
      <c r="H58" s="55"/>
    </row>
    <row r="59" spans="3:8" x14ac:dyDescent="0.3">
      <c r="E59" s="437" t="s">
        <v>271</v>
      </c>
      <c r="F59" s="293" t="s">
        <v>272</v>
      </c>
      <c r="G59" s="260" t="s">
        <v>273</v>
      </c>
      <c r="H59" s="55" t="s">
        <v>108</v>
      </c>
    </row>
    <row r="60" spans="3:8" x14ac:dyDescent="0.3">
      <c r="E60" s="437"/>
      <c r="F60" s="293" t="s">
        <v>274</v>
      </c>
      <c r="G60" s="260" t="s">
        <v>275</v>
      </c>
      <c r="H60" s="55" t="s">
        <v>108</v>
      </c>
    </row>
    <row r="61" spans="3:8" x14ac:dyDescent="0.3">
      <c r="E61" s="437"/>
      <c r="F61" s="293" t="s">
        <v>276</v>
      </c>
      <c r="G61" s="260" t="s">
        <v>277</v>
      </c>
      <c r="H61" s="55" t="s">
        <v>108</v>
      </c>
    </row>
    <row r="62" spans="3:8" x14ac:dyDescent="0.3">
      <c r="E62" s="437"/>
      <c r="F62" s="293" t="s">
        <v>278</v>
      </c>
      <c r="G62" s="260" t="s">
        <v>279</v>
      </c>
      <c r="H62" s="55" t="s">
        <v>108</v>
      </c>
    </row>
    <row r="63" spans="3:8" x14ac:dyDescent="0.3">
      <c r="E63" s="437"/>
      <c r="F63" s="293" t="s">
        <v>280</v>
      </c>
      <c r="G63" s="260" t="s">
        <v>281</v>
      </c>
      <c r="H63" s="55" t="s">
        <v>108</v>
      </c>
    </row>
    <row r="64" spans="3:8" x14ac:dyDescent="0.3">
      <c r="E64" s="437"/>
      <c r="F64" s="293" t="s">
        <v>282</v>
      </c>
      <c r="G64" s="260" t="s">
        <v>283</v>
      </c>
      <c r="H64" s="55" t="s">
        <v>108</v>
      </c>
    </row>
    <row r="65" spans="5:8" x14ac:dyDescent="0.3">
      <c r="E65" s="437"/>
      <c r="F65" s="293" t="s">
        <v>284</v>
      </c>
      <c r="G65" s="260" t="s">
        <v>285</v>
      </c>
      <c r="H65" s="55" t="s">
        <v>108</v>
      </c>
    </row>
    <row r="66" spans="5:8" x14ac:dyDescent="0.3">
      <c r="E66" s="437"/>
      <c r="F66" s="293" t="s">
        <v>286</v>
      </c>
      <c r="G66" s="260" t="s">
        <v>287</v>
      </c>
      <c r="H66" s="55" t="s">
        <v>108</v>
      </c>
    </row>
    <row r="67" spans="5:8" x14ac:dyDescent="0.3">
      <c r="E67" s="437"/>
      <c r="F67" s="302" t="s">
        <v>288</v>
      </c>
      <c r="G67" s="303" t="s">
        <v>289</v>
      </c>
      <c r="H67" s="55"/>
    </row>
    <row r="68" spans="5:8" x14ac:dyDescent="0.3">
      <c r="E68" s="437"/>
      <c r="F68" s="293" t="s">
        <v>290</v>
      </c>
      <c r="G68" s="260" t="s">
        <v>291</v>
      </c>
      <c r="H68" s="55" t="s">
        <v>108</v>
      </c>
    </row>
    <row r="69" spans="5:8" x14ac:dyDescent="0.3">
      <c r="E69" s="437"/>
      <c r="F69" s="293" t="s">
        <v>292</v>
      </c>
      <c r="G69" s="260" t="s">
        <v>293</v>
      </c>
      <c r="H69" s="55" t="s">
        <v>108</v>
      </c>
    </row>
    <row r="70" spans="5:8" x14ac:dyDescent="0.3">
      <c r="E70" s="437"/>
      <c r="F70" s="293" t="s">
        <v>294</v>
      </c>
      <c r="G70" s="260" t="s">
        <v>295</v>
      </c>
      <c r="H70" s="55" t="s">
        <v>108</v>
      </c>
    </row>
    <row r="71" spans="5:8" x14ac:dyDescent="0.3">
      <c r="E71" s="437"/>
      <c r="F71" s="293" t="s">
        <v>296</v>
      </c>
      <c r="G71" s="260" t="s">
        <v>297</v>
      </c>
      <c r="H71" s="55" t="s">
        <v>108</v>
      </c>
    </row>
    <row r="72" spans="5:8" x14ac:dyDescent="0.3">
      <c r="E72" s="445" t="s">
        <v>298</v>
      </c>
      <c r="F72" s="149" t="s">
        <v>239</v>
      </c>
      <c r="G72" s="260" t="s">
        <v>299</v>
      </c>
      <c r="H72" s="55"/>
    </row>
    <row r="73" spans="5:8" x14ac:dyDescent="0.3">
      <c r="E73" s="446"/>
      <c r="F73" s="293" t="s">
        <v>300</v>
      </c>
      <c r="G73" s="315" t="s">
        <v>301</v>
      </c>
      <c r="H73" s="55" t="s">
        <v>302</v>
      </c>
    </row>
    <row r="74" spans="5:8" x14ac:dyDescent="0.3">
      <c r="E74" s="31"/>
      <c r="F74" s="293"/>
      <c r="G74" s="55"/>
      <c r="H74" s="55"/>
    </row>
    <row r="1048561" spans="7:7" x14ac:dyDescent="0.3">
      <c r="G1048561" s="55"/>
    </row>
  </sheetData>
  <mergeCells count="11">
    <mergeCell ref="E43:E46"/>
    <mergeCell ref="E48:E54"/>
    <mergeCell ref="E55:E57"/>
    <mergeCell ref="E59:E71"/>
    <mergeCell ref="E72:E73"/>
    <mergeCell ref="E40:E42"/>
    <mergeCell ref="C4:E4"/>
    <mergeCell ref="F4:G4"/>
    <mergeCell ref="F17:G17"/>
    <mergeCell ref="E19:E26"/>
    <mergeCell ref="E33:E35"/>
  </mergeCells>
  <pageMargins left="0.7" right="0.7" top="0.75" bottom="0.75" header="0.3" footer="0.3"/>
  <pageSetup paperSize="9" orientation="portrait" r:id="rId1"/>
  <headerFooter>
    <oddFooter>&amp;C_x000D_&amp;1#&amp;"Calibri"&amp;6&amp;K626469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5AAE3-EA53-4C0C-93B8-A33EDCEA0128}">
  <dimension ref="A1:HR539"/>
  <sheetViews>
    <sheetView zoomScale="85" zoomScaleNormal="55" workbookViewId="0">
      <pane ySplit="2" topLeftCell="A288" activePane="bottomLeft" state="frozen"/>
      <selection pane="bottomLeft" activeCell="L130" sqref="L130"/>
    </sheetView>
  </sheetViews>
  <sheetFormatPr defaultColWidth="9.44140625" defaultRowHeight="15.6" x14ac:dyDescent="0.3"/>
  <cols>
    <col min="1" max="1" width="9.44140625" style="6"/>
    <col min="2" max="2" width="39.5546875" style="46" bestFit="1" customWidth="1"/>
    <col min="3" max="3" width="11" style="47" customWidth="1"/>
    <col min="4" max="4" width="41.77734375" style="8" customWidth="1"/>
    <col min="5" max="5" width="10" style="8" customWidth="1"/>
    <col min="6" max="6" width="12.5546875" style="8" bestFit="1" customWidth="1"/>
    <col min="7" max="7" width="12.88671875" style="8" bestFit="1" customWidth="1"/>
    <col min="8" max="8" width="12.44140625" style="8" customWidth="1"/>
    <col min="9" max="9" width="11.5546875" style="8" customWidth="1"/>
    <col min="10" max="10" width="8.5546875" style="8" bestFit="1" customWidth="1"/>
    <col min="11" max="11" width="10.5546875" style="8" bestFit="1" customWidth="1"/>
    <col min="12" max="12" width="10.33203125" style="53" bestFit="1" customWidth="1"/>
    <col min="13" max="13" width="16.44140625" style="53" bestFit="1" customWidth="1"/>
    <col min="14" max="14" width="5.44140625" style="8" bestFit="1" customWidth="1"/>
    <col min="15" max="15" width="16.5546875" style="8" bestFit="1" customWidth="1"/>
    <col min="16" max="16" width="12.21875" style="6" bestFit="1" customWidth="1"/>
    <col min="17" max="17" width="52.44140625" style="6" customWidth="1"/>
    <col min="18" max="18" width="23.44140625" style="6" customWidth="1"/>
    <col min="19" max="19" width="37.77734375" style="6" customWidth="1"/>
    <col min="20" max="20" width="11.5546875" style="6" customWidth="1"/>
    <col min="21" max="21" width="11.44140625" style="6" customWidth="1"/>
    <col min="22" max="22" width="11.5546875" style="6" customWidth="1"/>
    <col min="23" max="23" width="12.5546875" style="6" customWidth="1"/>
    <col min="24" max="24" width="13.44140625" style="6" customWidth="1"/>
    <col min="25" max="25" width="11.5546875" style="6" customWidth="1"/>
    <col min="26" max="16384" width="9.44140625" style="6"/>
  </cols>
  <sheetData>
    <row r="1" spans="2:27" ht="16.8" thickBot="1" x14ac:dyDescent="0.35">
      <c r="B1" s="22"/>
      <c r="C1" s="58"/>
      <c r="D1" s="58"/>
      <c r="E1" s="63"/>
      <c r="F1" s="63"/>
      <c r="G1" s="63"/>
      <c r="H1" s="58"/>
      <c r="I1" s="58"/>
      <c r="J1" s="58"/>
      <c r="K1" s="63"/>
      <c r="L1" s="52"/>
      <c r="M1" s="52"/>
      <c r="N1" s="58"/>
      <c r="O1" s="58"/>
    </row>
    <row r="2" spans="2:27" ht="36" customHeight="1" thickBot="1" x14ac:dyDescent="0.35">
      <c r="B2" s="195" t="s">
        <v>303</v>
      </c>
      <c r="C2" s="65" t="s">
        <v>304</v>
      </c>
      <c r="D2" s="65" t="s">
        <v>305</v>
      </c>
      <c r="E2" s="65" t="s">
        <v>306</v>
      </c>
      <c r="F2" s="65" t="s">
        <v>307</v>
      </c>
      <c r="G2" s="65" t="s">
        <v>308</v>
      </c>
      <c r="H2" s="65" t="s">
        <v>309</v>
      </c>
      <c r="I2" s="65" t="s">
        <v>310</v>
      </c>
      <c r="J2" s="65" t="s">
        <v>311</v>
      </c>
      <c r="K2" s="65" t="s">
        <v>312</v>
      </c>
      <c r="L2" s="65" t="s">
        <v>313</v>
      </c>
      <c r="M2" s="71" t="s">
        <v>314</v>
      </c>
      <c r="N2" s="65" t="s">
        <v>315</v>
      </c>
      <c r="O2" s="65" t="s">
        <v>316</v>
      </c>
      <c r="P2" s="65" t="s">
        <v>317</v>
      </c>
      <c r="Q2" s="66" t="s">
        <v>318</v>
      </c>
    </row>
    <row r="3" spans="2:27" ht="16.2" x14ac:dyDescent="0.3">
      <c r="B3" s="456" t="s">
        <v>319</v>
      </c>
      <c r="C3" s="457"/>
      <c r="D3" s="457"/>
      <c r="E3" s="457"/>
      <c r="F3" s="457"/>
      <c r="G3" s="457"/>
      <c r="H3" s="457"/>
      <c r="I3" s="457"/>
      <c r="J3" s="457"/>
      <c r="K3" s="457"/>
      <c r="L3" s="457"/>
      <c r="M3" s="457"/>
      <c r="N3" s="457"/>
      <c r="O3" s="457"/>
      <c r="P3" s="457"/>
      <c r="Q3" s="457"/>
    </row>
    <row r="4" spans="2:27" s="26" customFormat="1" x14ac:dyDescent="0.3">
      <c r="B4" s="10" t="s">
        <v>320</v>
      </c>
      <c r="C4" s="10" t="s">
        <v>321</v>
      </c>
      <c r="D4" s="10">
        <v>2</v>
      </c>
      <c r="E4" s="10">
        <f t="shared" ref="E4:E67" si="0">D4/2</f>
        <v>1</v>
      </c>
      <c r="F4" s="10"/>
      <c r="G4" s="10"/>
      <c r="H4" s="10"/>
      <c r="I4" s="10"/>
      <c r="J4" s="10" t="s">
        <v>322</v>
      </c>
      <c r="K4" s="10">
        <f>L4+1</f>
        <v>101</v>
      </c>
      <c r="L4" s="10">
        <v>100</v>
      </c>
      <c r="M4" s="10" t="s">
        <v>323</v>
      </c>
      <c r="N4" s="10" t="s">
        <v>324</v>
      </c>
      <c r="O4" s="10"/>
      <c r="P4" s="10"/>
      <c r="Q4" s="110"/>
      <c r="R4" s="29"/>
      <c r="S4" s="56"/>
      <c r="T4" s="56"/>
      <c r="U4" s="16"/>
      <c r="V4" s="16"/>
      <c r="W4" s="16"/>
      <c r="X4" s="16"/>
      <c r="Y4" s="56"/>
      <c r="Z4" s="56"/>
      <c r="AA4" s="56"/>
    </row>
    <row r="5" spans="2:27" s="26" customFormat="1" x14ac:dyDescent="0.3">
      <c r="B5" s="10" t="s">
        <v>320</v>
      </c>
      <c r="C5" s="10" t="s">
        <v>321</v>
      </c>
      <c r="D5" s="10">
        <v>2</v>
      </c>
      <c r="E5" s="10">
        <f t="shared" si="0"/>
        <v>1</v>
      </c>
      <c r="F5" s="10"/>
      <c r="G5" s="10"/>
      <c r="H5" s="10"/>
      <c r="I5" s="10"/>
      <c r="J5" s="10" t="s">
        <v>322</v>
      </c>
      <c r="K5" s="10">
        <f t="shared" ref="K5:K68" si="1">L5+1</f>
        <v>102</v>
      </c>
      <c r="L5" s="10">
        <f>L4+E4</f>
        <v>101</v>
      </c>
      <c r="M5" s="10" t="s">
        <v>323</v>
      </c>
      <c r="N5" s="10" t="s">
        <v>324</v>
      </c>
      <c r="O5" s="10"/>
      <c r="P5" s="10"/>
      <c r="Q5" s="111"/>
      <c r="R5" s="29"/>
      <c r="S5" s="56"/>
      <c r="T5" s="56"/>
      <c r="U5" s="16"/>
      <c r="V5" s="16"/>
      <c r="W5" s="16"/>
      <c r="X5" s="16"/>
      <c r="Y5" s="56"/>
      <c r="Z5" s="56"/>
      <c r="AA5" s="56"/>
    </row>
    <row r="6" spans="2:27" s="26" customFormat="1" x14ac:dyDescent="0.3">
      <c r="B6" s="10" t="s">
        <v>320</v>
      </c>
      <c r="C6" s="10" t="s">
        <v>321</v>
      </c>
      <c r="D6" s="10">
        <v>2</v>
      </c>
      <c r="E6" s="10">
        <f t="shared" si="0"/>
        <v>1</v>
      </c>
      <c r="F6" s="10"/>
      <c r="G6" s="10"/>
      <c r="H6" s="10"/>
      <c r="I6" s="10"/>
      <c r="J6" s="10" t="s">
        <v>322</v>
      </c>
      <c r="K6" s="10">
        <f t="shared" si="1"/>
        <v>103</v>
      </c>
      <c r="L6" s="10">
        <f t="shared" ref="L6:L29" si="2">L5+E5</f>
        <v>102</v>
      </c>
      <c r="M6" s="10" t="s">
        <v>323</v>
      </c>
      <c r="N6" s="10" t="s">
        <v>324</v>
      </c>
      <c r="O6" s="10"/>
      <c r="P6" s="10"/>
      <c r="Q6" s="111"/>
      <c r="R6" s="29"/>
      <c r="S6" s="56"/>
      <c r="T6" s="56"/>
      <c r="U6" s="16"/>
      <c r="V6" s="16"/>
      <c r="W6" s="16"/>
      <c r="X6" s="16"/>
      <c r="Y6" s="56"/>
      <c r="Z6" s="56"/>
      <c r="AA6" s="56"/>
    </row>
    <row r="7" spans="2:27" s="26" customFormat="1" x14ac:dyDescent="0.3">
      <c r="B7" s="10" t="s">
        <v>320</v>
      </c>
      <c r="C7" s="10" t="s">
        <v>321</v>
      </c>
      <c r="D7" s="10">
        <v>2</v>
      </c>
      <c r="E7" s="10">
        <f t="shared" si="0"/>
        <v>1</v>
      </c>
      <c r="F7" s="10"/>
      <c r="G7" s="10"/>
      <c r="H7" s="10"/>
      <c r="I7" s="10"/>
      <c r="J7" s="10" t="s">
        <v>322</v>
      </c>
      <c r="K7" s="10">
        <f t="shared" si="1"/>
        <v>104</v>
      </c>
      <c r="L7" s="10">
        <f t="shared" si="2"/>
        <v>103</v>
      </c>
      <c r="M7" s="10" t="s">
        <v>323</v>
      </c>
      <c r="N7" s="10" t="s">
        <v>324</v>
      </c>
      <c r="O7" s="10"/>
      <c r="P7" s="10"/>
      <c r="Q7" s="111"/>
      <c r="R7" s="29"/>
      <c r="S7" s="56"/>
      <c r="T7" s="56"/>
      <c r="U7" s="16"/>
      <c r="V7" s="16"/>
      <c r="W7" s="16"/>
      <c r="X7" s="16"/>
      <c r="Y7" s="56"/>
      <c r="Z7" s="56"/>
      <c r="AA7" s="56"/>
    </row>
    <row r="8" spans="2:27" s="26" customFormat="1" x14ac:dyDescent="0.3">
      <c r="B8" s="10" t="s">
        <v>320</v>
      </c>
      <c r="C8" s="10" t="s">
        <v>321</v>
      </c>
      <c r="D8" s="10">
        <v>2</v>
      </c>
      <c r="E8" s="10">
        <f t="shared" si="0"/>
        <v>1</v>
      </c>
      <c r="F8" s="10"/>
      <c r="G8" s="10"/>
      <c r="H8" s="10"/>
      <c r="I8" s="10"/>
      <c r="J8" s="10" t="s">
        <v>322</v>
      </c>
      <c r="K8" s="10">
        <f t="shared" si="1"/>
        <v>105</v>
      </c>
      <c r="L8" s="10">
        <f t="shared" si="2"/>
        <v>104</v>
      </c>
      <c r="M8" s="10" t="s">
        <v>323</v>
      </c>
      <c r="N8" s="10" t="s">
        <v>324</v>
      </c>
      <c r="O8" s="10"/>
      <c r="P8" s="10"/>
      <c r="Q8" s="110"/>
      <c r="R8" s="29"/>
      <c r="S8" s="56"/>
      <c r="T8" s="56"/>
      <c r="U8" s="16"/>
      <c r="V8" s="16"/>
      <c r="W8" s="16"/>
      <c r="X8" s="16"/>
      <c r="Y8" s="56"/>
      <c r="Z8" s="56"/>
      <c r="AA8" s="56"/>
    </row>
    <row r="9" spans="2:27" s="26" customFormat="1" ht="15.75" customHeight="1" x14ac:dyDescent="0.3">
      <c r="B9" s="10" t="s">
        <v>320</v>
      </c>
      <c r="C9" s="10" t="s">
        <v>321</v>
      </c>
      <c r="D9" s="10">
        <v>2</v>
      </c>
      <c r="E9" s="10">
        <f t="shared" si="0"/>
        <v>1</v>
      </c>
      <c r="F9" s="10"/>
      <c r="G9" s="10"/>
      <c r="H9" s="10"/>
      <c r="I9" s="10"/>
      <c r="J9" s="10" t="s">
        <v>322</v>
      </c>
      <c r="K9" s="10">
        <f t="shared" si="1"/>
        <v>106</v>
      </c>
      <c r="L9" s="10">
        <f t="shared" si="2"/>
        <v>105</v>
      </c>
      <c r="M9" s="10" t="s">
        <v>323</v>
      </c>
      <c r="N9" s="10" t="s">
        <v>324</v>
      </c>
      <c r="O9" s="10"/>
      <c r="P9" s="10"/>
      <c r="Q9" s="111"/>
      <c r="R9" s="29"/>
      <c r="S9" s="56"/>
      <c r="T9" s="56"/>
      <c r="U9" s="16"/>
      <c r="V9" s="16"/>
      <c r="W9" s="16"/>
      <c r="X9" s="16"/>
      <c r="Y9" s="56"/>
      <c r="Z9" s="56"/>
      <c r="AA9" s="56"/>
    </row>
    <row r="10" spans="2:27" s="26" customFormat="1" x14ac:dyDescent="0.3">
      <c r="B10" s="10" t="s">
        <v>320</v>
      </c>
      <c r="C10" s="10" t="s">
        <v>321</v>
      </c>
      <c r="D10" s="10">
        <v>2</v>
      </c>
      <c r="E10" s="10">
        <f t="shared" si="0"/>
        <v>1</v>
      </c>
      <c r="F10" s="10"/>
      <c r="G10" s="10"/>
      <c r="H10" s="10"/>
      <c r="I10" s="10"/>
      <c r="J10" s="10" t="s">
        <v>322</v>
      </c>
      <c r="K10" s="10">
        <f t="shared" si="1"/>
        <v>107</v>
      </c>
      <c r="L10" s="10">
        <f t="shared" si="2"/>
        <v>106</v>
      </c>
      <c r="M10" s="10" t="s">
        <v>323</v>
      </c>
      <c r="N10" s="10" t="s">
        <v>324</v>
      </c>
      <c r="O10" s="10"/>
      <c r="P10" s="10"/>
      <c r="Q10" s="111"/>
      <c r="R10" s="29"/>
      <c r="S10" s="56"/>
      <c r="T10" s="56"/>
      <c r="U10" s="16"/>
      <c r="V10" s="16"/>
      <c r="W10" s="16"/>
      <c r="X10" s="16"/>
      <c r="Y10" s="56"/>
      <c r="Z10" s="56"/>
      <c r="AA10" s="56"/>
    </row>
    <row r="11" spans="2:27" s="26" customFormat="1" x14ac:dyDescent="0.3">
      <c r="B11" s="10" t="s">
        <v>320</v>
      </c>
      <c r="C11" s="10" t="s">
        <v>321</v>
      </c>
      <c r="D11" s="10">
        <v>2</v>
      </c>
      <c r="E11" s="10">
        <f t="shared" si="0"/>
        <v>1</v>
      </c>
      <c r="F11" s="10"/>
      <c r="G11" s="10"/>
      <c r="H11" s="10"/>
      <c r="I11" s="10"/>
      <c r="J11" s="10" t="s">
        <v>322</v>
      </c>
      <c r="K11" s="10">
        <f t="shared" si="1"/>
        <v>108</v>
      </c>
      <c r="L11" s="10">
        <f t="shared" si="2"/>
        <v>107</v>
      </c>
      <c r="M11" s="10" t="s">
        <v>323</v>
      </c>
      <c r="N11" s="10" t="s">
        <v>324</v>
      </c>
      <c r="O11" s="10"/>
      <c r="P11" s="10"/>
      <c r="Q11" s="110"/>
      <c r="R11" s="29"/>
      <c r="S11" s="56"/>
      <c r="T11" s="56"/>
      <c r="U11" s="16"/>
      <c r="V11" s="16"/>
      <c r="W11" s="16"/>
      <c r="X11" s="16"/>
      <c r="Y11" s="56"/>
      <c r="Z11" s="56"/>
      <c r="AA11" s="56"/>
    </row>
    <row r="12" spans="2:27" s="26" customFormat="1" x14ac:dyDescent="0.3">
      <c r="B12" s="10" t="s">
        <v>320</v>
      </c>
      <c r="C12" s="10" t="s">
        <v>321</v>
      </c>
      <c r="D12" s="10">
        <v>2</v>
      </c>
      <c r="E12" s="10">
        <f t="shared" si="0"/>
        <v>1</v>
      </c>
      <c r="F12" s="10"/>
      <c r="G12" s="10"/>
      <c r="H12" s="10"/>
      <c r="I12" s="64"/>
      <c r="J12" s="10" t="s">
        <v>322</v>
      </c>
      <c r="K12" s="10">
        <f t="shared" si="1"/>
        <v>109</v>
      </c>
      <c r="L12" s="10">
        <f t="shared" si="2"/>
        <v>108</v>
      </c>
      <c r="M12" s="10" t="s">
        <v>323</v>
      </c>
      <c r="N12" s="10" t="s">
        <v>324</v>
      </c>
      <c r="O12" s="10"/>
      <c r="P12" s="10"/>
      <c r="Q12" s="111"/>
      <c r="R12" s="29"/>
      <c r="S12" s="56"/>
      <c r="T12" s="56"/>
      <c r="U12" s="16"/>
      <c r="V12" s="16"/>
      <c r="W12" s="16"/>
      <c r="X12" s="16"/>
      <c r="Y12" s="56"/>
      <c r="Z12" s="56"/>
      <c r="AA12" s="56"/>
    </row>
    <row r="13" spans="2:27" s="26" customFormat="1" x14ac:dyDescent="0.3">
      <c r="B13" s="10" t="s">
        <v>320</v>
      </c>
      <c r="C13" s="10" t="s">
        <v>321</v>
      </c>
      <c r="D13" s="10">
        <v>2</v>
      </c>
      <c r="E13" s="10">
        <f t="shared" si="0"/>
        <v>1</v>
      </c>
      <c r="F13" s="10"/>
      <c r="G13" s="10"/>
      <c r="H13" s="10"/>
      <c r="I13" s="10"/>
      <c r="J13" s="10" t="s">
        <v>322</v>
      </c>
      <c r="K13" s="10">
        <f t="shared" si="1"/>
        <v>110</v>
      </c>
      <c r="L13" s="10">
        <f t="shared" si="2"/>
        <v>109</v>
      </c>
      <c r="M13" s="10" t="s">
        <v>323</v>
      </c>
      <c r="N13" s="10" t="s">
        <v>324</v>
      </c>
      <c r="O13" s="10"/>
      <c r="P13" s="10"/>
      <c r="Q13" s="110"/>
      <c r="R13" s="29"/>
      <c r="S13" s="56"/>
      <c r="T13" s="56"/>
      <c r="U13" s="16"/>
      <c r="V13" s="16"/>
      <c r="W13" s="16"/>
      <c r="X13" s="16"/>
      <c r="Y13" s="56"/>
      <c r="Z13" s="56"/>
      <c r="AA13" s="56"/>
    </row>
    <row r="14" spans="2:27" s="26" customFormat="1" x14ac:dyDescent="0.3">
      <c r="B14" s="10" t="s">
        <v>320</v>
      </c>
      <c r="C14" s="10" t="s">
        <v>321</v>
      </c>
      <c r="D14" s="10">
        <v>2</v>
      </c>
      <c r="E14" s="10">
        <f t="shared" si="0"/>
        <v>1</v>
      </c>
      <c r="F14" s="10"/>
      <c r="G14" s="10"/>
      <c r="H14" s="10"/>
      <c r="I14" s="64"/>
      <c r="J14" s="10" t="s">
        <v>322</v>
      </c>
      <c r="K14" s="10">
        <f t="shared" si="1"/>
        <v>111</v>
      </c>
      <c r="L14" s="10">
        <f t="shared" si="2"/>
        <v>110</v>
      </c>
      <c r="M14" s="10" t="s">
        <v>323</v>
      </c>
      <c r="N14" s="10" t="s">
        <v>324</v>
      </c>
      <c r="O14" s="10"/>
      <c r="P14" s="10"/>
      <c r="Q14" s="111"/>
      <c r="R14" s="29"/>
      <c r="S14" s="56"/>
      <c r="T14" s="56"/>
      <c r="U14" s="16"/>
      <c r="V14" s="16"/>
      <c r="W14" s="16"/>
      <c r="X14" s="16"/>
      <c r="Y14" s="56"/>
      <c r="Z14" s="56"/>
      <c r="AA14" s="56"/>
    </row>
    <row r="15" spans="2:27" s="26" customFormat="1" x14ac:dyDescent="0.3">
      <c r="B15" s="10" t="s">
        <v>320</v>
      </c>
      <c r="C15" s="10" t="s">
        <v>321</v>
      </c>
      <c r="D15" s="10">
        <v>2</v>
      </c>
      <c r="E15" s="10">
        <f t="shared" si="0"/>
        <v>1</v>
      </c>
      <c r="F15" s="10"/>
      <c r="G15" s="10"/>
      <c r="H15" s="10"/>
      <c r="I15" s="10"/>
      <c r="J15" s="10" t="s">
        <v>322</v>
      </c>
      <c r="K15" s="10">
        <f t="shared" si="1"/>
        <v>112</v>
      </c>
      <c r="L15" s="10">
        <f t="shared" si="2"/>
        <v>111</v>
      </c>
      <c r="M15" s="10" t="s">
        <v>323</v>
      </c>
      <c r="N15" s="10" t="s">
        <v>324</v>
      </c>
      <c r="O15" s="10"/>
      <c r="P15" s="10"/>
      <c r="Q15" s="110"/>
      <c r="R15" s="29"/>
      <c r="S15" s="56"/>
      <c r="T15" s="56"/>
      <c r="U15" s="16"/>
      <c r="V15" s="16"/>
      <c r="W15" s="16"/>
      <c r="X15" s="16"/>
      <c r="Y15" s="56"/>
      <c r="Z15" s="56"/>
      <c r="AA15" s="56"/>
    </row>
    <row r="16" spans="2:27" s="26" customFormat="1" x14ac:dyDescent="0.3">
      <c r="B16" s="10" t="s">
        <v>320</v>
      </c>
      <c r="C16" s="10" t="s">
        <v>321</v>
      </c>
      <c r="D16" s="10">
        <v>2</v>
      </c>
      <c r="E16" s="10">
        <f t="shared" si="0"/>
        <v>1</v>
      </c>
      <c r="F16" s="10"/>
      <c r="G16" s="10"/>
      <c r="H16" s="10"/>
      <c r="I16" s="10"/>
      <c r="J16" s="10" t="s">
        <v>322</v>
      </c>
      <c r="K16" s="10">
        <f t="shared" si="1"/>
        <v>113</v>
      </c>
      <c r="L16" s="10">
        <f t="shared" si="2"/>
        <v>112</v>
      </c>
      <c r="M16" s="10" t="s">
        <v>323</v>
      </c>
      <c r="N16" s="10" t="s">
        <v>324</v>
      </c>
      <c r="O16" s="10"/>
      <c r="P16" s="10"/>
      <c r="Q16" s="111"/>
      <c r="R16" s="29"/>
      <c r="S16" s="56"/>
      <c r="T16" s="56"/>
      <c r="U16" s="16"/>
      <c r="V16" s="16"/>
      <c r="W16" s="16"/>
      <c r="X16" s="16"/>
      <c r="Y16" s="56"/>
      <c r="Z16" s="56"/>
      <c r="AA16" s="56"/>
    </row>
    <row r="17" spans="2:27" s="26" customFormat="1" x14ac:dyDescent="0.3">
      <c r="B17" s="10" t="s">
        <v>320</v>
      </c>
      <c r="C17" s="10" t="s">
        <v>321</v>
      </c>
      <c r="D17" s="10">
        <v>2</v>
      </c>
      <c r="E17" s="10">
        <f t="shared" si="0"/>
        <v>1</v>
      </c>
      <c r="F17" s="10"/>
      <c r="G17" s="10"/>
      <c r="H17" s="10"/>
      <c r="I17" s="10"/>
      <c r="J17" s="10" t="s">
        <v>322</v>
      </c>
      <c r="K17" s="10">
        <f t="shared" si="1"/>
        <v>114</v>
      </c>
      <c r="L17" s="10">
        <f t="shared" si="2"/>
        <v>113</v>
      </c>
      <c r="M17" s="10" t="s">
        <v>323</v>
      </c>
      <c r="N17" s="10" t="s">
        <v>324</v>
      </c>
      <c r="O17" s="10"/>
      <c r="P17" s="10"/>
      <c r="Q17" s="111"/>
      <c r="R17" s="29"/>
      <c r="S17" s="56"/>
      <c r="T17" s="56"/>
      <c r="U17" s="16"/>
      <c r="V17" s="16"/>
      <c r="W17" s="16"/>
      <c r="X17" s="16"/>
      <c r="Y17" s="56"/>
      <c r="Z17" s="56"/>
      <c r="AA17" s="56"/>
    </row>
    <row r="18" spans="2:27" s="26" customFormat="1" x14ac:dyDescent="0.3">
      <c r="B18" s="10" t="s">
        <v>320</v>
      </c>
      <c r="C18" s="10" t="s">
        <v>321</v>
      </c>
      <c r="D18" s="10">
        <v>2</v>
      </c>
      <c r="E18" s="10">
        <f t="shared" si="0"/>
        <v>1</v>
      </c>
      <c r="F18" s="10"/>
      <c r="G18" s="10"/>
      <c r="H18" s="10"/>
      <c r="I18" s="10"/>
      <c r="J18" s="10" t="s">
        <v>322</v>
      </c>
      <c r="K18" s="10">
        <f t="shared" si="1"/>
        <v>115</v>
      </c>
      <c r="L18" s="10">
        <f t="shared" si="2"/>
        <v>114</v>
      </c>
      <c r="M18" s="10" t="s">
        <v>323</v>
      </c>
      <c r="N18" s="10" t="s">
        <v>324</v>
      </c>
      <c r="O18" s="10"/>
      <c r="P18" s="10"/>
      <c r="Q18" s="111"/>
      <c r="R18" s="29"/>
      <c r="S18" s="56"/>
      <c r="T18" s="56"/>
      <c r="U18" s="16"/>
      <c r="V18" s="16"/>
      <c r="W18" s="16"/>
      <c r="X18" s="16"/>
      <c r="Y18" s="56"/>
      <c r="Z18" s="56"/>
      <c r="AA18" s="56"/>
    </row>
    <row r="19" spans="2:27" s="26" customFormat="1" x14ac:dyDescent="0.3">
      <c r="B19" s="10" t="s">
        <v>320</v>
      </c>
      <c r="C19" s="10" t="s">
        <v>321</v>
      </c>
      <c r="D19" s="10">
        <v>2</v>
      </c>
      <c r="E19" s="10">
        <f t="shared" si="0"/>
        <v>1</v>
      </c>
      <c r="F19" s="10"/>
      <c r="G19" s="10"/>
      <c r="H19" s="10"/>
      <c r="I19" s="10"/>
      <c r="J19" s="10" t="s">
        <v>322</v>
      </c>
      <c r="K19" s="10">
        <f t="shared" si="1"/>
        <v>116</v>
      </c>
      <c r="L19" s="10">
        <f t="shared" si="2"/>
        <v>115</v>
      </c>
      <c r="M19" s="10" t="s">
        <v>323</v>
      </c>
      <c r="N19" s="10" t="s">
        <v>324</v>
      </c>
      <c r="O19" s="10"/>
      <c r="P19" s="10"/>
      <c r="Q19" s="111"/>
      <c r="R19" s="29"/>
      <c r="S19" s="56"/>
      <c r="T19" s="56"/>
      <c r="U19" s="16"/>
      <c r="V19" s="16"/>
      <c r="W19" s="16"/>
      <c r="X19" s="16"/>
      <c r="Y19" s="56"/>
      <c r="Z19" s="56"/>
      <c r="AA19" s="56"/>
    </row>
    <row r="20" spans="2:27" s="26" customFormat="1" x14ac:dyDescent="0.3">
      <c r="B20" s="10" t="s">
        <v>320</v>
      </c>
      <c r="C20" s="10" t="s">
        <v>321</v>
      </c>
      <c r="D20" s="10">
        <v>2</v>
      </c>
      <c r="E20" s="10">
        <f t="shared" si="0"/>
        <v>1</v>
      </c>
      <c r="F20" s="10"/>
      <c r="G20" s="10"/>
      <c r="H20" s="10"/>
      <c r="I20" s="10"/>
      <c r="J20" s="10" t="s">
        <v>322</v>
      </c>
      <c r="K20" s="10">
        <f t="shared" si="1"/>
        <v>117</v>
      </c>
      <c r="L20" s="10">
        <f t="shared" si="2"/>
        <v>116</v>
      </c>
      <c r="M20" s="10" t="s">
        <v>323</v>
      </c>
      <c r="N20" s="10" t="s">
        <v>324</v>
      </c>
      <c r="O20" s="10"/>
      <c r="P20" s="10"/>
      <c r="Q20" s="111"/>
      <c r="R20" s="29"/>
      <c r="S20" s="56"/>
      <c r="T20" s="56"/>
      <c r="U20" s="16"/>
      <c r="V20" s="16"/>
      <c r="W20" s="16"/>
      <c r="X20" s="16"/>
      <c r="Y20" s="56"/>
      <c r="Z20" s="56"/>
      <c r="AA20" s="56"/>
    </row>
    <row r="21" spans="2:27" s="26" customFormat="1" x14ac:dyDescent="0.3">
      <c r="B21" s="117" t="s">
        <v>325</v>
      </c>
      <c r="C21" s="117" t="s">
        <v>326</v>
      </c>
      <c r="D21" s="117">
        <v>4</v>
      </c>
      <c r="E21" s="117">
        <f t="shared" si="0"/>
        <v>2</v>
      </c>
      <c r="F21" s="117">
        <v>0</v>
      </c>
      <c r="G21" s="117">
        <v>4294967295</v>
      </c>
      <c r="H21" s="117">
        <v>1</v>
      </c>
      <c r="I21" s="117">
        <v>1</v>
      </c>
      <c r="J21" s="117" t="s">
        <v>322</v>
      </c>
      <c r="K21" s="117">
        <f t="shared" si="1"/>
        <v>118</v>
      </c>
      <c r="L21" s="117">
        <f t="shared" si="2"/>
        <v>117</v>
      </c>
      <c r="M21" s="117" t="s">
        <v>323</v>
      </c>
      <c r="N21" s="117" t="s">
        <v>327</v>
      </c>
      <c r="O21" s="117">
        <v>0</v>
      </c>
      <c r="P21" s="117"/>
      <c r="Q21" s="110"/>
      <c r="R21" s="29"/>
      <c r="S21" s="56"/>
      <c r="T21" s="56"/>
      <c r="U21" s="16"/>
      <c r="V21" s="16"/>
      <c r="W21" s="16"/>
      <c r="X21" s="16"/>
      <c r="Y21" s="56"/>
      <c r="Z21" s="56"/>
      <c r="AA21" s="56"/>
    </row>
    <row r="22" spans="2:27" s="26" customFormat="1" x14ac:dyDescent="0.3">
      <c r="B22" s="117" t="s">
        <v>328</v>
      </c>
      <c r="C22" s="117" t="s">
        <v>326</v>
      </c>
      <c r="D22" s="117">
        <v>4</v>
      </c>
      <c r="E22" s="117">
        <f t="shared" si="0"/>
        <v>2</v>
      </c>
      <c r="F22" s="117">
        <v>0</v>
      </c>
      <c r="G22" s="117">
        <v>4294967295</v>
      </c>
      <c r="H22" s="117">
        <v>1</v>
      </c>
      <c r="I22" s="117">
        <v>1</v>
      </c>
      <c r="J22" s="117" t="s">
        <v>322</v>
      </c>
      <c r="K22" s="117">
        <f t="shared" si="1"/>
        <v>120</v>
      </c>
      <c r="L22" s="117">
        <f t="shared" si="2"/>
        <v>119</v>
      </c>
      <c r="M22" s="117" t="s">
        <v>323</v>
      </c>
      <c r="N22" s="117" t="s">
        <v>327</v>
      </c>
      <c r="O22" s="117">
        <v>0</v>
      </c>
      <c r="P22" s="117" t="s">
        <v>329</v>
      </c>
      <c r="Q22" s="111"/>
      <c r="R22" s="29"/>
      <c r="S22" s="56"/>
      <c r="T22" s="56"/>
      <c r="U22" s="16"/>
      <c r="V22" s="16"/>
      <c r="W22" s="16"/>
      <c r="X22" s="16"/>
      <c r="Y22" s="56"/>
      <c r="Z22" s="56"/>
      <c r="AA22" s="56"/>
    </row>
    <row r="23" spans="2:27" s="26" customFormat="1" ht="16.2" thickBot="1" x14ac:dyDescent="0.35">
      <c r="B23" s="175" t="s">
        <v>330</v>
      </c>
      <c r="C23" s="117" t="s">
        <v>321</v>
      </c>
      <c r="D23" s="117">
        <v>2</v>
      </c>
      <c r="E23" s="117">
        <f t="shared" si="0"/>
        <v>1</v>
      </c>
      <c r="F23" s="117">
        <v>0</v>
      </c>
      <c r="G23" s="117">
        <v>65535</v>
      </c>
      <c r="H23" s="117">
        <v>1</v>
      </c>
      <c r="I23" s="117">
        <v>1</v>
      </c>
      <c r="J23" s="117" t="s">
        <v>322</v>
      </c>
      <c r="K23" s="117">
        <f t="shared" si="1"/>
        <v>122</v>
      </c>
      <c r="L23" s="117">
        <f t="shared" si="2"/>
        <v>121</v>
      </c>
      <c r="M23" s="117" t="s">
        <v>323</v>
      </c>
      <c r="N23" s="117" t="s">
        <v>324</v>
      </c>
      <c r="O23" s="117">
        <v>0</v>
      </c>
      <c r="P23" s="117" t="s">
        <v>331</v>
      </c>
      <c r="Q23" s="111"/>
      <c r="R23" s="29"/>
      <c r="S23" s="56"/>
      <c r="T23" s="56"/>
      <c r="U23" s="16"/>
      <c r="V23" s="16"/>
      <c r="W23" s="16"/>
      <c r="X23" s="16"/>
      <c r="Y23" s="56"/>
      <c r="Z23" s="56"/>
      <c r="AA23" s="56"/>
    </row>
    <row r="24" spans="2:27" s="26" customFormat="1" ht="16.2" x14ac:dyDescent="0.3">
      <c r="B24" s="458" t="s">
        <v>332</v>
      </c>
      <c r="C24" s="457"/>
      <c r="D24" s="457"/>
      <c r="E24" s="457"/>
      <c r="F24" s="457"/>
      <c r="G24" s="457"/>
      <c r="H24" s="457"/>
      <c r="I24" s="457"/>
      <c r="J24" s="457"/>
      <c r="K24" s="457"/>
      <c r="L24" s="457"/>
      <c r="M24" s="457"/>
      <c r="N24" s="457"/>
      <c r="O24" s="457"/>
      <c r="P24" s="457"/>
      <c r="Q24" s="457"/>
      <c r="R24" s="29"/>
      <c r="S24" s="56"/>
      <c r="T24" s="56"/>
      <c r="U24" s="16"/>
      <c r="V24" s="16"/>
      <c r="W24" s="16"/>
      <c r="X24" s="16"/>
      <c r="Y24" s="56"/>
      <c r="Z24" s="56"/>
      <c r="AA24" s="56"/>
    </row>
    <row r="25" spans="2:27" s="26" customFormat="1" x14ac:dyDescent="0.3">
      <c r="B25" s="117" t="s">
        <v>333</v>
      </c>
      <c r="C25" s="117" t="s">
        <v>321</v>
      </c>
      <c r="D25" s="117">
        <v>2</v>
      </c>
      <c r="E25" s="117">
        <f t="shared" si="0"/>
        <v>1</v>
      </c>
      <c r="F25" s="117">
        <v>0</v>
      </c>
      <c r="G25" s="117">
        <v>65535</v>
      </c>
      <c r="H25" s="117">
        <v>1</v>
      </c>
      <c r="I25" s="117">
        <v>1</v>
      </c>
      <c r="J25" s="117" t="s">
        <v>322</v>
      </c>
      <c r="K25" s="117">
        <f t="shared" si="1"/>
        <v>123</v>
      </c>
      <c r="L25" s="117">
        <f>L23+E23</f>
        <v>122</v>
      </c>
      <c r="M25" s="117" t="s">
        <v>323</v>
      </c>
      <c r="N25" s="117" t="s">
        <v>327</v>
      </c>
      <c r="O25" s="117">
        <v>0</v>
      </c>
      <c r="P25" s="117"/>
      <c r="Q25" s="110"/>
      <c r="R25" s="29"/>
      <c r="S25" s="56"/>
      <c r="T25" s="56"/>
      <c r="U25" s="16"/>
      <c r="V25" s="16"/>
      <c r="W25" s="16"/>
      <c r="X25" s="16"/>
      <c r="Y25" s="56"/>
      <c r="Z25" s="56"/>
      <c r="AA25" s="56"/>
    </row>
    <row r="26" spans="2:27" s="26" customFormat="1" x14ac:dyDescent="0.3">
      <c r="B26" s="117" t="s">
        <v>334</v>
      </c>
      <c r="C26" s="117" t="s">
        <v>321</v>
      </c>
      <c r="D26" s="117">
        <v>2</v>
      </c>
      <c r="E26" s="117">
        <f t="shared" si="0"/>
        <v>1</v>
      </c>
      <c r="F26" s="117">
        <v>0</v>
      </c>
      <c r="G26" s="117">
        <v>65535</v>
      </c>
      <c r="H26" s="117">
        <v>1</v>
      </c>
      <c r="I26" s="117">
        <v>1</v>
      </c>
      <c r="J26" s="117" t="s">
        <v>322</v>
      </c>
      <c r="K26" s="117">
        <f t="shared" si="1"/>
        <v>124</v>
      </c>
      <c r="L26" s="117">
        <f t="shared" si="2"/>
        <v>123</v>
      </c>
      <c r="M26" s="117" t="s">
        <v>323</v>
      </c>
      <c r="N26" s="117" t="s">
        <v>327</v>
      </c>
      <c r="O26" s="117">
        <v>0</v>
      </c>
      <c r="P26" s="117"/>
      <c r="Q26" s="110"/>
      <c r="R26" s="29"/>
      <c r="S26" s="56"/>
      <c r="T26" s="56"/>
      <c r="U26" s="16"/>
      <c r="V26" s="16"/>
      <c r="W26" s="16"/>
      <c r="X26" s="16"/>
      <c r="Y26" s="56"/>
      <c r="Z26" s="56"/>
      <c r="AA26" s="56"/>
    </row>
    <row r="27" spans="2:27" s="26" customFormat="1" x14ac:dyDescent="0.3">
      <c r="B27" s="117" t="s">
        <v>335</v>
      </c>
      <c r="C27" s="117" t="s">
        <v>326</v>
      </c>
      <c r="D27" s="117">
        <v>4</v>
      </c>
      <c r="E27" s="117">
        <f t="shared" si="0"/>
        <v>2</v>
      </c>
      <c r="F27" s="117">
        <v>0</v>
      </c>
      <c r="G27" s="117">
        <v>4294967295</v>
      </c>
      <c r="H27" s="117">
        <v>1</v>
      </c>
      <c r="I27" s="117">
        <v>1</v>
      </c>
      <c r="J27" s="117" t="s">
        <v>322</v>
      </c>
      <c r="K27" s="117">
        <f t="shared" si="1"/>
        <v>125</v>
      </c>
      <c r="L27" s="117">
        <f t="shared" si="2"/>
        <v>124</v>
      </c>
      <c r="M27" s="117" t="s">
        <v>323</v>
      </c>
      <c r="N27" s="117" t="s">
        <v>327</v>
      </c>
      <c r="O27" s="117">
        <v>0</v>
      </c>
      <c r="P27" s="117"/>
      <c r="Q27" s="110"/>
      <c r="R27" s="29"/>
      <c r="S27" s="56"/>
      <c r="T27" s="56"/>
      <c r="U27" s="16"/>
      <c r="V27" s="16"/>
      <c r="W27" s="16"/>
      <c r="X27" s="16"/>
      <c r="Y27" s="56"/>
      <c r="Z27" s="56"/>
      <c r="AA27" s="56"/>
    </row>
    <row r="28" spans="2:27" s="26" customFormat="1" x14ac:dyDescent="0.3">
      <c r="B28" s="117" t="s">
        <v>336</v>
      </c>
      <c r="C28" s="117" t="s">
        <v>326</v>
      </c>
      <c r="D28" s="117">
        <v>4</v>
      </c>
      <c r="E28" s="117">
        <f t="shared" si="0"/>
        <v>2</v>
      </c>
      <c r="F28" s="117">
        <v>0</v>
      </c>
      <c r="G28" s="117">
        <v>4294967295</v>
      </c>
      <c r="H28" s="117">
        <v>1</v>
      </c>
      <c r="I28" s="117">
        <v>1</v>
      </c>
      <c r="J28" s="117" t="s">
        <v>322</v>
      </c>
      <c r="K28" s="117">
        <f t="shared" si="1"/>
        <v>127</v>
      </c>
      <c r="L28" s="117">
        <f t="shared" si="2"/>
        <v>126</v>
      </c>
      <c r="M28" s="117" t="s">
        <v>323</v>
      </c>
      <c r="N28" s="117" t="s">
        <v>327</v>
      </c>
      <c r="O28" s="117">
        <v>0</v>
      </c>
      <c r="P28" s="117"/>
      <c r="Q28" s="110"/>
      <c r="R28" s="29"/>
      <c r="S28" s="56"/>
      <c r="T28" s="56"/>
      <c r="U28" s="16"/>
      <c r="V28" s="16"/>
      <c r="W28" s="16"/>
      <c r="X28" s="16"/>
      <c r="Y28" s="56"/>
      <c r="Z28" s="56"/>
      <c r="AA28" s="56"/>
    </row>
    <row r="29" spans="2:27" s="26" customFormat="1" x14ac:dyDescent="0.3">
      <c r="B29" s="10" t="s">
        <v>320</v>
      </c>
      <c r="C29" s="10" t="s">
        <v>321</v>
      </c>
      <c r="D29" s="10">
        <v>2</v>
      </c>
      <c r="E29" s="10">
        <f t="shared" si="0"/>
        <v>1</v>
      </c>
      <c r="F29" s="10"/>
      <c r="G29" s="10"/>
      <c r="H29" s="10"/>
      <c r="I29" s="10"/>
      <c r="J29" s="10" t="s">
        <v>322</v>
      </c>
      <c r="K29" s="10">
        <f t="shared" si="1"/>
        <v>129</v>
      </c>
      <c r="L29" s="10">
        <f t="shared" si="2"/>
        <v>128</v>
      </c>
      <c r="M29" s="10" t="s">
        <v>323</v>
      </c>
      <c r="N29" s="10" t="s">
        <v>324</v>
      </c>
      <c r="O29" s="10"/>
      <c r="P29" s="10"/>
      <c r="Q29" s="111"/>
      <c r="R29" s="29"/>
      <c r="S29" s="56"/>
      <c r="T29" s="56"/>
      <c r="U29" s="16"/>
      <c r="V29" s="16"/>
      <c r="W29" s="16"/>
      <c r="X29" s="16"/>
      <c r="Y29" s="56"/>
      <c r="Z29" s="56"/>
      <c r="AA29" s="56"/>
    </row>
    <row r="30" spans="2:27" s="26" customFormat="1" x14ac:dyDescent="0.3">
      <c r="B30" s="10" t="s">
        <v>320</v>
      </c>
      <c r="C30" s="10" t="s">
        <v>321</v>
      </c>
      <c r="D30" s="10">
        <v>2</v>
      </c>
      <c r="E30" s="10">
        <f t="shared" si="0"/>
        <v>1</v>
      </c>
      <c r="F30" s="10"/>
      <c r="G30" s="10"/>
      <c r="H30" s="10"/>
      <c r="I30" s="10"/>
      <c r="J30" s="10" t="s">
        <v>322</v>
      </c>
      <c r="K30" s="10">
        <f t="shared" si="1"/>
        <v>130</v>
      </c>
      <c r="L30" s="10">
        <f>L29+E29</f>
        <v>129</v>
      </c>
      <c r="M30" s="10" t="s">
        <v>323</v>
      </c>
      <c r="N30" s="10" t="s">
        <v>324</v>
      </c>
      <c r="O30" s="10"/>
      <c r="P30" s="10"/>
      <c r="Q30" s="111"/>
      <c r="R30" s="29"/>
      <c r="S30" s="56"/>
      <c r="T30" s="56"/>
      <c r="U30" s="16"/>
      <c r="V30" s="16"/>
      <c r="W30" s="16"/>
      <c r="X30" s="16"/>
      <c r="Y30" s="56"/>
      <c r="Z30" s="56"/>
      <c r="AA30" s="56"/>
    </row>
    <row r="31" spans="2:27" s="26" customFormat="1" x14ac:dyDescent="0.3">
      <c r="B31" s="10" t="s">
        <v>320</v>
      </c>
      <c r="C31" s="10" t="s">
        <v>321</v>
      </c>
      <c r="D31" s="10">
        <v>2</v>
      </c>
      <c r="E31" s="10">
        <f t="shared" si="0"/>
        <v>1</v>
      </c>
      <c r="F31" s="10"/>
      <c r="G31" s="10"/>
      <c r="H31" s="10"/>
      <c r="I31" s="10"/>
      <c r="J31" s="10" t="s">
        <v>322</v>
      </c>
      <c r="K31" s="10">
        <f t="shared" si="1"/>
        <v>131</v>
      </c>
      <c r="L31" s="10">
        <f t="shared" ref="L31:L60" si="3">L30+E30</f>
        <v>130</v>
      </c>
      <c r="M31" s="10" t="s">
        <v>323</v>
      </c>
      <c r="N31" s="10" t="s">
        <v>324</v>
      </c>
      <c r="O31" s="10"/>
      <c r="P31" s="10"/>
      <c r="Q31" s="111"/>
      <c r="R31" s="29"/>
      <c r="S31" s="56"/>
      <c r="T31" s="56"/>
      <c r="U31" s="16"/>
      <c r="V31" s="16"/>
      <c r="W31" s="16"/>
      <c r="X31" s="16"/>
      <c r="Y31" s="56"/>
      <c r="Z31" s="56"/>
      <c r="AA31" s="56"/>
    </row>
    <row r="32" spans="2:27" s="26" customFormat="1" x14ac:dyDescent="0.3">
      <c r="B32" s="10" t="s">
        <v>320</v>
      </c>
      <c r="C32" s="10" t="s">
        <v>321</v>
      </c>
      <c r="D32" s="10">
        <v>2</v>
      </c>
      <c r="E32" s="10">
        <f t="shared" si="0"/>
        <v>1</v>
      </c>
      <c r="F32" s="10"/>
      <c r="G32" s="10"/>
      <c r="H32" s="10"/>
      <c r="I32" s="10"/>
      <c r="J32" s="10" t="s">
        <v>322</v>
      </c>
      <c r="K32" s="10">
        <f t="shared" si="1"/>
        <v>132</v>
      </c>
      <c r="L32" s="10">
        <f t="shared" si="3"/>
        <v>131</v>
      </c>
      <c r="M32" s="10" t="s">
        <v>323</v>
      </c>
      <c r="N32" s="10" t="s">
        <v>324</v>
      </c>
      <c r="O32" s="10"/>
      <c r="P32" s="10"/>
      <c r="Q32" s="111"/>
      <c r="R32" s="29"/>
      <c r="S32" s="56"/>
      <c r="T32" s="56"/>
      <c r="U32" s="16"/>
      <c r="V32" s="16"/>
      <c r="W32" s="16"/>
      <c r="X32" s="16"/>
      <c r="Y32" s="56"/>
      <c r="Z32" s="56"/>
      <c r="AA32" s="56"/>
    </row>
    <row r="33" spans="2:27" s="26" customFormat="1" x14ac:dyDescent="0.3">
      <c r="B33" s="10" t="s">
        <v>320</v>
      </c>
      <c r="C33" s="10" t="s">
        <v>321</v>
      </c>
      <c r="D33" s="10">
        <v>2</v>
      </c>
      <c r="E33" s="10">
        <f t="shared" si="0"/>
        <v>1</v>
      </c>
      <c r="F33" s="10"/>
      <c r="G33" s="10"/>
      <c r="H33" s="10"/>
      <c r="I33" s="10"/>
      <c r="J33" s="10" t="s">
        <v>322</v>
      </c>
      <c r="K33" s="10">
        <f t="shared" si="1"/>
        <v>133</v>
      </c>
      <c r="L33" s="10">
        <f t="shared" si="3"/>
        <v>132</v>
      </c>
      <c r="M33" s="10" t="s">
        <v>323</v>
      </c>
      <c r="N33" s="10" t="s">
        <v>324</v>
      </c>
      <c r="O33" s="10"/>
      <c r="P33" s="10"/>
      <c r="Q33" s="110"/>
      <c r="R33" s="29"/>
      <c r="S33" s="56"/>
      <c r="T33" s="56"/>
      <c r="U33" s="16"/>
      <c r="V33" s="16"/>
      <c r="W33" s="16"/>
      <c r="X33" s="16"/>
      <c r="Y33" s="56"/>
      <c r="Z33" s="56"/>
      <c r="AA33" s="56"/>
    </row>
    <row r="34" spans="2:27" s="26" customFormat="1" ht="15.75" customHeight="1" x14ac:dyDescent="0.3">
      <c r="B34" s="10" t="s">
        <v>320</v>
      </c>
      <c r="C34" s="10" t="s">
        <v>321</v>
      </c>
      <c r="D34" s="10">
        <v>2</v>
      </c>
      <c r="E34" s="10">
        <f t="shared" si="0"/>
        <v>1</v>
      </c>
      <c r="F34" s="10"/>
      <c r="G34" s="10"/>
      <c r="H34" s="10"/>
      <c r="I34" s="10"/>
      <c r="J34" s="10" t="s">
        <v>322</v>
      </c>
      <c r="K34" s="10">
        <f t="shared" si="1"/>
        <v>134</v>
      </c>
      <c r="L34" s="10">
        <f t="shared" si="3"/>
        <v>133</v>
      </c>
      <c r="M34" s="10" t="s">
        <v>323</v>
      </c>
      <c r="N34" s="10" t="s">
        <v>324</v>
      </c>
      <c r="O34" s="10"/>
      <c r="P34" s="10"/>
      <c r="Q34" s="111"/>
      <c r="R34" s="29"/>
      <c r="S34" s="56"/>
      <c r="T34" s="56"/>
      <c r="U34" s="16"/>
      <c r="V34" s="16"/>
      <c r="W34" s="16"/>
      <c r="X34" s="16"/>
      <c r="Y34" s="56"/>
      <c r="Z34" s="56"/>
      <c r="AA34" s="56"/>
    </row>
    <row r="35" spans="2:27" s="26" customFormat="1" x14ac:dyDescent="0.3">
      <c r="B35" s="10" t="s">
        <v>320</v>
      </c>
      <c r="C35" s="10" t="s">
        <v>321</v>
      </c>
      <c r="D35" s="10">
        <v>2</v>
      </c>
      <c r="E35" s="10">
        <f t="shared" si="0"/>
        <v>1</v>
      </c>
      <c r="F35" s="10"/>
      <c r="G35" s="10"/>
      <c r="H35" s="10"/>
      <c r="I35" s="10"/>
      <c r="J35" s="10" t="s">
        <v>322</v>
      </c>
      <c r="K35" s="10">
        <f t="shared" si="1"/>
        <v>135</v>
      </c>
      <c r="L35" s="10">
        <f t="shared" si="3"/>
        <v>134</v>
      </c>
      <c r="M35" s="10" t="s">
        <v>323</v>
      </c>
      <c r="N35" s="10" t="s">
        <v>324</v>
      </c>
      <c r="O35" s="10"/>
      <c r="P35" s="10"/>
      <c r="Q35" s="111"/>
      <c r="R35" s="29"/>
      <c r="S35" s="56"/>
      <c r="T35" s="56"/>
      <c r="U35" s="16"/>
      <c r="V35" s="16"/>
      <c r="W35" s="16"/>
      <c r="X35" s="16"/>
      <c r="Y35" s="56"/>
      <c r="Z35" s="56"/>
      <c r="AA35" s="56"/>
    </row>
    <row r="36" spans="2:27" s="26" customFormat="1" x14ac:dyDescent="0.3">
      <c r="B36" s="10" t="s">
        <v>320</v>
      </c>
      <c r="C36" s="10" t="s">
        <v>321</v>
      </c>
      <c r="D36" s="10">
        <v>2</v>
      </c>
      <c r="E36" s="10">
        <f t="shared" si="0"/>
        <v>1</v>
      </c>
      <c r="F36" s="10"/>
      <c r="G36" s="10"/>
      <c r="H36" s="10"/>
      <c r="I36" s="10"/>
      <c r="J36" s="10" t="s">
        <v>322</v>
      </c>
      <c r="K36" s="10">
        <f t="shared" si="1"/>
        <v>136</v>
      </c>
      <c r="L36" s="10">
        <f t="shared" si="3"/>
        <v>135</v>
      </c>
      <c r="M36" s="10" t="s">
        <v>323</v>
      </c>
      <c r="N36" s="10" t="s">
        <v>324</v>
      </c>
      <c r="O36" s="10"/>
      <c r="P36" s="10"/>
      <c r="Q36" s="110"/>
      <c r="R36" s="29"/>
      <c r="S36" s="56"/>
      <c r="T36" s="56"/>
      <c r="U36" s="16"/>
      <c r="V36" s="16"/>
      <c r="W36" s="16"/>
      <c r="X36" s="16"/>
      <c r="Y36" s="56"/>
      <c r="Z36" s="56"/>
      <c r="AA36" s="56"/>
    </row>
    <row r="37" spans="2:27" s="26" customFormat="1" x14ac:dyDescent="0.3">
      <c r="B37" s="10" t="s">
        <v>320</v>
      </c>
      <c r="C37" s="10" t="s">
        <v>321</v>
      </c>
      <c r="D37" s="10">
        <v>2</v>
      </c>
      <c r="E37" s="10">
        <f t="shared" si="0"/>
        <v>1</v>
      </c>
      <c r="F37" s="10"/>
      <c r="G37" s="10"/>
      <c r="H37" s="10"/>
      <c r="I37" s="64"/>
      <c r="J37" s="10" t="s">
        <v>322</v>
      </c>
      <c r="K37" s="10">
        <f t="shared" si="1"/>
        <v>137</v>
      </c>
      <c r="L37" s="10">
        <f t="shared" si="3"/>
        <v>136</v>
      </c>
      <c r="M37" s="10" t="s">
        <v>323</v>
      </c>
      <c r="N37" s="10" t="s">
        <v>324</v>
      </c>
      <c r="O37" s="10"/>
      <c r="P37" s="10"/>
      <c r="Q37" s="111"/>
      <c r="R37" s="29"/>
      <c r="S37" s="56"/>
      <c r="T37" s="56"/>
      <c r="U37" s="16"/>
      <c r="V37" s="16"/>
      <c r="W37" s="16"/>
      <c r="X37" s="16"/>
      <c r="Y37" s="56"/>
      <c r="Z37" s="56"/>
      <c r="AA37" s="56"/>
    </row>
    <row r="38" spans="2:27" s="26" customFormat="1" x14ac:dyDescent="0.3">
      <c r="B38" s="10" t="s">
        <v>320</v>
      </c>
      <c r="C38" s="10" t="s">
        <v>321</v>
      </c>
      <c r="D38" s="10">
        <v>2</v>
      </c>
      <c r="E38" s="10">
        <f t="shared" si="0"/>
        <v>1</v>
      </c>
      <c r="F38" s="10"/>
      <c r="G38" s="10"/>
      <c r="H38" s="10"/>
      <c r="I38" s="10"/>
      <c r="J38" s="10" t="s">
        <v>322</v>
      </c>
      <c r="K38" s="10">
        <f t="shared" si="1"/>
        <v>138</v>
      </c>
      <c r="L38" s="10">
        <f t="shared" si="3"/>
        <v>137</v>
      </c>
      <c r="M38" s="10" t="s">
        <v>323</v>
      </c>
      <c r="N38" s="10" t="s">
        <v>324</v>
      </c>
      <c r="O38" s="10"/>
      <c r="P38" s="10"/>
      <c r="Q38" s="110"/>
      <c r="R38" s="29"/>
      <c r="S38" s="56"/>
      <c r="T38" s="56"/>
      <c r="U38" s="16"/>
      <c r="V38" s="16"/>
      <c r="W38" s="16"/>
      <c r="X38" s="16"/>
      <c r="Y38" s="56"/>
      <c r="Z38" s="56"/>
      <c r="AA38" s="56"/>
    </row>
    <row r="39" spans="2:27" s="26" customFormat="1" x14ac:dyDescent="0.3">
      <c r="B39" s="10" t="s">
        <v>320</v>
      </c>
      <c r="C39" s="10" t="s">
        <v>321</v>
      </c>
      <c r="D39" s="10">
        <v>2</v>
      </c>
      <c r="E39" s="10">
        <f t="shared" si="0"/>
        <v>1</v>
      </c>
      <c r="F39" s="10"/>
      <c r="G39" s="10"/>
      <c r="H39" s="10"/>
      <c r="I39" s="64"/>
      <c r="J39" s="10" t="s">
        <v>322</v>
      </c>
      <c r="K39" s="10">
        <f t="shared" si="1"/>
        <v>139</v>
      </c>
      <c r="L39" s="10">
        <f t="shared" si="3"/>
        <v>138</v>
      </c>
      <c r="M39" s="10" t="s">
        <v>323</v>
      </c>
      <c r="N39" s="10" t="s">
        <v>324</v>
      </c>
      <c r="O39" s="10"/>
      <c r="P39" s="10"/>
      <c r="Q39" s="111"/>
      <c r="R39" s="29"/>
      <c r="S39" s="56"/>
      <c r="T39" s="56"/>
      <c r="U39" s="16"/>
      <c r="V39" s="16"/>
      <c r="W39" s="16"/>
      <c r="X39" s="16"/>
      <c r="Y39" s="56"/>
      <c r="Z39" s="56"/>
      <c r="AA39" s="56"/>
    </row>
    <row r="40" spans="2:27" s="26" customFormat="1" x14ac:dyDescent="0.3">
      <c r="B40" s="10" t="s">
        <v>320</v>
      </c>
      <c r="C40" s="10" t="s">
        <v>321</v>
      </c>
      <c r="D40" s="10">
        <v>2</v>
      </c>
      <c r="E40" s="10">
        <f t="shared" si="0"/>
        <v>1</v>
      </c>
      <c r="F40" s="10"/>
      <c r="G40" s="10"/>
      <c r="H40" s="10"/>
      <c r="I40" s="10"/>
      <c r="J40" s="10" t="s">
        <v>322</v>
      </c>
      <c r="K40" s="10">
        <f t="shared" si="1"/>
        <v>140</v>
      </c>
      <c r="L40" s="10">
        <f t="shared" si="3"/>
        <v>139</v>
      </c>
      <c r="M40" s="10" t="s">
        <v>323</v>
      </c>
      <c r="N40" s="10" t="s">
        <v>324</v>
      </c>
      <c r="O40" s="10"/>
      <c r="P40" s="10"/>
      <c r="Q40" s="110"/>
      <c r="R40" s="29"/>
      <c r="S40" s="56"/>
      <c r="T40" s="56"/>
      <c r="U40" s="16"/>
      <c r="V40" s="16"/>
      <c r="W40" s="16"/>
      <c r="X40" s="16"/>
      <c r="Y40" s="56"/>
      <c r="Z40" s="56"/>
      <c r="AA40" s="56"/>
    </row>
    <row r="41" spans="2:27" s="26" customFormat="1" x14ac:dyDescent="0.3">
      <c r="B41" s="10" t="s">
        <v>320</v>
      </c>
      <c r="C41" s="10" t="s">
        <v>321</v>
      </c>
      <c r="D41" s="10">
        <v>2</v>
      </c>
      <c r="E41" s="10">
        <f t="shared" si="0"/>
        <v>1</v>
      </c>
      <c r="F41" s="10"/>
      <c r="G41" s="10"/>
      <c r="H41" s="10"/>
      <c r="I41" s="10"/>
      <c r="J41" s="10" t="s">
        <v>322</v>
      </c>
      <c r="K41" s="10">
        <f t="shared" si="1"/>
        <v>141</v>
      </c>
      <c r="L41" s="10">
        <f t="shared" si="3"/>
        <v>140</v>
      </c>
      <c r="M41" s="10" t="s">
        <v>323</v>
      </c>
      <c r="N41" s="10" t="s">
        <v>324</v>
      </c>
      <c r="O41" s="10"/>
      <c r="P41" s="10"/>
      <c r="Q41" s="111"/>
      <c r="R41" s="29"/>
      <c r="S41" s="56"/>
      <c r="T41" s="56"/>
      <c r="U41" s="16"/>
      <c r="V41" s="16"/>
      <c r="W41" s="16"/>
      <c r="X41" s="16"/>
      <c r="Y41" s="56"/>
      <c r="Z41" s="56"/>
      <c r="AA41" s="56"/>
    </row>
    <row r="42" spans="2:27" s="26" customFormat="1" x14ac:dyDescent="0.3">
      <c r="B42" s="10" t="s">
        <v>320</v>
      </c>
      <c r="C42" s="10" t="s">
        <v>321</v>
      </c>
      <c r="D42" s="10">
        <v>2</v>
      </c>
      <c r="E42" s="10">
        <f t="shared" si="0"/>
        <v>1</v>
      </c>
      <c r="F42" s="10"/>
      <c r="G42" s="10"/>
      <c r="H42" s="10"/>
      <c r="I42" s="10"/>
      <c r="J42" s="10" t="s">
        <v>322</v>
      </c>
      <c r="K42" s="10">
        <f t="shared" si="1"/>
        <v>142</v>
      </c>
      <c r="L42" s="10">
        <f t="shared" si="3"/>
        <v>141</v>
      </c>
      <c r="M42" s="10" t="s">
        <v>323</v>
      </c>
      <c r="N42" s="10" t="s">
        <v>324</v>
      </c>
      <c r="O42" s="10"/>
      <c r="P42" s="10"/>
      <c r="Q42" s="111"/>
      <c r="R42" s="29"/>
      <c r="S42" s="56"/>
      <c r="T42" s="56"/>
      <c r="U42" s="16"/>
      <c r="V42" s="16"/>
      <c r="W42" s="16"/>
      <c r="X42" s="16"/>
      <c r="Y42" s="56"/>
      <c r="Z42" s="56"/>
      <c r="AA42" s="56"/>
    </row>
    <row r="43" spans="2:27" s="26" customFormat="1" x14ac:dyDescent="0.3">
      <c r="B43" s="10" t="s">
        <v>320</v>
      </c>
      <c r="C43" s="10" t="s">
        <v>321</v>
      </c>
      <c r="D43" s="10">
        <v>2</v>
      </c>
      <c r="E43" s="10">
        <f t="shared" si="0"/>
        <v>1</v>
      </c>
      <c r="F43" s="10"/>
      <c r="G43" s="10"/>
      <c r="H43" s="10"/>
      <c r="I43" s="10"/>
      <c r="J43" s="10" t="s">
        <v>322</v>
      </c>
      <c r="K43" s="10">
        <f t="shared" si="1"/>
        <v>143</v>
      </c>
      <c r="L43" s="10">
        <f t="shared" si="3"/>
        <v>142</v>
      </c>
      <c r="M43" s="10" t="s">
        <v>323</v>
      </c>
      <c r="N43" s="10" t="s">
        <v>324</v>
      </c>
      <c r="O43" s="10"/>
      <c r="P43" s="10"/>
      <c r="Q43" s="111"/>
      <c r="R43" s="29"/>
      <c r="S43" s="56"/>
      <c r="T43" s="56"/>
      <c r="U43" s="16"/>
      <c r="V43" s="16"/>
      <c r="W43" s="16"/>
      <c r="X43" s="16"/>
      <c r="Y43" s="56"/>
      <c r="Z43" s="56"/>
      <c r="AA43" s="56"/>
    </row>
    <row r="44" spans="2:27" s="26" customFormat="1" x14ac:dyDescent="0.3">
      <c r="B44" s="117" t="s">
        <v>337</v>
      </c>
      <c r="C44" s="117" t="s">
        <v>326</v>
      </c>
      <c r="D44" s="117">
        <v>4</v>
      </c>
      <c r="E44" s="117">
        <f t="shared" si="0"/>
        <v>2</v>
      </c>
      <c r="F44" s="117">
        <v>0</v>
      </c>
      <c r="G44" s="117">
        <v>4294967295</v>
      </c>
      <c r="H44" s="117">
        <v>1</v>
      </c>
      <c r="I44" s="117">
        <v>1</v>
      </c>
      <c r="J44" s="117" t="s">
        <v>322</v>
      </c>
      <c r="K44" s="117">
        <f t="shared" si="1"/>
        <v>144</v>
      </c>
      <c r="L44" s="117">
        <f t="shared" si="3"/>
        <v>143</v>
      </c>
      <c r="M44" s="117" t="s">
        <v>323</v>
      </c>
      <c r="N44" s="117" t="s">
        <v>327</v>
      </c>
      <c r="O44" s="117">
        <v>0</v>
      </c>
      <c r="P44" s="117" t="s">
        <v>338</v>
      </c>
      <c r="Q44" s="110"/>
      <c r="R44" s="29"/>
      <c r="S44" s="56"/>
      <c r="T44" s="56"/>
      <c r="U44" s="16"/>
      <c r="V44" s="16"/>
      <c r="W44" s="16"/>
      <c r="X44" s="16"/>
      <c r="Y44" s="56"/>
      <c r="Z44" s="56"/>
      <c r="AA44" s="56"/>
    </row>
    <row r="45" spans="2:27" s="26" customFormat="1" x14ac:dyDescent="0.3">
      <c r="B45" s="117" t="s">
        <v>339</v>
      </c>
      <c r="C45" s="117" t="s">
        <v>326</v>
      </c>
      <c r="D45" s="117">
        <v>4</v>
      </c>
      <c r="E45" s="117">
        <f t="shared" si="0"/>
        <v>2</v>
      </c>
      <c r="F45" s="117">
        <v>0</v>
      </c>
      <c r="G45" s="117">
        <v>4294967295</v>
      </c>
      <c r="H45" s="117">
        <v>1</v>
      </c>
      <c r="I45" s="117">
        <v>1</v>
      </c>
      <c r="J45" s="117" t="s">
        <v>322</v>
      </c>
      <c r="K45" s="117">
        <f t="shared" si="1"/>
        <v>146</v>
      </c>
      <c r="L45" s="117">
        <f t="shared" si="3"/>
        <v>145</v>
      </c>
      <c r="M45" s="117" t="s">
        <v>323</v>
      </c>
      <c r="N45" s="117" t="s">
        <v>327</v>
      </c>
      <c r="O45" s="117">
        <v>0</v>
      </c>
      <c r="P45" s="117" t="s">
        <v>340</v>
      </c>
      <c r="Q45" s="110"/>
      <c r="R45" s="29"/>
      <c r="S45" s="56"/>
      <c r="T45" s="56"/>
      <c r="U45" s="16"/>
      <c r="V45" s="16"/>
      <c r="W45" s="16"/>
      <c r="X45" s="16"/>
      <c r="Y45" s="56"/>
      <c r="Z45" s="56"/>
      <c r="AA45" s="56"/>
    </row>
    <row r="46" spans="2:27" s="26" customFormat="1" x14ac:dyDescent="0.3">
      <c r="B46" s="10" t="s">
        <v>320</v>
      </c>
      <c r="C46" s="10" t="s">
        <v>321</v>
      </c>
      <c r="D46" s="10">
        <v>2</v>
      </c>
      <c r="E46" s="10">
        <f t="shared" si="0"/>
        <v>1</v>
      </c>
      <c r="F46" s="10"/>
      <c r="G46" s="10"/>
      <c r="H46" s="10"/>
      <c r="I46" s="10"/>
      <c r="J46" s="10" t="s">
        <v>322</v>
      </c>
      <c r="K46" s="10">
        <f t="shared" si="1"/>
        <v>148</v>
      </c>
      <c r="L46" s="10">
        <f t="shared" si="3"/>
        <v>147</v>
      </c>
      <c r="M46" s="10" t="s">
        <v>323</v>
      </c>
      <c r="N46" s="10" t="s">
        <v>324</v>
      </c>
      <c r="O46" s="10"/>
      <c r="P46" s="10"/>
      <c r="Q46" s="110"/>
      <c r="R46" s="29"/>
      <c r="S46" s="56"/>
      <c r="T46" s="56"/>
      <c r="U46" s="16"/>
      <c r="V46" s="16"/>
      <c r="W46" s="16"/>
      <c r="X46" s="16"/>
      <c r="Y46" s="56"/>
      <c r="Z46" s="56"/>
      <c r="AA46" s="56"/>
    </row>
    <row r="47" spans="2:27" s="26" customFormat="1" ht="15.75" customHeight="1" x14ac:dyDescent="0.3">
      <c r="B47" s="10" t="s">
        <v>320</v>
      </c>
      <c r="C47" s="10" t="s">
        <v>321</v>
      </c>
      <c r="D47" s="10">
        <v>2</v>
      </c>
      <c r="E47" s="10">
        <f t="shared" si="0"/>
        <v>1</v>
      </c>
      <c r="F47" s="10"/>
      <c r="G47" s="10"/>
      <c r="H47" s="10"/>
      <c r="I47" s="10"/>
      <c r="J47" s="10" t="s">
        <v>322</v>
      </c>
      <c r="K47" s="10">
        <f t="shared" si="1"/>
        <v>149</v>
      </c>
      <c r="L47" s="10">
        <f t="shared" si="3"/>
        <v>148</v>
      </c>
      <c r="M47" s="10" t="s">
        <v>323</v>
      </c>
      <c r="N47" s="10" t="s">
        <v>324</v>
      </c>
      <c r="O47" s="10"/>
      <c r="P47" s="10"/>
      <c r="Q47" s="111"/>
      <c r="R47" s="29"/>
      <c r="S47" s="56"/>
      <c r="T47" s="56"/>
      <c r="U47" s="16"/>
      <c r="V47" s="16"/>
      <c r="W47" s="16"/>
      <c r="X47" s="16"/>
      <c r="Y47" s="56"/>
      <c r="Z47" s="56"/>
      <c r="AA47" s="56"/>
    </row>
    <row r="48" spans="2:27" s="26" customFormat="1" ht="16.2" thickBot="1" x14ac:dyDescent="0.35">
      <c r="B48" s="10" t="s">
        <v>320</v>
      </c>
      <c r="C48" s="10" t="s">
        <v>321</v>
      </c>
      <c r="D48" s="10">
        <v>2</v>
      </c>
      <c r="E48" s="10">
        <f t="shared" si="0"/>
        <v>1</v>
      </c>
      <c r="F48" s="10"/>
      <c r="G48" s="10"/>
      <c r="H48" s="10"/>
      <c r="I48" s="10"/>
      <c r="J48" s="10" t="s">
        <v>322</v>
      </c>
      <c r="K48" s="10">
        <f t="shared" si="1"/>
        <v>150</v>
      </c>
      <c r="L48" s="10">
        <f t="shared" si="3"/>
        <v>149</v>
      </c>
      <c r="M48" s="10" t="s">
        <v>323</v>
      </c>
      <c r="N48" s="10" t="s">
        <v>324</v>
      </c>
      <c r="O48" s="10"/>
      <c r="P48" s="10"/>
      <c r="Q48" s="111"/>
      <c r="R48" s="29"/>
      <c r="S48" s="56"/>
      <c r="T48" s="56"/>
      <c r="U48" s="16"/>
      <c r="V48" s="16"/>
      <c r="W48" s="16"/>
      <c r="X48" s="16"/>
      <c r="Y48" s="56"/>
      <c r="Z48" s="56"/>
      <c r="AA48" s="56"/>
    </row>
    <row r="49" spans="2:27" s="26" customFormat="1" ht="16.2" x14ac:dyDescent="0.3">
      <c r="B49" s="456" t="s">
        <v>341</v>
      </c>
      <c r="C49" s="457"/>
      <c r="D49" s="457"/>
      <c r="E49" s="457"/>
      <c r="F49" s="457"/>
      <c r="G49" s="457"/>
      <c r="H49" s="457"/>
      <c r="I49" s="457"/>
      <c r="J49" s="457"/>
      <c r="K49" s="457"/>
      <c r="L49" s="457"/>
      <c r="M49" s="457"/>
      <c r="N49" s="457"/>
      <c r="O49" s="457"/>
      <c r="P49" s="457"/>
      <c r="Q49" s="457"/>
      <c r="R49" s="29"/>
      <c r="S49" s="56"/>
      <c r="T49" s="56"/>
      <c r="U49" s="16"/>
      <c r="V49" s="16"/>
      <c r="W49" s="16"/>
      <c r="X49" s="16"/>
      <c r="Y49" s="56"/>
      <c r="Z49" s="56"/>
      <c r="AA49" s="56"/>
    </row>
    <row r="50" spans="2:27" s="26" customFormat="1" x14ac:dyDescent="0.3">
      <c r="B50" s="10" t="s">
        <v>342</v>
      </c>
      <c r="C50" s="10" t="s">
        <v>321</v>
      </c>
      <c r="D50" s="10">
        <v>60</v>
      </c>
      <c r="E50" s="10">
        <f t="shared" si="0"/>
        <v>30</v>
      </c>
      <c r="F50" s="10"/>
      <c r="G50" s="10"/>
      <c r="H50" s="10"/>
      <c r="I50" s="10"/>
      <c r="J50" s="10" t="s">
        <v>322</v>
      </c>
      <c r="K50" s="10">
        <f t="shared" si="1"/>
        <v>151</v>
      </c>
      <c r="L50" s="10">
        <f>L48+E48</f>
        <v>150</v>
      </c>
      <c r="M50" s="10" t="s">
        <v>323</v>
      </c>
      <c r="N50" s="10" t="s">
        <v>324</v>
      </c>
      <c r="O50" s="10"/>
      <c r="P50" s="10"/>
      <c r="Q50" s="377" t="s">
        <v>343</v>
      </c>
      <c r="R50" s="29"/>
      <c r="S50" s="56"/>
      <c r="T50" s="56"/>
      <c r="U50" s="16"/>
      <c r="V50" s="16"/>
      <c r="W50" s="16"/>
      <c r="X50" s="16"/>
      <c r="Y50" s="56"/>
      <c r="Z50" s="56"/>
      <c r="AA50" s="56"/>
    </row>
    <row r="51" spans="2:27" s="26" customFormat="1" x14ac:dyDescent="0.3">
      <c r="B51" s="10" t="s">
        <v>344</v>
      </c>
      <c r="C51" s="10" t="s">
        <v>321</v>
      </c>
      <c r="D51" s="10">
        <v>60</v>
      </c>
      <c r="E51" s="10">
        <f t="shared" si="0"/>
        <v>30</v>
      </c>
      <c r="F51" s="10"/>
      <c r="G51" s="10"/>
      <c r="H51" s="10"/>
      <c r="I51" s="10"/>
      <c r="J51" s="10" t="s">
        <v>322</v>
      </c>
      <c r="K51" s="10">
        <f t="shared" si="1"/>
        <v>181</v>
      </c>
      <c r="L51" s="10">
        <f>L50+E50</f>
        <v>180</v>
      </c>
      <c r="M51" s="10" t="s">
        <v>323</v>
      </c>
      <c r="N51" s="10" t="s">
        <v>324</v>
      </c>
      <c r="O51" s="10"/>
      <c r="P51" s="10"/>
      <c r="Q51" s="377" t="s">
        <v>343</v>
      </c>
      <c r="R51" s="29"/>
      <c r="S51" s="56"/>
      <c r="T51" s="56"/>
      <c r="U51" s="16"/>
      <c r="V51" s="16"/>
      <c r="W51" s="16"/>
      <c r="X51" s="16"/>
      <c r="Y51" s="56"/>
      <c r="Z51" s="56"/>
      <c r="AA51" s="56"/>
    </row>
    <row r="52" spans="2:27" s="26" customFormat="1" x14ac:dyDescent="0.3">
      <c r="B52" s="10" t="s">
        <v>345</v>
      </c>
      <c r="C52" s="10" t="s">
        <v>321</v>
      </c>
      <c r="D52" s="10">
        <v>60</v>
      </c>
      <c r="E52" s="10">
        <f t="shared" si="0"/>
        <v>30</v>
      </c>
      <c r="F52" s="10"/>
      <c r="G52" s="10"/>
      <c r="H52" s="10"/>
      <c r="I52" s="10"/>
      <c r="J52" s="10" t="s">
        <v>322</v>
      </c>
      <c r="K52" s="10">
        <f t="shared" si="1"/>
        <v>211</v>
      </c>
      <c r="L52" s="10">
        <f>L51+E51</f>
        <v>210</v>
      </c>
      <c r="M52" s="10" t="s">
        <v>323</v>
      </c>
      <c r="N52" s="10" t="s">
        <v>324</v>
      </c>
      <c r="O52" s="10"/>
      <c r="P52" s="10"/>
      <c r="Q52" s="377" t="s">
        <v>343</v>
      </c>
      <c r="R52" s="29"/>
      <c r="S52" s="56"/>
      <c r="T52" s="56"/>
      <c r="U52" s="16"/>
      <c r="V52" s="16"/>
      <c r="W52" s="16"/>
      <c r="X52" s="16"/>
      <c r="Y52" s="56"/>
      <c r="Z52" s="56"/>
      <c r="AA52" s="56"/>
    </row>
    <row r="53" spans="2:27" s="26" customFormat="1" x14ac:dyDescent="0.3">
      <c r="B53" s="10" t="s">
        <v>346</v>
      </c>
      <c r="C53" s="10" t="s">
        <v>321</v>
      </c>
      <c r="D53" s="10">
        <v>60</v>
      </c>
      <c r="E53" s="10">
        <f t="shared" si="0"/>
        <v>30</v>
      </c>
      <c r="F53" s="10"/>
      <c r="G53" s="10"/>
      <c r="H53" s="10"/>
      <c r="I53" s="10"/>
      <c r="J53" s="10" t="s">
        <v>322</v>
      </c>
      <c r="K53" s="10">
        <f t="shared" si="1"/>
        <v>241</v>
      </c>
      <c r="L53" s="10">
        <f>L52+E52</f>
        <v>240</v>
      </c>
      <c r="M53" s="10" t="s">
        <v>323</v>
      </c>
      <c r="N53" s="10" t="s">
        <v>324</v>
      </c>
      <c r="O53" s="10"/>
      <c r="P53" s="10"/>
      <c r="Q53" s="377" t="s">
        <v>343</v>
      </c>
      <c r="R53" s="29"/>
      <c r="S53" s="56"/>
      <c r="T53" s="56"/>
      <c r="U53" s="16"/>
      <c r="V53" s="16"/>
      <c r="W53" s="16"/>
      <c r="X53" s="16"/>
      <c r="Y53" s="56"/>
      <c r="Z53" s="56"/>
      <c r="AA53" s="56"/>
    </row>
    <row r="54" spans="2:27" s="26" customFormat="1" ht="16.2" thickBot="1" x14ac:dyDescent="0.35">
      <c r="B54" s="10" t="s">
        <v>347</v>
      </c>
      <c r="C54" s="10" t="s">
        <v>321</v>
      </c>
      <c r="D54" s="10">
        <v>60</v>
      </c>
      <c r="E54" s="10">
        <f t="shared" si="0"/>
        <v>30</v>
      </c>
      <c r="F54" s="10"/>
      <c r="G54" s="10"/>
      <c r="H54" s="10"/>
      <c r="I54" s="10"/>
      <c r="J54" s="10" t="s">
        <v>322</v>
      </c>
      <c r="K54" s="10">
        <f t="shared" si="1"/>
        <v>271</v>
      </c>
      <c r="L54" s="10">
        <f>L53+E53</f>
        <v>270</v>
      </c>
      <c r="M54" s="10" t="s">
        <v>323</v>
      </c>
      <c r="N54" s="10" t="s">
        <v>324</v>
      </c>
      <c r="O54" s="10"/>
      <c r="P54" s="10"/>
      <c r="Q54" s="377" t="s">
        <v>343</v>
      </c>
      <c r="R54" s="29"/>
      <c r="S54" s="56"/>
      <c r="T54" s="56"/>
      <c r="U54" s="16"/>
      <c r="V54" s="16"/>
      <c r="W54" s="16"/>
      <c r="X54" s="16"/>
      <c r="Y54" s="56"/>
      <c r="Z54" s="56"/>
      <c r="AA54" s="56"/>
    </row>
    <row r="55" spans="2:27" s="26" customFormat="1" ht="16.2" x14ac:dyDescent="0.3">
      <c r="B55" s="456" t="s">
        <v>348</v>
      </c>
      <c r="C55" s="457"/>
      <c r="D55" s="457"/>
      <c r="E55" s="457"/>
      <c r="F55" s="457"/>
      <c r="G55" s="457"/>
      <c r="H55" s="457"/>
      <c r="I55" s="457"/>
      <c r="J55" s="457"/>
      <c r="K55" s="457"/>
      <c r="L55" s="457"/>
      <c r="M55" s="457"/>
      <c r="N55" s="457"/>
      <c r="O55" s="457"/>
      <c r="P55" s="457"/>
      <c r="Q55" s="457"/>
      <c r="R55" s="29"/>
      <c r="S55" s="56"/>
      <c r="T55" s="56"/>
      <c r="U55" s="16"/>
      <c r="V55" s="16"/>
      <c r="W55" s="16"/>
      <c r="X55" s="16"/>
      <c r="Y55" s="56"/>
      <c r="Z55" s="56"/>
      <c r="AA55" s="56"/>
    </row>
    <row r="56" spans="2:27" s="26" customFormat="1" x14ac:dyDescent="0.3">
      <c r="B56" s="10" t="s">
        <v>349</v>
      </c>
      <c r="C56" s="10" t="s">
        <v>321</v>
      </c>
      <c r="D56" s="10">
        <v>60</v>
      </c>
      <c r="E56" s="10">
        <f t="shared" si="0"/>
        <v>30</v>
      </c>
      <c r="F56" s="10"/>
      <c r="G56" s="10"/>
      <c r="H56" s="10"/>
      <c r="I56" s="64"/>
      <c r="J56" s="10" t="s">
        <v>322</v>
      </c>
      <c r="K56" s="10">
        <f t="shared" si="1"/>
        <v>301</v>
      </c>
      <c r="L56" s="10">
        <f>L54+E54</f>
        <v>300</v>
      </c>
      <c r="M56" s="10" t="s">
        <v>323</v>
      </c>
      <c r="N56" s="10" t="s">
        <v>324</v>
      </c>
      <c r="O56" s="10"/>
      <c r="P56" s="10"/>
      <c r="Q56" s="385" t="s">
        <v>350</v>
      </c>
      <c r="R56" s="29"/>
      <c r="S56" s="56"/>
      <c r="T56" s="56"/>
      <c r="U56" s="16"/>
      <c r="V56" s="16"/>
      <c r="W56" s="16"/>
      <c r="X56" s="16"/>
      <c r="Y56" s="56"/>
      <c r="Z56" s="56"/>
      <c r="AA56" s="56"/>
    </row>
    <row r="57" spans="2:27" s="26" customFormat="1" x14ac:dyDescent="0.3">
      <c r="B57" s="10" t="s">
        <v>351</v>
      </c>
      <c r="C57" s="10" t="s">
        <v>321</v>
      </c>
      <c r="D57" s="10">
        <v>60</v>
      </c>
      <c r="E57" s="10">
        <f t="shared" si="0"/>
        <v>30</v>
      </c>
      <c r="F57" s="10"/>
      <c r="G57" s="10"/>
      <c r="H57" s="10"/>
      <c r="I57" s="10"/>
      <c r="J57" s="10" t="s">
        <v>322</v>
      </c>
      <c r="K57" s="10">
        <f t="shared" si="1"/>
        <v>331</v>
      </c>
      <c r="L57" s="10">
        <f t="shared" si="3"/>
        <v>330</v>
      </c>
      <c r="M57" s="10" t="s">
        <v>323</v>
      </c>
      <c r="N57" s="10" t="s">
        <v>324</v>
      </c>
      <c r="O57" s="10"/>
      <c r="P57" s="10"/>
      <c r="Q57" s="385" t="s">
        <v>350</v>
      </c>
      <c r="R57" s="29"/>
      <c r="S57" s="56"/>
      <c r="T57" s="56"/>
      <c r="U57" s="16"/>
      <c r="V57" s="16"/>
      <c r="W57" s="16"/>
      <c r="X57" s="16"/>
      <c r="Y57" s="56"/>
      <c r="Z57" s="56"/>
      <c r="AA57" s="56"/>
    </row>
    <row r="58" spans="2:27" s="26" customFormat="1" x14ac:dyDescent="0.3">
      <c r="B58" s="10" t="s">
        <v>352</v>
      </c>
      <c r="C58" s="10" t="s">
        <v>321</v>
      </c>
      <c r="D58" s="10">
        <v>60</v>
      </c>
      <c r="E58" s="10">
        <f t="shared" si="0"/>
        <v>30</v>
      </c>
      <c r="F58" s="10"/>
      <c r="G58" s="10"/>
      <c r="H58" s="10"/>
      <c r="I58" s="64"/>
      <c r="J58" s="10" t="s">
        <v>322</v>
      </c>
      <c r="K58" s="10">
        <f t="shared" si="1"/>
        <v>361</v>
      </c>
      <c r="L58" s="10">
        <f t="shared" si="3"/>
        <v>360</v>
      </c>
      <c r="M58" s="10" t="s">
        <v>323</v>
      </c>
      <c r="N58" s="10" t="s">
        <v>324</v>
      </c>
      <c r="O58" s="10"/>
      <c r="P58" s="10"/>
      <c r="Q58" s="385" t="s">
        <v>350</v>
      </c>
      <c r="R58" s="29"/>
      <c r="S58" s="56"/>
      <c r="T58" s="56"/>
      <c r="U58" s="16"/>
      <c r="V58" s="16"/>
      <c r="W58" s="16"/>
      <c r="X58" s="16"/>
      <c r="Y58" s="56"/>
      <c r="Z58" s="56"/>
      <c r="AA58" s="56"/>
    </row>
    <row r="59" spans="2:27" s="26" customFormat="1" x14ac:dyDescent="0.3">
      <c r="B59" s="10" t="s">
        <v>353</v>
      </c>
      <c r="C59" s="10" t="s">
        <v>321</v>
      </c>
      <c r="D59" s="10">
        <v>60</v>
      </c>
      <c r="E59" s="10">
        <f t="shared" si="0"/>
        <v>30</v>
      </c>
      <c r="F59" s="10"/>
      <c r="G59" s="10"/>
      <c r="H59" s="10"/>
      <c r="I59" s="10"/>
      <c r="J59" s="10" t="s">
        <v>322</v>
      </c>
      <c r="K59" s="10">
        <f t="shared" si="1"/>
        <v>391</v>
      </c>
      <c r="L59" s="10">
        <f t="shared" si="3"/>
        <v>390</v>
      </c>
      <c r="M59" s="10" t="s">
        <v>323</v>
      </c>
      <c r="N59" s="10" t="s">
        <v>324</v>
      </c>
      <c r="O59" s="10"/>
      <c r="P59" s="10"/>
      <c r="Q59" s="385" t="s">
        <v>350</v>
      </c>
      <c r="R59" s="29"/>
      <c r="S59" s="56"/>
      <c r="T59" s="56"/>
      <c r="U59" s="16"/>
      <c r="V59" s="16"/>
      <c r="W59" s="16"/>
      <c r="X59" s="16"/>
      <c r="Y59" s="56"/>
      <c r="Z59" s="56"/>
      <c r="AA59" s="56"/>
    </row>
    <row r="60" spans="2:27" s="26" customFormat="1" ht="16.2" thickBot="1" x14ac:dyDescent="0.35">
      <c r="B60" s="10" t="s">
        <v>354</v>
      </c>
      <c r="C60" s="10" t="s">
        <v>321</v>
      </c>
      <c r="D60" s="10">
        <v>60</v>
      </c>
      <c r="E60" s="10">
        <f t="shared" si="0"/>
        <v>30</v>
      </c>
      <c r="F60" s="10"/>
      <c r="G60" s="10"/>
      <c r="H60" s="10"/>
      <c r="I60" s="10"/>
      <c r="J60" s="10" t="s">
        <v>322</v>
      </c>
      <c r="K60" s="10">
        <f t="shared" si="1"/>
        <v>421</v>
      </c>
      <c r="L60" s="10">
        <f t="shared" si="3"/>
        <v>420</v>
      </c>
      <c r="M60" s="10" t="s">
        <v>323</v>
      </c>
      <c r="N60" s="10" t="s">
        <v>324</v>
      </c>
      <c r="O60" s="10"/>
      <c r="P60" s="10"/>
      <c r="Q60" s="385" t="s">
        <v>350</v>
      </c>
      <c r="R60" s="29"/>
      <c r="S60" s="56"/>
      <c r="T60" s="56"/>
      <c r="U60" s="16"/>
      <c r="V60" s="16"/>
      <c r="W60" s="16"/>
      <c r="X60" s="16"/>
      <c r="Y60" s="56"/>
      <c r="Z60" s="56"/>
      <c r="AA60" s="56"/>
    </row>
    <row r="61" spans="2:27" s="26" customFormat="1" ht="16.2" x14ac:dyDescent="0.3">
      <c r="B61" s="456" t="s">
        <v>355</v>
      </c>
      <c r="C61" s="457"/>
      <c r="D61" s="457"/>
      <c r="E61" s="457"/>
      <c r="F61" s="457"/>
      <c r="G61" s="457"/>
      <c r="H61" s="457"/>
      <c r="I61" s="457"/>
      <c r="J61" s="457"/>
      <c r="K61" s="457"/>
      <c r="L61" s="457"/>
      <c r="M61" s="457"/>
      <c r="N61" s="457"/>
      <c r="O61" s="457"/>
      <c r="P61" s="457"/>
      <c r="Q61" s="459"/>
      <c r="R61" s="29"/>
      <c r="S61" s="56"/>
      <c r="T61" s="56"/>
      <c r="U61" s="16"/>
      <c r="V61" s="16"/>
      <c r="W61" s="16"/>
      <c r="X61" s="16"/>
      <c r="Y61" s="56"/>
      <c r="Z61" s="56"/>
      <c r="AA61" s="56"/>
    </row>
    <row r="62" spans="2:27" s="26" customFormat="1" x14ac:dyDescent="0.3">
      <c r="B62" s="117" t="s">
        <v>356</v>
      </c>
      <c r="C62" s="117" t="s">
        <v>321</v>
      </c>
      <c r="D62" s="117">
        <v>2</v>
      </c>
      <c r="E62" s="117">
        <f t="shared" si="0"/>
        <v>1</v>
      </c>
      <c r="F62" s="117">
        <v>0</v>
      </c>
      <c r="G62" s="117">
        <v>65535</v>
      </c>
      <c r="H62" s="117">
        <v>1</v>
      </c>
      <c r="I62" s="117">
        <v>1</v>
      </c>
      <c r="J62" s="117" t="s">
        <v>322</v>
      </c>
      <c r="K62" s="117">
        <f t="shared" si="1"/>
        <v>451</v>
      </c>
      <c r="L62" s="117">
        <f>L60+E60</f>
        <v>450</v>
      </c>
      <c r="M62" s="117" t="s">
        <v>323</v>
      </c>
      <c r="N62" s="117" t="s">
        <v>324</v>
      </c>
      <c r="O62" s="117">
        <v>0</v>
      </c>
      <c r="P62" s="117" t="s">
        <v>329</v>
      </c>
      <c r="Q62" s="110"/>
      <c r="R62" s="29"/>
      <c r="S62" s="56"/>
      <c r="T62" s="56"/>
      <c r="U62" s="16"/>
      <c r="V62" s="16"/>
      <c r="W62" s="16"/>
      <c r="X62" s="16"/>
      <c r="Y62" s="56"/>
      <c r="Z62" s="56"/>
      <c r="AA62" s="56"/>
    </row>
    <row r="63" spans="2:27" s="26" customFormat="1" x14ac:dyDescent="0.3">
      <c r="B63" s="117" t="s">
        <v>357</v>
      </c>
      <c r="C63" s="117" t="s">
        <v>321</v>
      </c>
      <c r="D63" s="117">
        <v>2</v>
      </c>
      <c r="E63" s="117">
        <f t="shared" si="0"/>
        <v>1</v>
      </c>
      <c r="F63" s="117">
        <v>0</v>
      </c>
      <c r="G63" s="117">
        <v>65535</v>
      </c>
      <c r="H63" s="117">
        <v>1</v>
      </c>
      <c r="I63" s="117">
        <v>1</v>
      </c>
      <c r="J63" s="117" t="s">
        <v>322</v>
      </c>
      <c r="K63" s="117">
        <f t="shared" si="1"/>
        <v>452</v>
      </c>
      <c r="L63" s="117">
        <f>L62+E62</f>
        <v>451</v>
      </c>
      <c r="M63" s="117" t="s">
        <v>323</v>
      </c>
      <c r="N63" s="117" t="s">
        <v>324</v>
      </c>
      <c r="O63" s="117">
        <v>0</v>
      </c>
      <c r="P63" s="117"/>
      <c r="Q63" s="110"/>
      <c r="R63" s="29"/>
      <c r="S63" s="56"/>
      <c r="T63" s="56"/>
      <c r="U63" s="16"/>
      <c r="V63" s="16"/>
      <c r="W63" s="16"/>
      <c r="X63" s="16"/>
      <c r="Y63" s="56"/>
      <c r="Z63" s="56"/>
      <c r="AA63" s="56"/>
    </row>
    <row r="64" spans="2:27" s="26" customFormat="1" ht="234" x14ac:dyDescent="0.3">
      <c r="B64" s="117" t="s">
        <v>358</v>
      </c>
      <c r="C64" s="117" t="s">
        <v>359</v>
      </c>
      <c r="D64" s="117">
        <v>2</v>
      </c>
      <c r="E64" s="117">
        <f t="shared" si="0"/>
        <v>1</v>
      </c>
      <c r="F64" s="117">
        <v>0</v>
      </c>
      <c r="G64" s="117">
        <v>65535</v>
      </c>
      <c r="H64" s="117">
        <v>1</v>
      </c>
      <c r="I64" s="117">
        <v>1</v>
      </c>
      <c r="J64" s="117" t="s">
        <v>322</v>
      </c>
      <c r="K64" s="117">
        <f t="shared" si="1"/>
        <v>453</v>
      </c>
      <c r="L64" s="117">
        <f t="shared" ref="L64:L127" si="4">L63+E63</f>
        <v>452</v>
      </c>
      <c r="M64" s="117" t="s">
        <v>323</v>
      </c>
      <c r="N64" s="117" t="s">
        <v>324</v>
      </c>
      <c r="O64" s="117"/>
      <c r="P64" s="117"/>
      <c r="Q64" s="110" t="s">
        <v>360</v>
      </c>
      <c r="R64" s="29"/>
      <c r="S64" s="56"/>
      <c r="T64" s="56"/>
      <c r="U64" s="16"/>
      <c r="V64" s="16"/>
      <c r="W64" s="16"/>
      <c r="X64" s="16"/>
      <c r="Y64" s="56"/>
      <c r="Z64" s="56"/>
      <c r="AA64" s="56"/>
    </row>
    <row r="65" spans="2:27" s="26" customFormat="1" ht="249.6" x14ac:dyDescent="0.3">
      <c r="B65" s="117" t="s">
        <v>361</v>
      </c>
      <c r="C65" s="117" t="s">
        <v>359</v>
      </c>
      <c r="D65" s="117">
        <v>2</v>
      </c>
      <c r="E65" s="117">
        <f t="shared" si="0"/>
        <v>1</v>
      </c>
      <c r="F65" s="117">
        <v>0</v>
      </c>
      <c r="G65" s="117">
        <v>65535</v>
      </c>
      <c r="H65" s="117">
        <v>1</v>
      </c>
      <c r="I65" s="117">
        <v>1</v>
      </c>
      <c r="J65" s="117" t="s">
        <v>322</v>
      </c>
      <c r="K65" s="117">
        <f t="shared" si="1"/>
        <v>454</v>
      </c>
      <c r="L65" s="117">
        <f t="shared" si="4"/>
        <v>453</v>
      </c>
      <c r="M65" s="117" t="s">
        <v>323</v>
      </c>
      <c r="N65" s="117" t="s">
        <v>324</v>
      </c>
      <c r="O65" s="117"/>
      <c r="P65" s="117"/>
      <c r="Q65" s="110" t="s">
        <v>362</v>
      </c>
      <c r="R65" s="29"/>
      <c r="S65" s="56"/>
      <c r="T65" s="56"/>
      <c r="U65" s="16"/>
      <c r="V65" s="16"/>
      <c r="W65" s="16"/>
      <c r="X65" s="16"/>
      <c r="Y65" s="56"/>
      <c r="Z65" s="56"/>
      <c r="AA65" s="56"/>
    </row>
    <row r="66" spans="2:27" s="26" customFormat="1" x14ac:dyDescent="0.3">
      <c r="B66" s="386" t="s">
        <v>363</v>
      </c>
      <c r="C66" s="386" t="s">
        <v>359</v>
      </c>
      <c r="D66" s="386">
        <v>2</v>
      </c>
      <c r="E66" s="386">
        <f t="shared" si="0"/>
        <v>1</v>
      </c>
      <c r="F66" s="386">
        <v>0</v>
      </c>
      <c r="G66" s="386">
        <v>65535</v>
      </c>
      <c r="H66" s="386">
        <v>1</v>
      </c>
      <c r="I66" s="386">
        <v>1</v>
      </c>
      <c r="J66" s="386" t="s">
        <v>322</v>
      </c>
      <c r="K66" s="386">
        <f t="shared" si="1"/>
        <v>455</v>
      </c>
      <c r="L66" s="386">
        <f t="shared" si="4"/>
        <v>454</v>
      </c>
      <c r="M66" s="386" t="s">
        <v>323</v>
      </c>
      <c r="N66" s="386" t="s">
        <v>324</v>
      </c>
      <c r="O66" s="117"/>
      <c r="P66" s="117"/>
      <c r="Q66" s="110"/>
      <c r="R66" s="29"/>
      <c r="S66" s="56"/>
      <c r="T66" s="56"/>
      <c r="U66" s="16"/>
      <c r="V66" s="16"/>
      <c r="W66" s="16"/>
      <c r="X66" s="16"/>
      <c r="Y66" s="56"/>
      <c r="Z66" s="56"/>
      <c r="AA66" s="56"/>
    </row>
    <row r="67" spans="2:27" s="26" customFormat="1" ht="234" x14ac:dyDescent="0.3">
      <c r="B67" s="117" t="s">
        <v>364</v>
      </c>
      <c r="C67" s="117" t="s">
        <v>359</v>
      </c>
      <c r="D67" s="117">
        <v>2</v>
      </c>
      <c r="E67" s="117">
        <f t="shared" si="0"/>
        <v>1</v>
      </c>
      <c r="F67" s="117">
        <v>0</v>
      </c>
      <c r="G67" s="117">
        <v>65535</v>
      </c>
      <c r="H67" s="117">
        <v>1</v>
      </c>
      <c r="I67" s="117">
        <v>1</v>
      </c>
      <c r="J67" s="117" t="s">
        <v>322</v>
      </c>
      <c r="K67" s="117">
        <f t="shared" si="1"/>
        <v>456</v>
      </c>
      <c r="L67" s="117">
        <f t="shared" si="4"/>
        <v>455</v>
      </c>
      <c r="M67" s="117" t="s">
        <v>323</v>
      </c>
      <c r="N67" s="117" t="s">
        <v>324</v>
      </c>
      <c r="O67" s="117"/>
      <c r="P67" s="117"/>
      <c r="Q67" s="110" t="s">
        <v>365</v>
      </c>
      <c r="R67" s="29"/>
      <c r="S67" s="56"/>
      <c r="T67" s="56"/>
      <c r="U67" s="16"/>
      <c r="V67" s="16"/>
      <c r="W67" s="16"/>
      <c r="X67" s="16"/>
      <c r="Y67" s="56"/>
      <c r="Z67" s="56"/>
      <c r="AA67" s="56"/>
    </row>
    <row r="68" spans="2:27" s="26" customFormat="1" ht="202.8" x14ac:dyDescent="0.3">
      <c r="B68" s="117" t="s">
        <v>366</v>
      </c>
      <c r="C68" s="117" t="s">
        <v>359</v>
      </c>
      <c r="D68" s="117">
        <v>2</v>
      </c>
      <c r="E68" s="117">
        <f t="shared" ref="E68:E131" si="5">D68/2</f>
        <v>1</v>
      </c>
      <c r="F68" s="117">
        <v>0</v>
      </c>
      <c r="G68" s="117">
        <v>65535</v>
      </c>
      <c r="H68" s="117">
        <v>1</v>
      </c>
      <c r="I68" s="117">
        <v>1</v>
      </c>
      <c r="J68" s="117" t="s">
        <v>322</v>
      </c>
      <c r="K68" s="117">
        <f t="shared" si="1"/>
        <v>457</v>
      </c>
      <c r="L68" s="117">
        <f t="shared" si="4"/>
        <v>456</v>
      </c>
      <c r="M68" s="117" t="s">
        <v>323</v>
      </c>
      <c r="N68" s="117" t="s">
        <v>324</v>
      </c>
      <c r="O68" s="117"/>
      <c r="P68" s="117"/>
      <c r="Q68" s="110" t="s">
        <v>367</v>
      </c>
      <c r="R68" s="29"/>
      <c r="S68" s="56"/>
      <c r="T68" s="56"/>
      <c r="U68" s="16"/>
      <c r="V68" s="16"/>
      <c r="W68" s="16"/>
      <c r="X68" s="16"/>
      <c r="Y68" s="56"/>
      <c r="Z68" s="56"/>
      <c r="AA68" s="56"/>
    </row>
    <row r="69" spans="2:27" s="26" customFormat="1" x14ac:dyDescent="0.3">
      <c r="B69" s="117" t="s">
        <v>368</v>
      </c>
      <c r="C69" s="117" t="s">
        <v>359</v>
      </c>
      <c r="D69" s="117">
        <v>2</v>
      </c>
      <c r="E69" s="117">
        <f t="shared" si="5"/>
        <v>1</v>
      </c>
      <c r="F69" s="117">
        <v>0</v>
      </c>
      <c r="G69" s="117">
        <v>65535</v>
      </c>
      <c r="H69" s="117">
        <v>1</v>
      </c>
      <c r="I69" s="117">
        <v>1</v>
      </c>
      <c r="J69" s="117" t="s">
        <v>322</v>
      </c>
      <c r="K69" s="117">
        <f t="shared" ref="K69:K134" si="6">L69+1</f>
        <v>458</v>
      </c>
      <c r="L69" s="117">
        <f t="shared" si="4"/>
        <v>457</v>
      </c>
      <c r="M69" s="117" t="s">
        <v>323</v>
      </c>
      <c r="N69" s="117" t="s">
        <v>324</v>
      </c>
      <c r="O69" s="117"/>
      <c r="P69" s="117"/>
      <c r="Q69" s="110"/>
      <c r="R69" s="29"/>
      <c r="S69" s="56"/>
      <c r="T69" s="56"/>
      <c r="U69" s="16"/>
      <c r="V69" s="16"/>
      <c r="W69" s="16"/>
      <c r="X69" s="16"/>
      <c r="Y69" s="56"/>
      <c r="Z69" s="56"/>
      <c r="AA69" s="56"/>
    </row>
    <row r="70" spans="2:27" s="26" customFormat="1" x14ac:dyDescent="0.3">
      <c r="B70" s="117" t="s">
        <v>369</v>
      </c>
      <c r="C70" s="117" t="s">
        <v>359</v>
      </c>
      <c r="D70" s="117">
        <v>2</v>
      </c>
      <c r="E70" s="117">
        <f t="shared" si="5"/>
        <v>1</v>
      </c>
      <c r="F70" s="117">
        <v>0</v>
      </c>
      <c r="G70" s="117">
        <v>65535</v>
      </c>
      <c r="H70" s="117">
        <v>1</v>
      </c>
      <c r="I70" s="117">
        <v>1</v>
      </c>
      <c r="J70" s="117" t="s">
        <v>322</v>
      </c>
      <c r="K70" s="117">
        <f t="shared" si="6"/>
        <v>459</v>
      </c>
      <c r="L70" s="117">
        <f t="shared" si="4"/>
        <v>458</v>
      </c>
      <c r="M70" s="117" t="s">
        <v>323</v>
      </c>
      <c r="N70" s="117" t="s">
        <v>324</v>
      </c>
      <c r="O70" s="117"/>
      <c r="P70" s="117"/>
      <c r="Q70" s="110"/>
      <c r="R70" s="29"/>
      <c r="S70" s="56"/>
      <c r="T70" s="56"/>
      <c r="U70" s="16"/>
      <c r="V70" s="16"/>
      <c r="W70" s="16"/>
      <c r="X70" s="16"/>
      <c r="Y70" s="56"/>
      <c r="Z70" s="56"/>
      <c r="AA70" s="56"/>
    </row>
    <row r="71" spans="2:27" s="26" customFormat="1" x14ac:dyDescent="0.3">
      <c r="B71" s="117" t="s">
        <v>320</v>
      </c>
      <c r="C71" s="117" t="s">
        <v>321</v>
      </c>
      <c r="D71" s="117">
        <v>2</v>
      </c>
      <c r="E71" s="117">
        <f t="shared" si="5"/>
        <v>1</v>
      </c>
      <c r="F71" s="117">
        <v>0</v>
      </c>
      <c r="G71" s="117">
        <v>0</v>
      </c>
      <c r="H71" s="117">
        <v>0</v>
      </c>
      <c r="I71" s="117">
        <v>0</v>
      </c>
      <c r="J71" s="117" t="s">
        <v>322</v>
      </c>
      <c r="K71" s="117">
        <f t="shared" si="6"/>
        <v>460</v>
      </c>
      <c r="L71" s="117">
        <f t="shared" si="4"/>
        <v>459</v>
      </c>
      <c r="M71" s="117" t="s">
        <v>323</v>
      </c>
      <c r="N71" s="117" t="s">
        <v>324</v>
      </c>
      <c r="O71" s="117"/>
      <c r="P71" s="117"/>
      <c r="Q71" s="110"/>
      <c r="R71" s="29"/>
      <c r="S71" s="56"/>
      <c r="T71" s="56"/>
      <c r="U71" s="16"/>
      <c r="V71" s="16"/>
      <c r="W71" s="16"/>
      <c r="X71" s="16"/>
      <c r="Y71" s="56"/>
      <c r="Z71" s="56"/>
      <c r="AA71" s="56"/>
    </row>
    <row r="72" spans="2:27" s="26" customFormat="1" x14ac:dyDescent="0.3">
      <c r="B72" s="117" t="s">
        <v>370</v>
      </c>
      <c r="C72" s="117" t="s">
        <v>321</v>
      </c>
      <c r="D72" s="117">
        <v>2</v>
      </c>
      <c r="E72" s="117">
        <f t="shared" si="5"/>
        <v>1</v>
      </c>
      <c r="F72" s="117">
        <v>0</v>
      </c>
      <c r="G72" s="117">
        <v>65535</v>
      </c>
      <c r="H72" s="117">
        <v>1</v>
      </c>
      <c r="I72" s="117">
        <v>1</v>
      </c>
      <c r="J72" s="117" t="s">
        <v>322</v>
      </c>
      <c r="K72" s="117">
        <f t="shared" si="6"/>
        <v>461</v>
      </c>
      <c r="L72" s="117">
        <f t="shared" si="4"/>
        <v>460</v>
      </c>
      <c r="M72" s="117" t="s">
        <v>323</v>
      </c>
      <c r="N72" s="117" t="s">
        <v>324</v>
      </c>
      <c r="O72" s="117"/>
      <c r="P72" s="117"/>
      <c r="Q72" s="110"/>
      <c r="R72" s="29"/>
      <c r="S72" s="56"/>
      <c r="T72" s="56"/>
      <c r="U72" s="16"/>
      <c r="V72" s="16"/>
      <c r="W72" s="16"/>
      <c r="X72" s="16"/>
      <c r="Y72" s="56"/>
      <c r="Z72" s="56"/>
      <c r="AA72" s="56"/>
    </row>
    <row r="73" spans="2:27" s="26" customFormat="1" ht="187.2" x14ac:dyDescent="0.3">
      <c r="B73" s="117" t="s">
        <v>371</v>
      </c>
      <c r="C73" s="117" t="s">
        <v>359</v>
      </c>
      <c r="D73" s="117">
        <v>2</v>
      </c>
      <c r="E73" s="117">
        <f t="shared" si="5"/>
        <v>1</v>
      </c>
      <c r="F73" s="117">
        <v>0</v>
      </c>
      <c r="G73" s="117">
        <v>65535</v>
      </c>
      <c r="H73" s="117">
        <v>1</v>
      </c>
      <c r="I73" s="117">
        <v>1</v>
      </c>
      <c r="J73" s="117" t="s">
        <v>322</v>
      </c>
      <c r="K73" s="117">
        <f t="shared" si="6"/>
        <v>462</v>
      </c>
      <c r="L73" s="117">
        <f t="shared" si="4"/>
        <v>461</v>
      </c>
      <c r="M73" s="117" t="s">
        <v>323</v>
      </c>
      <c r="N73" s="117" t="s">
        <v>324</v>
      </c>
      <c r="O73" s="117"/>
      <c r="P73" s="117"/>
      <c r="Q73" s="110" t="s">
        <v>372</v>
      </c>
      <c r="R73" s="29"/>
      <c r="S73" s="56"/>
      <c r="T73" s="56"/>
      <c r="U73" s="16"/>
      <c r="V73" s="16"/>
      <c r="W73" s="16"/>
      <c r="X73" s="16"/>
      <c r="Y73" s="56"/>
      <c r="Z73" s="56"/>
      <c r="AA73" s="56"/>
    </row>
    <row r="74" spans="2:27" s="26" customFormat="1" ht="249.6" x14ac:dyDescent="0.3">
      <c r="B74" s="117" t="s">
        <v>373</v>
      </c>
      <c r="C74" s="117" t="s">
        <v>359</v>
      </c>
      <c r="D74" s="117">
        <v>2</v>
      </c>
      <c r="E74" s="117">
        <f t="shared" si="5"/>
        <v>1</v>
      </c>
      <c r="F74" s="117">
        <v>0</v>
      </c>
      <c r="G74" s="117">
        <v>65535</v>
      </c>
      <c r="H74" s="117">
        <v>1</v>
      </c>
      <c r="I74" s="117">
        <v>1</v>
      </c>
      <c r="J74" s="117" t="s">
        <v>322</v>
      </c>
      <c r="K74" s="117">
        <f t="shared" si="6"/>
        <v>463</v>
      </c>
      <c r="L74" s="117">
        <f t="shared" si="4"/>
        <v>462</v>
      </c>
      <c r="M74" s="117" t="s">
        <v>323</v>
      </c>
      <c r="N74" s="117" t="s">
        <v>324</v>
      </c>
      <c r="O74" s="117"/>
      <c r="P74" s="117"/>
      <c r="Q74" s="110" t="s">
        <v>374</v>
      </c>
      <c r="R74" s="29"/>
      <c r="S74" s="56"/>
      <c r="T74" s="56"/>
      <c r="U74" s="16"/>
      <c r="V74" s="16"/>
      <c r="W74" s="16"/>
      <c r="X74" s="16"/>
      <c r="Y74" s="56"/>
      <c r="Z74" s="56"/>
      <c r="AA74" s="56"/>
    </row>
    <row r="75" spans="2:27" s="26" customFormat="1" x14ac:dyDescent="0.3">
      <c r="B75" s="386" t="s">
        <v>375</v>
      </c>
      <c r="C75" s="386" t="s">
        <v>359</v>
      </c>
      <c r="D75" s="386">
        <v>2</v>
      </c>
      <c r="E75" s="386">
        <f t="shared" si="5"/>
        <v>1</v>
      </c>
      <c r="F75" s="386">
        <v>0</v>
      </c>
      <c r="G75" s="386">
        <v>65535</v>
      </c>
      <c r="H75" s="386">
        <v>1</v>
      </c>
      <c r="I75" s="386">
        <v>1</v>
      </c>
      <c r="J75" s="386" t="s">
        <v>322</v>
      </c>
      <c r="K75" s="386">
        <f t="shared" si="6"/>
        <v>464</v>
      </c>
      <c r="L75" s="386">
        <f t="shared" si="4"/>
        <v>463</v>
      </c>
      <c r="M75" s="386" t="s">
        <v>323</v>
      </c>
      <c r="N75" s="386" t="s">
        <v>324</v>
      </c>
      <c r="O75" s="386"/>
      <c r="P75" s="386"/>
      <c r="Q75" s="110"/>
      <c r="R75" s="29"/>
      <c r="S75" s="56"/>
      <c r="T75" s="56"/>
      <c r="U75" s="16"/>
      <c r="V75" s="16"/>
      <c r="W75" s="16"/>
      <c r="X75" s="16"/>
      <c r="Y75" s="56"/>
      <c r="Z75" s="56"/>
      <c r="AA75" s="56"/>
    </row>
    <row r="76" spans="2:27" s="26" customFormat="1" x14ac:dyDescent="0.3">
      <c r="B76" s="117" t="s">
        <v>376</v>
      </c>
      <c r="C76" s="117" t="s">
        <v>321</v>
      </c>
      <c r="D76" s="117">
        <v>2</v>
      </c>
      <c r="E76" s="117">
        <f t="shared" si="5"/>
        <v>1</v>
      </c>
      <c r="F76" s="117">
        <v>0</v>
      </c>
      <c r="G76" s="117">
        <v>65535</v>
      </c>
      <c r="H76" s="117">
        <v>1</v>
      </c>
      <c r="I76" s="117">
        <v>1</v>
      </c>
      <c r="J76" s="117" t="s">
        <v>322</v>
      </c>
      <c r="K76" s="117">
        <f t="shared" si="6"/>
        <v>465</v>
      </c>
      <c r="L76" s="117">
        <f t="shared" si="4"/>
        <v>464</v>
      </c>
      <c r="M76" s="117" t="s">
        <v>323</v>
      </c>
      <c r="N76" s="117" t="s">
        <v>324</v>
      </c>
      <c r="O76" s="117"/>
      <c r="P76" s="117" t="s">
        <v>377</v>
      </c>
      <c r="Q76" s="110"/>
      <c r="R76" s="29"/>
      <c r="S76" s="56"/>
      <c r="T76" s="56"/>
      <c r="U76" s="16"/>
      <c r="V76" s="16"/>
      <c r="W76" s="16"/>
      <c r="X76" s="16"/>
      <c r="Y76" s="56"/>
      <c r="Z76" s="56"/>
      <c r="AA76" s="56"/>
    </row>
    <row r="77" spans="2:27" s="26" customFormat="1" x14ac:dyDescent="0.3">
      <c r="B77" s="117" t="s">
        <v>378</v>
      </c>
      <c r="C77" s="117" t="s">
        <v>321</v>
      </c>
      <c r="D77" s="117">
        <v>2</v>
      </c>
      <c r="E77" s="117">
        <f t="shared" si="5"/>
        <v>1</v>
      </c>
      <c r="F77" s="117">
        <v>0</v>
      </c>
      <c r="G77" s="117">
        <v>1000</v>
      </c>
      <c r="H77" s="117">
        <v>1</v>
      </c>
      <c r="I77" s="117">
        <v>1</v>
      </c>
      <c r="J77" s="117" t="s">
        <v>322</v>
      </c>
      <c r="K77" s="117">
        <f t="shared" si="6"/>
        <v>466</v>
      </c>
      <c r="L77" s="117">
        <f t="shared" si="4"/>
        <v>465</v>
      </c>
      <c r="M77" s="117" t="s">
        <v>323</v>
      </c>
      <c r="N77" s="117" t="s">
        <v>324</v>
      </c>
      <c r="O77" s="117"/>
      <c r="P77" s="117" t="s">
        <v>379</v>
      </c>
      <c r="Q77" s="110"/>
      <c r="R77" s="29"/>
      <c r="S77" s="56"/>
      <c r="T77" s="56"/>
      <c r="U77" s="16"/>
      <c r="V77" s="16"/>
      <c r="W77" s="16"/>
      <c r="X77" s="16"/>
      <c r="Y77" s="56"/>
      <c r="Z77" s="56"/>
      <c r="AA77" s="56"/>
    </row>
    <row r="78" spans="2:27" s="26" customFormat="1" x14ac:dyDescent="0.3">
      <c r="B78" s="117" t="s">
        <v>380</v>
      </c>
      <c r="C78" s="117" t="s">
        <v>321</v>
      </c>
      <c r="D78" s="117">
        <v>2</v>
      </c>
      <c r="E78" s="117">
        <f t="shared" si="5"/>
        <v>1</v>
      </c>
      <c r="F78" s="117">
        <v>0</v>
      </c>
      <c r="G78" s="117">
        <v>65535</v>
      </c>
      <c r="H78" s="117">
        <v>1</v>
      </c>
      <c r="I78" s="117">
        <v>1</v>
      </c>
      <c r="J78" s="117" t="s">
        <v>322</v>
      </c>
      <c r="K78" s="117">
        <f t="shared" si="6"/>
        <v>467</v>
      </c>
      <c r="L78" s="117">
        <f t="shared" si="4"/>
        <v>466</v>
      </c>
      <c r="M78" s="117" t="s">
        <v>323</v>
      </c>
      <c r="N78" s="117" t="s">
        <v>324</v>
      </c>
      <c r="O78" s="117"/>
      <c r="P78" s="117" t="s">
        <v>381</v>
      </c>
      <c r="Q78" s="110"/>
      <c r="R78" s="29"/>
      <c r="S78" s="56"/>
      <c r="T78" s="56"/>
      <c r="U78" s="16"/>
      <c r="V78" s="16"/>
      <c r="W78" s="16"/>
      <c r="X78" s="16"/>
      <c r="Y78" s="56"/>
      <c r="Z78" s="56"/>
      <c r="AA78" s="56"/>
    </row>
    <row r="79" spans="2:27" s="26" customFormat="1" x14ac:dyDescent="0.3">
      <c r="B79" s="117" t="s">
        <v>382</v>
      </c>
      <c r="C79" s="117" t="s">
        <v>321</v>
      </c>
      <c r="D79" s="117">
        <v>2</v>
      </c>
      <c r="E79" s="117">
        <f t="shared" si="5"/>
        <v>1</v>
      </c>
      <c r="F79" s="117">
        <v>0</v>
      </c>
      <c r="G79" s="117">
        <v>65535</v>
      </c>
      <c r="H79" s="117">
        <v>1</v>
      </c>
      <c r="I79" s="117">
        <v>1</v>
      </c>
      <c r="J79" s="117" t="s">
        <v>322</v>
      </c>
      <c r="K79" s="117">
        <f t="shared" si="6"/>
        <v>468</v>
      </c>
      <c r="L79" s="117">
        <f t="shared" si="4"/>
        <v>467</v>
      </c>
      <c r="M79" s="117" t="s">
        <v>323</v>
      </c>
      <c r="N79" s="117" t="s">
        <v>324</v>
      </c>
      <c r="O79" s="117"/>
      <c r="P79" s="117" t="s">
        <v>381</v>
      </c>
      <c r="Q79" s="110"/>
      <c r="R79" s="29"/>
      <c r="S79" s="56"/>
      <c r="T79" s="56"/>
      <c r="U79" s="16"/>
      <c r="V79" s="16"/>
      <c r="W79" s="16"/>
      <c r="X79" s="16"/>
      <c r="Y79" s="56"/>
      <c r="Z79" s="56"/>
      <c r="AA79" s="56"/>
    </row>
    <row r="80" spans="2:27" s="26" customFormat="1" x14ac:dyDescent="0.3">
      <c r="B80" s="117" t="s">
        <v>383</v>
      </c>
      <c r="C80" s="117" t="s">
        <v>321</v>
      </c>
      <c r="D80" s="117">
        <v>2</v>
      </c>
      <c r="E80" s="117">
        <f t="shared" si="5"/>
        <v>1</v>
      </c>
      <c r="F80" s="117">
        <v>0</v>
      </c>
      <c r="G80" s="117">
        <v>65535</v>
      </c>
      <c r="H80" s="117">
        <v>1</v>
      </c>
      <c r="I80" s="117">
        <v>1</v>
      </c>
      <c r="J80" s="117" t="s">
        <v>322</v>
      </c>
      <c r="K80" s="117">
        <f t="shared" si="6"/>
        <v>469</v>
      </c>
      <c r="L80" s="117">
        <f t="shared" si="4"/>
        <v>468</v>
      </c>
      <c r="M80" s="117" t="s">
        <v>323</v>
      </c>
      <c r="N80" s="117" t="s">
        <v>324</v>
      </c>
      <c r="O80" s="117"/>
      <c r="P80" s="117" t="s">
        <v>381</v>
      </c>
      <c r="Q80" s="110"/>
      <c r="R80" s="29"/>
      <c r="S80" s="56"/>
      <c r="T80" s="56"/>
      <c r="U80" s="16"/>
      <c r="V80" s="16"/>
      <c r="W80" s="16"/>
      <c r="X80" s="16"/>
      <c r="Y80" s="56"/>
      <c r="Z80" s="56"/>
      <c r="AA80" s="56"/>
    </row>
    <row r="81" spans="1:27" s="26" customFormat="1" x14ac:dyDescent="0.3">
      <c r="B81" s="117" t="s">
        <v>384</v>
      </c>
      <c r="C81" s="117" t="s">
        <v>321</v>
      </c>
      <c r="D81" s="117">
        <v>2</v>
      </c>
      <c r="E81" s="117">
        <f t="shared" si="5"/>
        <v>1</v>
      </c>
      <c r="F81" s="117">
        <v>0</v>
      </c>
      <c r="G81" s="117">
        <v>65535</v>
      </c>
      <c r="H81" s="117">
        <v>1</v>
      </c>
      <c r="I81" s="117">
        <v>1</v>
      </c>
      <c r="J81" s="117" t="s">
        <v>322</v>
      </c>
      <c r="K81" s="117">
        <f t="shared" si="6"/>
        <v>470</v>
      </c>
      <c r="L81" s="117">
        <f t="shared" si="4"/>
        <v>469</v>
      </c>
      <c r="M81" s="117" t="s">
        <v>323</v>
      </c>
      <c r="N81" s="117" t="s">
        <v>324</v>
      </c>
      <c r="O81" s="117"/>
      <c r="P81" s="117" t="s">
        <v>381</v>
      </c>
      <c r="Q81" s="110"/>
      <c r="R81" s="29"/>
      <c r="S81" s="56"/>
      <c r="T81" s="56"/>
      <c r="U81" s="16"/>
      <c r="V81" s="16"/>
      <c r="W81" s="16"/>
      <c r="X81" s="16"/>
      <c r="Y81" s="56"/>
      <c r="Z81" s="56"/>
      <c r="AA81" s="56"/>
    </row>
    <row r="82" spans="1:27" s="26" customFormat="1" x14ac:dyDescent="0.3">
      <c r="B82" s="117" t="s">
        <v>385</v>
      </c>
      <c r="C82" s="117" t="s">
        <v>321</v>
      </c>
      <c r="D82" s="117">
        <v>2</v>
      </c>
      <c r="E82" s="117">
        <f t="shared" si="5"/>
        <v>1</v>
      </c>
      <c r="F82" s="117">
        <v>0</v>
      </c>
      <c r="G82" s="117">
        <v>65535</v>
      </c>
      <c r="H82" s="117">
        <v>1</v>
      </c>
      <c r="I82" s="117" t="s">
        <v>386</v>
      </c>
      <c r="J82" s="117" t="s">
        <v>322</v>
      </c>
      <c r="K82" s="117">
        <f t="shared" si="6"/>
        <v>471</v>
      </c>
      <c r="L82" s="117">
        <f t="shared" si="4"/>
        <v>470</v>
      </c>
      <c r="M82" s="117" t="s">
        <v>323</v>
      </c>
      <c r="N82" s="117" t="s">
        <v>324</v>
      </c>
      <c r="O82" s="117"/>
      <c r="P82" s="117" t="s">
        <v>387</v>
      </c>
      <c r="Q82" s="110"/>
      <c r="R82" s="29"/>
      <c r="S82" s="56"/>
      <c r="T82" s="56"/>
      <c r="U82" s="16"/>
      <c r="V82" s="16"/>
      <c r="W82" s="16"/>
      <c r="X82" s="16"/>
      <c r="Y82" s="56"/>
      <c r="Z82" s="56"/>
      <c r="AA82" s="56"/>
    </row>
    <row r="83" spans="1:27" s="26" customFormat="1" x14ac:dyDescent="0.3">
      <c r="B83" s="117" t="s">
        <v>388</v>
      </c>
      <c r="C83" s="117" t="s">
        <v>321</v>
      </c>
      <c r="D83" s="117">
        <v>2</v>
      </c>
      <c r="E83" s="117">
        <f t="shared" si="5"/>
        <v>1</v>
      </c>
      <c r="F83" s="117">
        <v>0</v>
      </c>
      <c r="G83" s="117">
        <v>65535</v>
      </c>
      <c r="H83" s="117">
        <v>1</v>
      </c>
      <c r="I83" s="117">
        <v>1</v>
      </c>
      <c r="J83" s="117" t="s">
        <v>322</v>
      </c>
      <c r="K83" s="117">
        <f t="shared" si="6"/>
        <v>472</v>
      </c>
      <c r="L83" s="117">
        <f t="shared" si="4"/>
        <v>471</v>
      </c>
      <c r="M83" s="117" t="s">
        <v>323</v>
      </c>
      <c r="N83" s="117" t="s">
        <v>324</v>
      </c>
      <c r="O83" s="117"/>
      <c r="P83" s="117" t="s">
        <v>389</v>
      </c>
      <c r="Q83" s="110"/>
      <c r="R83" s="29"/>
      <c r="S83" s="56"/>
      <c r="T83" s="56"/>
      <c r="U83" s="16"/>
      <c r="V83" s="16"/>
      <c r="W83" s="16"/>
      <c r="X83" s="16"/>
      <c r="Y83" s="56"/>
      <c r="Z83" s="56"/>
      <c r="AA83" s="56"/>
    </row>
    <row r="84" spans="1:27" s="26" customFormat="1" x14ac:dyDescent="0.3">
      <c r="B84" s="117" t="s">
        <v>390</v>
      </c>
      <c r="C84" s="117" t="s">
        <v>321</v>
      </c>
      <c r="D84" s="117">
        <v>2</v>
      </c>
      <c r="E84" s="117">
        <f t="shared" si="5"/>
        <v>1</v>
      </c>
      <c r="F84" s="117">
        <v>0</v>
      </c>
      <c r="G84" s="117">
        <v>65535</v>
      </c>
      <c r="H84" s="117">
        <v>1</v>
      </c>
      <c r="I84" s="117">
        <v>1</v>
      </c>
      <c r="J84" s="117" t="s">
        <v>322</v>
      </c>
      <c r="K84" s="117">
        <f t="shared" si="6"/>
        <v>473</v>
      </c>
      <c r="L84" s="117">
        <f t="shared" si="4"/>
        <v>472</v>
      </c>
      <c r="M84" s="117" t="s">
        <v>323</v>
      </c>
      <c r="N84" s="117" t="s">
        <v>324</v>
      </c>
      <c r="O84" s="117"/>
      <c r="P84" s="117" t="s">
        <v>391</v>
      </c>
      <c r="Q84" s="110"/>
      <c r="R84" s="29"/>
      <c r="S84" s="56"/>
      <c r="T84" s="56"/>
      <c r="U84" s="16"/>
      <c r="V84" s="16"/>
      <c r="W84" s="16"/>
      <c r="X84" s="16"/>
      <c r="Y84" s="56"/>
      <c r="Z84" s="56"/>
      <c r="AA84" s="56"/>
    </row>
    <row r="85" spans="1:27" customFormat="1" x14ac:dyDescent="0.3">
      <c r="A85" s="26"/>
      <c r="B85" s="10" t="s">
        <v>320</v>
      </c>
      <c r="C85" s="10" t="s">
        <v>321</v>
      </c>
      <c r="D85" s="10">
        <v>2</v>
      </c>
      <c r="E85" s="10">
        <f t="shared" si="5"/>
        <v>1</v>
      </c>
      <c r="F85" s="117">
        <v>0</v>
      </c>
      <c r="G85" s="117">
        <v>0</v>
      </c>
      <c r="H85" s="117">
        <v>0</v>
      </c>
      <c r="I85" s="117">
        <v>0</v>
      </c>
      <c r="J85" s="10" t="s">
        <v>322</v>
      </c>
      <c r="K85" s="10">
        <f t="shared" si="6"/>
        <v>474</v>
      </c>
      <c r="L85" s="10">
        <f t="shared" si="4"/>
        <v>473</v>
      </c>
      <c r="M85" s="10" t="s">
        <v>323</v>
      </c>
      <c r="N85" s="10" t="s">
        <v>324</v>
      </c>
      <c r="O85" s="10"/>
      <c r="P85" s="10"/>
      <c r="Q85" s="111"/>
    </row>
    <row r="86" spans="1:27" s="26" customFormat="1" x14ac:dyDescent="0.3">
      <c r="B86" s="117" t="s">
        <v>392</v>
      </c>
      <c r="C86" s="117" t="s">
        <v>321</v>
      </c>
      <c r="D86" s="117">
        <v>2</v>
      </c>
      <c r="E86" s="117">
        <f t="shared" si="5"/>
        <v>1</v>
      </c>
      <c r="F86" s="117">
        <v>0</v>
      </c>
      <c r="G86" s="117">
        <v>65535</v>
      </c>
      <c r="H86" s="117">
        <v>1</v>
      </c>
      <c r="I86" s="117" t="s">
        <v>386</v>
      </c>
      <c r="J86" s="117" t="s">
        <v>322</v>
      </c>
      <c r="K86" s="117">
        <f t="shared" si="6"/>
        <v>475</v>
      </c>
      <c r="L86" s="117">
        <f t="shared" si="4"/>
        <v>474</v>
      </c>
      <c r="M86" s="117" t="s">
        <v>323</v>
      </c>
      <c r="N86" s="117" t="s">
        <v>324</v>
      </c>
      <c r="O86" s="117"/>
      <c r="P86" s="117" t="s">
        <v>393</v>
      </c>
      <c r="Q86" s="110"/>
      <c r="R86" s="29"/>
      <c r="S86" s="56"/>
      <c r="T86" s="56"/>
      <c r="U86" s="16"/>
      <c r="V86" s="16"/>
      <c r="W86" s="16"/>
      <c r="X86" s="16"/>
      <c r="Y86" s="56"/>
      <c r="Z86" s="56"/>
      <c r="AA86" s="56"/>
    </row>
    <row r="87" spans="1:27" s="26" customFormat="1" x14ac:dyDescent="0.3">
      <c r="B87" s="117" t="s">
        <v>394</v>
      </c>
      <c r="C87" s="117" t="s">
        <v>321</v>
      </c>
      <c r="D87" s="117">
        <v>2</v>
      </c>
      <c r="E87" s="117">
        <f t="shared" si="5"/>
        <v>1</v>
      </c>
      <c r="F87" s="117">
        <v>0</v>
      </c>
      <c r="G87" s="117">
        <v>65535</v>
      </c>
      <c r="H87" s="117">
        <v>1</v>
      </c>
      <c r="I87" s="117" t="s">
        <v>386</v>
      </c>
      <c r="J87" s="117" t="s">
        <v>322</v>
      </c>
      <c r="K87" s="117">
        <f t="shared" si="6"/>
        <v>476</v>
      </c>
      <c r="L87" s="117">
        <f t="shared" si="4"/>
        <v>475</v>
      </c>
      <c r="M87" s="117" t="s">
        <v>323</v>
      </c>
      <c r="N87" s="117" t="s">
        <v>324</v>
      </c>
      <c r="O87" s="117"/>
      <c r="P87" s="117" t="s">
        <v>395</v>
      </c>
      <c r="Q87" s="110"/>
      <c r="R87" s="29"/>
      <c r="S87" s="56"/>
      <c r="T87" s="56"/>
      <c r="U87" s="16"/>
      <c r="V87" s="16"/>
      <c r="W87" s="16"/>
      <c r="X87" s="16"/>
      <c r="Y87" s="56"/>
      <c r="Z87" s="56"/>
      <c r="AA87" s="56"/>
    </row>
    <row r="88" spans="1:27" s="26" customFormat="1" x14ac:dyDescent="0.3">
      <c r="B88" s="117" t="s">
        <v>396</v>
      </c>
      <c r="C88" s="117" t="s">
        <v>321</v>
      </c>
      <c r="D88" s="117">
        <v>2</v>
      </c>
      <c r="E88" s="117">
        <f t="shared" si="5"/>
        <v>1</v>
      </c>
      <c r="F88" s="117">
        <v>0</v>
      </c>
      <c r="G88" s="117">
        <v>65535</v>
      </c>
      <c r="H88" s="117">
        <v>1</v>
      </c>
      <c r="I88" s="117">
        <v>1</v>
      </c>
      <c r="J88" s="117" t="s">
        <v>322</v>
      </c>
      <c r="K88" s="117">
        <f t="shared" si="6"/>
        <v>477</v>
      </c>
      <c r="L88" s="117">
        <f t="shared" si="4"/>
        <v>476</v>
      </c>
      <c r="M88" s="117" t="s">
        <v>323</v>
      </c>
      <c r="N88" s="117" t="s">
        <v>324</v>
      </c>
      <c r="O88" s="117"/>
      <c r="P88" s="117" t="s">
        <v>397</v>
      </c>
      <c r="Q88" s="110"/>
      <c r="R88" s="29"/>
      <c r="S88" s="56"/>
      <c r="T88" s="56"/>
      <c r="U88" s="16"/>
      <c r="V88" s="16"/>
      <c r="W88" s="16"/>
      <c r="X88" s="16"/>
      <c r="Y88" s="56"/>
      <c r="Z88" s="56"/>
      <c r="AA88" s="56"/>
    </row>
    <row r="89" spans="1:27" s="26" customFormat="1" x14ac:dyDescent="0.3">
      <c r="B89" s="117" t="s">
        <v>398</v>
      </c>
      <c r="C89" s="117" t="s">
        <v>321</v>
      </c>
      <c r="D89" s="117">
        <v>2</v>
      </c>
      <c r="E89" s="117">
        <f t="shared" si="5"/>
        <v>1</v>
      </c>
      <c r="F89" s="117">
        <v>0</v>
      </c>
      <c r="G89" s="117">
        <v>65535</v>
      </c>
      <c r="H89" s="117">
        <v>1</v>
      </c>
      <c r="I89" s="117">
        <v>1</v>
      </c>
      <c r="J89" s="117" t="s">
        <v>322</v>
      </c>
      <c r="K89" s="117">
        <f t="shared" si="6"/>
        <v>478</v>
      </c>
      <c r="L89" s="117">
        <f t="shared" si="4"/>
        <v>477</v>
      </c>
      <c r="M89" s="117" t="s">
        <v>323</v>
      </c>
      <c r="N89" s="117" t="s">
        <v>324</v>
      </c>
      <c r="O89" s="117"/>
      <c r="P89" s="117" t="s">
        <v>397</v>
      </c>
      <c r="Q89" s="110"/>
      <c r="R89" s="29"/>
      <c r="S89" s="56"/>
      <c r="T89" s="56"/>
      <c r="U89" s="16"/>
      <c r="V89" s="16"/>
      <c r="W89" s="16"/>
      <c r="X89" s="16"/>
      <c r="Y89" s="56"/>
      <c r="Z89" s="56"/>
      <c r="AA89" s="56"/>
    </row>
    <row r="90" spans="1:27" s="26" customFormat="1" x14ac:dyDescent="0.3">
      <c r="B90" s="117" t="s">
        <v>399</v>
      </c>
      <c r="C90" s="117" t="s">
        <v>321</v>
      </c>
      <c r="D90" s="117">
        <v>2</v>
      </c>
      <c r="E90" s="117">
        <f t="shared" si="5"/>
        <v>1</v>
      </c>
      <c r="F90" s="117">
        <v>0</v>
      </c>
      <c r="G90" s="117">
        <v>65535</v>
      </c>
      <c r="H90" s="117">
        <v>1</v>
      </c>
      <c r="I90" s="117">
        <v>1</v>
      </c>
      <c r="J90" s="117" t="s">
        <v>322</v>
      </c>
      <c r="K90" s="117">
        <f t="shared" si="6"/>
        <v>479</v>
      </c>
      <c r="L90" s="117">
        <f t="shared" si="4"/>
        <v>478</v>
      </c>
      <c r="M90" s="117" t="s">
        <v>323</v>
      </c>
      <c r="N90" s="117" t="s">
        <v>324</v>
      </c>
      <c r="O90" s="117"/>
      <c r="P90" s="117" t="s">
        <v>397</v>
      </c>
      <c r="Q90" s="110"/>
      <c r="R90" s="29"/>
      <c r="S90" s="56"/>
      <c r="T90" s="56"/>
      <c r="U90" s="16"/>
      <c r="V90" s="16"/>
      <c r="W90" s="16"/>
      <c r="X90" s="16"/>
      <c r="Y90" s="56"/>
      <c r="Z90" s="56"/>
      <c r="AA90" s="56"/>
    </row>
    <row r="91" spans="1:27" s="26" customFormat="1" x14ac:dyDescent="0.3">
      <c r="B91" s="117" t="s">
        <v>400</v>
      </c>
      <c r="C91" s="117" t="s">
        <v>321</v>
      </c>
      <c r="D91" s="117">
        <v>2</v>
      </c>
      <c r="E91" s="117">
        <f t="shared" si="5"/>
        <v>1</v>
      </c>
      <c r="F91" s="117">
        <v>0</v>
      </c>
      <c r="G91" s="117">
        <v>65535</v>
      </c>
      <c r="H91" s="117">
        <v>1</v>
      </c>
      <c r="I91" s="117">
        <v>1</v>
      </c>
      <c r="J91" s="117" t="s">
        <v>322</v>
      </c>
      <c r="K91" s="117">
        <f t="shared" si="6"/>
        <v>480</v>
      </c>
      <c r="L91" s="117">
        <f t="shared" si="4"/>
        <v>479</v>
      </c>
      <c r="M91" s="117" t="s">
        <v>323</v>
      </c>
      <c r="N91" s="117" t="s">
        <v>324</v>
      </c>
      <c r="O91" s="117"/>
      <c r="P91" s="117" t="s">
        <v>397</v>
      </c>
      <c r="Q91" s="110"/>
      <c r="R91" s="29"/>
      <c r="S91" s="56"/>
      <c r="T91" s="56"/>
      <c r="U91" s="16"/>
      <c r="V91" s="16"/>
      <c r="W91" s="16"/>
      <c r="X91" s="16"/>
      <c r="Y91" s="56"/>
      <c r="Z91" s="56"/>
      <c r="AA91" s="56"/>
    </row>
    <row r="92" spans="1:27" s="26" customFormat="1" x14ac:dyDescent="0.3">
      <c r="B92" s="117" t="s">
        <v>401</v>
      </c>
      <c r="C92" s="117" t="s">
        <v>321</v>
      </c>
      <c r="D92" s="117">
        <v>2</v>
      </c>
      <c r="E92" s="117">
        <f t="shared" si="5"/>
        <v>1</v>
      </c>
      <c r="F92" s="117">
        <v>0</v>
      </c>
      <c r="G92" s="117">
        <v>65535</v>
      </c>
      <c r="H92" s="117">
        <v>1</v>
      </c>
      <c r="I92" s="117">
        <v>1</v>
      </c>
      <c r="J92" s="117" t="s">
        <v>322</v>
      </c>
      <c r="K92" s="117">
        <f t="shared" si="6"/>
        <v>481</v>
      </c>
      <c r="L92" s="117">
        <f t="shared" si="4"/>
        <v>480</v>
      </c>
      <c r="M92" s="117" t="s">
        <v>323</v>
      </c>
      <c r="N92" s="117" t="s">
        <v>324</v>
      </c>
      <c r="O92" s="117"/>
      <c r="P92" s="117" t="s">
        <v>389</v>
      </c>
      <c r="Q92" s="110"/>
      <c r="R92" s="29"/>
      <c r="S92" s="56"/>
      <c r="T92" s="56"/>
      <c r="U92" s="16"/>
      <c r="V92" s="16"/>
      <c r="W92" s="16"/>
      <c r="X92" s="16"/>
      <c r="Y92" s="56"/>
      <c r="Z92" s="56"/>
      <c r="AA92" s="56"/>
    </row>
    <row r="93" spans="1:27" s="26" customFormat="1" x14ac:dyDescent="0.3">
      <c r="B93" s="117" t="s">
        <v>402</v>
      </c>
      <c r="C93" s="117" t="s">
        <v>321</v>
      </c>
      <c r="D93" s="117">
        <v>2</v>
      </c>
      <c r="E93" s="117">
        <f t="shared" si="5"/>
        <v>1</v>
      </c>
      <c r="F93" s="117">
        <v>0</v>
      </c>
      <c r="G93" s="117">
        <v>100</v>
      </c>
      <c r="H93" s="117">
        <v>1</v>
      </c>
      <c r="I93" s="117" t="s">
        <v>403</v>
      </c>
      <c r="J93" s="117" t="s">
        <v>322</v>
      </c>
      <c r="K93" s="117">
        <f t="shared" si="6"/>
        <v>482</v>
      </c>
      <c r="L93" s="117">
        <f t="shared" si="4"/>
        <v>481</v>
      </c>
      <c r="M93" s="117" t="s">
        <v>323</v>
      </c>
      <c r="N93" s="117" t="s">
        <v>324</v>
      </c>
      <c r="O93" s="117"/>
      <c r="P93" s="117"/>
      <c r="Q93" s="110"/>
      <c r="R93" s="29"/>
      <c r="S93" s="56"/>
      <c r="T93" s="56"/>
      <c r="U93" s="16"/>
      <c r="V93" s="16"/>
      <c r="W93" s="16"/>
      <c r="X93" s="16"/>
      <c r="Y93" s="56"/>
      <c r="Z93" s="56"/>
      <c r="AA93" s="56"/>
    </row>
    <row r="94" spans="1:27" s="26" customFormat="1" x14ac:dyDescent="0.3">
      <c r="B94" s="117" t="s">
        <v>404</v>
      </c>
      <c r="C94" s="117" t="s">
        <v>321</v>
      </c>
      <c r="D94" s="117">
        <v>2</v>
      </c>
      <c r="E94" s="117">
        <f t="shared" si="5"/>
        <v>1</v>
      </c>
      <c r="F94" s="117">
        <v>0</v>
      </c>
      <c r="G94" s="117">
        <v>65535</v>
      </c>
      <c r="H94" s="117">
        <v>1</v>
      </c>
      <c r="I94" s="117" t="s">
        <v>386</v>
      </c>
      <c r="J94" s="117" t="s">
        <v>322</v>
      </c>
      <c r="K94" s="117">
        <f t="shared" si="6"/>
        <v>483</v>
      </c>
      <c r="L94" s="117">
        <f t="shared" si="4"/>
        <v>482</v>
      </c>
      <c r="M94" s="117" t="s">
        <v>323</v>
      </c>
      <c r="N94" s="117" t="s">
        <v>324</v>
      </c>
      <c r="O94" s="117"/>
      <c r="P94" s="117" t="s">
        <v>405</v>
      </c>
      <c r="Q94" s="110"/>
      <c r="R94" s="29"/>
      <c r="S94" s="56"/>
      <c r="T94" s="56"/>
      <c r="U94" s="16"/>
      <c r="V94" s="16"/>
      <c r="W94" s="16"/>
      <c r="X94" s="16"/>
      <c r="Y94" s="56"/>
      <c r="Z94" s="56"/>
      <c r="AA94" s="56"/>
    </row>
    <row r="95" spans="1:27" s="26" customFormat="1" x14ac:dyDescent="0.3">
      <c r="B95" s="117" t="s">
        <v>406</v>
      </c>
      <c r="C95" s="117" t="s">
        <v>321</v>
      </c>
      <c r="D95" s="117">
        <v>2</v>
      </c>
      <c r="E95" s="117">
        <f t="shared" si="5"/>
        <v>1</v>
      </c>
      <c r="F95" s="117">
        <v>0</v>
      </c>
      <c r="G95" s="117">
        <v>65535</v>
      </c>
      <c r="H95" s="117">
        <v>1</v>
      </c>
      <c r="I95" s="117" t="s">
        <v>386</v>
      </c>
      <c r="J95" s="117" t="s">
        <v>322</v>
      </c>
      <c r="K95" s="117">
        <f t="shared" si="6"/>
        <v>484</v>
      </c>
      <c r="L95" s="117">
        <f t="shared" si="4"/>
        <v>483</v>
      </c>
      <c r="M95" s="117" t="s">
        <v>323</v>
      </c>
      <c r="N95" s="117" t="s">
        <v>324</v>
      </c>
      <c r="O95" s="117"/>
      <c r="P95" s="117" t="s">
        <v>407</v>
      </c>
      <c r="Q95" s="110"/>
      <c r="R95" s="29"/>
      <c r="S95" s="56"/>
      <c r="T95" s="56"/>
      <c r="U95" s="16"/>
      <c r="V95" s="16"/>
      <c r="W95" s="16"/>
      <c r="X95" s="16"/>
      <c r="Y95" s="56"/>
      <c r="Z95" s="56"/>
      <c r="AA95" s="56"/>
    </row>
    <row r="96" spans="1:27" s="26" customFormat="1" x14ac:dyDescent="0.3">
      <c r="B96" s="117" t="s">
        <v>408</v>
      </c>
      <c r="C96" s="117" t="s">
        <v>359</v>
      </c>
      <c r="D96" s="117">
        <v>2</v>
      </c>
      <c r="E96" s="117">
        <f t="shared" si="5"/>
        <v>1</v>
      </c>
      <c r="F96" s="117">
        <v>0</v>
      </c>
      <c r="G96" s="117">
        <v>65535</v>
      </c>
      <c r="H96" s="117">
        <v>1</v>
      </c>
      <c r="I96" s="117">
        <v>1</v>
      </c>
      <c r="J96" s="117" t="s">
        <v>322</v>
      </c>
      <c r="K96" s="117">
        <f t="shared" si="6"/>
        <v>485</v>
      </c>
      <c r="L96" s="117">
        <f t="shared" si="4"/>
        <v>484</v>
      </c>
      <c r="M96" s="117" t="s">
        <v>323</v>
      </c>
      <c r="N96" s="117" t="s">
        <v>324</v>
      </c>
      <c r="O96" s="117"/>
      <c r="P96" s="117"/>
      <c r="Q96" s="110"/>
      <c r="R96" s="29"/>
      <c r="S96" s="56"/>
      <c r="T96" s="56"/>
      <c r="U96" s="16"/>
      <c r="V96" s="16"/>
      <c r="W96" s="16"/>
      <c r="X96" s="16"/>
      <c r="Y96" s="56"/>
      <c r="Z96" s="56"/>
      <c r="AA96" s="56"/>
    </row>
    <row r="97" spans="1:27" s="26" customFormat="1" x14ac:dyDescent="0.3">
      <c r="B97" s="117" t="s">
        <v>409</v>
      </c>
      <c r="C97" s="117" t="s">
        <v>321</v>
      </c>
      <c r="D97" s="117">
        <v>2</v>
      </c>
      <c r="E97" s="117">
        <f t="shared" si="5"/>
        <v>1</v>
      </c>
      <c r="F97" s="117">
        <v>0</v>
      </c>
      <c r="G97" s="117">
        <v>65535</v>
      </c>
      <c r="H97" s="117">
        <v>1</v>
      </c>
      <c r="I97" s="117" t="s">
        <v>386</v>
      </c>
      <c r="J97" s="117" t="s">
        <v>322</v>
      </c>
      <c r="K97" s="117">
        <f t="shared" si="6"/>
        <v>486</v>
      </c>
      <c r="L97" s="117">
        <f t="shared" si="4"/>
        <v>485</v>
      </c>
      <c r="M97" s="117" t="s">
        <v>323</v>
      </c>
      <c r="N97" s="117" t="s">
        <v>324</v>
      </c>
      <c r="O97" s="117"/>
      <c r="P97" s="117" t="s">
        <v>410</v>
      </c>
      <c r="Q97" s="110"/>
      <c r="R97" s="29"/>
      <c r="S97" s="56"/>
      <c r="T97" s="56"/>
      <c r="U97" s="16"/>
      <c r="V97" s="16"/>
      <c r="W97" s="16"/>
      <c r="X97" s="16"/>
      <c r="Y97" s="56"/>
      <c r="Z97" s="56"/>
      <c r="AA97" s="56"/>
    </row>
    <row r="98" spans="1:27" customFormat="1" x14ac:dyDescent="0.3">
      <c r="A98" s="26"/>
      <c r="B98" s="10" t="s">
        <v>320</v>
      </c>
      <c r="C98" s="10" t="s">
        <v>321</v>
      </c>
      <c r="D98" s="10">
        <v>2</v>
      </c>
      <c r="E98" s="10">
        <f t="shared" si="5"/>
        <v>1</v>
      </c>
      <c r="F98" s="10"/>
      <c r="G98" s="10"/>
      <c r="H98" s="10"/>
      <c r="I98" s="10"/>
      <c r="J98" s="10" t="s">
        <v>322</v>
      </c>
      <c r="K98" s="10">
        <f t="shared" si="6"/>
        <v>487</v>
      </c>
      <c r="L98" s="10">
        <f t="shared" si="4"/>
        <v>486</v>
      </c>
      <c r="M98" s="10" t="s">
        <v>323</v>
      </c>
      <c r="N98" s="10" t="s">
        <v>324</v>
      </c>
      <c r="O98" s="10"/>
      <c r="P98" s="10"/>
      <c r="Q98" s="111"/>
    </row>
    <row r="99" spans="1:27" customFormat="1" x14ac:dyDescent="0.3">
      <c r="A99" s="26"/>
      <c r="B99" s="10" t="s">
        <v>320</v>
      </c>
      <c r="C99" s="10" t="s">
        <v>321</v>
      </c>
      <c r="D99" s="10">
        <v>2</v>
      </c>
      <c r="E99" s="10">
        <f t="shared" si="5"/>
        <v>1</v>
      </c>
      <c r="F99" s="10"/>
      <c r="G99" s="10"/>
      <c r="H99" s="10"/>
      <c r="I99" s="10"/>
      <c r="J99" s="10" t="s">
        <v>322</v>
      </c>
      <c r="K99" s="10">
        <f t="shared" si="6"/>
        <v>488</v>
      </c>
      <c r="L99" s="10">
        <f t="shared" si="4"/>
        <v>487</v>
      </c>
      <c r="M99" s="10" t="s">
        <v>323</v>
      </c>
      <c r="N99" s="10" t="s">
        <v>324</v>
      </c>
      <c r="O99" s="10"/>
      <c r="P99" s="10"/>
      <c r="Q99" s="111"/>
    </row>
    <row r="100" spans="1:27" customFormat="1" x14ac:dyDescent="0.3">
      <c r="A100" s="26"/>
      <c r="B100" s="10" t="s">
        <v>320</v>
      </c>
      <c r="C100" s="10" t="s">
        <v>321</v>
      </c>
      <c r="D100" s="10">
        <v>2</v>
      </c>
      <c r="E100" s="10">
        <f t="shared" si="5"/>
        <v>1</v>
      </c>
      <c r="F100" s="10"/>
      <c r="G100" s="10"/>
      <c r="H100" s="10"/>
      <c r="I100" s="10"/>
      <c r="J100" s="10" t="s">
        <v>322</v>
      </c>
      <c r="K100" s="10">
        <f t="shared" si="6"/>
        <v>489</v>
      </c>
      <c r="L100" s="10">
        <f t="shared" si="4"/>
        <v>488</v>
      </c>
      <c r="M100" s="10" t="s">
        <v>323</v>
      </c>
      <c r="N100" s="10" t="s">
        <v>324</v>
      </c>
      <c r="O100" s="10"/>
      <c r="P100" s="10"/>
      <c r="Q100" s="111"/>
    </row>
    <row r="101" spans="1:27" customFormat="1" x14ac:dyDescent="0.3">
      <c r="A101" s="26"/>
      <c r="B101" s="10" t="s">
        <v>320</v>
      </c>
      <c r="C101" s="10" t="s">
        <v>321</v>
      </c>
      <c r="D101" s="10">
        <v>2</v>
      </c>
      <c r="E101" s="10">
        <f t="shared" si="5"/>
        <v>1</v>
      </c>
      <c r="F101" s="10"/>
      <c r="G101" s="10"/>
      <c r="H101" s="10"/>
      <c r="I101" s="10"/>
      <c r="J101" s="10" t="s">
        <v>322</v>
      </c>
      <c r="K101" s="10">
        <f t="shared" si="6"/>
        <v>490</v>
      </c>
      <c r="L101" s="10">
        <f t="shared" si="4"/>
        <v>489</v>
      </c>
      <c r="M101" s="10" t="s">
        <v>323</v>
      </c>
      <c r="N101" s="10" t="s">
        <v>324</v>
      </c>
      <c r="O101" s="10"/>
      <c r="P101" s="10"/>
      <c r="Q101" s="111"/>
    </row>
    <row r="102" spans="1:27" customFormat="1" x14ac:dyDescent="0.3">
      <c r="A102" s="26"/>
      <c r="B102" s="10" t="s">
        <v>320</v>
      </c>
      <c r="C102" s="10" t="s">
        <v>321</v>
      </c>
      <c r="D102" s="10">
        <v>2</v>
      </c>
      <c r="E102" s="10">
        <f t="shared" si="5"/>
        <v>1</v>
      </c>
      <c r="F102" s="10"/>
      <c r="G102" s="10"/>
      <c r="H102" s="10"/>
      <c r="I102" s="10"/>
      <c r="J102" s="10" t="s">
        <v>322</v>
      </c>
      <c r="K102" s="10">
        <f t="shared" si="6"/>
        <v>491</v>
      </c>
      <c r="L102" s="10">
        <f t="shared" si="4"/>
        <v>490</v>
      </c>
      <c r="M102" s="10" t="s">
        <v>323</v>
      </c>
      <c r="N102" s="10" t="s">
        <v>324</v>
      </c>
      <c r="O102" s="10"/>
      <c r="P102" s="10"/>
      <c r="Q102" s="111"/>
    </row>
    <row r="103" spans="1:27" customFormat="1" x14ac:dyDescent="0.3">
      <c r="A103" s="26"/>
      <c r="B103" s="10" t="s">
        <v>320</v>
      </c>
      <c r="C103" s="10" t="s">
        <v>321</v>
      </c>
      <c r="D103" s="10">
        <v>2</v>
      </c>
      <c r="E103" s="10">
        <f t="shared" si="5"/>
        <v>1</v>
      </c>
      <c r="F103" s="10"/>
      <c r="G103" s="10"/>
      <c r="H103" s="10"/>
      <c r="I103" s="10"/>
      <c r="J103" s="10" t="s">
        <v>322</v>
      </c>
      <c r="K103" s="10">
        <f t="shared" si="6"/>
        <v>492</v>
      </c>
      <c r="L103" s="10">
        <f t="shared" si="4"/>
        <v>491</v>
      </c>
      <c r="M103" s="10" t="s">
        <v>323</v>
      </c>
      <c r="N103" s="10" t="s">
        <v>324</v>
      </c>
      <c r="O103" s="10"/>
      <c r="P103" s="10"/>
      <c r="Q103" s="111"/>
    </row>
    <row r="104" spans="1:27" customFormat="1" x14ac:dyDescent="0.3">
      <c r="A104" s="26"/>
      <c r="B104" s="10" t="s">
        <v>320</v>
      </c>
      <c r="C104" s="10" t="s">
        <v>321</v>
      </c>
      <c r="D104" s="10">
        <v>2</v>
      </c>
      <c r="E104" s="10">
        <f t="shared" si="5"/>
        <v>1</v>
      </c>
      <c r="F104" s="10"/>
      <c r="G104" s="10"/>
      <c r="H104" s="10"/>
      <c r="I104" s="10"/>
      <c r="J104" s="10" t="s">
        <v>322</v>
      </c>
      <c r="K104" s="10">
        <f t="shared" si="6"/>
        <v>493</v>
      </c>
      <c r="L104" s="10">
        <f t="shared" si="4"/>
        <v>492</v>
      </c>
      <c r="M104" s="10" t="s">
        <v>323</v>
      </c>
      <c r="N104" s="10" t="s">
        <v>324</v>
      </c>
      <c r="O104" s="10"/>
      <c r="P104" s="10"/>
      <c r="Q104" s="111"/>
    </row>
    <row r="105" spans="1:27" customFormat="1" x14ac:dyDescent="0.3">
      <c r="A105" s="26"/>
      <c r="B105" s="10" t="s">
        <v>320</v>
      </c>
      <c r="C105" s="10" t="s">
        <v>321</v>
      </c>
      <c r="D105" s="10">
        <v>2</v>
      </c>
      <c r="E105" s="10">
        <f t="shared" si="5"/>
        <v>1</v>
      </c>
      <c r="F105" s="10"/>
      <c r="G105" s="10"/>
      <c r="H105" s="10"/>
      <c r="I105" s="10"/>
      <c r="J105" s="10" t="s">
        <v>322</v>
      </c>
      <c r="K105" s="10">
        <f t="shared" si="6"/>
        <v>494</v>
      </c>
      <c r="L105" s="10">
        <f t="shared" si="4"/>
        <v>493</v>
      </c>
      <c r="M105" s="10" t="s">
        <v>323</v>
      </c>
      <c r="N105" s="10" t="s">
        <v>324</v>
      </c>
      <c r="O105" s="10"/>
      <c r="P105" s="10"/>
      <c r="Q105" s="111"/>
    </row>
    <row r="106" spans="1:27" customFormat="1" x14ac:dyDescent="0.3">
      <c r="A106" s="26"/>
      <c r="B106" s="10" t="s">
        <v>320</v>
      </c>
      <c r="C106" s="10" t="s">
        <v>321</v>
      </c>
      <c r="D106" s="10">
        <v>2</v>
      </c>
      <c r="E106" s="10">
        <f t="shared" si="5"/>
        <v>1</v>
      </c>
      <c r="F106" s="10"/>
      <c r="G106" s="10"/>
      <c r="H106" s="10"/>
      <c r="I106" s="10"/>
      <c r="J106" s="10" t="s">
        <v>322</v>
      </c>
      <c r="K106" s="10">
        <f t="shared" si="6"/>
        <v>495</v>
      </c>
      <c r="L106" s="10">
        <f t="shared" si="4"/>
        <v>494</v>
      </c>
      <c r="M106" s="10" t="s">
        <v>323</v>
      </c>
      <c r="N106" s="10" t="s">
        <v>324</v>
      </c>
      <c r="O106" s="10"/>
      <c r="P106" s="10"/>
      <c r="Q106" s="111"/>
    </row>
    <row r="107" spans="1:27" customFormat="1" x14ac:dyDescent="0.3">
      <c r="A107" s="26"/>
      <c r="B107" s="10" t="s">
        <v>320</v>
      </c>
      <c r="C107" s="10" t="s">
        <v>321</v>
      </c>
      <c r="D107" s="10">
        <v>2</v>
      </c>
      <c r="E107" s="10">
        <f t="shared" si="5"/>
        <v>1</v>
      </c>
      <c r="F107" s="10"/>
      <c r="G107" s="10"/>
      <c r="H107" s="10"/>
      <c r="I107" s="10"/>
      <c r="J107" s="10" t="s">
        <v>322</v>
      </c>
      <c r="K107" s="10">
        <f t="shared" si="6"/>
        <v>496</v>
      </c>
      <c r="L107" s="10">
        <f t="shared" si="4"/>
        <v>495</v>
      </c>
      <c r="M107" s="10" t="s">
        <v>323</v>
      </c>
      <c r="N107" s="10" t="s">
        <v>324</v>
      </c>
      <c r="O107" s="10"/>
      <c r="P107" s="10"/>
      <c r="Q107" s="111"/>
    </row>
    <row r="108" spans="1:27" customFormat="1" x14ac:dyDescent="0.3">
      <c r="A108" s="26"/>
      <c r="B108" s="10" t="s">
        <v>320</v>
      </c>
      <c r="C108" s="10" t="s">
        <v>321</v>
      </c>
      <c r="D108" s="10">
        <v>2</v>
      </c>
      <c r="E108" s="10">
        <f t="shared" si="5"/>
        <v>1</v>
      </c>
      <c r="F108" s="10"/>
      <c r="G108" s="10"/>
      <c r="H108" s="10"/>
      <c r="I108" s="10"/>
      <c r="J108" s="10" t="s">
        <v>322</v>
      </c>
      <c r="K108" s="10">
        <f t="shared" si="6"/>
        <v>497</v>
      </c>
      <c r="L108" s="10">
        <f t="shared" si="4"/>
        <v>496</v>
      </c>
      <c r="M108" s="10" t="s">
        <v>323</v>
      </c>
      <c r="N108" s="10" t="s">
        <v>324</v>
      </c>
      <c r="O108" s="10"/>
      <c r="P108" s="10"/>
      <c r="Q108" s="111"/>
    </row>
    <row r="109" spans="1:27" customFormat="1" x14ac:dyDescent="0.3">
      <c r="A109" s="26"/>
      <c r="B109" s="10" t="s">
        <v>320</v>
      </c>
      <c r="C109" s="10" t="s">
        <v>321</v>
      </c>
      <c r="D109" s="10">
        <v>2</v>
      </c>
      <c r="E109" s="10">
        <f t="shared" si="5"/>
        <v>1</v>
      </c>
      <c r="F109" s="10"/>
      <c r="G109" s="10"/>
      <c r="H109" s="10"/>
      <c r="I109" s="10"/>
      <c r="J109" s="10" t="s">
        <v>322</v>
      </c>
      <c r="K109" s="10">
        <f t="shared" si="6"/>
        <v>498</v>
      </c>
      <c r="L109" s="10">
        <f t="shared" si="4"/>
        <v>497</v>
      </c>
      <c r="M109" s="10" t="s">
        <v>323</v>
      </c>
      <c r="N109" s="10" t="s">
        <v>324</v>
      </c>
      <c r="O109" s="10"/>
      <c r="P109" s="10"/>
      <c r="Q109" s="111"/>
    </row>
    <row r="110" spans="1:27" customFormat="1" x14ac:dyDescent="0.3">
      <c r="A110" s="26"/>
      <c r="B110" s="10" t="s">
        <v>320</v>
      </c>
      <c r="C110" s="10" t="s">
        <v>321</v>
      </c>
      <c r="D110" s="10">
        <v>2</v>
      </c>
      <c r="E110" s="10">
        <f t="shared" si="5"/>
        <v>1</v>
      </c>
      <c r="F110" s="10"/>
      <c r="G110" s="10"/>
      <c r="H110" s="10"/>
      <c r="I110" s="10"/>
      <c r="J110" s="10" t="s">
        <v>322</v>
      </c>
      <c r="K110" s="10">
        <f t="shared" si="6"/>
        <v>499</v>
      </c>
      <c r="L110" s="10">
        <f t="shared" si="4"/>
        <v>498</v>
      </c>
      <c r="M110" s="10" t="s">
        <v>323</v>
      </c>
      <c r="N110" s="10" t="s">
        <v>324</v>
      </c>
      <c r="O110" s="10"/>
      <c r="P110" s="10"/>
      <c r="Q110" s="111"/>
    </row>
    <row r="111" spans="1:27" customFormat="1" x14ac:dyDescent="0.3">
      <c r="A111" s="26"/>
      <c r="B111" s="10" t="s">
        <v>320</v>
      </c>
      <c r="C111" s="10" t="s">
        <v>321</v>
      </c>
      <c r="D111" s="10">
        <v>2</v>
      </c>
      <c r="E111" s="10">
        <f t="shared" si="5"/>
        <v>1</v>
      </c>
      <c r="F111" s="10"/>
      <c r="G111" s="10"/>
      <c r="H111" s="10"/>
      <c r="I111" s="10"/>
      <c r="J111" s="10" t="s">
        <v>322</v>
      </c>
      <c r="K111" s="10">
        <f t="shared" si="6"/>
        <v>500</v>
      </c>
      <c r="L111" s="10">
        <f t="shared" si="4"/>
        <v>499</v>
      </c>
      <c r="M111" s="10" t="s">
        <v>323</v>
      </c>
      <c r="N111" s="10" t="s">
        <v>324</v>
      </c>
      <c r="O111" s="10"/>
      <c r="P111" s="10"/>
      <c r="Q111" s="111"/>
    </row>
    <row r="112" spans="1:27" s="26" customFormat="1" x14ac:dyDescent="0.3">
      <c r="B112" s="117" t="s">
        <v>411</v>
      </c>
      <c r="C112" s="117" t="s">
        <v>326</v>
      </c>
      <c r="D112" s="117">
        <v>4</v>
      </c>
      <c r="E112" s="117">
        <f t="shared" si="5"/>
        <v>2</v>
      </c>
      <c r="F112" s="117">
        <v>0</v>
      </c>
      <c r="G112" s="117">
        <v>4294967295</v>
      </c>
      <c r="H112" s="117">
        <v>1</v>
      </c>
      <c r="I112" s="117" t="s">
        <v>403</v>
      </c>
      <c r="J112" s="117" t="s">
        <v>322</v>
      </c>
      <c r="K112" s="117">
        <f t="shared" si="6"/>
        <v>501</v>
      </c>
      <c r="L112" s="117">
        <f t="shared" si="4"/>
        <v>500</v>
      </c>
      <c r="M112" s="117" t="s">
        <v>323</v>
      </c>
      <c r="N112" s="117" t="s">
        <v>324</v>
      </c>
      <c r="O112" s="117" t="s">
        <v>412</v>
      </c>
      <c r="P112" s="117"/>
      <c r="Q112" s="110"/>
      <c r="R112" s="29"/>
      <c r="S112" s="56"/>
      <c r="T112" s="56"/>
      <c r="U112" s="16"/>
      <c r="V112" s="16"/>
      <c r="W112" s="16"/>
      <c r="X112" s="16"/>
      <c r="Y112" s="56"/>
      <c r="Z112" s="56"/>
      <c r="AA112" s="56"/>
    </row>
    <row r="113" spans="1:27" s="26" customFormat="1" x14ac:dyDescent="0.3">
      <c r="B113" s="117" t="s">
        <v>413</v>
      </c>
      <c r="C113" s="117" t="s">
        <v>326</v>
      </c>
      <c r="D113" s="117">
        <v>4</v>
      </c>
      <c r="E113" s="117">
        <f t="shared" si="5"/>
        <v>2</v>
      </c>
      <c r="F113" s="117">
        <v>0</v>
      </c>
      <c r="G113" s="117">
        <v>4294967295</v>
      </c>
      <c r="H113" s="117">
        <v>1</v>
      </c>
      <c r="I113" s="117" t="s">
        <v>403</v>
      </c>
      <c r="J113" s="117" t="s">
        <v>322</v>
      </c>
      <c r="K113" s="117">
        <f t="shared" si="6"/>
        <v>503</v>
      </c>
      <c r="L113" s="117">
        <f t="shared" si="4"/>
        <v>502</v>
      </c>
      <c r="M113" s="117" t="s">
        <v>323</v>
      </c>
      <c r="N113" s="117" t="s">
        <v>324</v>
      </c>
      <c r="O113" s="117" t="s">
        <v>412</v>
      </c>
      <c r="P113" s="117"/>
      <c r="Q113" s="110"/>
      <c r="R113" s="29"/>
      <c r="S113" s="56"/>
      <c r="T113" s="56"/>
      <c r="U113" s="16"/>
      <c r="V113" s="16"/>
      <c r="W113" s="16"/>
      <c r="X113" s="16"/>
      <c r="Y113" s="56"/>
      <c r="Z113" s="56"/>
      <c r="AA113" s="56"/>
    </row>
    <row r="114" spans="1:27" s="26" customFormat="1" x14ac:dyDescent="0.3">
      <c r="B114" s="117" t="s">
        <v>414</v>
      </c>
      <c r="C114" s="117" t="s">
        <v>326</v>
      </c>
      <c r="D114" s="117">
        <v>4</v>
      </c>
      <c r="E114" s="117">
        <f t="shared" si="5"/>
        <v>2</v>
      </c>
      <c r="F114" s="117">
        <v>0</v>
      </c>
      <c r="G114" s="117">
        <v>4294967295</v>
      </c>
      <c r="H114" s="117">
        <v>1</v>
      </c>
      <c r="I114" s="117" t="s">
        <v>403</v>
      </c>
      <c r="J114" s="117" t="s">
        <v>322</v>
      </c>
      <c r="K114" s="117">
        <f t="shared" si="6"/>
        <v>505</v>
      </c>
      <c r="L114" s="117">
        <f t="shared" si="4"/>
        <v>504</v>
      </c>
      <c r="M114" s="117" t="s">
        <v>323</v>
      </c>
      <c r="N114" s="117" t="s">
        <v>324</v>
      </c>
      <c r="O114" s="117" t="s">
        <v>412</v>
      </c>
      <c r="P114" s="117"/>
      <c r="Q114" s="110"/>
      <c r="R114" s="29"/>
      <c r="S114" s="56"/>
      <c r="T114" s="56"/>
      <c r="U114" s="16"/>
      <c r="V114" s="16"/>
      <c r="W114" s="16"/>
      <c r="X114" s="16"/>
      <c r="Y114" s="56"/>
      <c r="Z114" s="56"/>
      <c r="AA114" s="56"/>
    </row>
    <row r="115" spans="1:27" s="26" customFormat="1" x14ac:dyDescent="0.3">
      <c r="B115" s="117" t="s">
        <v>415</v>
      </c>
      <c r="C115" s="117" t="s">
        <v>326</v>
      </c>
      <c r="D115" s="117">
        <v>4</v>
      </c>
      <c r="E115" s="117">
        <f t="shared" si="5"/>
        <v>2</v>
      </c>
      <c r="F115" s="117">
        <v>0</v>
      </c>
      <c r="G115" s="117">
        <v>4294967295</v>
      </c>
      <c r="H115" s="117">
        <v>1</v>
      </c>
      <c r="I115" s="117" t="s">
        <v>403</v>
      </c>
      <c r="J115" s="117" t="s">
        <v>322</v>
      </c>
      <c r="K115" s="117">
        <f t="shared" si="6"/>
        <v>507</v>
      </c>
      <c r="L115" s="117">
        <f t="shared" si="4"/>
        <v>506</v>
      </c>
      <c r="M115" s="117" t="s">
        <v>323</v>
      </c>
      <c r="N115" s="117" t="s">
        <v>324</v>
      </c>
      <c r="O115" s="117" t="s">
        <v>412</v>
      </c>
      <c r="P115" s="117"/>
      <c r="Q115" s="110"/>
      <c r="R115" s="29"/>
      <c r="S115" s="56"/>
      <c r="T115" s="56"/>
      <c r="U115" s="16"/>
      <c r="V115" s="16"/>
      <c r="W115" s="16"/>
      <c r="X115" s="16"/>
      <c r="Y115" s="56"/>
      <c r="Z115" s="56"/>
      <c r="AA115" s="56"/>
    </row>
    <row r="116" spans="1:27" s="26" customFormat="1" x14ac:dyDescent="0.3">
      <c r="B116" s="117" t="s">
        <v>416</v>
      </c>
      <c r="C116" s="117" t="s">
        <v>326</v>
      </c>
      <c r="D116" s="117">
        <v>4</v>
      </c>
      <c r="E116" s="117">
        <f t="shared" si="5"/>
        <v>2</v>
      </c>
      <c r="F116" s="117">
        <v>0</v>
      </c>
      <c r="G116" s="117">
        <v>4294967295</v>
      </c>
      <c r="H116" s="117">
        <v>1</v>
      </c>
      <c r="I116" s="117" t="s">
        <v>417</v>
      </c>
      <c r="J116" s="117" t="s">
        <v>322</v>
      </c>
      <c r="K116" s="117">
        <f t="shared" si="6"/>
        <v>509</v>
      </c>
      <c r="L116" s="117">
        <f t="shared" si="4"/>
        <v>508</v>
      </c>
      <c r="M116" s="117" t="s">
        <v>323</v>
      </c>
      <c r="N116" s="117" t="s">
        <v>324</v>
      </c>
      <c r="O116" s="117" t="s">
        <v>412</v>
      </c>
      <c r="P116" s="117"/>
      <c r="Q116" s="110"/>
      <c r="R116" s="29"/>
      <c r="S116" s="56"/>
      <c r="T116" s="56"/>
      <c r="U116" s="16"/>
      <c r="V116" s="16"/>
      <c r="W116" s="16"/>
      <c r="X116" s="16"/>
      <c r="Y116" s="56"/>
      <c r="Z116" s="56"/>
      <c r="AA116" s="56"/>
    </row>
    <row r="117" spans="1:27" customFormat="1" x14ac:dyDescent="0.3">
      <c r="A117" s="26"/>
      <c r="B117" s="10" t="s">
        <v>320</v>
      </c>
      <c r="C117" s="10" t="s">
        <v>321</v>
      </c>
      <c r="D117" s="10">
        <v>2</v>
      </c>
      <c r="E117" s="10">
        <f t="shared" si="5"/>
        <v>1</v>
      </c>
      <c r="F117" s="10"/>
      <c r="G117" s="10"/>
      <c r="H117" s="10"/>
      <c r="I117" s="10"/>
      <c r="J117" s="10" t="s">
        <v>322</v>
      </c>
      <c r="K117" s="10">
        <f t="shared" si="6"/>
        <v>511</v>
      </c>
      <c r="L117" s="10">
        <f t="shared" si="4"/>
        <v>510</v>
      </c>
      <c r="M117" s="10" t="s">
        <v>323</v>
      </c>
      <c r="N117" s="10" t="s">
        <v>324</v>
      </c>
      <c r="O117" s="10"/>
      <c r="P117" s="10"/>
      <c r="Q117" s="111"/>
    </row>
    <row r="118" spans="1:27" customFormat="1" x14ac:dyDescent="0.3">
      <c r="A118" s="26"/>
      <c r="B118" s="10" t="s">
        <v>320</v>
      </c>
      <c r="C118" s="10" t="s">
        <v>321</v>
      </c>
      <c r="D118" s="10">
        <v>2</v>
      </c>
      <c r="E118" s="10">
        <f t="shared" si="5"/>
        <v>1</v>
      </c>
      <c r="F118" s="10"/>
      <c r="G118" s="10"/>
      <c r="H118" s="10"/>
      <c r="I118" s="10"/>
      <c r="J118" s="10" t="s">
        <v>322</v>
      </c>
      <c r="K118" s="10">
        <f t="shared" si="6"/>
        <v>512</v>
      </c>
      <c r="L118" s="10">
        <f t="shared" si="4"/>
        <v>511</v>
      </c>
      <c r="M118" s="10" t="s">
        <v>323</v>
      </c>
      <c r="N118" s="10" t="s">
        <v>324</v>
      </c>
      <c r="O118" s="10"/>
      <c r="P118" s="10"/>
      <c r="Q118" s="111"/>
    </row>
    <row r="119" spans="1:27" customFormat="1" x14ac:dyDescent="0.3">
      <c r="A119" s="26"/>
      <c r="B119" s="10" t="s">
        <v>320</v>
      </c>
      <c r="C119" s="10" t="s">
        <v>321</v>
      </c>
      <c r="D119" s="10">
        <v>2</v>
      </c>
      <c r="E119" s="10">
        <f t="shared" si="5"/>
        <v>1</v>
      </c>
      <c r="F119" s="10"/>
      <c r="G119" s="10"/>
      <c r="H119" s="10"/>
      <c r="I119" s="10"/>
      <c r="J119" s="10" t="s">
        <v>322</v>
      </c>
      <c r="K119" s="10">
        <f t="shared" si="6"/>
        <v>513</v>
      </c>
      <c r="L119" s="10">
        <f t="shared" si="4"/>
        <v>512</v>
      </c>
      <c r="M119" s="10" t="s">
        <v>323</v>
      </c>
      <c r="N119" s="10" t="s">
        <v>324</v>
      </c>
      <c r="O119" s="10"/>
      <c r="P119" s="10"/>
      <c r="Q119" s="111"/>
    </row>
    <row r="120" spans="1:27" customFormat="1" x14ac:dyDescent="0.3">
      <c r="A120" s="26"/>
      <c r="B120" s="10" t="s">
        <v>320</v>
      </c>
      <c r="C120" s="10" t="s">
        <v>321</v>
      </c>
      <c r="D120" s="10">
        <v>2</v>
      </c>
      <c r="E120" s="10">
        <f t="shared" si="5"/>
        <v>1</v>
      </c>
      <c r="F120" s="10"/>
      <c r="G120" s="10"/>
      <c r="H120" s="10"/>
      <c r="I120" s="10"/>
      <c r="J120" s="10" t="s">
        <v>322</v>
      </c>
      <c r="K120" s="10">
        <f t="shared" si="6"/>
        <v>514</v>
      </c>
      <c r="L120" s="10">
        <f t="shared" si="4"/>
        <v>513</v>
      </c>
      <c r="M120" s="10" t="s">
        <v>323</v>
      </c>
      <c r="N120" s="10" t="s">
        <v>324</v>
      </c>
      <c r="O120" s="10"/>
      <c r="P120" s="10"/>
      <c r="Q120" s="111"/>
    </row>
    <row r="121" spans="1:27" customFormat="1" x14ac:dyDescent="0.3">
      <c r="A121" s="26"/>
      <c r="B121" s="10" t="s">
        <v>320</v>
      </c>
      <c r="C121" s="10" t="s">
        <v>321</v>
      </c>
      <c r="D121" s="10">
        <v>2</v>
      </c>
      <c r="E121" s="10">
        <f t="shared" si="5"/>
        <v>1</v>
      </c>
      <c r="F121" s="10"/>
      <c r="G121" s="10"/>
      <c r="H121" s="10"/>
      <c r="I121" s="10"/>
      <c r="J121" s="10" t="s">
        <v>322</v>
      </c>
      <c r="K121" s="10">
        <f t="shared" si="6"/>
        <v>515</v>
      </c>
      <c r="L121" s="10">
        <f t="shared" si="4"/>
        <v>514</v>
      </c>
      <c r="M121" s="10" t="s">
        <v>323</v>
      </c>
      <c r="N121" s="10" t="s">
        <v>324</v>
      </c>
      <c r="O121" s="10"/>
      <c r="P121" s="10"/>
      <c r="Q121" s="111"/>
    </row>
    <row r="122" spans="1:27" customFormat="1" x14ac:dyDescent="0.3">
      <c r="A122" s="26"/>
      <c r="B122" s="10" t="s">
        <v>320</v>
      </c>
      <c r="C122" s="10" t="s">
        <v>321</v>
      </c>
      <c r="D122" s="10">
        <v>2</v>
      </c>
      <c r="E122" s="10">
        <f t="shared" si="5"/>
        <v>1</v>
      </c>
      <c r="F122" s="10"/>
      <c r="G122" s="10"/>
      <c r="H122" s="10"/>
      <c r="I122" s="10"/>
      <c r="J122" s="10" t="s">
        <v>322</v>
      </c>
      <c r="K122" s="10">
        <f t="shared" si="6"/>
        <v>516</v>
      </c>
      <c r="L122" s="10">
        <f t="shared" si="4"/>
        <v>515</v>
      </c>
      <c r="M122" s="10" t="s">
        <v>323</v>
      </c>
      <c r="N122" s="10" t="s">
        <v>324</v>
      </c>
      <c r="O122" s="10"/>
      <c r="P122" s="10"/>
      <c r="Q122" s="111"/>
    </row>
    <row r="123" spans="1:27" customFormat="1" x14ac:dyDescent="0.3">
      <c r="A123" s="26"/>
      <c r="B123" s="10" t="s">
        <v>320</v>
      </c>
      <c r="C123" s="10" t="s">
        <v>321</v>
      </c>
      <c r="D123" s="10">
        <v>2</v>
      </c>
      <c r="E123" s="10">
        <f t="shared" si="5"/>
        <v>1</v>
      </c>
      <c r="F123" s="10"/>
      <c r="G123" s="10"/>
      <c r="H123" s="10"/>
      <c r="I123" s="10"/>
      <c r="J123" s="10" t="s">
        <v>322</v>
      </c>
      <c r="K123" s="10">
        <f t="shared" si="6"/>
        <v>517</v>
      </c>
      <c r="L123" s="10">
        <f t="shared" si="4"/>
        <v>516</v>
      </c>
      <c r="M123" s="10" t="s">
        <v>323</v>
      </c>
      <c r="N123" s="10" t="s">
        <v>324</v>
      </c>
      <c r="O123" s="10"/>
      <c r="P123" s="10"/>
      <c r="Q123" s="111"/>
    </row>
    <row r="124" spans="1:27" customFormat="1" ht="16.2" thickBot="1" x14ac:dyDescent="0.35">
      <c r="A124" s="26"/>
      <c r="B124" s="10" t="s">
        <v>320</v>
      </c>
      <c r="C124" s="10" t="s">
        <v>321</v>
      </c>
      <c r="D124" s="10">
        <v>46</v>
      </c>
      <c r="E124" s="10">
        <f t="shared" si="5"/>
        <v>23</v>
      </c>
      <c r="F124" s="10"/>
      <c r="G124" s="10"/>
      <c r="H124" s="10"/>
      <c r="I124" s="10"/>
      <c r="J124" s="10" t="s">
        <v>322</v>
      </c>
      <c r="K124" s="10">
        <f t="shared" si="6"/>
        <v>518</v>
      </c>
      <c r="L124" s="10">
        <f t="shared" si="4"/>
        <v>517</v>
      </c>
      <c r="M124" s="10" t="s">
        <v>323</v>
      </c>
      <c r="N124" s="10" t="s">
        <v>324</v>
      </c>
      <c r="O124" s="10"/>
      <c r="P124" s="10"/>
      <c r="Q124" s="111"/>
    </row>
    <row r="125" spans="1:27" s="26" customFormat="1" ht="16.2" x14ac:dyDescent="0.3">
      <c r="B125" s="456" t="s">
        <v>95</v>
      </c>
      <c r="C125" s="457"/>
      <c r="D125" s="457"/>
      <c r="E125" s="457"/>
      <c r="F125" s="457"/>
      <c r="G125" s="457"/>
      <c r="H125" s="457"/>
      <c r="I125" s="457"/>
      <c r="J125" s="457"/>
      <c r="K125" s="457"/>
      <c r="L125" s="457"/>
      <c r="M125" s="457"/>
      <c r="N125" s="457"/>
      <c r="O125" s="457"/>
      <c r="P125" s="457"/>
      <c r="Q125" s="457"/>
      <c r="R125" s="29"/>
      <c r="S125" s="56"/>
      <c r="T125" s="56"/>
      <c r="U125" s="16"/>
      <c r="V125" s="16"/>
      <c r="W125" s="16"/>
      <c r="X125" s="16"/>
      <c r="Y125" s="56"/>
      <c r="Z125" s="56"/>
      <c r="AA125" s="56"/>
    </row>
    <row r="126" spans="1:27" customFormat="1" x14ac:dyDescent="0.3">
      <c r="A126" s="26"/>
      <c r="B126" s="10" t="s">
        <v>320</v>
      </c>
      <c r="C126" s="10" t="s">
        <v>321</v>
      </c>
      <c r="D126" s="10">
        <v>122</v>
      </c>
      <c r="E126" s="10">
        <f t="shared" si="5"/>
        <v>61</v>
      </c>
      <c r="F126" s="10">
        <v>0</v>
      </c>
      <c r="G126" s="10">
        <v>0</v>
      </c>
      <c r="H126" s="10">
        <v>0</v>
      </c>
      <c r="I126" s="10">
        <v>0</v>
      </c>
      <c r="J126" s="10" t="s">
        <v>418</v>
      </c>
      <c r="K126" s="10">
        <f t="shared" si="6"/>
        <v>541</v>
      </c>
      <c r="L126" s="10">
        <f>L124+E124</f>
        <v>540</v>
      </c>
      <c r="M126" s="10" t="s">
        <v>419</v>
      </c>
      <c r="N126" s="10" t="s">
        <v>324</v>
      </c>
      <c r="O126" s="10"/>
      <c r="P126" s="10"/>
      <c r="Q126" s="111"/>
    </row>
    <row r="127" spans="1:27" customFormat="1" ht="46.8" x14ac:dyDescent="0.3">
      <c r="A127" s="26"/>
      <c r="B127" s="134" t="s">
        <v>420</v>
      </c>
      <c r="C127" s="10" t="s">
        <v>359</v>
      </c>
      <c r="D127" s="10">
        <v>2</v>
      </c>
      <c r="E127" s="10">
        <f t="shared" si="5"/>
        <v>1</v>
      </c>
      <c r="F127" s="10">
        <v>0</v>
      </c>
      <c r="G127" s="10">
        <v>1</v>
      </c>
      <c r="H127" s="10">
        <v>1</v>
      </c>
      <c r="I127" s="10">
        <v>1</v>
      </c>
      <c r="J127" s="10" t="s">
        <v>418</v>
      </c>
      <c r="K127" s="10">
        <f t="shared" si="6"/>
        <v>602</v>
      </c>
      <c r="L127" s="10">
        <f t="shared" si="4"/>
        <v>601</v>
      </c>
      <c r="M127" s="10" t="s">
        <v>419</v>
      </c>
      <c r="N127" s="10" t="s">
        <v>327</v>
      </c>
      <c r="O127" s="10">
        <v>0</v>
      </c>
      <c r="P127" s="10"/>
      <c r="Q127" s="110" t="s">
        <v>421</v>
      </c>
    </row>
    <row r="128" spans="1:27" customFormat="1" ht="78" x14ac:dyDescent="0.3">
      <c r="A128" s="26"/>
      <c r="B128" s="134" t="s">
        <v>422</v>
      </c>
      <c r="C128" s="10" t="s">
        <v>359</v>
      </c>
      <c r="D128" s="10">
        <v>2</v>
      </c>
      <c r="E128" s="10">
        <f t="shared" si="5"/>
        <v>1</v>
      </c>
      <c r="F128" s="10">
        <v>0</v>
      </c>
      <c r="G128" s="10">
        <v>2048</v>
      </c>
      <c r="H128" s="10">
        <v>2048</v>
      </c>
      <c r="I128" s="10">
        <v>1</v>
      </c>
      <c r="J128" s="10" t="s">
        <v>418</v>
      </c>
      <c r="K128" s="10">
        <f t="shared" si="6"/>
        <v>603</v>
      </c>
      <c r="L128" s="10">
        <f t="shared" ref="L128:L160" si="7">L127+E127</f>
        <v>602</v>
      </c>
      <c r="M128" s="10" t="s">
        <v>419</v>
      </c>
      <c r="N128" s="10" t="s">
        <v>327</v>
      </c>
      <c r="O128" s="10">
        <v>0</v>
      </c>
      <c r="P128" s="10"/>
      <c r="Q128" s="110" t="s">
        <v>423</v>
      </c>
    </row>
    <row r="129" spans="1:17" customFormat="1" ht="32.1" customHeight="1" x14ac:dyDescent="0.3">
      <c r="A129" s="26"/>
      <c r="B129" s="134" t="s">
        <v>320</v>
      </c>
      <c r="C129" s="10" t="s">
        <v>321</v>
      </c>
      <c r="D129" s="10">
        <v>56</v>
      </c>
      <c r="E129" s="10">
        <f t="shared" si="5"/>
        <v>28</v>
      </c>
      <c r="F129" s="10">
        <v>0</v>
      </c>
      <c r="G129" s="10">
        <v>0</v>
      </c>
      <c r="H129" s="10">
        <v>0</v>
      </c>
      <c r="I129" s="10">
        <v>0</v>
      </c>
      <c r="J129" s="10" t="s">
        <v>418</v>
      </c>
      <c r="K129" s="10">
        <f t="shared" si="6"/>
        <v>604</v>
      </c>
      <c r="L129" s="10">
        <f t="shared" si="7"/>
        <v>603</v>
      </c>
      <c r="M129" s="10" t="s">
        <v>419</v>
      </c>
      <c r="N129" s="10"/>
      <c r="O129" s="10"/>
      <c r="P129" s="10"/>
      <c r="Q129" s="111"/>
    </row>
    <row r="130" spans="1:17" customFormat="1" ht="244.35" customHeight="1" x14ac:dyDescent="0.3">
      <c r="A130" s="26"/>
      <c r="B130" s="134" t="s">
        <v>424</v>
      </c>
      <c r="C130" s="10" t="s">
        <v>359</v>
      </c>
      <c r="D130" s="10">
        <v>2</v>
      </c>
      <c r="E130" s="10">
        <f t="shared" si="5"/>
        <v>1</v>
      </c>
      <c r="F130" s="10">
        <v>0</v>
      </c>
      <c r="G130" s="10">
        <v>65535</v>
      </c>
      <c r="H130" s="10">
        <v>1</v>
      </c>
      <c r="I130" s="10">
        <v>1</v>
      </c>
      <c r="J130" s="10" t="s">
        <v>418</v>
      </c>
      <c r="K130" s="10">
        <f t="shared" si="6"/>
        <v>632</v>
      </c>
      <c r="L130" s="10">
        <f t="shared" si="7"/>
        <v>631</v>
      </c>
      <c r="M130" s="10" t="s">
        <v>419</v>
      </c>
      <c r="N130" s="10" t="s">
        <v>327</v>
      </c>
      <c r="O130" s="10"/>
      <c r="P130" s="10"/>
      <c r="Q130" s="192" t="s">
        <v>425</v>
      </c>
    </row>
    <row r="131" spans="1:17" customFormat="1" ht="243.6" customHeight="1" x14ac:dyDescent="0.3">
      <c r="A131" s="26"/>
      <c r="B131" s="134" t="s">
        <v>426</v>
      </c>
      <c r="C131" s="10" t="s">
        <v>359</v>
      </c>
      <c r="D131" s="10">
        <v>2</v>
      </c>
      <c r="E131" s="10">
        <f t="shared" si="5"/>
        <v>1</v>
      </c>
      <c r="F131" s="10">
        <v>0</v>
      </c>
      <c r="G131" s="10">
        <v>65535</v>
      </c>
      <c r="H131" s="10">
        <v>1</v>
      </c>
      <c r="I131" s="10">
        <v>1</v>
      </c>
      <c r="J131" s="10" t="s">
        <v>418</v>
      </c>
      <c r="K131" s="10">
        <f t="shared" si="6"/>
        <v>633</v>
      </c>
      <c r="L131" s="10">
        <f t="shared" si="7"/>
        <v>632</v>
      </c>
      <c r="M131" s="10" t="s">
        <v>419</v>
      </c>
      <c r="N131" s="10" t="s">
        <v>327</v>
      </c>
      <c r="O131" s="10"/>
      <c r="P131" s="10"/>
      <c r="Q131" s="192" t="s">
        <v>427</v>
      </c>
    </row>
    <row r="132" spans="1:17" customFormat="1" ht="263.10000000000002" customHeight="1" x14ac:dyDescent="0.3">
      <c r="A132" s="26"/>
      <c r="B132" s="201" t="s">
        <v>428</v>
      </c>
      <c r="C132" s="10" t="s">
        <v>359</v>
      </c>
      <c r="D132" s="10">
        <v>2</v>
      </c>
      <c r="E132" s="10">
        <f t="shared" ref="E132:E160" si="8">D132/2</f>
        <v>1</v>
      </c>
      <c r="F132" s="10">
        <v>0</v>
      </c>
      <c r="G132" s="10">
        <v>65535</v>
      </c>
      <c r="H132" s="10">
        <v>1</v>
      </c>
      <c r="I132" s="10">
        <v>1</v>
      </c>
      <c r="J132" s="10" t="s">
        <v>418</v>
      </c>
      <c r="K132" s="10">
        <f t="shared" si="6"/>
        <v>634</v>
      </c>
      <c r="L132" s="10">
        <f t="shared" si="7"/>
        <v>633</v>
      </c>
      <c r="M132" s="10" t="s">
        <v>419</v>
      </c>
      <c r="N132" s="10" t="s">
        <v>327</v>
      </c>
      <c r="O132" s="10"/>
      <c r="P132" s="10"/>
      <c r="Q132" s="192" t="s">
        <v>429</v>
      </c>
    </row>
    <row r="133" spans="1:17" customFormat="1" ht="259.5" customHeight="1" x14ac:dyDescent="0.3">
      <c r="A133" s="26"/>
      <c r="B133" s="201" t="s">
        <v>430</v>
      </c>
      <c r="C133" s="10" t="s">
        <v>359</v>
      </c>
      <c r="D133" s="10">
        <v>2</v>
      </c>
      <c r="E133" s="10">
        <f t="shared" si="8"/>
        <v>1</v>
      </c>
      <c r="F133" s="10">
        <v>0</v>
      </c>
      <c r="G133" s="10">
        <v>65535</v>
      </c>
      <c r="H133" s="10">
        <v>1</v>
      </c>
      <c r="I133" s="10">
        <v>1</v>
      </c>
      <c r="J133" s="10" t="s">
        <v>418</v>
      </c>
      <c r="K133" s="10">
        <f t="shared" si="6"/>
        <v>635</v>
      </c>
      <c r="L133" s="10">
        <f t="shared" si="7"/>
        <v>634</v>
      </c>
      <c r="M133" s="10" t="s">
        <v>419</v>
      </c>
      <c r="N133" s="10" t="s">
        <v>327</v>
      </c>
      <c r="O133" s="10"/>
      <c r="P133" s="10"/>
      <c r="Q133" s="110" t="s">
        <v>431</v>
      </c>
    </row>
    <row r="134" spans="1:17" customFormat="1" x14ac:dyDescent="0.3">
      <c r="A134" s="26"/>
      <c r="B134" s="10" t="s">
        <v>320</v>
      </c>
      <c r="C134" s="10" t="s">
        <v>321</v>
      </c>
      <c r="D134" s="10">
        <v>2</v>
      </c>
      <c r="E134" s="10">
        <f t="shared" si="8"/>
        <v>1</v>
      </c>
      <c r="F134" s="10">
        <v>0</v>
      </c>
      <c r="G134" s="10">
        <v>0</v>
      </c>
      <c r="H134" s="10">
        <v>0</v>
      </c>
      <c r="I134" s="10">
        <v>0</v>
      </c>
      <c r="J134" s="10" t="s">
        <v>418</v>
      </c>
      <c r="K134" s="10">
        <f t="shared" si="6"/>
        <v>636</v>
      </c>
      <c r="L134" s="10">
        <f t="shared" si="7"/>
        <v>635</v>
      </c>
      <c r="M134" s="10" t="s">
        <v>419</v>
      </c>
      <c r="N134" s="10" t="s">
        <v>324</v>
      </c>
      <c r="O134" s="10"/>
      <c r="P134" s="10"/>
      <c r="Q134" s="111"/>
    </row>
    <row r="135" spans="1:17" customFormat="1" x14ac:dyDescent="0.3">
      <c r="A135" s="26"/>
      <c r="B135" s="10" t="s">
        <v>320</v>
      </c>
      <c r="C135" s="10" t="s">
        <v>321</v>
      </c>
      <c r="D135" s="10">
        <v>2</v>
      </c>
      <c r="E135" s="10">
        <f t="shared" si="8"/>
        <v>1</v>
      </c>
      <c r="F135" s="10">
        <v>0</v>
      </c>
      <c r="G135" s="10">
        <v>0</v>
      </c>
      <c r="H135" s="10">
        <v>0</v>
      </c>
      <c r="I135" s="10">
        <v>0</v>
      </c>
      <c r="J135" s="10" t="s">
        <v>418</v>
      </c>
      <c r="K135" s="10">
        <f t="shared" ref="K135:K168" si="9">L135+1</f>
        <v>637</v>
      </c>
      <c r="L135" s="10">
        <f t="shared" si="7"/>
        <v>636</v>
      </c>
      <c r="M135" s="10" t="s">
        <v>419</v>
      </c>
      <c r="N135" s="10" t="s">
        <v>324</v>
      </c>
      <c r="O135" s="10"/>
      <c r="P135" s="10"/>
      <c r="Q135" s="111"/>
    </row>
    <row r="136" spans="1:17" customFormat="1" x14ac:dyDescent="0.3">
      <c r="A136" s="26"/>
      <c r="B136" s="10" t="s">
        <v>320</v>
      </c>
      <c r="C136" s="10" t="s">
        <v>321</v>
      </c>
      <c r="D136" s="10">
        <v>2</v>
      </c>
      <c r="E136" s="10">
        <f t="shared" si="8"/>
        <v>1</v>
      </c>
      <c r="F136" s="10">
        <v>0</v>
      </c>
      <c r="G136" s="10">
        <v>0</v>
      </c>
      <c r="H136" s="10">
        <v>0</v>
      </c>
      <c r="I136" s="10">
        <v>0</v>
      </c>
      <c r="J136" s="10" t="s">
        <v>418</v>
      </c>
      <c r="K136" s="10">
        <f t="shared" si="9"/>
        <v>638</v>
      </c>
      <c r="L136" s="10">
        <f t="shared" si="7"/>
        <v>637</v>
      </c>
      <c r="M136" s="10" t="s">
        <v>419</v>
      </c>
      <c r="N136" s="10" t="s">
        <v>324</v>
      </c>
      <c r="O136" s="10"/>
      <c r="P136" s="10"/>
      <c r="Q136" s="111"/>
    </row>
    <row r="137" spans="1:17" customFormat="1" x14ac:dyDescent="0.3">
      <c r="A137" s="26"/>
      <c r="B137" s="10" t="s">
        <v>320</v>
      </c>
      <c r="C137" s="10" t="s">
        <v>321</v>
      </c>
      <c r="D137" s="10">
        <v>2</v>
      </c>
      <c r="E137" s="10">
        <f t="shared" si="8"/>
        <v>1</v>
      </c>
      <c r="F137" s="10">
        <v>0</v>
      </c>
      <c r="G137" s="10">
        <v>0</v>
      </c>
      <c r="H137" s="10">
        <v>0</v>
      </c>
      <c r="I137" s="10">
        <v>0</v>
      </c>
      <c r="J137" s="10" t="s">
        <v>418</v>
      </c>
      <c r="K137" s="10">
        <f t="shared" si="9"/>
        <v>639</v>
      </c>
      <c r="L137" s="10">
        <f t="shared" si="7"/>
        <v>638</v>
      </c>
      <c r="M137" s="10" t="s">
        <v>419</v>
      </c>
      <c r="N137" s="10" t="s">
        <v>324</v>
      </c>
      <c r="O137" s="10"/>
      <c r="P137" s="10"/>
      <c r="Q137" s="111"/>
    </row>
    <row r="138" spans="1:17" customFormat="1" x14ac:dyDescent="0.3">
      <c r="A138" s="26"/>
      <c r="B138" s="10" t="s">
        <v>320</v>
      </c>
      <c r="C138" s="10" t="s">
        <v>321</v>
      </c>
      <c r="D138" s="10">
        <v>2</v>
      </c>
      <c r="E138" s="10">
        <f t="shared" si="8"/>
        <v>1</v>
      </c>
      <c r="F138" s="10">
        <v>0</v>
      </c>
      <c r="G138" s="10">
        <v>0</v>
      </c>
      <c r="H138" s="10">
        <v>0</v>
      </c>
      <c r="I138" s="10">
        <v>0</v>
      </c>
      <c r="J138" s="10" t="s">
        <v>418</v>
      </c>
      <c r="K138" s="10">
        <f t="shared" si="9"/>
        <v>640</v>
      </c>
      <c r="L138" s="10">
        <f t="shared" si="7"/>
        <v>639</v>
      </c>
      <c r="M138" s="10" t="s">
        <v>419</v>
      </c>
      <c r="N138" s="10" t="s">
        <v>324</v>
      </c>
      <c r="O138" s="10"/>
      <c r="P138" s="10"/>
      <c r="Q138" s="111"/>
    </row>
    <row r="139" spans="1:17" customFormat="1" x14ac:dyDescent="0.3">
      <c r="A139" s="26"/>
      <c r="B139" s="10" t="s">
        <v>320</v>
      </c>
      <c r="C139" s="10" t="s">
        <v>321</v>
      </c>
      <c r="D139" s="10">
        <v>2</v>
      </c>
      <c r="E139" s="10">
        <f t="shared" si="8"/>
        <v>1</v>
      </c>
      <c r="F139" s="10">
        <v>0</v>
      </c>
      <c r="G139" s="10">
        <v>0</v>
      </c>
      <c r="H139" s="10">
        <v>0</v>
      </c>
      <c r="I139" s="10">
        <v>0</v>
      </c>
      <c r="J139" s="10" t="s">
        <v>418</v>
      </c>
      <c r="K139" s="10">
        <f t="shared" si="9"/>
        <v>641</v>
      </c>
      <c r="L139" s="10">
        <f t="shared" si="7"/>
        <v>640</v>
      </c>
      <c r="M139" s="10" t="s">
        <v>419</v>
      </c>
      <c r="N139" s="10" t="s">
        <v>324</v>
      </c>
      <c r="O139" s="10"/>
      <c r="P139" s="10"/>
      <c r="Q139" s="111"/>
    </row>
    <row r="140" spans="1:17" customFormat="1" x14ac:dyDescent="0.3">
      <c r="A140" s="26"/>
      <c r="B140" s="10" t="s">
        <v>320</v>
      </c>
      <c r="C140" s="10" t="s">
        <v>321</v>
      </c>
      <c r="D140" s="10">
        <v>2</v>
      </c>
      <c r="E140" s="10">
        <f t="shared" si="8"/>
        <v>1</v>
      </c>
      <c r="F140" s="10">
        <v>0</v>
      </c>
      <c r="G140" s="10">
        <v>0</v>
      </c>
      <c r="H140" s="10">
        <v>0</v>
      </c>
      <c r="I140" s="10">
        <v>0</v>
      </c>
      <c r="J140" s="10" t="s">
        <v>418</v>
      </c>
      <c r="K140" s="10">
        <f t="shared" si="9"/>
        <v>642</v>
      </c>
      <c r="L140" s="10">
        <f t="shared" si="7"/>
        <v>641</v>
      </c>
      <c r="M140" s="10" t="s">
        <v>419</v>
      </c>
      <c r="N140" s="10" t="s">
        <v>324</v>
      </c>
      <c r="O140" s="10"/>
      <c r="P140" s="10"/>
      <c r="Q140" s="111"/>
    </row>
    <row r="141" spans="1:17" customFormat="1" x14ac:dyDescent="0.3">
      <c r="A141" s="26"/>
      <c r="B141" s="10" t="s">
        <v>320</v>
      </c>
      <c r="C141" s="10" t="s">
        <v>321</v>
      </c>
      <c r="D141" s="10">
        <v>2</v>
      </c>
      <c r="E141" s="10">
        <f t="shared" si="8"/>
        <v>1</v>
      </c>
      <c r="F141" s="10">
        <v>0</v>
      </c>
      <c r="G141" s="10">
        <v>0</v>
      </c>
      <c r="H141" s="10">
        <v>0</v>
      </c>
      <c r="I141" s="10">
        <v>0</v>
      </c>
      <c r="J141" s="10" t="s">
        <v>418</v>
      </c>
      <c r="K141" s="10">
        <f t="shared" si="9"/>
        <v>643</v>
      </c>
      <c r="L141" s="10">
        <f t="shared" si="7"/>
        <v>642</v>
      </c>
      <c r="M141" s="10" t="s">
        <v>419</v>
      </c>
      <c r="N141" s="10" t="s">
        <v>324</v>
      </c>
      <c r="O141" s="10"/>
      <c r="P141" s="10"/>
      <c r="Q141" s="111"/>
    </row>
    <row r="142" spans="1:17" customFormat="1" x14ac:dyDescent="0.3">
      <c r="A142" s="26"/>
      <c r="B142" s="10" t="s">
        <v>320</v>
      </c>
      <c r="C142" s="10" t="s">
        <v>321</v>
      </c>
      <c r="D142" s="10">
        <v>2</v>
      </c>
      <c r="E142" s="10">
        <f t="shared" si="8"/>
        <v>1</v>
      </c>
      <c r="F142" s="10">
        <v>0</v>
      </c>
      <c r="G142" s="10">
        <v>0</v>
      </c>
      <c r="H142" s="10">
        <v>0</v>
      </c>
      <c r="I142" s="10">
        <v>0</v>
      </c>
      <c r="J142" s="10" t="s">
        <v>418</v>
      </c>
      <c r="K142" s="10">
        <f t="shared" si="9"/>
        <v>644</v>
      </c>
      <c r="L142" s="10">
        <f t="shared" si="7"/>
        <v>643</v>
      </c>
      <c r="M142" s="10" t="s">
        <v>419</v>
      </c>
      <c r="N142" s="10" t="s">
        <v>324</v>
      </c>
      <c r="O142" s="10"/>
      <c r="P142" s="10"/>
      <c r="Q142" s="111"/>
    </row>
    <row r="143" spans="1:17" customFormat="1" x14ac:dyDescent="0.3">
      <c r="A143" s="26"/>
      <c r="B143" s="10" t="s">
        <v>320</v>
      </c>
      <c r="C143" s="10" t="s">
        <v>321</v>
      </c>
      <c r="D143" s="10">
        <v>2</v>
      </c>
      <c r="E143" s="10">
        <f t="shared" si="8"/>
        <v>1</v>
      </c>
      <c r="F143" s="10">
        <v>0</v>
      </c>
      <c r="G143" s="10">
        <v>0</v>
      </c>
      <c r="H143" s="10">
        <v>0</v>
      </c>
      <c r="I143" s="10">
        <v>0</v>
      </c>
      <c r="J143" s="10" t="s">
        <v>418</v>
      </c>
      <c r="K143" s="10">
        <f t="shared" si="9"/>
        <v>645</v>
      </c>
      <c r="L143" s="10">
        <f t="shared" si="7"/>
        <v>644</v>
      </c>
      <c r="M143" s="10" t="s">
        <v>419</v>
      </c>
      <c r="N143" s="10" t="s">
        <v>324</v>
      </c>
      <c r="O143" s="10"/>
      <c r="P143" s="10"/>
      <c r="Q143" s="111"/>
    </row>
    <row r="144" spans="1:17" customFormat="1" x14ac:dyDescent="0.3">
      <c r="A144" s="26"/>
      <c r="B144" s="10" t="s">
        <v>320</v>
      </c>
      <c r="C144" s="10" t="s">
        <v>321</v>
      </c>
      <c r="D144" s="10">
        <v>2</v>
      </c>
      <c r="E144" s="10">
        <f t="shared" si="8"/>
        <v>1</v>
      </c>
      <c r="F144" s="10">
        <v>0</v>
      </c>
      <c r="G144" s="10">
        <v>0</v>
      </c>
      <c r="H144" s="10">
        <v>0</v>
      </c>
      <c r="I144" s="10">
        <v>0</v>
      </c>
      <c r="J144" s="10" t="s">
        <v>418</v>
      </c>
      <c r="K144" s="10">
        <f t="shared" si="9"/>
        <v>646</v>
      </c>
      <c r="L144" s="10">
        <f t="shared" si="7"/>
        <v>645</v>
      </c>
      <c r="M144" s="10" t="s">
        <v>419</v>
      </c>
      <c r="N144" s="10" t="s">
        <v>324</v>
      </c>
      <c r="O144" s="10"/>
      <c r="P144" s="10"/>
      <c r="Q144" s="111"/>
    </row>
    <row r="145" spans="1:27" customFormat="1" x14ac:dyDescent="0.3">
      <c r="A145" s="26"/>
      <c r="B145" s="10" t="s">
        <v>320</v>
      </c>
      <c r="C145" s="10" t="s">
        <v>321</v>
      </c>
      <c r="D145" s="10">
        <v>2</v>
      </c>
      <c r="E145" s="10">
        <f t="shared" si="8"/>
        <v>1</v>
      </c>
      <c r="F145" s="10">
        <v>0</v>
      </c>
      <c r="G145" s="10">
        <v>0</v>
      </c>
      <c r="H145" s="10">
        <v>0</v>
      </c>
      <c r="I145" s="10">
        <v>0</v>
      </c>
      <c r="J145" s="10" t="s">
        <v>418</v>
      </c>
      <c r="K145" s="10">
        <f t="shared" si="9"/>
        <v>647</v>
      </c>
      <c r="L145" s="10">
        <f t="shared" si="7"/>
        <v>646</v>
      </c>
      <c r="M145" s="10" t="s">
        <v>419</v>
      </c>
      <c r="N145" s="10" t="s">
        <v>324</v>
      </c>
      <c r="O145" s="10"/>
      <c r="P145" s="10"/>
      <c r="Q145" s="111"/>
    </row>
    <row r="146" spans="1:27" customFormat="1" x14ac:dyDescent="0.3">
      <c r="A146" s="26"/>
      <c r="B146" s="10" t="s">
        <v>320</v>
      </c>
      <c r="C146" s="10" t="s">
        <v>321</v>
      </c>
      <c r="D146" s="10">
        <v>2</v>
      </c>
      <c r="E146" s="10">
        <f t="shared" si="8"/>
        <v>1</v>
      </c>
      <c r="F146" s="10">
        <v>0</v>
      </c>
      <c r="G146" s="10">
        <v>0</v>
      </c>
      <c r="H146" s="10">
        <v>0</v>
      </c>
      <c r="I146" s="10">
        <v>0</v>
      </c>
      <c r="J146" s="10" t="s">
        <v>418</v>
      </c>
      <c r="K146" s="10">
        <f t="shared" si="9"/>
        <v>648</v>
      </c>
      <c r="L146" s="10">
        <f t="shared" si="7"/>
        <v>647</v>
      </c>
      <c r="M146" s="10" t="s">
        <v>419</v>
      </c>
      <c r="N146" s="10" t="s">
        <v>324</v>
      </c>
      <c r="O146" s="10"/>
      <c r="P146" s="10"/>
      <c r="Q146" s="111"/>
    </row>
    <row r="147" spans="1:27" customFormat="1" x14ac:dyDescent="0.3">
      <c r="A147" s="26"/>
      <c r="B147" s="10" t="s">
        <v>320</v>
      </c>
      <c r="C147" s="10" t="s">
        <v>321</v>
      </c>
      <c r="D147" s="10">
        <v>2</v>
      </c>
      <c r="E147" s="10">
        <f t="shared" si="8"/>
        <v>1</v>
      </c>
      <c r="F147" s="10">
        <v>0</v>
      </c>
      <c r="G147" s="10">
        <v>0</v>
      </c>
      <c r="H147" s="10">
        <v>0</v>
      </c>
      <c r="I147" s="10">
        <v>0</v>
      </c>
      <c r="J147" s="10" t="s">
        <v>418</v>
      </c>
      <c r="K147" s="10">
        <f t="shared" si="9"/>
        <v>649</v>
      </c>
      <c r="L147" s="10">
        <f t="shared" si="7"/>
        <v>648</v>
      </c>
      <c r="M147" s="10" t="s">
        <v>419</v>
      </c>
      <c r="N147" s="10" t="s">
        <v>324</v>
      </c>
      <c r="O147" s="10"/>
      <c r="P147" s="10"/>
      <c r="Q147" s="111"/>
    </row>
    <row r="148" spans="1:27" customFormat="1" ht="16.2" thickBot="1" x14ac:dyDescent="0.35">
      <c r="A148" s="26"/>
      <c r="B148" s="10" t="s">
        <v>320</v>
      </c>
      <c r="C148" s="10" t="s">
        <v>321</v>
      </c>
      <c r="D148" s="10">
        <v>2</v>
      </c>
      <c r="E148" s="10">
        <f t="shared" si="8"/>
        <v>1</v>
      </c>
      <c r="F148" s="10">
        <v>0</v>
      </c>
      <c r="G148" s="10">
        <v>0</v>
      </c>
      <c r="H148" s="10">
        <v>0</v>
      </c>
      <c r="I148" s="10">
        <v>0</v>
      </c>
      <c r="J148" s="10" t="s">
        <v>418</v>
      </c>
      <c r="K148" s="10">
        <f t="shared" si="9"/>
        <v>650</v>
      </c>
      <c r="L148" s="10">
        <f t="shared" si="7"/>
        <v>649</v>
      </c>
      <c r="M148" s="10" t="s">
        <v>419</v>
      </c>
      <c r="N148" s="10" t="s">
        <v>324</v>
      </c>
      <c r="O148" s="10"/>
      <c r="P148" s="10"/>
      <c r="Q148" s="111"/>
    </row>
    <row r="149" spans="1:27" s="26" customFormat="1" ht="16.2" x14ac:dyDescent="0.3">
      <c r="B149" s="456" t="s">
        <v>432</v>
      </c>
      <c r="C149" s="457"/>
      <c r="D149" s="457"/>
      <c r="E149" s="457"/>
      <c r="F149" s="457"/>
      <c r="G149" s="457"/>
      <c r="H149" s="457"/>
      <c r="I149" s="457"/>
      <c r="J149" s="457"/>
      <c r="K149" s="457"/>
      <c r="L149" s="457"/>
      <c r="M149" s="457"/>
      <c r="N149" s="457"/>
      <c r="O149" s="457"/>
      <c r="P149" s="457"/>
      <c r="Q149" s="457"/>
      <c r="R149" s="29"/>
      <c r="S149" s="56"/>
      <c r="T149" s="56"/>
      <c r="U149" s="16"/>
      <c r="V149" s="16"/>
      <c r="W149" s="16"/>
      <c r="X149" s="16"/>
      <c r="Y149" s="56"/>
      <c r="Z149" s="56"/>
      <c r="AA149" s="56"/>
    </row>
    <row r="150" spans="1:27" customFormat="1" x14ac:dyDescent="0.3">
      <c r="A150" s="26"/>
      <c r="B150" s="10" t="s">
        <v>320</v>
      </c>
      <c r="C150" s="10" t="s">
        <v>321</v>
      </c>
      <c r="D150" s="10">
        <v>2</v>
      </c>
      <c r="E150" s="10">
        <f t="shared" si="8"/>
        <v>1</v>
      </c>
      <c r="F150" s="10"/>
      <c r="G150" s="10"/>
      <c r="H150" s="10"/>
      <c r="I150" s="10"/>
      <c r="J150" s="10" t="s">
        <v>418</v>
      </c>
      <c r="K150" s="10">
        <f t="shared" si="9"/>
        <v>651</v>
      </c>
      <c r="L150" s="10">
        <f>L148+E148</f>
        <v>650</v>
      </c>
      <c r="M150" s="10" t="s">
        <v>419</v>
      </c>
      <c r="N150" s="10" t="s">
        <v>324</v>
      </c>
      <c r="O150" s="10"/>
      <c r="P150" s="10"/>
      <c r="Q150" s="111"/>
    </row>
    <row r="151" spans="1:27" customFormat="1" x14ac:dyDescent="0.3">
      <c r="A151" s="26"/>
      <c r="B151" s="10" t="s">
        <v>320</v>
      </c>
      <c r="C151" s="10" t="s">
        <v>321</v>
      </c>
      <c r="D151" s="10">
        <v>2</v>
      </c>
      <c r="E151" s="10">
        <f t="shared" si="8"/>
        <v>1</v>
      </c>
      <c r="F151" s="10"/>
      <c r="G151" s="10"/>
      <c r="H151" s="10"/>
      <c r="I151" s="10"/>
      <c r="J151" s="10" t="s">
        <v>418</v>
      </c>
      <c r="K151" s="10">
        <f t="shared" si="9"/>
        <v>652</v>
      </c>
      <c r="L151" s="10">
        <f t="shared" si="7"/>
        <v>651</v>
      </c>
      <c r="M151" s="10" t="s">
        <v>419</v>
      </c>
      <c r="N151" s="10" t="s">
        <v>324</v>
      </c>
      <c r="O151" s="10"/>
      <c r="P151" s="10"/>
      <c r="Q151" s="111"/>
    </row>
    <row r="152" spans="1:27" customFormat="1" x14ac:dyDescent="0.3">
      <c r="A152" s="26"/>
      <c r="B152" s="10" t="s">
        <v>320</v>
      </c>
      <c r="C152" s="10" t="s">
        <v>321</v>
      </c>
      <c r="D152" s="10">
        <v>2</v>
      </c>
      <c r="E152" s="10">
        <f t="shared" si="8"/>
        <v>1</v>
      </c>
      <c r="F152" s="10"/>
      <c r="G152" s="10"/>
      <c r="H152" s="10"/>
      <c r="I152" s="10"/>
      <c r="J152" s="10" t="s">
        <v>418</v>
      </c>
      <c r="K152" s="10">
        <f t="shared" si="9"/>
        <v>653</v>
      </c>
      <c r="L152" s="10">
        <f t="shared" si="7"/>
        <v>652</v>
      </c>
      <c r="M152" s="10" t="s">
        <v>419</v>
      </c>
      <c r="N152" s="10" t="s">
        <v>324</v>
      </c>
      <c r="O152" s="10"/>
      <c r="P152" s="10"/>
      <c r="Q152" s="111"/>
    </row>
    <row r="153" spans="1:27" customFormat="1" x14ac:dyDescent="0.3">
      <c r="A153" s="26"/>
      <c r="B153" s="10" t="s">
        <v>320</v>
      </c>
      <c r="C153" s="10" t="s">
        <v>321</v>
      </c>
      <c r="D153" s="10">
        <v>2</v>
      </c>
      <c r="E153" s="10">
        <f t="shared" si="8"/>
        <v>1</v>
      </c>
      <c r="F153" s="10"/>
      <c r="G153" s="10"/>
      <c r="H153" s="10"/>
      <c r="I153" s="10"/>
      <c r="J153" s="10" t="s">
        <v>418</v>
      </c>
      <c r="K153" s="10">
        <f t="shared" si="9"/>
        <v>654</v>
      </c>
      <c r="L153" s="10">
        <f t="shared" si="7"/>
        <v>653</v>
      </c>
      <c r="M153" s="10" t="s">
        <v>419</v>
      </c>
      <c r="N153" s="10" t="s">
        <v>324</v>
      </c>
      <c r="O153" s="10"/>
      <c r="P153" s="10"/>
      <c r="Q153" s="111"/>
    </row>
    <row r="154" spans="1:27" customFormat="1" x14ac:dyDescent="0.3">
      <c r="A154" s="26"/>
      <c r="B154" s="10" t="s">
        <v>320</v>
      </c>
      <c r="C154" s="10" t="s">
        <v>321</v>
      </c>
      <c r="D154" s="10">
        <v>2</v>
      </c>
      <c r="E154" s="10">
        <f t="shared" si="8"/>
        <v>1</v>
      </c>
      <c r="F154" s="10"/>
      <c r="G154" s="10"/>
      <c r="H154" s="10"/>
      <c r="I154" s="10"/>
      <c r="J154" s="10" t="s">
        <v>418</v>
      </c>
      <c r="K154" s="10">
        <f t="shared" si="9"/>
        <v>655</v>
      </c>
      <c r="L154" s="10">
        <f t="shared" si="7"/>
        <v>654</v>
      </c>
      <c r="M154" s="10" t="s">
        <v>419</v>
      </c>
      <c r="N154" s="10" t="s">
        <v>324</v>
      </c>
      <c r="O154" s="10"/>
      <c r="P154" s="10"/>
      <c r="Q154" s="111"/>
    </row>
    <row r="155" spans="1:27" customFormat="1" x14ac:dyDescent="0.3">
      <c r="A155" s="26"/>
      <c r="B155" s="134" t="s">
        <v>433</v>
      </c>
      <c r="C155" s="10" t="s">
        <v>321</v>
      </c>
      <c r="D155" s="10">
        <v>2</v>
      </c>
      <c r="E155" s="10">
        <f t="shared" si="8"/>
        <v>1</v>
      </c>
      <c r="F155" s="10"/>
      <c r="G155" s="10"/>
      <c r="H155" s="10"/>
      <c r="I155" s="10"/>
      <c r="J155" s="10" t="s">
        <v>418</v>
      </c>
      <c r="K155" s="10">
        <f t="shared" si="9"/>
        <v>656</v>
      </c>
      <c r="L155" s="10">
        <f t="shared" si="7"/>
        <v>655</v>
      </c>
      <c r="M155" s="10" t="s">
        <v>419</v>
      </c>
      <c r="N155" s="10" t="s">
        <v>327</v>
      </c>
      <c r="O155" s="10"/>
      <c r="P155" s="10"/>
      <c r="Q155" s="111"/>
    </row>
    <row r="156" spans="1:27" customFormat="1" x14ac:dyDescent="0.3">
      <c r="A156" s="26"/>
      <c r="B156" s="134" t="s">
        <v>434</v>
      </c>
      <c r="C156" s="10" t="s">
        <v>321</v>
      </c>
      <c r="D156" s="10">
        <v>2</v>
      </c>
      <c r="E156" s="10">
        <f t="shared" si="8"/>
        <v>1</v>
      </c>
      <c r="F156" s="10"/>
      <c r="G156" s="10"/>
      <c r="H156" s="10"/>
      <c r="I156" s="10"/>
      <c r="J156" s="10" t="s">
        <v>418</v>
      </c>
      <c r="K156" s="10">
        <f t="shared" si="9"/>
        <v>657</v>
      </c>
      <c r="L156" s="10">
        <f t="shared" si="7"/>
        <v>656</v>
      </c>
      <c r="M156" s="10" t="s">
        <v>419</v>
      </c>
      <c r="N156" s="10" t="s">
        <v>327</v>
      </c>
      <c r="O156" s="10"/>
      <c r="P156" s="10"/>
      <c r="Q156" s="111"/>
    </row>
    <row r="157" spans="1:27" customFormat="1" x14ac:dyDescent="0.3">
      <c r="A157" s="26"/>
      <c r="B157" s="134" t="s">
        <v>435</v>
      </c>
      <c r="C157" s="10" t="s">
        <v>321</v>
      </c>
      <c r="D157" s="10">
        <v>2</v>
      </c>
      <c r="E157" s="10">
        <f t="shared" si="8"/>
        <v>1</v>
      </c>
      <c r="F157" s="10"/>
      <c r="G157" s="10"/>
      <c r="H157" s="10"/>
      <c r="I157" s="10"/>
      <c r="J157" s="10" t="s">
        <v>418</v>
      </c>
      <c r="K157" s="10">
        <f t="shared" si="9"/>
        <v>658</v>
      </c>
      <c r="L157" s="10">
        <f t="shared" si="7"/>
        <v>657</v>
      </c>
      <c r="M157" s="10" t="s">
        <v>419</v>
      </c>
      <c r="N157" s="10" t="s">
        <v>327</v>
      </c>
      <c r="O157" s="10"/>
      <c r="P157" s="10"/>
      <c r="Q157" s="111"/>
    </row>
    <row r="158" spans="1:27" customFormat="1" x14ac:dyDescent="0.3">
      <c r="A158" s="26"/>
      <c r="B158" s="134" t="s">
        <v>436</v>
      </c>
      <c r="C158" s="10" t="s">
        <v>321</v>
      </c>
      <c r="D158" s="10">
        <v>2</v>
      </c>
      <c r="E158" s="10">
        <f t="shared" si="8"/>
        <v>1</v>
      </c>
      <c r="F158" s="10"/>
      <c r="G158" s="10"/>
      <c r="H158" s="10"/>
      <c r="I158" s="10"/>
      <c r="J158" s="10" t="s">
        <v>418</v>
      </c>
      <c r="K158" s="10">
        <f t="shared" si="9"/>
        <v>659</v>
      </c>
      <c r="L158" s="10">
        <f t="shared" si="7"/>
        <v>658</v>
      </c>
      <c r="M158" s="10" t="s">
        <v>419</v>
      </c>
      <c r="N158" s="10" t="s">
        <v>327</v>
      </c>
      <c r="O158" s="10"/>
      <c r="P158" s="10"/>
      <c r="Q158" s="111"/>
    </row>
    <row r="159" spans="1:27" customFormat="1" x14ac:dyDescent="0.3">
      <c r="A159" s="26"/>
      <c r="B159" s="10" t="s">
        <v>320</v>
      </c>
      <c r="C159" s="10" t="s">
        <v>321</v>
      </c>
      <c r="D159" s="10">
        <v>2</v>
      </c>
      <c r="E159" s="10">
        <f t="shared" si="8"/>
        <v>1</v>
      </c>
      <c r="F159" s="10"/>
      <c r="G159" s="10"/>
      <c r="H159" s="10"/>
      <c r="I159" s="10"/>
      <c r="J159" s="10" t="s">
        <v>418</v>
      </c>
      <c r="K159" s="10">
        <f t="shared" si="9"/>
        <v>660</v>
      </c>
      <c r="L159" s="10">
        <f t="shared" si="7"/>
        <v>659</v>
      </c>
      <c r="M159" s="10" t="s">
        <v>419</v>
      </c>
      <c r="N159" s="10" t="s">
        <v>324</v>
      </c>
      <c r="O159" s="10"/>
      <c r="P159" s="10"/>
      <c r="Q159" s="111"/>
    </row>
    <row r="160" spans="1:27" customFormat="1" ht="16.2" thickBot="1" x14ac:dyDescent="0.35">
      <c r="A160" s="26"/>
      <c r="B160" s="10" t="s">
        <v>320</v>
      </c>
      <c r="C160" s="10" t="s">
        <v>321</v>
      </c>
      <c r="D160" s="10">
        <v>80</v>
      </c>
      <c r="E160" s="10">
        <f t="shared" si="8"/>
        <v>40</v>
      </c>
      <c r="F160" s="10"/>
      <c r="G160" s="10"/>
      <c r="H160" s="10"/>
      <c r="I160" s="10"/>
      <c r="J160" s="10" t="s">
        <v>418</v>
      </c>
      <c r="K160" s="10">
        <f t="shared" si="9"/>
        <v>661</v>
      </c>
      <c r="L160" s="10">
        <f t="shared" si="7"/>
        <v>660</v>
      </c>
      <c r="M160" s="10" t="s">
        <v>419</v>
      </c>
      <c r="N160" s="10" t="s">
        <v>324</v>
      </c>
      <c r="O160" s="10"/>
      <c r="P160" s="10"/>
      <c r="Q160" s="111"/>
    </row>
    <row r="161" spans="1:27" s="26" customFormat="1" ht="16.2" x14ac:dyDescent="0.3">
      <c r="B161" s="456" t="s">
        <v>107</v>
      </c>
      <c r="C161" s="457"/>
      <c r="D161" s="457"/>
      <c r="E161" s="457"/>
      <c r="F161" s="457"/>
      <c r="G161" s="457"/>
      <c r="H161" s="457"/>
      <c r="I161" s="457"/>
      <c r="J161" s="457"/>
      <c r="K161" s="457"/>
      <c r="L161" s="457"/>
      <c r="M161" s="457"/>
      <c r="N161" s="457"/>
      <c r="O161" s="457"/>
      <c r="P161" s="457"/>
      <c r="Q161" s="457"/>
      <c r="R161" s="29"/>
      <c r="S161" s="56"/>
      <c r="T161" s="56"/>
      <c r="U161" s="16"/>
      <c r="V161" s="16"/>
      <c r="W161" s="16"/>
      <c r="X161" s="16"/>
      <c r="Y161" s="56"/>
      <c r="Z161" s="56"/>
      <c r="AA161" s="56"/>
    </row>
    <row r="162" spans="1:27" customFormat="1" ht="124.8" x14ac:dyDescent="0.3">
      <c r="A162" s="26"/>
      <c r="B162" s="109" t="s">
        <v>437</v>
      </c>
      <c r="C162" s="10" t="s">
        <v>321</v>
      </c>
      <c r="D162" s="10">
        <v>2</v>
      </c>
      <c r="E162" s="10">
        <f t="shared" ref="E162:E168" si="10">D162/2</f>
        <v>1</v>
      </c>
      <c r="F162" s="109">
        <v>0</v>
      </c>
      <c r="G162" s="109">
        <v>255</v>
      </c>
      <c r="H162" s="10">
        <v>1</v>
      </c>
      <c r="I162" s="10">
        <v>1</v>
      </c>
      <c r="J162" s="10" t="s">
        <v>418</v>
      </c>
      <c r="K162" s="10">
        <f t="shared" si="9"/>
        <v>701</v>
      </c>
      <c r="L162" s="10">
        <f>L160+E160</f>
        <v>700</v>
      </c>
      <c r="M162" s="10" t="s">
        <v>419</v>
      </c>
      <c r="N162" s="10" t="s">
        <v>324</v>
      </c>
      <c r="O162" s="10">
        <v>0</v>
      </c>
      <c r="P162" s="10"/>
      <c r="Q162" s="110" t="s">
        <v>438</v>
      </c>
      <c r="R162">
        <v>1</v>
      </c>
    </row>
    <row r="163" spans="1:27" customFormat="1" x14ac:dyDescent="0.3">
      <c r="A163" s="26"/>
      <c r="B163" s="10" t="s">
        <v>320</v>
      </c>
      <c r="C163" s="10" t="s">
        <v>321</v>
      </c>
      <c r="D163" s="10">
        <v>2</v>
      </c>
      <c r="E163" s="10">
        <f t="shared" si="10"/>
        <v>1</v>
      </c>
      <c r="F163" s="10"/>
      <c r="G163" s="10"/>
      <c r="H163" s="10"/>
      <c r="I163" s="10"/>
      <c r="J163" s="10" t="s">
        <v>418</v>
      </c>
      <c r="K163" s="10">
        <f t="shared" si="9"/>
        <v>702</v>
      </c>
      <c r="L163" s="10">
        <f t="shared" ref="L163:L168" si="11">L162+E162</f>
        <v>701</v>
      </c>
      <c r="M163" s="10" t="s">
        <v>419</v>
      </c>
      <c r="N163" s="10" t="s">
        <v>324</v>
      </c>
      <c r="O163" s="10"/>
      <c r="P163" s="10"/>
      <c r="Q163" s="111"/>
      <c r="R163">
        <v>2</v>
      </c>
    </row>
    <row r="164" spans="1:27" customFormat="1" x14ac:dyDescent="0.3">
      <c r="A164" s="26"/>
      <c r="B164" s="10" t="s">
        <v>320</v>
      </c>
      <c r="C164" s="10" t="s">
        <v>321</v>
      </c>
      <c r="D164" s="10">
        <v>2</v>
      </c>
      <c r="E164" s="10">
        <f t="shared" si="10"/>
        <v>1</v>
      </c>
      <c r="F164" s="10"/>
      <c r="G164" s="10"/>
      <c r="H164" s="10"/>
      <c r="I164" s="10"/>
      <c r="J164" s="10" t="s">
        <v>418</v>
      </c>
      <c r="K164" s="10">
        <f t="shared" si="9"/>
        <v>703</v>
      </c>
      <c r="L164" s="10">
        <f t="shared" si="11"/>
        <v>702</v>
      </c>
      <c r="M164" s="10" t="s">
        <v>419</v>
      </c>
      <c r="N164" s="10" t="s">
        <v>324</v>
      </c>
      <c r="O164" s="10"/>
      <c r="P164" s="10"/>
      <c r="Q164" s="111"/>
      <c r="R164">
        <v>3</v>
      </c>
    </row>
    <row r="165" spans="1:27" customFormat="1" x14ac:dyDescent="0.3">
      <c r="A165" s="26"/>
      <c r="B165" s="10" t="s">
        <v>320</v>
      </c>
      <c r="C165" s="10" t="s">
        <v>321</v>
      </c>
      <c r="D165" s="10">
        <v>2</v>
      </c>
      <c r="E165" s="10">
        <f t="shared" si="10"/>
        <v>1</v>
      </c>
      <c r="F165" s="10"/>
      <c r="G165" s="10"/>
      <c r="H165" s="10"/>
      <c r="I165" s="10"/>
      <c r="J165" s="10" t="s">
        <v>418</v>
      </c>
      <c r="K165" s="10">
        <f t="shared" si="9"/>
        <v>704</v>
      </c>
      <c r="L165" s="10">
        <f t="shared" si="11"/>
        <v>703</v>
      </c>
      <c r="M165" s="10" t="s">
        <v>419</v>
      </c>
      <c r="N165" s="10" t="s">
        <v>324</v>
      </c>
      <c r="O165" s="10"/>
      <c r="P165" s="10"/>
      <c r="Q165" s="111"/>
      <c r="R165">
        <v>4</v>
      </c>
    </row>
    <row r="166" spans="1:27" customFormat="1" ht="280.8" x14ac:dyDescent="0.3">
      <c r="A166" s="26"/>
      <c r="B166" s="10" t="s">
        <v>439</v>
      </c>
      <c r="C166" s="10" t="s">
        <v>359</v>
      </c>
      <c r="D166" s="10">
        <v>2</v>
      </c>
      <c r="E166" s="10">
        <f t="shared" si="10"/>
        <v>1</v>
      </c>
      <c r="F166" s="10">
        <v>0</v>
      </c>
      <c r="G166" s="10">
        <v>65535</v>
      </c>
      <c r="H166" s="10">
        <v>1</v>
      </c>
      <c r="I166" s="10">
        <v>1</v>
      </c>
      <c r="J166" s="10" t="s">
        <v>418</v>
      </c>
      <c r="K166" s="10">
        <f t="shared" si="9"/>
        <v>705</v>
      </c>
      <c r="L166" s="10">
        <f t="shared" si="11"/>
        <v>704</v>
      </c>
      <c r="M166" s="10" t="s">
        <v>419</v>
      </c>
      <c r="N166" s="10" t="s">
        <v>324</v>
      </c>
      <c r="O166" s="10"/>
      <c r="P166" s="10"/>
      <c r="Q166" s="192" t="s">
        <v>440</v>
      </c>
      <c r="R166" s="26">
        <v>5</v>
      </c>
      <c r="S166" s="26"/>
    </row>
    <row r="167" spans="1:27" customFormat="1" ht="187.2" x14ac:dyDescent="0.3">
      <c r="A167" s="26"/>
      <c r="B167" s="10" t="s">
        <v>441</v>
      </c>
      <c r="C167" s="10" t="s">
        <v>359</v>
      </c>
      <c r="D167" s="10">
        <v>2</v>
      </c>
      <c r="E167" s="10">
        <f t="shared" si="10"/>
        <v>1</v>
      </c>
      <c r="F167" s="10">
        <v>0</v>
      </c>
      <c r="G167" s="10">
        <v>65535</v>
      </c>
      <c r="H167" s="10">
        <v>1</v>
      </c>
      <c r="I167" s="10">
        <v>1</v>
      </c>
      <c r="J167" s="10" t="s">
        <v>418</v>
      </c>
      <c r="K167" s="10">
        <f t="shared" si="9"/>
        <v>706</v>
      </c>
      <c r="L167" s="10">
        <f t="shared" si="11"/>
        <v>705</v>
      </c>
      <c r="M167" s="10" t="s">
        <v>419</v>
      </c>
      <c r="N167" s="10" t="s">
        <v>324</v>
      </c>
      <c r="O167" s="10"/>
      <c r="P167" s="10"/>
      <c r="Q167" s="222" t="s">
        <v>442</v>
      </c>
      <c r="R167">
        <v>6</v>
      </c>
    </row>
    <row r="168" spans="1:27" customFormat="1" ht="16.2" thickBot="1" x14ac:dyDescent="0.35">
      <c r="A168" s="26"/>
      <c r="B168" s="10" t="s">
        <v>320</v>
      </c>
      <c r="C168" s="10" t="s">
        <v>321</v>
      </c>
      <c r="D168" s="10">
        <v>188</v>
      </c>
      <c r="E168" s="10">
        <f t="shared" si="10"/>
        <v>94</v>
      </c>
      <c r="F168" s="10"/>
      <c r="G168" s="10"/>
      <c r="H168" s="10"/>
      <c r="I168" s="10"/>
      <c r="J168" s="10" t="s">
        <v>418</v>
      </c>
      <c r="K168" s="10">
        <f t="shared" si="9"/>
        <v>707</v>
      </c>
      <c r="L168" s="10">
        <f t="shared" si="11"/>
        <v>706</v>
      </c>
      <c r="M168" s="10" t="s">
        <v>419</v>
      </c>
      <c r="N168" s="10" t="s">
        <v>324</v>
      </c>
      <c r="O168" s="10"/>
      <c r="P168" s="10"/>
      <c r="Q168" s="111"/>
      <c r="R168">
        <v>7</v>
      </c>
    </row>
    <row r="169" spans="1:27" s="26" customFormat="1" ht="16.2" x14ac:dyDescent="0.3">
      <c r="B169" s="456" t="s">
        <v>443</v>
      </c>
      <c r="C169" s="457"/>
      <c r="D169" s="457"/>
      <c r="E169" s="457"/>
      <c r="F169" s="457"/>
      <c r="G169" s="457"/>
      <c r="H169" s="457"/>
      <c r="I169" s="457"/>
      <c r="J169" s="457"/>
      <c r="K169" s="457"/>
      <c r="L169" s="457"/>
      <c r="M169" s="457"/>
      <c r="N169" s="457"/>
      <c r="O169" s="457"/>
      <c r="P169" s="457"/>
      <c r="Q169" s="457"/>
      <c r="R169" s="29"/>
      <c r="S169" s="56"/>
      <c r="T169" s="56"/>
      <c r="U169" s="16"/>
      <c r="V169" s="16"/>
      <c r="W169" s="16"/>
      <c r="X169" s="16"/>
      <c r="Y169" s="56"/>
      <c r="Z169" s="56"/>
      <c r="AA169" s="56"/>
    </row>
    <row r="170" spans="1:27" x14ac:dyDescent="0.3">
      <c r="B170" s="10" t="s">
        <v>444</v>
      </c>
      <c r="C170" s="10" t="s">
        <v>321</v>
      </c>
      <c r="D170" s="10">
        <v>2</v>
      </c>
      <c r="E170" s="10">
        <f>D170/2</f>
        <v>1</v>
      </c>
      <c r="F170" s="10">
        <v>0</v>
      </c>
      <c r="G170" s="10">
        <v>9249</v>
      </c>
      <c r="H170" s="10">
        <v>1</v>
      </c>
      <c r="I170" s="10">
        <v>1</v>
      </c>
      <c r="J170" s="10" t="s">
        <v>418</v>
      </c>
      <c r="K170" s="10">
        <f t="shared" ref="K170:K233" si="12">L170+1</f>
        <v>801</v>
      </c>
      <c r="L170" s="10">
        <f>L168+E168</f>
        <v>800</v>
      </c>
      <c r="M170" s="10" t="s">
        <v>419</v>
      </c>
      <c r="N170" s="10" t="s">
        <v>327</v>
      </c>
      <c r="O170" s="10"/>
      <c r="P170" s="10"/>
      <c r="Q170" s="111"/>
      <c r="T170" s="8"/>
      <c r="U170" s="8"/>
      <c r="V170" s="8"/>
      <c r="W170" s="8"/>
      <c r="X170" s="8"/>
      <c r="Y170" s="8"/>
      <c r="Z170" s="8"/>
    </row>
    <row r="171" spans="1:27" x14ac:dyDescent="0.3">
      <c r="B171" s="10" t="s">
        <v>445</v>
      </c>
      <c r="C171" s="10" t="s">
        <v>321</v>
      </c>
      <c r="D171" s="10">
        <v>2</v>
      </c>
      <c r="E171" s="10">
        <f>D171/2</f>
        <v>1</v>
      </c>
      <c r="F171" s="10">
        <v>0</v>
      </c>
      <c r="G171" s="10">
        <v>9249</v>
      </c>
      <c r="H171" s="10">
        <v>1</v>
      </c>
      <c r="I171" s="10">
        <v>1</v>
      </c>
      <c r="J171" s="10" t="s">
        <v>418</v>
      </c>
      <c r="K171" s="10">
        <f t="shared" si="12"/>
        <v>802</v>
      </c>
      <c r="L171" s="10">
        <f t="shared" ref="L171:L176" si="13">L170+$E170</f>
        <v>801</v>
      </c>
      <c r="M171" s="10" t="s">
        <v>419</v>
      </c>
      <c r="N171" s="10" t="s">
        <v>327</v>
      </c>
      <c r="O171" s="10"/>
      <c r="P171" s="10"/>
      <c r="Q171" s="111"/>
      <c r="T171" s="8"/>
      <c r="U171" s="8"/>
      <c r="V171" s="8"/>
      <c r="W171" s="8"/>
      <c r="X171" s="8"/>
      <c r="Y171" s="8"/>
      <c r="Z171" s="8"/>
    </row>
    <row r="172" spans="1:27" x14ac:dyDescent="0.3">
      <c r="B172" s="10" t="s">
        <v>446</v>
      </c>
      <c r="C172" s="10" t="s">
        <v>321</v>
      </c>
      <c r="D172" s="10">
        <v>2</v>
      </c>
      <c r="E172" s="10">
        <f>D172/2</f>
        <v>1</v>
      </c>
      <c r="F172" s="10">
        <v>0</v>
      </c>
      <c r="G172" s="10">
        <v>9249</v>
      </c>
      <c r="H172" s="10">
        <v>1</v>
      </c>
      <c r="I172" s="10">
        <v>1</v>
      </c>
      <c r="J172" s="10" t="s">
        <v>418</v>
      </c>
      <c r="K172" s="10">
        <f t="shared" si="12"/>
        <v>803</v>
      </c>
      <c r="L172" s="10">
        <f t="shared" si="13"/>
        <v>802</v>
      </c>
      <c r="M172" s="10" t="s">
        <v>419</v>
      </c>
      <c r="N172" s="10" t="s">
        <v>327</v>
      </c>
      <c r="O172" s="10"/>
      <c r="P172" s="10"/>
      <c r="Q172" s="111"/>
      <c r="T172" s="8"/>
      <c r="U172" s="8"/>
      <c r="V172" s="8"/>
      <c r="W172" s="8"/>
      <c r="X172" s="8"/>
      <c r="Y172" s="8"/>
      <c r="Z172" s="8"/>
    </row>
    <row r="173" spans="1:27" x14ac:dyDescent="0.3">
      <c r="B173" s="10" t="s">
        <v>447</v>
      </c>
      <c r="C173" s="10" t="s">
        <v>321</v>
      </c>
      <c r="D173" s="10">
        <v>2</v>
      </c>
      <c r="E173" s="10">
        <f t="shared" ref="E173:E175" si="14">D173/2</f>
        <v>1</v>
      </c>
      <c r="F173" s="10">
        <v>0</v>
      </c>
      <c r="G173" s="10">
        <v>9249</v>
      </c>
      <c r="H173" s="10">
        <v>1</v>
      </c>
      <c r="I173" s="10">
        <v>1</v>
      </c>
      <c r="J173" s="10" t="s">
        <v>418</v>
      </c>
      <c r="K173" s="10">
        <f t="shared" si="12"/>
        <v>804</v>
      </c>
      <c r="L173" s="10">
        <f t="shared" si="13"/>
        <v>803</v>
      </c>
      <c r="M173" s="10" t="s">
        <v>419</v>
      </c>
      <c r="N173" s="10" t="s">
        <v>327</v>
      </c>
      <c r="O173" s="10"/>
      <c r="P173" s="10"/>
      <c r="Q173" s="111"/>
      <c r="T173" s="8"/>
      <c r="U173" s="8"/>
      <c r="V173" s="8"/>
      <c r="W173" s="8"/>
      <c r="X173" s="8"/>
      <c r="Y173" s="8"/>
      <c r="Z173" s="8"/>
    </row>
    <row r="174" spans="1:27" x14ac:dyDescent="0.3">
      <c r="B174" s="10" t="s">
        <v>448</v>
      </c>
      <c r="C174" s="10" t="s">
        <v>321</v>
      </c>
      <c r="D174" s="10">
        <v>2</v>
      </c>
      <c r="E174" s="10">
        <f t="shared" si="14"/>
        <v>1</v>
      </c>
      <c r="F174" s="10">
        <v>0</v>
      </c>
      <c r="G174" s="10">
        <v>9249</v>
      </c>
      <c r="H174" s="10">
        <v>1</v>
      </c>
      <c r="I174" s="10">
        <v>1</v>
      </c>
      <c r="J174" s="10" t="s">
        <v>418</v>
      </c>
      <c r="K174" s="10">
        <f t="shared" si="12"/>
        <v>805</v>
      </c>
      <c r="L174" s="10">
        <f t="shared" si="13"/>
        <v>804</v>
      </c>
      <c r="M174" s="10" t="s">
        <v>419</v>
      </c>
      <c r="N174" s="10" t="s">
        <v>327</v>
      </c>
      <c r="O174" s="10"/>
      <c r="P174" s="10"/>
      <c r="Q174" s="111"/>
      <c r="T174" s="8"/>
      <c r="U174" s="8"/>
      <c r="V174" s="8"/>
      <c r="W174" s="8"/>
      <c r="X174" s="8"/>
      <c r="Y174" s="8"/>
      <c r="Z174" s="8"/>
    </row>
    <row r="175" spans="1:27" x14ac:dyDescent="0.3">
      <c r="B175" s="10" t="s">
        <v>449</v>
      </c>
      <c r="C175" s="10" t="s">
        <v>321</v>
      </c>
      <c r="D175" s="10">
        <v>2</v>
      </c>
      <c r="E175" s="10">
        <f t="shared" si="14"/>
        <v>1</v>
      </c>
      <c r="F175" s="10">
        <v>0</v>
      </c>
      <c r="G175" s="10">
        <v>9249</v>
      </c>
      <c r="H175" s="10">
        <v>1</v>
      </c>
      <c r="I175" s="10">
        <v>1</v>
      </c>
      <c r="J175" s="10" t="s">
        <v>418</v>
      </c>
      <c r="K175" s="10">
        <f t="shared" si="12"/>
        <v>806</v>
      </c>
      <c r="L175" s="10">
        <f t="shared" si="13"/>
        <v>805</v>
      </c>
      <c r="M175" s="10" t="s">
        <v>419</v>
      </c>
      <c r="N175" s="10" t="s">
        <v>327</v>
      </c>
      <c r="O175" s="10"/>
      <c r="P175" s="10"/>
      <c r="Q175" s="111"/>
      <c r="T175" s="8"/>
      <c r="U175" s="8"/>
      <c r="V175" s="8"/>
      <c r="W175" s="8"/>
      <c r="X175" s="8"/>
      <c r="Y175" s="8"/>
      <c r="Z175" s="8"/>
    </row>
    <row r="176" spans="1:27" x14ac:dyDescent="0.3">
      <c r="B176" s="10" t="s">
        <v>450</v>
      </c>
      <c r="C176" s="10" t="s">
        <v>321</v>
      </c>
      <c r="D176" s="10">
        <v>2</v>
      </c>
      <c r="E176" s="10">
        <f>D176/2</f>
        <v>1</v>
      </c>
      <c r="F176" s="10">
        <v>0</v>
      </c>
      <c r="G176" s="10">
        <v>9249</v>
      </c>
      <c r="H176" s="10">
        <v>1</v>
      </c>
      <c r="I176" s="10">
        <v>1</v>
      </c>
      <c r="J176" s="10" t="s">
        <v>418</v>
      </c>
      <c r="K176" s="10">
        <f t="shared" si="12"/>
        <v>807</v>
      </c>
      <c r="L176" s="10">
        <f t="shared" si="13"/>
        <v>806</v>
      </c>
      <c r="M176" s="10" t="s">
        <v>419</v>
      </c>
      <c r="N176" s="10" t="s">
        <v>327</v>
      </c>
      <c r="O176" s="10"/>
      <c r="P176" s="10"/>
      <c r="Q176" s="111"/>
      <c r="T176" s="8"/>
      <c r="U176" s="8"/>
      <c r="V176" s="8"/>
      <c r="W176" s="8"/>
      <c r="X176" s="8"/>
      <c r="Y176" s="8"/>
      <c r="Z176" s="8"/>
    </row>
    <row r="177" spans="1:226" s="26" customFormat="1" x14ac:dyDescent="0.3">
      <c r="B177" s="10" t="s">
        <v>451</v>
      </c>
      <c r="C177" s="10" t="s">
        <v>321</v>
      </c>
      <c r="D177" s="10">
        <v>2</v>
      </c>
      <c r="E177" s="10">
        <f t="shared" ref="E177:E240" si="15">D177/2</f>
        <v>1</v>
      </c>
      <c r="F177" s="10">
        <v>0</v>
      </c>
      <c r="G177" s="10">
        <v>9249</v>
      </c>
      <c r="H177" s="10">
        <v>1</v>
      </c>
      <c r="I177" s="10">
        <v>1</v>
      </c>
      <c r="J177" s="10" t="s">
        <v>418</v>
      </c>
      <c r="K177" s="10">
        <f t="shared" si="12"/>
        <v>808</v>
      </c>
      <c r="L177" s="10">
        <f t="shared" ref="L177:L240" si="16">L176+E176</f>
        <v>807</v>
      </c>
      <c r="M177" s="10" t="s">
        <v>419</v>
      </c>
      <c r="N177" s="10" t="s">
        <v>327</v>
      </c>
      <c r="O177" s="10"/>
      <c r="P177" s="10"/>
      <c r="Q177" s="111"/>
      <c r="R177" s="56"/>
      <c r="S177" s="56"/>
      <c r="T177" s="16"/>
      <c r="U177" s="16"/>
      <c r="V177" s="16"/>
      <c r="W177" s="16"/>
      <c r="X177" s="56"/>
      <c r="Y177" s="56"/>
      <c r="Z177" s="56"/>
    </row>
    <row r="178" spans="1:226" s="26" customFormat="1" x14ac:dyDescent="0.3">
      <c r="B178" s="10" t="s">
        <v>452</v>
      </c>
      <c r="C178" s="10" t="s">
        <v>321</v>
      </c>
      <c r="D178" s="10">
        <v>2</v>
      </c>
      <c r="E178" s="10">
        <f t="shared" si="15"/>
        <v>1</v>
      </c>
      <c r="F178" s="10">
        <v>0</v>
      </c>
      <c r="G178" s="10">
        <v>9249</v>
      </c>
      <c r="H178" s="10">
        <v>1</v>
      </c>
      <c r="I178" s="10">
        <v>1</v>
      </c>
      <c r="J178" s="10" t="s">
        <v>418</v>
      </c>
      <c r="K178" s="10">
        <f t="shared" si="12"/>
        <v>809</v>
      </c>
      <c r="L178" s="10">
        <f t="shared" si="16"/>
        <v>808</v>
      </c>
      <c r="M178" s="10" t="s">
        <v>419</v>
      </c>
      <c r="N178" s="10" t="s">
        <v>327</v>
      </c>
      <c r="O178" s="10"/>
      <c r="P178" s="10"/>
      <c r="Q178" s="111"/>
      <c r="R178" s="56"/>
      <c r="S178" s="56"/>
      <c r="T178" s="16"/>
      <c r="U178" s="16"/>
      <c r="V178" s="16"/>
      <c r="W178" s="16"/>
      <c r="X178" s="56"/>
      <c r="Y178" s="56"/>
      <c r="Z178" s="56"/>
    </row>
    <row r="179" spans="1:226" x14ac:dyDescent="0.3">
      <c r="B179" s="10" t="s">
        <v>453</v>
      </c>
      <c r="C179" s="10" t="s">
        <v>321</v>
      </c>
      <c r="D179" s="10">
        <v>2</v>
      </c>
      <c r="E179" s="10">
        <f t="shared" si="15"/>
        <v>1</v>
      </c>
      <c r="F179" s="10">
        <v>0</v>
      </c>
      <c r="G179" s="10">
        <v>9249</v>
      </c>
      <c r="H179" s="10">
        <v>1</v>
      </c>
      <c r="I179" s="10">
        <v>1</v>
      </c>
      <c r="J179" s="10" t="s">
        <v>418</v>
      </c>
      <c r="K179" s="10">
        <f t="shared" si="12"/>
        <v>810</v>
      </c>
      <c r="L179" s="10">
        <f t="shared" si="16"/>
        <v>809</v>
      </c>
      <c r="M179" s="10" t="s">
        <v>419</v>
      </c>
      <c r="N179" s="10" t="s">
        <v>327</v>
      </c>
      <c r="O179" s="10"/>
      <c r="P179" s="10"/>
      <c r="Q179" s="111"/>
    </row>
    <row r="180" spans="1:226" s="8" customFormat="1" x14ac:dyDescent="0.3">
      <c r="A180" s="6"/>
      <c r="B180" s="10" t="s">
        <v>454</v>
      </c>
      <c r="C180" s="10" t="s">
        <v>321</v>
      </c>
      <c r="D180" s="10">
        <v>2</v>
      </c>
      <c r="E180" s="10">
        <f t="shared" si="15"/>
        <v>1</v>
      </c>
      <c r="F180" s="10">
        <v>0</v>
      </c>
      <c r="G180" s="10">
        <v>9249</v>
      </c>
      <c r="H180" s="10">
        <v>1</v>
      </c>
      <c r="I180" s="10">
        <v>1</v>
      </c>
      <c r="J180" s="10" t="s">
        <v>418</v>
      </c>
      <c r="K180" s="10">
        <f t="shared" si="12"/>
        <v>811</v>
      </c>
      <c r="L180" s="10">
        <f t="shared" si="16"/>
        <v>810</v>
      </c>
      <c r="M180" s="10" t="s">
        <v>419</v>
      </c>
      <c r="N180" s="10" t="s">
        <v>327</v>
      </c>
      <c r="O180" s="10"/>
      <c r="P180" s="10"/>
      <c r="Q180" s="111"/>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c r="GJ180" s="6"/>
      <c r="GK180" s="6"/>
      <c r="GL180" s="6"/>
      <c r="GM180" s="6"/>
      <c r="GN180" s="6"/>
      <c r="GO180" s="6"/>
      <c r="GP180" s="6"/>
      <c r="GQ180" s="6"/>
      <c r="GR180" s="6"/>
      <c r="GS180" s="6"/>
      <c r="GT180" s="6"/>
      <c r="GU180" s="6"/>
      <c r="GV180" s="6"/>
      <c r="GW180" s="6"/>
      <c r="GX180" s="6"/>
      <c r="GY180" s="6"/>
      <c r="GZ180" s="6"/>
      <c r="HA180" s="6"/>
      <c r="HB180" s="6"/>
      <c r="HC180" s="6"/>
      <c r="HD180" s="6"/>
      <c r="HE180" s="6"/>
      <c r="HF180" s="6"/>
      <c r="HG180" s="6"/>
      <c r="HH180" s="6"/>
      <c r="HI180" s="6"/>
      <c r="HJ180" s="6"/>
      <c r="HK180" s="6"/>
      <c r="HL180" s="6"/>
      <c r="HM180" s="6"/>
      <c r="HN180" s="6"/>
      <c r="HO180" s="6"/>
      <c r="HP180" s="6"/>
      <c r="HQ180" s="6"/>
      <c r="HR180" s="6"/>
    </row>
    <row r="181" spans="1:226" s="8" customFormat="1" x14ac:dyDescent="0.3">
      <c r="A181" s="6"/>
      <c r="B181" s="10" t="s">
        <v>455</v>
      </c>
      <c r="C181" s="10" t="s">
        <v>321</v>
      </c>
      <c r="D181" s="10">
        <v>2</v>
      </c>
      <c r="E181" s="10">
        <f t="shared" si="15"/>
        <v>1</v>
      </c>
      <c r="F181" s="10">
        <v>0</v>
      </c>
      <c r="G181" s="10">
        <v>9249</v>
      </c>
      <c r="H181" s="10">
        <v>1</v>
      </c>
      <c r="I181" s="10">
        <v>1</v>
      </c>
      <c r="J181" s="10" t="s">
        <v>418</v>
      </c>
      <c r="K181" s="10">
        <f t="shared" si="12"/>
        <v>812</v>
      </c>
      <c r="L181" s="10">
        <f t="shared" si="16"/>
        <v>811</v>
      </c>
      <c r="M181" s="10" t="s">
        <v>419</v>
      </c>
      <c r="N181" s="10" t="s">
        <v>327</v>
      </c>
      <c r="O181" s="10"/>
      <c r="P181" s="10"/>
      <c r="Q181" s="111"/>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c r="GJ181" s="6"/>
      <c r="GK181" s="6"/>
      <c r="GL181" s="6"/>
      <c r="GM181" s="6"/>
      <c r="GN181" s="6"/>
      <c r="GO181" s="6"/>
      <c r="GP181" s="6"/>
      <c r="GQ181" s="6"/>
      <c r="GR181" s="6"/>
      <c r="GS181" s="6"/>
      <c r="GT181" s="6"/>
      <c r="GU181" s="6"/>
      <c r="GV181" s="6"/>
      <c r="GW181" s="6"/>
      <c r="GX181" s="6"/>
      <c r="GY181" s="6"/>
      <c r="GZ181" s="6"/>
      <c r="HA181" s="6"/>
      <c r="HB181" s="6"/>
      <c r="HC181" s="6"/>
      <c r="HD181" s="6"/>
      <c r="HE181" s="6"/>
      <c r="HF181" s="6"/>
      <c r="HG181" s="6"/>
      <c r="HH181" s="6"/>
      <c r="HI181" s="6"/>
      <c r="HJ181" s="6"/>
      <c r="HK181" s="6"/>
      <c r="HL181" s="6"/>
      <c r="HM181" s="6"/>
      <c r="HN181" s="6"/>
      <c r="HO181" s="6"/>
      <c r="HP181" s="6"/>
      <c r="HQ181" s="6"/>
      <c r="HR181" s="6"/>
    </row>
    <row r="182" spans="1:226" s="8" customFormat="1" x14ac:dyDescent="0.3">
      <c r="A182" s="6"/>
      <c r="B182" s="10" t="s">
        <v>456</v>
      </c>
      <c r="C182" s="10" t="s">
        <v>321</v>
      </c>
      <c r="D182" s="10">
        <v>2</v>
      </c>
      <c r="E182" s="10">
        <f t="shared" si="15"/>
        <v>1</v>
      </c>
      <c r="F182" s="10">
        <v>0</v>
      </c>
      <c r="G182" s="10">
        <v>9249</v>
      </c>
      <c r="H182" s="10">
        <v>1</v>
      </c>
      <c r="I182" s="10">
        <v>1</v>
      </c>
      <c r="J182" s="10" t="s">
        <v>418</v>
      </c>
      <c r="K182" s="10">
        <f t="shared" si="12"/>
        <v>813</v>
      </c>
      <c r="L182" s="10">
        <f t="shared" si="16"/>
        <v>812</v>
      </c>
      <c r="M182" s="10" t="s">
        <v>419</v>
      </c>
      <c r="N182" s="10" t="s">
        <v>327</v>
      </c>
      <c r="O182" s="10"/>
      <c r="P182" s="10"/>
      <c r="Q182" s="111"/>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c r="GJ182" s="6"/>
      <c r="GK182" s="6"/>
      <c r="GL182" s="6"/>
      <c r="GM182" s="6"/>
      <c r="GN182" s="6"/>
      <c r="GO182" s="6"/>
      <c r="GP182" s="6"/>
      <c r="GQ182" s="6"/>
      <c r="GR182" s="6"/>
      <c r="GS182" s="6"/>
      <c r="GT182" s="6"/>
      <c r="GU182" s="6"/>
      <c r="GV182" s="6"/>
      <c r="GW182" s="6"/>
      <c r="GX182" s="6"/>
      <c r="GY182" s="6"/>
      <c r="GZ182" s="6"/>
      <c r="HA182" s="6"/>
      <c r="HB182" s="6"/>
      <c r="HC182" s="6"/>
      <c r="HD182" s="6"/>
      <c r="HE182" s="6"/>
      <c r="HF182" s="6"/>
      <c r="HG182" s="6"/>
      <c r="HH182" s="6"/>
      <c r="HI182" s="6"/>
      <c r="HJ182" s="6"/>
      <c r="HK182" s="6"/>
      <c r="HL182" s="6"/>
      <c r="HM182" s="6"/>
      <c r="HN182" s="6"/>
      <c r="HO182" s="6"/>
      <c r="HP182" s="6"/>
      <c r="HQ182" s="6"/>
      <c r="HR182" s="6"/>
    </row>
    <row r="183" spans="1:226" s="8" customFormat="1" x14ac:dyDescent="0.3">
      <c r="A183" s="6"/>
      <c r="B183" s="10" t="s">
        <v>457</v>
      </c>
      <c r="C183" s="10" t="s">
        <v>321</v>
      </c>
      <c r="D183" s="10">
        <v>2</v>
      </c>
      <c r="E183" s="10">
        <f t="shared" si="15"/>
        <v>1</v>
      </c>
      <c r="F183" s="10">
        <v>0</v>
      </c>
      <c r="G183" s="10">
        <v>9249</v>
      </c>
      <c r="H183" s="10">
        <v>1</v>
      </c>
      <c r="I183" s="10">
        <v>1</v>
      </c>
      <c r="J183" s="10" t="s">
        <v>418</v>
      </c>
      <c r="K183" s="10">
        <f t="shared" si="12"/>
        <v>814</v>
      </c>
      <c r="L183" s="10">
        <f t="shared" si="16"/>
        <v>813</v>
      </c>
      <c r="M183" s="10" t="s">
        <v>419</v>
      </c>
      <c r="N183" s="10" t="s">
        <v>327</v>
      </c>
      <c r="O183" s="10"/>
      <c r="P183" s="10"/>
      <c r="Q183" s="111"/>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c r="GJ183" s="6"/>
      <c r="GK183" s="6"/>
      <c r="GL183" s="6"/>
      <c r="GM183" s="6"/>
      <c r="GN183" s="6"/>
      <c r="GO183" s="6"/>
      <c r="GP183" s="6"/>
      <c r="GQ183" s="6"/>
      <c r="GR183" s="6"/>
      <c r="GS183" s="6"/>
      <c r="GT183" s="6"/>
      <c r="GU183" s="6"/>
      <c r="GV183" s="6"/>
      <c r="GW183" s="6"/>
      <c r="GX183" s="6"/>
      <c r="GY183" s="6"/>
      <c r="GZ183" s="6"/>
      <c r="HA183" s="6"/>
      <c r="HB183" s="6"/>
      <c r="HC183" s="6"/>
      <c r="HD183" s="6"/>
      <c r="HE183" s="6"/>
      <c r="HF183" s="6"/>
      <c r="HG183" s="6"/>
      <c r="HH183" s="6"/>
      <c r="HI183" s="6"/>
      <c r="HJ183" s="6"/>
      <c r="HK183" s="6"/>
      <c r="HL183" s="6"/>
      <c r="HM183" s="6"/>
      <c r="HN183" s="6"/>
      <c r="HO183" s="6"/>
      <c r="HP183" s="6"/>
      <c r="HQ183" s="6"/>
      <c r="HR183" s="6"/>
    </row>
    <row r="184" spans="1:226" s="8" customFormat="1" x14ac:dyDescent="0.3">
      <c r="A184" s="6"/>
      <c r="B184" s="10" t="s">
        <v>458</v>
      </c>
      <c r="C184" s="10" t="s">
        <v>321</v>
      </c>
      <c r="D184" s="10">
        <v>2</v>
      </c>
      <c r="E184" s="10">
        <f t="shared" si="15"/>
        <v>1</v>
      </c>
      <c r="F184" s="10">
        <v>0</v>
      </c>
      <c r="G184" s="10">
        <v>9249</v>
      </c>
      <c r="H184" s="10">
        <v>1</v>
      </c>
      <c r="I184" s="10">
        <v>1</v>
      </c>
      <c r="J184" s="10" t="s">
        <v>418</v>
      </c>
      <c r="K184" s="10">
        <f t="shared" si="12"/>
        <v>815</v>
      </c>
      <c r="L184" s="10">
        <f t="shared" si="16"/>
        <v>814</v>
      </c>
      <c r="M184" s="10" t="s">
        <v>419</v>
      </c>
      <c r="N184" s="10" t="s">
        <v>327</v>
      </c>
      <c r="O184" s="10"/>
      <c r="P184" s="10"/>
      <c r="Q184" s="111"/>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c r="GJ184" s="6"/>
      <c r="GK184" s="6"/>
      <c r="GL184" s="6"/>
      <c r="GM184" s="6"/>
      <c r="GN184" s="6"/>
      <c r="GO184" s="6"/>
      <c r="GP184" s="6"/>
      <c r="GQ184" s="6"/>
      <c r="GR184" s="6"/>
      <c r="GS184" s="6"/>
      <c r="GT184" s="6"/>
      <c r="GU184" s="6"/>
      <c r="GV184" s="6"/>
      <c r="GW184" s="6"/>
      <c r="GX184" s="6"/>
      <c r="GY184" s="6"/>
      <c r="GZ184" s="6"/>
      <c r="HA184" s="6"/>
      <c r="HB184" s="6"/>
      <c r="HC184" s="6"/>
      <c r="HD184" s="6"/>
      <c r="HE184" s="6"/>
      <c r="HF184" s="6"/>
      <c r="HG184" s="6"/>
      <c r="HH184" s="6"/>
      <c r="HI184" s="6"/>
      <c r="HJ184" s="6"/>
      <c r="HK184" s="6"/>
      <c r="HL184" s="6"/>
      <c r="HM184" s="6"/>
      <c r="HN184" s="6"/>
      <c r="HO184" s="6"/>
      <c r="HP184" s="6"/>
      <c r="HQ184" s="6"/>
      <c r="HR184" s="6"/>
    </row>
    <row r="185" spans="1:226" s="8" customFormat="1" x14ac:dyDescent="0.3">
      <c r="A185" s="6"/>
      <c r="B185" s="10" t="s">
        <v>459</v>
      </c>
      <c r="C185" s="10" t="s">
        <v>321</v>
      </c>
      <c r="D185" s="10">
        <v>2</v>
      </c>
      <c r="E185" s="10">
        <f t="shared" si="15"/>
        <v>1</v>
      </c>
      <c r="F185" s="10">
        <v>0</v>
      </c>
      <c r="G185" s="10">
        <v>9249</v>
      </c>
      <c r="H185" s="10">
        <v>1</v>
      </c>
      <c r="I185" s="10">
        <v>1</v>
      </c>
      <c r="J185" s="10" t="s">
        <v>418</v>
      </c>
      <c r="K185" s="10">
        <f t="shared" si="12"/>
        <v>816</v>
      </c>
      <c r="L185" s="10">
        <f t="shared" si="16"/>
        <v>815</v>
      </c>
      <c r="M185" s="10" t="s">
        <v>419</v>
      </c>
      <c r="N185" s="10" t="s">
        <v>327</v>
      </c>
      <c r="O185" s="10"/>
      <c r="P185" s="10"/>
      <c r="Q185" s="111"/>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c r="GJ185" s="6"/>
      <c r="GK185" s="6"/>
      <c r="GL185" s="6"/>
      <c r="GM185" s="6"/>
      <c r="GN185" s="6"/>
      <c r="GO185" s="6"/>
      <c r="GP185" s="6"/>
      <c r="GQ185" s="6"/>
      <c r="GR185" s="6"/>
      <c r="GS185" s="6"/>
      <c r="GT185" s="6"/>
      <c r="GU185" s="6"/>
      <c r="GV185" s="6"/>
      <c r="GW185" s="6"/>
      <c r="GX185" s="6"/>
      <c r="GY185" s="6"/>
      <c r="GZ185" s="6"/>
      <c r="HA185" s="6"/>
      <c r="HB185" s="6"/>
      <c r="HC185" s="6"/>
      <c r="HD185" s="6"/>
      <c r="HE185" s="6"/>
      <c r="HF185" s="6"/>
      <c r="HG185" s="6"/>
      <c r="HH185" s="6"/>
      <c r="HI185" s="6"/>
      <c r="HJ185" s="6"/>
      <c r="HK185" s="6"/>
      <c r="HL185" s="6"/>
      <c r="HM185" s="6"/>
      <c r="HN185" s="6"/>
      <c r="HO185" s="6"/>
      <c r="HP185" s="6"/>
      <c r="HQ185" s="6"/>
      <c r="HR185" s="6"/>
    </row>
    <row r="186" spans="1:226" s="8" customFormat="1" x14ac:dyDescent="0.3">
      <c r="A186" s="6"/>
      <c r="B186" s="10" t="s">
        <v>460</v>
      </c>
      <c r="C186" s="10" t="s">
        <v>321</v>
      </c>
      <c r="D186" s="10">
        <v>2</v>
      </c>
      <c r="E186" s="10">
        <f t="shared" si="15"/>
        <v>1</v>
      </c>
      <c r="F186" s="10">
        <v>0</v>
      </c>
      <c r="G186" s="10">
        <v>9249</v>
      </c>
      <c r="H186" s="10">
        <v>1</v>
      </c>
      <c r="I186" s="10">
        <v>1</v>
      </c>
      <c r="J186" s="10" t="s">
        <v>418</v>
      </c>
      <c r="K186" s="10">
        <f t="shared" si="12"/>
        <v>817</v>
      </c>
      <c r="L186" s="10">
        <f t="shared" si="16"/>
        <v>816</v>
      </c>
      <c r="M186" s="10" t="s">
        <v>419</v>
      </c>
      <c r="N186" s="10" t="s">
        <v>327</v>
      </c>
      <c r="O186" s="10"/>
      <c r="P186" s="10"/>
      <c r="Q186" s="111"/>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c r="GJ186" s="6"/>
      <c r="GK186" s="6"/>
      <c r="GL186" s="6"/>
      <c r="GM186" s="6"/>
      <c r="GN186" s="6"/>
      <c r="GO186" s="6"/>
      <c r="GP186" s="6"/>
      <c r="GQ186" s="6"/>
      <c r="GR186" s="6"/>
      <c r="GS186" s="6"/>
      <c r="GT186" s="6"/>
      <c r="GU186" s="6"/>
      <c r="GV186" s="6"/>
      <c r="GW186" s="6"/>
      <c r="GX186" s="6"/>
      <c r="GY186" s="6"/>
      <c r="GZ186" s="6"/>
      <c r="HA186" s="6"/>
      <c r="HB186" s="6"/>
      <c r="HC186" s="6"/>
      <c r="HD186" s="6"/>
      <c r="HE186" s="6"/>
      <c r="HF186" s="6"/>
      <c r="HG186" s="6"/>
      <c r="HH186" s="6"/>
      <c r="HI186" s="6"/>
      <c r="HJ186" s="6"/>
      <c r="HK186" s="6"/>
      <c r="HL186" s="6"/>
      <c r="HM186" s="6"/>
      <c r="HN186" s="6"/>
      <c r="HO186" s="6"/>
      <c r="HP186" s="6"/>
      <c r="HQ186" s="6"/>
      <c r="HR186" s="6"/>
    </row>
    <row r="187" spans="1:226" s="8" customFormat="1" x14ac:dyDescent="0.3">
      <c r="A187" s="6"/>
      <c r="B187" s="10" t="s">
        <v>461</v>
      </c>
      <c r="C187" s="10" t="s">
        <v>321</v>
      </c>
      <c r="D187" s="10">
        <v>2</v>
      </c>
      <c r="E187" s="10">
        <f t="shared" si="15"/>
        <v>1</v>
      </c>
      <c r="F187" s="10">
        <v>0</v>
      </c>
      <c r="G187" s="10">
        <v>9249</v>
      </c>
      <c r="H187" s="10">
        <v>1</v>
      </c>
      <c r="I187" s="10">
        <v>1</v>
      </c>
      <c r="J187" s="10" t="s">
        <v>418</v>
      </c>
      <c r="K187" s="10">
        <f t="shared" si="12"/>
        <v>818</v>
      </c>
      <c r="L187" s="10">
        <f t="shared" si="16"/>
        <v>817</v>
      </c>
      <c r="M187" s="10" t="s">
        <v>419</v>
      </c>
      <c r="N187" s="10" t="s">
        <v>327</v>
      </c>
      <c r="O187" s="10"/>
      <c r="P187" s="10"/>
      <c r="Q187" s="111"/>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c r="GJ187" s="6"/>
      <c r="GK187" s="6"/>
      <c r="GL187" s="6"/>
      <c r="GM187" s="6"/>
      <c r="GN187" s="6"/>
      <c r="GO187" s="6"/>
      <c r="GP187" s="6"/>
      <c r="GQ187" s="6"/>
      <c r="GR187" s="6"/>
      <c r="GS187" s="6"/>
      <c r="GT187" s="6"/>
      <c r="GU187" s="6"/>
      <c r="GV187" s="6"/>
      <c r="GW187" s="6"/>
      <c r="GX187" s="6"/>
      <c r="GY187" s="6"/>
      <c r="GZ187" s="6"/>
      <c r="HA187" s="6"/>
      <c r="HB187" s="6"/>
      <c r="HC187" s="6"/>
      <c r="HD187" s="6"/>
      <c r="HE187" s="6"/>
      <c r="HF187" s="6"/>
      <c r="HG187" s="6"/>
      <c r="HH187" s="6"/>
      <c r="HI187" s="6"/>
      <c r="HJ187" s="6"/>
      <c r="HK187" s="6"/>
      <c r="HL187" s="6"/>
      <c r="HM187" s="6"/>
      <c r="HN187" s="6"/>
      <c r="HO187" s="6"/>
      <c r="HP187" s="6"/>
      <c r="HQ187" s="6"/>
      <c r="HR187" s="6"/>
    </row>
    <row r="188" spans="1:226" s="47" customFormat="1" x14ac:dyDescent="0.3">
      <c r="A188" s="6"/>
      <c r="B188" s="10" t="s">
        <v>462</v>
      </c>
      <c r="C188" s="10" t="s">
        <v>321</v>
      </c>
      <c r="D188" s="10">
        <v>2</v>
      </c>
      <c r="E188" s="10">
        <f t="shared" si="15"/>
        <v>1</v>
      </c>
      <c r="F188" s="10">
        <v>0</v>
      </c>
      <c r="G188" s="10">
        <v>9249</v>
      </c>
      <c r="H188" s="10">
        <v>1</v>
      </c>
      <c r="I188" s="10">
        <v>1</v>
      </c>
      <c r="J188" s="10" t="s">
        <v>418</v>
      </c>
      <c r="K188" s="10">
        <f t="shared" si="12"/>
        <v>819</v>
      </c>
      <c r="L188" s="10">
        <f t="shared" si="16"/>
        <v>818</v>
      </c>
      <c r="M188" s="10" t="s">
        <v>419</v>
      </c>
      <c r="N188" s="10" t="s">
        <v>327</v>
      </c>
      <c r="O188" s="10"/>
      <c r="P188" s="10"/>
      <c r="Q188" s="111"/>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c r="GJ188" s="6"/>
      <c r="GK188" s="6"/>
      <c r="GL188" s="6"/>
      <c r="GM188" s="6"/>
      <c r="GN188" s="6"/>
      <c r="GO188" s="6"/>
      <c r="GP188" s="6"/>
      <c r="GQ188" s="6"/>
      <c r="GR188" s="6"/>
      <c r="GS188" s="6"/>
      <c r="GT188" s="6"/>
      <c r="GU188" s="6"/>
      <c r="GV188" s="6"/>
      <c r="GW188" s="6"/>
      <c r="GX188" s="6"/>
      <c r="GY188" s="6"/>
      <c r="GZ188" s="6"/>
      <c r="HA188" s="6"/>
      <c r="HB188" s="6"/>
      <c r="HC188" s="6"/>
      <c r="HD188" s="6"/>
      <c r="HE188" s="6"/>
      <c r="HF188" s="6"/>
      <c r="HG188" s="6"/>
      <c r="HH188" s="6"/>
      <c r="HI188" s="6"/>
      <c r="HJ188" s="6"/>
      <c r="HK188" s="6"/>
      <c r="HL188" s="6"/>
      <c r="HM188" s="6"/>
      <c r="HN188" s="6"/>
      <c r="HO188" s="6"/>
      <c r="HP188" s="6"/>
      <c r="HQ188" s="6"/>
      <c r="HR188" s="6"/>
    </row>
    <row r="189" spans="1:226" s="47" customFormat="1" x14ac:dyDescent="0.3">
      <c r="A189" s="6"/>
      <c r="B189" s="10" t="s">
        <v>463</v>
      </c>
      <c r="C189" s="10" t="s">
        <v>321</v>
      </c>
      <c r="D189" s="10">
        <v>2</v>
      </c>
      <c r="E189" s="10">
        <f t="shared" si="15"/>
        <v>1</v>
      </c>
      <c r="F189" s="10">
        <v>0</v>
      </c>
      <c r="G189" s="10">
        <v>9249</v>
      </c>
      <c r="H189" s="10">
        <v>1</v>
      </c>
      <c r="I189" s="10">
        <v>1</v>
      </c>
      <c r="J189" s="10" t="s">
        <v>418</v>
      </c>
      <c r="K189" s="10">
        <f t="shared" si="12"/>
        <v>820</v>
      </c>
      <c r="L189" s="10">
        <f t="shared" si="16"/>
        <v>819</v>
      </c>
      <c r="M189" s="10" t="s">
        <v>419</v>
      </c>
      <c r="N189" s="10" t="s">
        <v>327</v>
      </c>
      <c r="O189" s="10"/>
      <c r="P189" s="10"/>
      <c r="Q189" s="111"/>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c r="GJ189" s="6"/>
      <c r="GK189" s="6"/>
      <c r="GL189" s="6"/>
      <c r="GM189" s="6"/>
      <c r="GN189" s="6"/>
      <c r="GO189" s="6"/>
      <c r="GP189" s="6"/>
      <c r="GQ189" s="6"/>
      <c r="GR189" s="6"/>
      <c r="GS189" s="6"/>
      <c r="GT189" s="6"/>
      <c r="GU189" s="6"/>
      <c r="GV189" s="6"/>
      <c r="GW189" s="6"/>
      <c r="GX189" s="6"/>
      <c r="GY189" s="6"/>
      <c r="GZ189" s="6"/>
      <c r="HA189" s="6"/>
      <c r="HB189" s="6"/>
      <c r="HC189" s="6"/>
      <c r="HD189" s="6"/>
      <c r="HE189" s="6"/>
      <c r="HF189" s="6"/>
      <c r="HG189" s="6"/>
      <c r="HH189" s="6"/>
      <c r="HI189" s="6"/>
      <c r="HJ189" s="6"/>
      <c r="HK189" s="6"/>
      <c r="HL189" s="6"/>
      <c r="HM189" s="6"/>
      <c r="HN189" s="6"/>
      <c r="HO189" s="6"/>
      <c r="HP189" s="6"/>
      <c r="HQ189" s="6"/>
      <c r="HR189" s="6"/>
    </row>
    <row r="190" spans="1:226" s="47" customFormat="1" x14ac:dyDescent="0.3">
      <c r="A190" s="6"/>
      <c r="B190" s="10" t="s">
        <v>464</v>
      </c>
      <c r="C190" s="10" t="s">
        <v>321</v>
      </c>
      <c r="D190" s="10">
        <v>2</v>
      </c>
      <c r="E190" s="10">
        <f t="shared" si="15"/>
        <v>1</v>
      </c>
      <c r="F190" s="10">
        <v>0</v>
      </c>
      <c r="G190" s="10">
        <v>9249</v>
      </c>
      <c r="H190" s="10">
        <v>1</v>
      </c>
      <c r="I190" s="10">
        <v>1</v>
      </c>
      <c r="J190" s="10" t="s">
        <v>418</v>
      </c>
      <c r="K190" s="10">
        <f t="shared" si="12"/>
        <v>821</v>
      </c>
      <c r="L190" s="10">
        <f t="shared" si="16"/>
        <v>820</v>
      </c>
      <c r="M190" s="10" t="s">
        <v>419</v>
      </c>
      <c r="N190" s="10" t="s">
        <v>327</v>
      </c>
      <c r="O190" s="10"/>
      <c r="P190" s="10"/>
      <c r="Q190" s="111"/>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c r="GJ190" s="6"/>
      <c r="GK190" s="6"/>
      <c r="GL190" s="6"/>
      <c r="GM190" s="6"/>
      <c r="GN190" s="6"/>
      <c r="GO190" s="6"/>
      <c r="GP190" s="6"/>
      <c r="GQ190" s="6"/>
      <c r="GR190" s="6"/>
      <c r="GS190" s="6"/>
      <c r="GT190" s="6"/>
      <c r="GU190" s="6"/>
      <c r="GV190" s="6"/>
      <c r="GW190" s="6"/>
      <c r="GX190" s="6"/>
      <c r="GY190" s="6"/>
      <c r="GZ190" s="6"/>
      <c r="HA190" s="6"/>
      <c r="HB190" s="6"/>
      <c r="HC190" s="6"/>
      <c r="HD190" s="6"/>
      <c r="HE190" s="6"/>
      <c r="HF190" s="6"/>
      <c r="HG190" s="6"/>
      <c r="HH190" s="6"/>
      <c r="HI190" s="6"/>
      <c r="HJ190" s="6"/>
      <c r="HK190" s="6"/>
      <c r="HL190" s="6"/>
      <c r="HM190" s="6"/>
      <c r="HN190" s="6"/>
      <c r="HO190" s="6"/>
      <c r="HP190" s="6"/>
      <c r="HQ190" s="6"/>
      <c r="HR190" s="6"/>
    </row>
    <row r="191" spans="1:226" s="47" customFormat="1" x14ac:dyDescent="0.3">
      <c r="A191" s="6"/>
      <c r="B191" s="10" t="s">
        <v>465</v>
      </c>
      <c r="C191" s="10" t="s">
        <v>321</v>
      </c>
      <c r="D191" s="10">
        <v>2</v>
      </c>
      <c r="E191" s="10">
        <f t="shared" si="15"/>
        <v>1</v>
      </c>
      <c r="F191" s="10">
        <v>0</v>
      </c>
      <c r="G191" s="10">
        <v>9249</v>
      </c>
      <c r="H191" s="10">
        <v>1</v>
      </c>
      <c r="I191" s="10">
        <v>1</v>
      </c>
      <c r="J191" s="10" t="s">
        <v>418</v>
      </c>
      <c r="K191" s="10">
        <f t="shared" si="12"/>
        <v>822</v>
      </c>
      <c r="L191" s="10">
        <f t="shared" si="16"/>
        <v>821</v>
      </c>
      <c r="M191" s="10" t="s">
        <v>419</v>
      </c>
      <c r="N191" s="10" t="s">
        <v>327</v>
      </c>
      <c r="O191" s="10"/>
      <c r="P191" s="10"/>
      <c r="Q191" s="111"/>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c r="GJ191" s="6"/>
      <c r="GK191" s="6"/>
      <c r="GL191" s="6"/>
      <c r="GM191" s="6"/>
      <c r="GN191" s="6"/>
      <c r="GO191" s="6"/>
      <c r="GP191" s="6"/>
      <c r="GQ191" s="6"/>
      <c r="GR191" s="6"/>
      <c r="GS191" s="6"/>
      <c r="GT191" s="6"/>
      <c r="GU191" s="6"/>
      <c r="GV191" s="6"/>
      <c r="GW191" s="6"/>
      <c r="GX191" s="6"/>
      <c r="GY191" s="6"/>
      <c r="GZ191" s="6"/>
      <c r="HA191" s="6"/>
      <c r="HB191" s="6"/>
      <c r="HC191" s="6"/>
      <c r="HD191" s="6"/>
      <c r="HE191" s="6"/>
      <c r="HF191" s="6"/>
      <c r="HG191" s="6"/>
      <c r="HH191" s="6"/>
      <c r="HI191" s="6"/>
      <c r="HJ191" s="6"/>
      <c r="HK191" s="6"/>
      <c r="HL191" s="6"/>
      <c r="HM191" s="6"/>
      <c r="HN191" s="6"/>
      <c r="HO191" s="6"/>
      <c r="HP191" s="6"/>
      <c r="HQ191" s="6"/>
      <c r="HR191" s="6"/>
    </row>
    <row r="192" spans="1:226" s="47" customFormat="1" x14ac:dyDescent="0.3">
      <c r="A192" s="6"/>
      <c r="B192" s="10" t="s">
        <v>466</v>
      </c>
      <c r="C192" s="10" t="s">
        <v>321</v>
      </c>
      <c r="D192" s="10">
        <v>2</v>
      </c>
      <c r="E192" s="10">
        <f t="shared" si="15"/>
        <v>1</v>
      </c>
      <c r="F192" s="10">
        <v>0</v>
      </c>
      <c r="G192" s="10">
        <v>9249</v>
      </c>
      <c r="H192" s="10">
        <v>1</v>
      </c>
      <c r="I192" s="10">
        <v>1</v>
      </c>
      <c r="J192" s="10" t="s">
        <v>418</v>
      </c>
      <c r="K192" s="10">
        <f t="shared" si="12"/>
        <v>823</v>
      </c>
      <c r="L192" s="10">
        <f t="shared" si="16"/>
        <v>822</v>
      </c>
      <c r="M192" s="10" t="s">
        <v>419</v>
      </c>
      <c r="N192" s="10" t="s">
        <v>327</v>
      </c>
      <c r="O192" s="10"/>
      <c r="P192" s="10"/>
      <c r="Q192" s="111"/>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c r="GJ192" s="6"/>
      <c r="GK192" s="6"/>
      <c r="GL192" s="6"/>
      <c r="GM192" s="6"/>
      <c r="GN192" s="6"/>
      <c r="GO192" s="6"/>
      <c r="GP192" s="6"/>
      <c r="GQ192" s="6"/>
      <c r="GR192" s="6"/>
      <c r="GS192" s="6"/>
      <c r="GT192" s="6"/>
      <c r="GU192" s="6"/>
      <c r="GV192" s="6"/>
      <c r="GW192" s="6"/>
      <c r="GX192" s="6"/>
      <c r="GY192" s="6"/>
      <c r="GZ192" s="6"/>
      <c r="HA192" s="6"/>
      <c r="HB192" s="6"/>
      <c r="HC192" s="6"/>
      <c r="HD192" s="6"/>
      <c r="HE192" s="6"/>
      <c r="HF192" s="6"/>
      <c r="HG192" s="6"/>
      <c r="HH192" s="6"/>
      <c r="HI192" s="6"/>
      <c r="HJ192" s="6"/>
      <c r="HK192" s="6"/>
      <c r="HL192" s="6"/>
      <c r="HM192" s="6"/>
      <c r="HN192" s="6"/>
      <c r="HO192" s="6"/>
      <c r="HP192" s="6"/>
      <c r="HQ192" s="6"/>
      <c r="HR192" s="6"/>
    </row>
    <row r="193" spans="1:226" s="47" customFormat="1" x14ac:dyDescent="0.3">
      <c r="A193" s="6"/>
      <c r="B193" s="10" t="s">
        <v>467</v>
      </c>
      <c r="C193" s="10" t="s">
        <v>321</v>
      </c>
      <c r="D193" s="10">
        <v>2</v>
      </c>
      <c r="E193" s="10">
        <f t="shared" si="15"/>
        <v>1</v>
      </c>
      <c r="F193" s="10">
        <v>0</v>
      </c>
      <c r="G193" s="10">
        <v>9249</v>
      </c>
      <c r="H193" s="10">
        <v>1</v>
      </c>
      <c r="I193" s="10">
        <v>1</v>
      </c>
      <c r="J193" s="10" t="s">
        <v>418</v>
      </c>
      <c r="K193" s="10">
        <f t="shared" si="12"/>
        <v>824</v>
      </c>
      <c r="L193" s="10">
        <f t="shared" si="16"/>
        <v>823</v>
      </c>
      <c r="M193" s="10" t="s">
        <v>419</v>
      </c>
      <c r="N193" s="10" t="s">
        <v>327</v>
      </c>
      <c r="O193" s="10"/>
      <c r="P193" s="10"/>
      <c r="Q193" s="111"/>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c r="GJ193" s="6"/>
      <c r="GK193" s="6"/>
      <c r="GL193" s="6"/>
      <c r="GM193" s="6"/>
      <c r="GN193" s="6"/>
      <c r="GO193" s="6"/>
      <c r="GP193" s="6"/>
      <c r="GQ193" s="6"/>
      <c r="GR193" s="6"/>
      <c r="GS193" s="6"/>
      <c r="GT193" s="6"/>
      <c r="GU193" s="6"/>
      <c r="GV193" s="6"/>
      <c r="GW193" s="6"/>
      <c r="GX193" s="6"/>
      <c r="GY193" s="6"/>
      <c r="GZ193" s="6"/>
      <c r="HA193" s="6"/>
      <c r="HB193" s="6"/>
      <c r="HC193" s="6"/>
      <c r="HD193" s="6"/>
      <c r="HE193" s="6"/>
      <c r="HF193" s="6"/>
      <c r="HG193" s="6"/>
      <c r="HH193" s="6"/>
      <c r="HI193" s="6"/>
      <c r="HJ193" s="6"/>
      <c r="HK193" s="6"/>
      <c r="HL193" s="6"/>
      <c r="HM193" s="6"/>
      <c r="HN193" s="6"/>
      <c r="HO193" s="6"/>
      <c r="HP193" s="6"/>
      <c r="HQ193" s="6"/>
      <c r="HR193" s="6"/>
    </row>
    <row r="194" spans="1:226" s="47" customFormat="1" x14ac:dyDescent="0.3">
      <c r="A194" s="6"/>
      <c r="B194" s="10" t="s">
        <v>468</v>
      </c>
      <c r="C194" s="10" t="s">
        <v>321</v>
      </c>
      <c r="D194" s="10">
        <v>2</v>
      </c>
      <c r="E194" s="10">
        <f t="shared" si="15"/>
        <v>1</v>
      </c>
      <c r="F194" s="10">
        <v>0</v>
      </c>
      <c r="G194" s="10">
        <v>9249</v>
      </c>
      <c r="H194" s="10">
        <v>1</v>
      </c>
      <c r="I194" s="10">
        <v>1</v>
      </c>
      <c r="J194" s="10" t="s">
        <v>418</v>
      </c>
      <c r="K194" s="10">
        <f t="shared" si="12"/>
        <v>825</v>
      </c>
      <c r="L194" s="10">
        <f t="shared" si="16"/>
        <v>824</v>
      </c>
      <c r="M194" s="10" t="s">
        <v>419</v>
      </c>
      <c r="N194" s="10" t="s">
        <v>327</v>
      </c>
      <c r="O194" s="10"/>
      <c r="P194" s="10"/>
      <c r="Q194" s="111"/>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c r="GJ194" s="6"/>
      <c r="GK194" s="6"/>
      <c r="GL194" s="6"/>
      <c r="GM194" s="6"/>
      <c r="GN194" s="6"/>
      <c r="GO194" s="6"/>
      <c r="GP194" s="6"/>
      <c r="GQ194" s="6"/>
      <c r="GR194" s="6"/>
      <c r="GS194" s="6"/>
      <c r="GT194" s="6"/>
      <c r="GU194" s="6"/>
      <c r="GV194" s="6"/>
      <c r="GW194" s="6"/>
      <c r="GX194" s="6"/>
      <c r="GY194" s="6"/>
      <c r="GZ194" s="6"/>
      <c r="HA194" s="6"/>
      <c r="HB194" s="6"/>
      <c r="HC194" s="6"/>
      <c r="HD194" s="6"/>
      <c r="HE194" s="6"/>
      <c r="HF194" s="6"/>
      <c r="HG194" s="6"/>
      <c r="HH194" s="6"/>
      <c r="HI194" s="6"/>
      <c r="HJ194" s="6"/>
      <c r="HK194" s="6"/>
      <c r="HL194" s="6"/>
      <c r="HM194" s="6"/>
      <c r="HN194" s="6"/>
      <c r="HO194" s="6"/>
      <c r="HP194" s="6"/>
      <c r="HQ194" s="6"/>
      <c r="HR194" s="6"/>
    </row>
    <row r="195" spans="1:226" x14ac:dyDescent="0.3">
      <c r="B195" s="10" t="s">
        <v>469</v>
      </c>
      <c r="C195" s="10" t="s">
        <v>321</v>
      </c>
      <c r="D195" s="10">
        <v>2</v>
      </c>
      <c r="E195" s="10">
        <f t="shared" si="15"/>
        <v>1</v>
      </c>
      <c r="F195" s="10">
        <v>0</v>
      </c>
      <c r="G195" s="10">
        <v>9249</v>
      </c>
      <c r="H195" s="10">
        <v>1</v>
      </c>
      <c r="I195" s="10">
        <v>1</v>
      </c>
      <c r="J195" s="10" t="s">
        <v>418</v>
      </c>
      <c r="K195" s="10">
        <f t="shared" si="12"/>
        <v>826</v>
      </c>
      <c r="L195" s="10">
        <f t="shared" si="16"/>
        <v>825</v>
      </c>
      <c r="M195" s="10" t="s">
        <v>419</v>
      </c>
      <c r="N195" s="10" t="s">
        <v>327</v>
      </c>
      <c r="O195" s="10"/>
      <c r="P195" s="10"/>
      <c r="Q195" s="111"/>
    </row>
    <row r="196" spans="1:226" x14ac:dyDescent="0.3">
      <c r="B196" s="10" t="s">
        <v>470</v>
      </c>
      <c r="C196" s="10" t="s">
        <v>321</v>
      </c>
      <c r="D196" s="10">
        <v>2</v>
      </c>
      <c r="E196" s="10">
        <f t="shared" si="15"/>
        <v>1</v>
      </c>
      <c r="F196" s="10">
        <v>0</v>
      </c>
      <c r="G196" s="10">
        <v>9249</v>
      </c>
      <c r="H196" s="10">
        <v>1</v>
      </c>
      <c r="I196" s="10">
        <v>1</v>
      </c>
      <c r="J196" s="10" t="s">
        <v>418</v>
      </c>
      <c r="K196" s="10">
        <f t="shared" si="12"/>
        <v>827</v>
      </c>
      <c r="L196" s="10">
        <f t="shared" si="16"/>
        <v>826</v>
      </c>
      <c r="M196" s="10" t="s">
        <v>419</v>
      </c>
      <c r="N196" s="10" t="s">
        <v>327</v>
      </c>
      <c r="O196" s="10"/>
      <c r="P196" s="10"/>
      <c r="Q196" s="111"/>
    </row>
    <row r="197" spans="1:226" x14ac:dyDescent="0.3">
      <c r="B197" s="10" t="s">
        <v>471</v>
      </c>
      <c r="C197" s="10" t="s">
        <v>321</v>
      </c>
      <c r="D197" s="10">
        <v>2</v>
      </c>
      <c r="E197" s="10">
        <f t="shared" si="15"/>
        <v>1</v>
      </c>
      <c r="F197" s="10">
        <v>0</v>
      </c>
      <c r="G197" s="10">
        <v>9249</v>
      </c>
      <c r="H197" s="10">
        <v>1</v>
      </c>
      <c r="I197" s="10">
        <v>1</v>
      </c>
      <c r="J197" s="10" t="s">
        <v>418</v>
      </c>
      <c r="K197" s="10">
        <f t="shared" si="12"/>
        <v>828</v>
      </c>
      <c r="L197" s="10">
        <f t="shared" si="16"/>
        <v>827</v>
      </c>
      <c r="M197" s="10" t="s">
        <v>419</v>
      </c>
      <c r="N197" s="10" t="s">
        <v>327</v>
      </c>
      <c r="O197" s="10"/>
      <c r="P197" s="10"/>
      <c r="Q197" s="111"/>
    </row>
    <row r="198" spans="1:226" x14ac:dyDescent="0.3">
      <c r="B198" s="10" t="s">
        <v>472</v>
      </c>
      <c r="C198" s="10" t="s">
        <v>321</v>
      </c>
      <c r="D198" s="10">
        <v>2</v>
      </c>
      <c r="E198" s="10">
        <f t="shared" si="15"/>
        <v>1</v>
      </c>
      <c r="F198" s="10">
        <v>0</v>
      </c>
      <c r="G198" s="10">
        <v>9249</v>
      </c>
      <c r="H198" s="10">
        <v>1</v>
      </c>
      <c r="I198" s="10">
        <v>1</v>
      </c>
      <c r="J198" s="10" t="s">
        <v>418</v>
      </c>
      <c r="K198" s="10">
        <f t="shared" si="12"/>
        <v>829</v>
      </c>
      <c r="L198" s="10">
        <f t="shared" si="16"/>
        <v>828</v>
      </c>
      <c r="M198" s="10" t="s">
        <v>419</v>
      </c>
      <c r="N198" s="10" t="s">
        <v>327</v>
      </c>
      <c r="O198" s="10"/>
      <c r="P198" s="10"/>
      <c r="Q198" s="111"/>
    </row>
    <row r="199" spans="1:226" x14ac:dyDescent="0.3">
      <c r="B199" s="10" t="s">
        <v>473</v>
      </c>
      <c r="C199" s="10" t="s">
        <v>321</v>
      </c>
      <c r="D199" s="10">
        <v>2</v>
      </c>
      <c r="E199" s="10">
        <f t="shared" si="15"/>
        <v>1</v>
      </c>
      <c r="F199" s="10">
        <v>0</v>
      </c>
      <c r="G199" s="10">
        <v>9249</v>
      </c>
      <c r="H199" s="10">
        <v>1</v>
      </c>
      <c r="I199" s="10">
        <v>1</v>
      </c>
      <c r="J199" s="10" t="s">
        <v>418</v>
      </c>
      <c r="K199" s="10">
        <f t="shared" si="12"/>
        <v>830</v>
      </c>
      <c r="L199" s="10">
        <f t="shared" si="16"/>
        <v>829</v>
      </c>
      <c r="M199" s="10" t="s">
        <v>419</v>
      </c>
      <c r="N199" s="10" t="s">
        <v>327</v>
      </c>
      <c r="O199" s="10"/>
      <c r="P199" s="10"/>
      <c r="Q199" s="111"/>
    </row>
    <row r="200" spans="1:226" x14ac:dyDescent="0.3">
      <c r="B200" s="10" t="s">
        <v>474</v>
      </c>
      <c r="C200" s="10" t="s">
        <v>321</v>
      </c>
      <c r="D200" s="10">
        <v>2</v>
      </c>
      <c r="E200" s="10">
        <f t="shared" si="15"/>
        <v>1</v>
      </c>
      <c r="F200" s="10">
        <v>0</v>
      </c>
      <c r="G200" s="10">
        <v>9249</v>
      </c>
      <c r="H200" s="10">
        <v>1</v>
      </c>
      <c r="I200" s="10">
        <v>1</v>
      </c>
      <c r="J200" s="10" t="s">
        <v>418</v>
      </c>
      <c r="K200" s="10">
        <f t="shared" si="12"/>
        <v>831</v>
      </c>
      <c r="L200" s="10">
        <f t="shared" si="16"/>
        <v>830</v>
      </c>
      <c r="M200" s="10" t="s">
        <v>419</v>
      </c>
      <c r="N200" s="10" t="s">
        <v>327</v>
      </c>
      <c r="O200" s="10"/>
      <c r="P200" s="10"/>
      <c r="Q200" s="111"/>
    </row>
    <row r="201" spans="1:226" x14ac:dyDescent="0.3">
      <c r="B201" s="10" t="s">
        <v>475</v>
      </c>
      <c r="C201" s="10" t="s">
        <v>321</v>
      </c>
      <c r="D201" s="10">
        <v>2</v>
      </c>
      <c r="E201" s="10">
        <f t="shared" si="15"/>
        <v>1</v>
      </c>
      <c r="F201" s="10">
        <v>0</v>
      </c>
      <c r="G201" s="10">
        <v>9249</v>
      </c>
      <c r="H201" s="10">
        <v>1</v>
      </c>
      <c r="I201" s="10">
        <v>1</v>
      </c>
      <c r="J201" s="10" t="s">
        <v>418</v>
      </c>
      <c r="K201" s="10">
        <f t="shared" si="12"/>
        <v>832</v>
      </c>
      <c r="L201" s="10">
        <f t="shared" si="16"/>
        <v>831</v>
      </c>
      <c r="M201" s="10" t="s">
        <v>419</v>
      </c>
      <c r="N201" s="10" t="s">
        <v>327</v>
      </c>
      <c r="O201" s="10"/>
      <c r="P201" s="10"/>
      <c r="Q201" s="111"/>
    </row>
    <row r="202" spans="1:226" x14ac:dyDescent="0.3">
      <c r="B202" s="10" t="s">
        <v>476</v>
      </c>
      <c r="C202" s="10" t="s">
        <v>321</v>
      </c>
      <c r="D202" s="10">
        <v>2</v>
      </c>
      <c r="E202" s="10">
        <f t="shared" si="15"/>
        <v>1</v>
      </c>
      <c r="F202" s="10">
        <v>0</v>
      </c>
      <c r="G202" s="10">
        <v>9249</v>
      </c>
      <c r="H202" s="10">
        <v>1</v>
      </c>
      <c r="I202" s="10">
        <v>1</v>
      </c>
      <c r="J202" s="10" t="s">
        <v>418</v>
      </c>
      <c r="K202" s="10">
        <f t="shared" si="12"/>
        <v>833</v>
      </c>
      <c r="L202" s="10">
        <f t="shared" si="16"/>
        <v>832</v>
      </c>
      <c r="M202" s="10" t="s">
        <v>419</v>
      </c>
      <c r="N202" s="10" t="s">
        <v>327</v>
      </c>
      <c r="O202" s="10"/>
      <c r="P202" s="10"/>
      <c r="Q202" s="111"/>
    </row>
    <row r="203" spans="1:226" x14ac:dyDescent="0.3">
      <c r="B203" s="10" t="s">
        <v>477</v>
      </c>
      <c r="C203" s="10" t="s">
        <v>321</v>
      </c>
      <c r="D203" s="10">
        <v>2</v>
      </c>
      <c r="E203" s="10">
        <f t="shared" si="15"/>
        <v>1</v>
      </c>
      <c r="F203" s="10">
        <v>0</v>
      </c>
      <c r="G203" s="10">
        <v>9249</v>
      </c>
      <c r="H203" s="10">
        <v>1</v>
      </c>
      <c r="I203" s="10">
        <v>1</v>
      </c>
      <c r="J203" s="10" t="s">
        <v>418</v>
      </c>
      <c r="K203" s="10">
        <f t="shared" si="12"/>
        <v>834</v>
      </c>
      <c r="L203" s="10">
        <f t="shared" si="16"/>
        <v>833</v>
      </c>
      <c r="M203" s="10" t="s">
        <v>419</v>
      </c>
      <c r="N203" s="10" t="s">
        <v>327</v>
      </c>
      <c r="O203" s="10"/>
      <c r="P203" s="10"/>
      <c r="Q203" s="111"/>
    </row>
    <row r="204" spans="1:226" x14ac:dyDescent="0.3">
      <c r="B204" s="10" t="s">
        <v>478</v>
      </c>
      <c r="C204" s="10" t="s">
        <v>321</v>
      </c>
      <c r="D204" s="10">
        <v>2</v>
      </c>
      <c r="E204" s="10">
        <f t="shared" si="15"/>
        <v>1</v>
      </c>
      <c r="F204" s="10">
        <v>0</v>
      </c>
      <c r="G204" s="10">
        <v>9249</v>
      </c>
      <c r="H204" s="10">
        <v>1</v>
      </c>
      <c r="I204" s="10">
        <v>1</v>
      </c>
      <c r="J204" s="10" t="s">
        <v>418</v>
      </c>
      <c r="K204" s="10">
        <f t="shared" si="12"/>
        <v>835</v>
      </c>
      <c r="L204" s="10">
        <f t="shared" si="16"/>
        <v>834</v>
      </c>
      <c r="M204" s="10" t="s">
        <v>419</v>
      </c>
      <c r="N204" s="10" t="s">
        <v>327</v>
      </c>
      <c r="O204" s="10"/>
      <c r="P204" s="10"/>
      <c r="Q204" s="111"/>
    </row>
    <row r="205" spans="1:226" x14ac:dyDescent="0.3">
      <c r="B205" s="10" t="s">
        <v>479</v>
      </c>
      <c r="C205" s="10" t="s">
        <v>321</v>
      </c>
      <c r="D205" s="10">
        <v>2</v>
      </c>
      <c r="E205" s="10">
        <f t="shared" si="15"/>
        <v>1</v>
      </c>
      <c r="F205" s="10">
        <v>0</v>
      </c>
      <c r="G205" s="10">
        <v>9249</v>
      </c>
      <c r="H205" s="10">
        <v>1</v>
      </c>
      <c r="I205" s="10">
        <v>1</v>
      </c>
      <c r="J205" s="10" t="s">
        <v>418</v>
      </c>
      <c r="K205" s="10">
        <f t="shared" si="12"/>
        <v>836</v>
      </c>
      <c r="L205" s="10">
        <f t="shared" si="16"/>
        <v>835</v>
      </c>
      <c r="M205" s="10" t="s">
        <v>419</v>
      </c>
      <c r="N205" s="10" t="s">
        <v>327</v>
      </c>
      <c r="O205" s="10"/>
      <c r="P205" s="10"/>
      <c r="Q205" s="111"/>
    </row>
    <row r="206" spans="1:226" x14ac:dyDescent="0.3">
      <c r="B206" s="10" t="s">
        <v>480</v>
      </c>
      <c r="C206" s="10" t="s">
        <v>321</v>
      </c>
      <c r="D206" s="10">
        <v>2</v>
      </c>
      <c r="E206" s="10">
        <f t="shared" si="15"/>
        <v>1</v>
      </c>
      <c r="F206" s="10">
        <v>0</v>
      </c>
      <c r="G206" s="10">
        <v>9249</v>
      </c>
      <c r="H206" s="10">
        <v>1</v>
      </c>
      <c r="I206" s="10">
        <v>1</v>
      </c>
      <c r="J206" s="10" t="s">
        <v>418</v>
      </c>
      <c r="K206" s="10">
        <f t="shared" si="12"/>
        <v>837</v>
      </c>
      <c r="L206" s="10">
        <f t="shared" si="16"/>
        <v>836</v>
      </c>
      <c r="M206" s="10" t="s">
        <v>419</v>
      </c>
      <c r="N206" s="10" t="s">
        <v>327</v>
      </c>
      <c r="O206" s="10"/>
      <c r="P206" s="10"/>
      <c r="Q206" s="111"/>
    </row>
    <row r="207" spans="1:226" x14ac:dyDescent="0.3">
      <c r="B207" s="10" t="s">
        <v>481</v>
      </c>
      <c r="C207" s="10" t="s">
        <v>321</v>
      </c>
      <c r="D207" s="10">
        <v>2</v>
      </c>
      <c r="E207" s="10">
        <f t="shared" si="15"/>
        <v>1</v>
      </c>
      <c r="F207" s="10">
        <v>0</v>
      </c>
      <c r="G207" s="10">
        <v>9249</v>
      </c>
      <c r="H207" s="10">
        <v>1</v>
      </c>
      <c r="I207" s="10">
        <v>1</v>
      </c>
      <c r="J207" s="10" t="s">
        <v>418</v>
      </c>
      <c r="K207" s="10">
        <f t="shared" si="12"/>
        <v>838</v>
      </c>
      <c r="L207" s="10">
        <f t="shared" si="16"/>
        <v>837</v>
      </c>
      <c r="M207" s="10" t="s">
        <v>419</v>
      </c>
      <c r="N207" s="10" t="s">
        <v>327</v>
      </c>
      <c r="O207" s="10"/>
      <c r="P207" s="10"/>
      <c r="Q207" s="111"/>
    </row>
    <row r="208" spans="1:226" x14ac:dyDescent="0.3">
      <c r="B208" s="10" t="s">
        <v>482</v>
      </c>
      <c r="C208" s="10" t="s">
        <v>321</v>
      </c>
      <c r="D208" s="10">
        <v>2</v>
      </c>
      <c r="E208" s="10">
        <f t="shared" si="15"/>
        <v>1</v>
      </c>
      <c r="F208" s="10">
        <v>0</v>
      </c>
      <c r="G208" s="10">
        <v>9249</v>
      </c>
      <c r="H208" s="10">
        <v>1</v>
      </c>
      <c r="I208" s="10">
        <v>1</v>
      </c>
      <c r="J208" s="10" t="s">
        <v>418</v>
      </c>
      <c r="K208" s="10">
        <f t="shared" si="12"/>
        <v>839</v>
      </c>
      <c r="L208" s="10">
        <f t="shared" si="16"/>
        <v>838</v>
      </c>
      <c r="M208" s="10" t="s">
        <v>419</v>
      </c>
      <c r="N208" s="10" t="s">
        <v>327</v>
      </c>
      <c r="O208" s="10"/>
      <c r="P208" s="10"/>
      <c r="Q208" s="111"/>
    </row>
    <row r="209" spans="2:17" x14ac:dyDescent="0.3">
      <c r="B209" s="10" t="s">
        <v>483</v>
      </c>
      <c r="C209" s="10" t="s">
        <v>321</v>
      </c>
      <c r="D209" s="10">
        <v>2</v>
      </c>
      <c r="E209" s="10">
        <f t="shared" si="15"/>
        <v>1</v>
      </c>
      <c r="F209" s="10">
        <v>0</v>
      </c>
      <c r="G209" s="10">
        <v>9249</v>
      </c>
      <c r="H209" s="10">
        <v>1</v>
      </c>
      <c r="I209" s="10">
        <v>1</v>
      </c>
      <c r="J209" s="10" t="s">
        <v>418</v>
      </c>
      <c r="K209" s="10">
        <f t="shared" si="12"/>
        <v>840</v>
      </c>
      <c r="L209" s="10">
        <f t="shared" si="16"/>
        <v>839</v>
      </c>
      <c r="M209" s="10" t="s">
        <v>419</v>
      </c>
      <c r="N209" s="10" t="s">
        <v>327</v>
      </c>
      <c r="O209" s="10"/>
      <c r="P209" s="10"/>
      <c r="Q209" s="111"/>
    </row>
    <row r="210" spans="2:17" x14ac:dyDescent="0.3">
      <c r="B210" s="10" t="s">
        <v>484</v>
      </c>
      <c r="C210" s="10" t="s">
        <v>321</v>
      </c>
      <c r="D210" s="10">
        <v>2</v>
      </c>
      <c r="E210" s="10">
        <f t="shared" si="15"/>
        <v>1</v>
      </c>
      <c r="F210" s="10">
        <v>0</v>
      </c>
      <c r="G210" s="10">
        <v>9249</v>
      </c>
      <c r="H210" s="10">
        <v>1</v>
      </c>
      <c r="I210" s="10">
        <v>1</v>
      </c>
      <c r="J210" s="10" t="s">
        <v>418</v>
      </c>
      <c r="K210" s="10">
        <f t="shared" si="12"/>
        <v>841</v>
      </c>
      <c r="L210" s="10">
        <f t="shared" si="16"/>
        <v>840</v>
      </c>
      <c r="M210" s="10" t="s">
        <v>419</v>
      </c>
      <c r="N210" s="10" t="s">
        <v>327</v>
      </c>
      <c r="O210" s="10"/>
      <c r="P210" s="10"/>
      <c r="Q210" s="111"/>
    </row>
    <row r="211" spans="2:17" x14ac:dyDescent="0.3">
      <c r="B211" s="10" t="s">
        <v>485</v>
      </c>
      <c r="C211" s="10" t="s">
        <v>321</v>
      </c>
      <c r="D211" s="10">
        <v>2</v>
      </c>
      <c r="E211" s="10">
        <f t="shared" si="15"/>
        <v>1</v>
      </c>
      <c r="F211" s="10">
        <v>0</v>
      </c>
      <c r="G211" s="10">
        <v>9249</v>
      </c>
      <c r="H211" s="10">
        <v>1</v>
      </c>
      <c r="I211" s="10">
        <v>1</v>
      </c>
      <c r="J211" s="10" t="s">
        <v>418</v>
      </c>
      <c r="K211" s="10">
        <f t="shared" si="12"/>
        <v>842</v>
      </c>
      <c r="L211" s="10">
        <f t="shared" si="16"/>
        <v>841</v>
      </c>
      <c r="M211" s="10" t="s">
        <v>419</v>
      </c>
      <c r="N211" s="10" t="s">
        <v>327</v>
      </c>
      <c r="O211" s="10"/>
      <c r="P211" s="10"/>
      <c r="Q211" s="111"/>
    </row>
    <row r="212" spans="2:17" x14ac:dyDescent="0.3">
      <c r="B212" s="10" t="s">
        <v>486</v>
      </c>
      <c r="C212" s="10" t="s">
        <v>321</v>
      </c>
      <c r="D212" s="10">
        <v>2</v>
      </c>
      <c r="E212" s="10">
        <f t="shared" si="15"/>
        <v>1</v>
      </c>
      <c r="F212" s="10">
        <v>0</v>
      </c>
      <c r="G212" s="10">
        <v>9249</v>
      </c>
      <c r="H212" s="10">
        <v>1</v>
      </c>
      <c r="I212" s="10">
        <v>1</v>
      </c>
      <c r="J212" s="10" t="s">
        <v>418</v>
      </c>
      <c r="K212" s="10">
        <f t="shared" si="12"/>
        <v>843</v>
      </c>
      <c r="L212" s="10">
        <f t="shared" si="16"/>
        <v>842</v>
      </c>
      <c r="M212" s="10" t="s">
        <v>419</v>
      </c>
      <c r="N212" s="10" t="s">
        <v>327</v>
      </c>
      <c r="O212" s="10"/>
      <c r="P212" s="10"/>
      <c r="Q212" s="111"/>
    </row>
    <row r="213" spans="2:17" x14ac:dyDescent="0.3">
      <c r="B213" s="10" t="s">
        <v>487</v>
      </c>
      <c r="C213" s="10" t="s">
        <v>321</v>
      </c>
      <c r="D213" s="10">
        <v>2</v>
      </c>
      <c r="E213" s="10">
        <f t="shared" si="15"/>
        <v>1</v>
      </c>
      <c r="F213" s="10">
        <v>0</v>
      </c>
      <c r="G213" s="10">
        <v>9249</v>
      </c>
      <c r="H213" s="10">
        <v>1</v>
      </c>
      <c r="I213" s="10">
        <v>1</v>
      </c>
      <c r="J213" s="10" t="s">
        <v>418</v>
      </c>
      <c r="K213" s="10">
        <f t="shared" si="12"/>
        <v>844</v>
      </c>
      <c r="L213" s="10">
        <f t="shared" si="16"/>
        <v>843</v>
      </c>
      <c r="M213" s="10" t="s">
        <v>419</v>
      </c>
      <c r="N213" s="10" t="s">
        <v>327</v>
      </c>
      <c r="O213" s="10"/>
      <c r="P213" s="10"/>
      <c r="Q213" s="111"/>
    </row>
    <row r="214" spans="2:17" x14ac:dyDescent="0.3">
      <c r="B214" s="10" t="s">
        <v>488</v>
      </c>
      <c r="C214" s="10" t="s">
        <v>321</v>
      </c>
      <c r="D214" s="10">
        <v>2</v>
      </c>
      <c r="E214" s="10">
        <f t="shared" si="15"/>
        <v>1</v>
      </c>
      <c r="F214" s="10">
        <v>0</v>
      </c>
      <c r="G214" s="10">
        <v>9249</v>
      </c>
      <c r="H214" s="10">
        <v>1</v>
      </c>
      <c r="I214" s="10">
        <v>1</v>
      </c>
      <c r="J214" s="10" t="s">
        <v>418</v>
      </c>
      <c r="K214" s="10">
        <f t="shared" si="12"/>
        <v>845</v>
      </c>
      <c r="L214" s="10">
        <f t="shared" si="16"/>
        <v>844</v>
      </c>
      <c r="M214" s="10" t="s">
        <v>419</v>
      </c>
      <c r="N214" s="10" t="s">
        <v>327</v>
      </c>
      <c r="O214" s="10"/>
      <c r="P214" s="10"/>
      <c r="Q214" s="111"/>
    </row>
    <row r="215" spans="2:17" x14ac:dyDescent="0.3">
      <c r="B215" s="10" t="s">
        <v>489</v>
      </c>
      <c r="C215" s="10" t="s">
        <v>321</v>
      </c>
      <c r="D215" s="10">
        <v>2</v>
      </c>
      <c r="E215" s="10">
        <f t="shared" si="15"/>
        <v>1</v>
      </c>
      <c r="F215" s="10">
        <v>0</v>
      </c>
      <c r="G215" s="10">
        <v>9249</v>
      </c>
      <c r="H215" s="10">
        <v>1</v>
      </c>
      <c r="I215" s="10">
        <v>1</v>
      </c>
      <c r="J215" s="10" t="s">
        <v>418</v>
      </c>
      <c r="K215" s="10">
        <f t="shared" si="12"/>
        <v>846</v>
      </c>
      <c r="L215" s="10">
        <f t="shared" si="16"/>
        <v>845</v>
      </c>
      <c r="M215" s="10" t="s">
        <v>419</v>
      </c>
      <c r="N215" s="10" t="s">
        <v>327</v>
      </c>
      <c r="O215" s="10"/>
      <c r="P215" s="10"/>
      <c r="Q215" s="111"/>
    </row>
    <row r="216" spans="2:17" x14ac:dyDescent="0.3">
      <c r="B216" s="10" t="s">
        <v>490</v>
      </c>
      <c r="C216" s="10" t="s">
        <v>321</v>
      </c>
      <c r="D216" s="10">
        <v>2</v>
      </c>
      <c r="E216" s="10">
        <f t="shared" si="15"/>
        <v>1</v>
      </c>
      <c r="F216" s="10">
        <v>0</v>
      </c>
      <c r="G216" s="10">
        <v>9249</v>
      </c>
      <c r="H216" s="10">
        <v>1</v>
      </c>
      <c r="I216" s="10">
        <v>1</v>
      </c>
      <c r="J216" s="10" t="s">
        <v>418</v>
      </c>
      <c r="K216" s="10">
        <f t="shared" si="12"/>
        <v>847</v>
      </c>
      <c r="L216" s="10">
        <f t="shared" si="16"/>
        <v>846</v>
      </c>
      <c r="M216" s="10" t="s">
        <v>419</v>
      </c>
      <c r="N216" s="10" t="s">
        <v>327</v>
      </c>
      <c r="O216" s="10"/>
      <c r="P216" s="10"/>
      <c r="Q216" s="111"/>
    </row>
    <row r="217" spans="2:17" x14ac:dyDescent="0.3">
      <c r="B217" s="10" t="s">
        <v>491</v>
      </c>
      <c r="C217" s="10" t="s">
        <v>321</v>
      </c>
      <c r="D217" s="10">
        <v>2</v>
      </c>
      <c r="E217" s="10">
        <f t="shared" si="15"/>
        <v>1</v>
      </c>
      <c r="F217" s="10">
        <v>0</v>
      </c>
      <c r="G217" s="10">
        <v>9249</v>
      </c>
      <c r="H217" s="10">
        <v>1</v>
      </c>
      <c r="I217" s="10">
        <v>1</v>
      </c>
      <c r="J217" s="10" t="s">
        <v>418</v>
      </c>
      <c r="K217" s="10">
        <f t="shared" si="12"/>
        <v>848</v>
      </c>
      <c r="L217" s="10">
        <f t="shared" si="16"/>
        <v>847</v>
      </c>
      <c r="M217" s="10" t="s">
        <v>419</v>
      </c>
      <c r="N217" s="10" t="s">
        <v>327</v>
      </c>
      <c r="O217" s="10"/>
      <c r="P217" s="10"/>
      <c r="Q217" s="111"/>
    </row>
    <row r="218" spans="2:17" x14ac:dyDescent="0.3">
      <c r="B218" s="10" t="s">
        <v>492</v>
      </c>
      <c r="C218" s="10" t="s">
        <v>321</v>
      </c>
      <c r="D218" s="10">
        <v>2</v>
      </c>
      <c r="E218" s="10">
        <f t="shared" si="15"/>
        <v>1</v>
      </c>
      <c r="F218" s="10">
        <v>0</v>
      </c>
      <c r="G218" s="10">
        <v>9249</v>
      </c>
      <c r="H218" s="10">
        <v>1</v>
      </c>
      <c r="I218" s="10">
        <v>1</v>
      </c>
      <c r="J218" s="10" t="s">
        <v>418</v>
      </c>
      <c r="K218" s="10">
        <f t="shared" si="12"/>
        <v>849</v>
      </c>
      <c r="L218" s="10">
        <f t="shared" si="16"/>
        <v>848</v>
      </c>
      <c r="M218" s="10" t="s">
        <v>419</v>
      </c>
      <c r="N218" s="10" t="s">
        <v>327</v>
      </c>
      <c r="O218" s="10"/>
      <c r="P218" s="10"/>
      <c r="Q218" s="111"/>
    </row>
    <row r="219" spans="2:17" x14ac:dyDescent="0.3">
      <c r="B219" s="10" t="s">
        <v>493</v>
      </c>
      <c r="C219" s="10" t="s">
        <v>321</v>
      </c>
      <c r="D219" s="10">
        <v>2</v>
      </c>
      <c r="E219" s="10">
        <f t="shared" si="15"/>
        <v>1</v>
      </c>
      <c r="F219" s="10">
        <v>0</v>
      </c>
      <c r="G219" s="10">
        <v>9249</v>
      </c>
      <c r="H219" s="10">
        <v>1</v>
      </c>
      <c r="I219" s="10">
        <v>1</v>
      </c>
      <c r="J219" s="10" t="s">
        <v>418</v>
      </c>
      <c r="K219" s="10">
        <f t="shared" si="12"/>
        <v>850</v>
      </c>
      <c r="L219" s="10">
        <f t="shared" si="16"/>
        <v>849</v>
      </c>
      <c r="M219" s="10" t="s">
        <v>419</v>
      </c>
      <c r="N219" s="10" t="s">
        <v>327</v>
      </c>
      <c r="O219" s="10"/>
      <c r="P219" s="10"/>
      <c r="Q219" s="111"/>
    </row>
    <row r="220" spans="2:17" x14ac:dyDescent="0.3">
      <c r="B220" s="10" t="s">
        <v>494</v>
      </c>
      <c r="C220" s="10" t="s">
        <v>321</v>
      </c>
      <c r="D220" s="10">
        <v>2</v>
      </c>
      <c r="E220" s="10">
        <f t="shared" si="15"/>
        <v>1</v>
      </c>
      <c r="F220" s="10">
        <v>0</v>
      </c>
      <c r="G220" s="10">
        <v>9249</v>
      </c>
      <c r="H220" s="10">
        <v>1</v>
      </c>
      <c r="I220" s="10">
        <v>1</v>
      </c>
      <c r="J220" s="10" t="s">
        <v>418</v>
      </c>
      <c r="K220" s="10">
        <f t="shared" si="12"/>
        <v>851</v>
      </c>
      <c r="L220" s="10">
        <f t="shared" si="16"/>
        <v>850</v>
      </c>
      <c r="M220" s="10" t="s">
        <v>419</v>
      </c>
      <c r="N220" s="10" t="s">
        <v>327</v>
      </c>
      <c r="O220" s="10"/>
      <c r="P220" s="10"/>
      <c r="Q220" s="111"/>
    </row>
    <row r="221" spans="2:17" x14ac:dyDescent="0.3">
      <c r="B221" s="10" t="s">
        <v>495</v>
      </c>
      <c r="C221" s="10" t="s">
        <v>321</v>
      </c>
      <c r="D221" s="10">
        <v>2</v>
      </c>
      <c r="E221" s="10">
        <f t="shared" si="15"/>
        <v>1</v>
      </c>
      <c r="F221" s="142">
        <v>0</v>
      </c>
      <c r="G221" s="10">
        <v>9249</v>
      </c>
      <c r="H221" s="10">
        <v>1</v>
      </c>
      <c r="I221" s="10">
        <v>1</v>
      </c>
      <c r="J221" s="10" t="s">
        <v>418</v>
      </c>
      <c r="K221" s="10">
        <f t="shared" si="12"/>
        <v>852</v>
      </c>
      <c r="L221" s="10">
        <f t="shared" si="16"/>
        <v>851</v>
      </c>
      <c r="M221" s="10" t="s">
        <v>419</v>
      </c>
      <c r="N221" s="10" t="s">
        <v>327</v>
      </c>
      <c r="O221" s="10"/>
      <c r="P221" s="10"/>
      <c r="Q221" s="111"/>
    </row>
    <row r="222" spans="2:17" x14ac:dyDescent="0.3">
      <c r="B222" s="10" t="s">
        <v>496</v>
      </c>
      <c r="C222" s="10" t="s">
        <v>321</v>
      </c>
      <c r="D222" s="10">
        <v>2</v>
      </c>
      <c r="E222" s="10">
        <f t="shared" si="15"/>
        <v>1</v>
      </c>
      <c r="F222" s="142">
        <v>0</v>
      </c>
      <c r="G222" s="10">
        <v>9249</v>
      </c>
      <c r="H222" s="10">
        <v>1</v>
      </c>
      <c r="I222" s="10">
        <v>1</v>
      </c>
      <c r="J222" s="10" t="s">
        <v>418</v>
      </c>
      <c r="K222" s="10">
        <f t="shared" si="12"/>
        <v>853</v>
      </c>
      <c r="L222" s="10">
        <f t="shared" si="16"/>
        <v>852</v>
      </c>
      <c r="M222" s="10" t="s">
        <v>419</v>
      </c>
      <c r="N222" s="10" t="s">
        <v>327</v>
      </c>
      <c r="O222" s="10"/>
      <c r="P222" s="10"/>
      <c r="Q222" s="111"/>
    </row>
    <row r="223" spans="2:17" x14ac:dyDescent="0.3">
      <c r="B223" s="10" t="s">
        <v>497</v>
      </c>
      <c r="C223" s="10" t="s">
        <v>321</v>
      </c>
      <c r="D223" s="10">
        <v>2</v>
      </c>
      <c r="E223" s="10">
        <f t="shared" si="15"/>
        <v>1</v>
      </c>
      <c r="F223" s="142">
        <v>0</v>
      </c>
      <c r="G223" s="10">
        <v>9249</v>
      </c>
      <c r="H223" s="10">
        <v>1</v>
      </c>
      <c r="I223" s="10">
        <v>1</v>
      </c>
      <c r="J223" s="10" t="s">
        <v>418</v>
      </c>
      <c r="K223" s="10">
        <f t="shared" si="12"/>
        <v>854</v>
      </c>
      <c r="L223" s="10">
        <f t="shared" si="16"/>
        <v>853</v>
      </c>
      <c r="M223" s="10" t="s">
        <v>419</v>
      </c>
      <c r="N223" s="10" t="s">
        <v>327</v>
      </c>
      <c r="O223" s="10"/>
      <c r="P223" s="10"/>
      <c r="Q223" s="111"/>
    </row>
    <row r="224" spans="2:17" x14ac:dyDescent="0.3">
      <c r="B224" s="10" t="s">
        <v>498</v>
      </c>
      <c r="C224" s="10" t="s">
        <v>321</v>
      </c>
      <c r="D224" s="10">
        <v>2</v>
      </c>
      <c r="E224" s="10">
        <f t="shared" si="15"/>
        <v>1</v>
      </c>
      <c r="F224" s="142">
        <v>0</v>
      </c>
      <c r="G224" s="10">
        <v>9249</v>
      </c>
      <c r="H224" s="10">
        <v>1</v>
      </c>
      <c r="I224" s="10">
        <v>1</v>
      </c>
      <c r="J224" s="10" t="s">
        <v>418</v>
      </c>
      <c r="K224" s="10">
        <f t="shared" si="12"/>
        <v>855</v>
      </c>
      <c r="L224" s="10">
        <f t="shared" si="16"/>
        <v>854</v>
      </c>
      <c r="M224" s="10" t="s">
        <v>419</v>
      </c>
      <c r="N224" s="10" t="s">
        <v>327</v>
      </c>
      <c r="O224" s="10"/>
      <c r="P224" s="10"/>
      <c r="Q224" s="111"/>
    </row>
    <row r="225" spans="2:17" x14ac:dyDescent="0.3">
      <c r="B225" s="10" t="s">
        <v>499</v>
      </c>
      <c r="C225" s="10" t="s">
        <v>321</v>
      </c>
      <c r="D225" s="10">
        <v>2</v>
      </c>
      <c r="E225" s="10">
        <f t="shared" si="15"/>
        <v>1</v>
      </c>
      <c r="F225" s="142">
        <v>0</v>
      </c>
      <c r="G225" s="10">
        <v>9249</v>
      </c>
      <c r="H225" s="10">
        <v>1</v>
      </c>
      <c r="I225" s="10">
        <v>1</v>
      </c>
      <c r="J225" s="10" t="s">
        <v>418</v>
      </c>
      <c r="K225" s="10">
        <f t="shared" si="12"/>
        <v>856</v>
      </c>
      <c r="L225" s="10">
        <f t="shared" si="16"/>
        <v>855</v>
      </c>
      <c r="M225" s="10" t="s">
        <v>419</v>
      </c>
      <c r="N225" s="10" t="s">
        <v>327</v>
      </c>
      <c r="O225" s="10"/>
      <c r="P225" s="10"/>
      <c r="Q225" s="111"/>
    </row>
    <row r="226" spans="2:17" x14ac:dyDescent="0.3">
      <c r="B226" s="10" t="s">
        <v>500</v>
      </c>
      <c r="C226" s="10" t="s">
        <v>321</v>
      </c>
      <c r="D226" s="10">
        <v>2</v>
      </c>
      <c r="E226" s="10">
        <f t="shared" si="15"/>
        <v>1</v>
      </c>
      <c r="F226" s="142">
        <v>0</v>
      </c>
      <c r="G226" s="10">
        <v>9249</v>
      </c>
      <c r="H226" s="10">
        <v>1</v>
      </c>
      <c r="I226" s="10">
        <v>1</v>
      </c>
      <c r="J226" s="10" t="s">
        <v>418</v>
      </c>
      <c r="K226" s="10">
        <f t="shared" si="12"/>
        <v>857</v>
      </c>
      <c r="L226" s="10">
        <f t="shared" si="16"/>
        <v>856</v>
      </c>
      <c r="M226" s="10" t="s">
        <v>419</v>
      </c>
      <c r="N226" s="10" t="s">
        <v>327</v>
      </c>
      <c r="O226" s="10"/>
      <c r="P226" s="10"/>
      <c r="Q226" s="111"/>
    </row>
    <row r="227" spans="2:17" x14ac:dyDescent="0.3">
      <c r="B227" s="10" t="s">
        <v>501</v>
      </c>
      <c r="C227" s="10" t="s">
        <v>321</v>
      </c>
      <c r="D227" s="10">
        <v>2</v>
      </c>
      <c r="E227" s="10">
        <f t="shared" si="15"/>
        <v>1</v>
      </c>
      <c r="F227" s="142">
        <v>0</v>
      </c>
      <c r="G227" s="10">
        <v>9249</v>
      </c>
      <c r="H227" s="10">
        <v>1</v>
      </c>
      <c r="I227" s="10">
        <v>1</v>
      </c>
      <c r="J227" s="10" t="s">
        <v>418</v>
      </c>
      <c r="K227" s="10">
        <f t="shared" si="12"/>
        <v>858</v>
      </c>
      <c r="L227" s="10">
        <f t="shared" si="16"/>
        <v>857</v>
      </c>
      <c r="M227" s="10" t="s">
        <v>419</v>
      </c>
      <c r="N227" s="10" t="s">
        <v>327</v>
      </c>
      <c r="O227" s="10"/>
      <c r="P227" s="10"/>
      <c r="Q227" s="111"/>
    </row>
    <row r="228" spans="2:17" x14ac:dyDescent="0.3">
      <c r="B228" s="10" t="s">
        <v>502</v>
      </c>
      <c r="C228" s="10" t="s">
        <v>321</v>
      </c>
      <c r="D228" s="10">
        <v>2</v>
      </c>
      <c r="E228" s="10">
        <f t="shared" si="15"/>
        <v>1</v>
      </c>
      <c r="F228" s="142">
        <v>0</v>
      </c>
      <c r="G228" s="10">
        <v>9249</v>
      </c>
      <c r="H228" s="10">
        <v>1</v>
      </c>
      <c r="I228" s="10">
        <v>1</v>
      </c>
      <c r="J228" s="10" t="s">
        <v>418</v>
      </c>
      <c r="K228" s="10">
        <f t="shared" si="12"/>
        <v>859</v>
      </c>
      <c r="L228" s="10">
        <f t="shared" si="16"/>
        <v>858</v>
      </c>
      <c r="M228" s="10" t="s">
        <v>419</v>
      </c>
      <c r="N228" s="10" t="s">
        <v>327</v>
      </c>
      <c r="O228" s="10"/>
      <c r="P228" s="10"/>
      <c r="Q228" s="111"/>
    </row>
    <row r="229" spans="2:17" x14ac:dyDescent="0.3">
      <c r="B229" s="10" t="s">
        <v>503</v>
      </c>
      <c r="C229" s="10" t="s">
        <v>321</v>
      </c>
      <c r="D229" s="10">
        <v>2</v>
      </c>
      <c r="E229" s="10">
        <f t="shared" si="15"/>
        <v>1</v>
      </c>
      <c r="F229" s="142">
        <v>0</v>
      </c>
      <c r="G229" s="10">
        <v>9249</v>
      </c>
      <c r="H229" s="10">
        <v>1</v>
      </c>
      <c r="I229" s="10">
        <v>1</v>
      </c>
      <c r="J229" s="10" t="s">
        <v>418</v>
      </c>
      <c r="K229" s="10">
        <f t="shared" si="12"/>
        <v>860</v>
      </c>
      <c r="L229" s="10">
        <f t="shared" si="16"/>
        <v>859</v>
      </c>
      <c r="M229" s="10" t="s">
        <v>419</v>
      </c>
      <c r="N229" s="10" t="s">
        <v>327</v>
      </c>
      <c r="O229" s="10"/>
      <c r="P229" s="10"/>
      <c r="Q229" s="111"/>
    </row>
    <row r="230" spans="2:17" x14ac:dyDescent="0.3">
      <c r="B230" s="10" t="s">
        <v>504</v>
      </c>
      <c r="C230" s="10" t="s">
        <v>321</v>
      </c>
      <c r="D230" s="10">
        <v>2</v>
      </c>
      <c r="E230" s="10">
        <f t="shared" si="15"/>
        <v>1</v>
      </c>
      <c r="F230" s="142">
        <v>0</v>
      </c>
      <c r="G230" s="10">
        <v>9249</v>
      </c>
      <c r="H230" s="10">
        <v>1</v>
      </c>
      <c r="I230" s="10">
        <v>1</v>
      </c>
      <c r="J230" s="10" t="s">
        <v>418</v>
      </c>
      <c r="K230" s="10">
        <f t="shared" si="12"/>
        <v>861</v>
      </c>
      <c r="L230" s="10">
        <f t="shared" si="16"/>
        <v>860</v>
      </c>
      <c r="M230" s="10" t="s">
        <v>419</v>
      </c>
      <c r="N230" s="10" t="s">
        <v>327</v>
      </c>
      <c r="O230" s="10"/>
      <c r="P230" s="10"/>
      <c r="Q230" s="111"/>
    </row>
    <row r="231" spans="2:17" x14ac:dyDescent="0.3">
      <c r="B231" s="10" t="s">
        <v>505</v>
      </c>
      <c r="C231" s="10" t="s">
        <v>321</v>
      </c>
      <c r="D231" s="10">
        <v>2</v>
      </c>
      <c r="E231" s="10">
        <f t="shared" si="15"/>
        <v>1</v>
      </c>
      <c r="F231" s="142">
        <v>0</v>
      </c>
      <c r="G231" s="10">
        <v>9249</v>
      </c>
      <c r="H231" s="10">
        <v>1</v>
      </c>
      <c r="I231" s="10">
        <v>1</v>
      </c>
      <c r="J231" s="10" t="s">
        <v>418</v>
      </c>
      <c r="K231" s="10">
        <f t="shared" si="12"/>
        <v>862</v>
      </c>
      <c r="L231" s="10">
        <f t="shared" si="16"/>
        <v>861</v>
      </c>
      <c r="M231" s="10" t="s">
        <v>419</v>
      </c>
      <c r="N231" s="10" t="s">
        <v>327</v>
      </c>
      <c r="O231" s="10"/>
      <c r="P231" s="10"/>
      <c r="Q231" s="111"/>
    </row>
    <row r="232" spans="2:17" x14ac:dyDescent="0.3">
      <c r="B232" s="10" t="s">
        <v>506</v>
      </c>
      <c r="C232" s="10" t="s">
        <v>321</v>
      </c>
      <c r="D232" s="10">
        <v>2</v>
      </c>
      <c r="E232" s="10">
        <f t="shared" si="15"/>
        <v>1</v>
      </c>
      <c r="F232" s="142">
        <v>0</v>
      </c>
      <c r="G232" s="10">
        <v>9249</v>
      </c>
      <c r="H232" s="10">
        <v>1</v>
      </c>
      <c r="I232" s="10">
        <v>1</v>
      </c>
      <c r="J232" s="10" t="s">
        <v>418</v>
      </c>
      <c r="K232" s="10">
        <f t="shared" si="12"/>
        <v>863</v>
      </c>
      <c r="L232" s="10">
        <f t="shared" si="16"/>
        <v>862</v>
      </c>
      <c r="M232" s="10" t="s">
        <v>419</v>
      </c>
      <c r="N232" s="10" t="s">
        <v>327</v>
      </c>
      <c r="O232" s="10"/>
      <c r="P232" s="10"/>
      <c r="Q232" s="111"/>
    </row>
    <row r="233" spans="2:17" x14ac:dyDescent="0.3">
      <c r="B233" s="10" t="s">
        <v>507</v>
      </c>
      <c r="C233" s="10" t="s">
        <v>321</v>
      </c>
      <c r="D233" s="10">
        <v>2</v>
      </c>
      <c r="E233" s="10">
        <f t="shared" si="15"/>
        <v>1</v>
      </c>
      <c r="F233" s="142">
        <v>0</v>
      </c>
      <c r="G233" s="10">
        <v>9249</v>
      </c>
      <c r="H233" s="10">
        <v>1</v>
      </c>
      <c r="I233" s="10">
        <v>1</v>
      </c>
      <c r="J233" s="10" t="s">
        <v>418</v>
      </c>
      <c r="K233" s="10">
        <f t="shared" si="12"/>
        <v>864</v>
      </c>
      <c r="L233" s="10">
        <f t="shared" si="16"/>
        <v>863</v>
      </c>
      <c r="M233" s="10" t="s">
        <v>419</v>
      </c>
      <c r="N233" s="10" t="s">
        <v>327</v>
      </c>
      <c r="O233" s="10"/>
      <c r="P233" s="10"/>
      <c r="Q233" s="111"/>
    </row>
    <row r="234" spans="2:17" x14ac:dyDescent="0.3">
      <c r="B234" s="10" t="s">
        <v>508</v>
      </c>
      <c r="C234" s="10" t="s">
        <v>321</v>
      </c>
      <c r="D234" s="10">
        <v>2</v>
      </c>
      <c r="E234" s="10">
        <f t="shared" si="15"/>
        <v>1</v>
      </c>
      <c r="F234" s="142">
        <v>0</v>
      </c>
      <c r="G234" s="10">
        <v>9249</v>
      </c>
      <c r="H234" s="10">
        <v>1</v>
      </c>
      <c r="I234" s="10">
        <v>1</v>
      </c>
      <c r="J234" s="10" t="s">
        <v>418</v>
      </c>
      <c r="K234" s="10">
        <f t="shared" ref="K234:K269" si="17">L234+1</f>
        <v>865</v>
      </c>
      <c r="L234" s="10">
        <f t="shared" si="16"/>
        <v>864</v>
      </c>
      <c r="M234" s="10" t="s">
        <v>419</v>
      </c>
      <c r="N234" s="10" t="s">
        <v>327</v>
      </c>
      <c r="O234" s="10"/>
      <c r="P234" s="10"/>
      <c r="Q234" s="111"/>
    </row>
    <row r="235" spans="2:17" x14ac:dyDescent="0.3">
      <c r="B235" s="10" t="s">
        <v>509</v>
      </c>
      <c r="C235" s="10" t="s">
        <v>321</v>
      </c>
      <c r="D235" s="10">
        <v>2</v>
      </c>
      <c r="E235" s="10">
        <f t="shared" si="15"/>
        <v>1</v>
      </c>
      <c r="F235" s="142">
        <v>0</v>
      </c>
      <c r="G235" s="10">
        <v>9249</v>
      </c>
      <c r="H235" s="10">
        <v>1</v>
      </c>
      <c r="I235" s="10">
        <v>1</v>
      </c>
      <c r="J235" s="10" t="s">
        <v>418</v>
      </c>
      <c r="K235" s="10">
        <f t="shared" si="17"/>
        <v>866</v>
      </c>
      <c r="L235" s="10">
        <f t="shared" si="16"/>
        <v>865</v>
      </c>
      <c r="M235" s="10" t="s">
        <v>419</v>
      </c>
      <c r="N235" s="10" t="s">
        <v>327</v>
      </c>
      <c r="O235" s="10"/>
      <c r="P235" s="10"/>
      <c r="Q235" s="111"/>
    </row>
    <row r="236" spans="2:17" x14ac:dyDescent="0.3">
      <c r="B236" s="10" t="s">
        <v>510</v>
      </c>
      <c r="C236" s="10" t="s">
        <v>321</v>
      </c>
      <c r="D236" s="10">
        <v>2</v>
      </c>
      <c r="E236" s="10">
        <f t="shared" si="15"/>
        <v>1</v>
      </c>
      <c r="F236" s="142">
        <v>0</v>
      </c>
      <c r="G236" s="10">
        <v>9249</v>
      </c>
      <c r="H236" s="10">
        <v>1</v>
      </c>
      <c r="I236" s="10">
        <v>1</v>
      </c>
      <c r="J236" s="10" t="s">
        <v>418</v>
      </c>
      <c r="K236" s="10">
        <f t="shared" si="17"/>
        <v>867</v>
      </c>
      <c r="L236" s="10">
        <f t="shared" si="16"/>
        <v>866</v>
      </c>
      <c r="M236" s="10" t="s">
        <v>419</v>
      </c>
      <c r="N236" s="10" t="s">
        <v>327</v>
      </c>
      <c r="O236" s="10"/>
      <c r="P236" s="10"/>
      <c r="Q236" s="111"/>
    </row>
    <row r="237" spans="2:17" x14ac:dyDescent="0.3">
      <c r="B237" s="10" t="s">
        <v>511</v>
      </c>
      <c r="C237" s="10" t="s">
        <v>321</v>
      </c>
      <c r="D237" s="10">
        <v>2</v>
      </c>
      <c r="E237" s="10">
        <f t="shared" si="15"/>
        <v>1</v>
      </c>
      <c r="F237" s="142">
        <v>0</v>
      </c>
      <c r="G237" s="10">
        <v>9249</v>
      </c>
      <c r="H237" s="10">
        <v>1</v>
      </c>
      <c r="I237" s="10">
        <v>1</v>
      </c>
      <c r="J237" s="10" t="s">
        <v>418</v>
      </c>
      <c r="K237" s="10">
        <f t="shared" si="17"/>
        <v>868</v>
      </c>
      <c r="L237" s="10">
        <f t="shared" si="16"/>
        <v>867</v>
      </c>
      <c r="M237" s="10" t="s">
        <v>419</v>
      </c>
      <c r="N237" s="10" t="s">
        <v>327</v>
      </c>
      <c r="O237" s="10"/>
      <c r="P237" s="10"/>
      <c r="Q237" s="111"/>
    </row>
    <row r="238" spans="2:17" x14ac:dyDescent="0.3">
      <c r="B238" s="10" t="s">
        <v>512</v>
      </c>
      <c r="C238" s="10" t="s">
        <v>321</v>
      </c>
      <c r="D238" s="10">
        <v>2</v>
      </c>
      <c r="E238" s="10">
        <f t="shared" si="15"/>
        <v>1</v>
      </c>
      <c r="F238" s="142">
        <v>0</v>
      </c>
      <c r="G238" s="10">
        <v>9249</v>
      </c>
      <c r="H238" s="10">
        <v>1</v>
      </c>
      <c r="I238" s="10">
        <v>1</v>
      </c>
      <c r="J238" s="10" t="s">
        <v>418</v>
      </c>
      <c r="K238" s="10">
        <f t="shared" si="17"/>
        <v>869</v>
      </c>
      <c r="L238" s="10">
        <f t="shared" si="16"/>
        <v>868</v>
      </c>
      <c r="M238" s="10" t="s">
        <v>419</v>
      </c>
      <c r="N238" s="10" t="s">
        <v>327</v>
      </c>
      <c r="O238" s="10"/>
      <c r="P238" s="10"/>
      <c r="Q238" s="111"/>
    </row>
    <row r="239" spans="2:17" x14ac:dyDescent="0.3">
      <c r="B239" s="10" t="s">
        <v>513</v>
      </c>
      <c r="C239" s="10" t="s">
        <v>321</v>
      </c>
      <c r="D239" s="10">
        <v>2</v>
      </c>
      <c r="E239" s="10">
        <f t="shared" si="15"/>
        <v>1</v>
      </c>
      <c r="F239" s="142">
        <v>0</v>
      </c>
      <c r="G239" s="10">
        <v>9249</v>
      </c>
      <c r="H239" s="10">
        <v>1</v>
      </c>
      <c r="I239" s="10">
        <v>1</v>
      </c>
      <c r="J239" s="10" t="s">
        <v>418</v>
      </c>
      <c r="K239" s="10">
        <f t="shared" si="17"/>
        <v>870</v>
      </c>
      <c r="L239" s="10">
        <f t="shared" si="16"/>
        <v>869</v>
      </c>
      <c r="M239" s="10" t="s">
        <v>419</v>
      </c>
      <c r="N239" s="10" t="s">
        <v>327</v>
      </c>
      <c r="O239" s="10"/>
      <c r="P239" s="10"/>
      <c r="Q239" s="111"/>
    </row>
    <row r="240" spans="2:17" x14ac:dyDescent="0.3">
      <c r="B240" s="10" t="s">
        <v>514</v>
      </c>
      <c r="C240" s="10" t="s">
        <v>321</v>
      </c>
      <c r="D240" s="10">
        <v>2</v>
      </c>
      <c r="E240" s="10">
        <f t="shared" si="15"/>
        <v>1</v>
      </c>
      <c r="F240" s="142">
        <v>0</v>
      </c>
      <c r="G240" s="10">
        <v>9249</v>
      </c>
      <c r="H240" s="10">
        <v>1</v>
      </c>
      <c r="I240" s="10">
        <v>1</v>
      </c>
      <c r="J240" s="10" t="s">
        <v>418</v>
      </c>
      <c r="K240" s="10">
        <f t="shared" si="17"/>
        <v>871</v>
      </c>
      <c r="L240" s="10">
        <f t="shared" si="16"/>
        <v>870</v>
      </c>
      <c r="M240" s="10" t="s">
        <v>419</v>
      </c>
      <c r="N240" s="10" t="s">
        <v>327</v>
      </c>
      <c r="O240" s="10"/>
      <c r="P240" s="10"/>
      <c r="Q240" s="111"/>
    </row>
    <row r="241" spans="2:17" x14ac:dyDescent="0.3">
      <c r="B241" s="10" t="s">
        <v>515</v>
      </c>
      <c r="C241" s="10" t="s">
        <v>321</v>
      </c>
      <c r="D241" s="10">
        <v>2</v>
      </c>
      <c r="E241" s="10">
        <f t="shared" ref="E241:E269" si="18">D241/2</f>
        <v>1</v>
      </c>
      <c r="F241" s="142">
        <v>0</v>
      </c>
      <c r="G241" s="10">
        <v>9249</v>
      </c>
      <c r="H241" s="10">
        <v>1</v>
      </c>
      <c r="I241" s="10">
        <v>1</v>
      </c>
      <c r="J241" s="10" t="s">
        <v>418</v>
      </c>
      <c r="K241" s="10">
        <f t="shared" si="17"/>
        <v>872</v>
      </c>
      <c r="L241" s="10">
        <f t="shared" ref="L241:L269" si="19">L240+E240</f>
        <v>871</v>
      </c>
      <c r="M241" s="10" t="s">
        <v>419</v>
      </c>
      <c r="N241" s="10" t="s">
        <v>327</v>
      </c>
      <c r="O241" s="10"/>
      <c r="P241" s="10"/>
      <c r="Q241" s="111"/>
    </row>
    <row r="242" spans="2:17" x14ac:dyDescent="0.3">
      <c r="B242" s="10" t="s">
        <v>516</v>
      </c>
      <c r="C242" s="10" t="s">
        <v>321</v>
      </c>
      <c r="D242" s="10">
        <v>2</v>
      </c>
      <c r="E242" s="10">
        <f t="shared" si="18"/>
        <v>1</v>
      </c>
      <c r="F242" s="142">
        <v>0</v>
      </c>
      <c r="G242" s="10">
        <v>9249</v>
      </c>
      <c r="H242" s="10">
        <v>1</v>
      </c>
      <c r="I242" s="10">
        <v>1</v>
      </c>
      <c r="J242" s="10" t="s">
        <v>418</v>
      </c>
      <c r="K242" s="10">
        <f t="shared" si="17"/>
        <v>873</v>
      </c>
      <c r="L242" s="10">
        <f t="shared" si="19"/>
        <v>872</v>
      </c>
      <c r="M242" s="10" t="s">
        <v>419</v>
      </c>
      <c r="N242" s="10" t="s">
        <v>327</v>
      </c>
      <c r="O242" s="10"/>
      <c r="P242" s="10"/>
      <c r="Q242" s="111"/>
    </row>
    <row r="243" spans="2:17" x14ac:dyDescent="0.3">
      <c r="B243" s="10" t="s">
        <v>517</v>
      </c>
      <c r="C243" s="10" t="s">
        <v>321</v>
      </c>
      <c r="D243" s="10">
        <v>2</v>
      </c>
      <c r="E243" s="10">
        <f t="shared" si="18"/>
        <v>1</v>
      </c>
      <c r="F243" s="142">
        <v>0</v>
      </c>
      <c r="G243" s="10">
        <v>9249</v>
      </c>
      <c r="H243" s="10">
        <v>1</v>
      </c>
      <c r="I243" s="10">
        <v>1</v>
      </c>
      <c r="J243" s="10" t="s">
        <v>418</v>
      </c>
      <c r="K243" s="10">
        <f t="shared" si="17"/>
        <v>874</v>
      </c>
      <c r="L243" s="10">
        <f t="shared" si="19"/>
        <v>873</v>
      </c>
      <c r="M243" s="10" t="s">
        <v>419</v>
      </c>
      <c r="N243" s="10" t="s">
        <v>327</v>
      </c>
      <c r="O243" s="10"/>
      <c r="P243" s="10"/>
      <c r="Q243" s="111"/>
    </row>
    <row r="244" spans="2:17" x14ac:dyDescent="0.3">
      <c r="B244" s="10" t="s">
        <v>518</v>
      </c>
      <c r="C244" s="10" t="s">
        <v>321</v>
      </c>
      <c r="D244" s="10">
        <v>2</v>
      </c>
      <c r="E244" s="10">
        <f t="shared" si="18"/>
        <v>1</v>
      </c>
      <c r="F244" s="142">
        <v>0</v>
      </c>
      <c r="G244" s="10">
        <v>9249</v>
      </c>
      <c r="H244" s="10">
        <v>1</v>
      </c>
      <c r="I244" s="10">
        <v>1</v>
      </c>
      <c r="J244" s="10" t="s">
        <v>418</v>
      </c>
      <c r="K244" s="10">
        <f t="shared" si="17"/>
        <v>875</v>
      </c>
      <c r="L244" s="10">
        <f t="shared" si="19"/>
        <v>874</v>
      </c>
      <c r="M244" s="10" t="s">
        <v>419</v>
      </c>
      <c r="N244" s="10" t="s">
        <v>327</v>
      </c>
      <c r="O244" s="10"/>
      <c r="P244" s="10"/>
      <c r="Q244" s="111"/>
    </row>
    <row r="245" spans="2:17" x14ac:dyDescent="0.3">
      <c r="B245" s="10" t="s">
        <v>519</v>
      </c>
      <c r="C245" s="10" t="s">
        <v>321</v>
      </c>
      <c r="D245" s="10">
        <v>2</v>
      </c>
      <c r="E245" s="10">
        <f t="shared" si="18"/>
        <v>1</v>
      </c>
      <c r="F245" s="142">
        <v>0</v>
      </c>
      <c r="G245" s="10">
        <v>9249</v>
      </c>
      <c r="H245" s="10">
        <v>1</v>
      </c>
      <c r="I245" s="10">
        <v>1</v>
      </c>
      <c r="J245" s="10" t="s">
        <v>418</v>
      </c>
      <c r="K245" s="10">
        <f t="shared" si="17"/>
        <v>876</v>
      </c>
      <c r="L245" s="10">
        <f t="shared" si="19"/>
        <v>875</v>
      </c>
      <c r="M245" s="10" t="s">
        <v>419</v>
      </c>
      <c r="N245" s="10" t="s">
        <v>327</v>
      </c>
      <c r="O245" s="10"/>
      <c r="P245" s="10"/>
      <c r="Q245" s="111"/>
    </row>
    <row r="246" spans="2:17" x14ac:dyDescent="0.3">
      <c r="B246" s="10" t="s">
        <v>520</v>
      </c>
      <c r="C246" s="10" t="s">
        <v>321</v>
      </c>
      <c r="D246" s="10">
        <v>2</v>
      </c>
      <c r="E246" s="10">
        <f t="shared" si="18"/>
        <v>1</v>
      </c>
      <c r="F246" s="142">
        <v>0</v>
      </c>
      <c r="G246" s="10">
        <v>9249</v>
      </c>
      <c r="H246" s="10">
        <v>1</v>
      </c>
      <c r="I246" s="10">
        <v>1</v>
      </c>
      <c r="J246" s="10" t="s">
        <v>418</v>
      </c>
      <c r="K246" s="10">
        <f t="shared" si="17"/>
        <v>877</v>
      </c>
      <c r="L246" s="10">
        <f t="shared" si="19"/>
        <v>876</v>
      </c>
      <c r="M246" s="10" t="s">
        <v>419</v>
      </c>
      <c r="N246" s="10" t="s">
        <v>327</v>
      </c>
      <c r="O246" s="10"/>
      <c r="P246" s="10"/>
      <c r="Q246" s="111"/>
    </row>
    <row r="247" spans="2:17" x14ac:dyDescent="0.3">
      <c r="B247" s="10" t="s">
        <v>521</v>
      </c>
      <c r="C247" s="10" t="s">
        <v>321</v>
      </c>
      <c r="D247" s="10">
        <v>2</v>
      </c>
      <c r="E247" s="10">
        <f t="shared" si="18"/>
        <v>1</v>
      </c>
      <c r="F247" s="142">
        <v>0</v>
      </c>
      <c r="G247" s="10">
        <v>9249</v>
      </c>
      <c r="H247" s="10">
        <v>1</v>
      </c>
      <c r="I247" s="10">
        <v>1</v>
      </c>
      <c r="J247" s="10" t="s">
        <v>418</v>
      </c>
      <c r="K247" s="10">
        <f t="shared" si="17"/>
        <v>878</v>
      </c>
      <c r="L247" s="10">
        <f t="shared" si="19"/>
        <v>877</v>
      </c>
      <c r="M247" s="10" t="s">
        <v>419</v>
      </c>
      <c r="N247" s="10" t="s">
        <v>327</v>
      </c>
      <c r="O247" s="10"/>
      <c r="P247" s="10"/>
      <c r="Q247" s="111"/>
    </row>
    <row r="248" spans="2:17" x14ac:dyDescent="0.3">
      <c r="B248" s="10" t="s">
        <v>522</v>
      </c>
      <c r="C248" s="10" t="s">
        <v>321</v>
      </c>
      <c r="D248" s="10">
        <v>2</v>
      </c>
      <c r="E248" s="10">
        <f t="shared" si="18"/>
        <v>1</v>
      </c>
      <c r="F248" s="142">
        <v>0</v>
      </c>
      <c r="G248" s="10">
        <v>9249</v>
      </c>
      <c r="H248" s="10">
        <v>1</v>
      </c>
      <c r="I248" s="10">
        <v>1</v>
      </c>
      <c r="J248" s="10" t="s">
        <v>418</v>
      </c>
      <c r="K248" s="10">
        <f t="shared" si="17"/>
        <v>879</v>
      </c>
      <c r="L248" s="10">
        <f t="shared" si="19"/>
        <v>878</v>
      </c>
      <c r="M248" s="10" t="s">
        <v>419</v>
      </c>
      <c r="N248" s="10" t="s">
        <v>327</v>
      </c>
      <c r="O248" s="10"/>
      <c r="P248" s="10"/>
      <c r="Q248" s="111"/>
    </row>
    <row r="249" spans="2:17" x14ac:dyDescent="0.3">
      <c r="B249" s="10" t="s">
        <v>523</v>
      </c>
      <c r="C249" s="10" t="s">
        <v>321</v>
      </c>
      <c r="D249" s="10">
        <v>2</v>
      </c>
      <c r="E249" s="10">
        <f t="shared" si="18"/>
        <v>1</v>
      </c>
      <c r="F249" s="142">
        <v>0</v>
      </c>
      <c r="G249" s="10">
        <v>9249</v>
      </c>
      <c r="H249" s="10">
        <v>1</v>
      </c>
      <c r="I249" s="10">
        <v>1</v>
      </c>
      <c r="J249" s="10" t="s">
        <v>418</v>
      </c>
      <c r="K249" s="10">
        <f t="shared" si="17"/>
        <v>880</v>
      </c>
      <c r="L249" s="10">
        <f t="shared" si="19"/>
        <v>879</v>
      </c>
      <c r="M249" s="10" t="s">
        <v>419</v>
      </c>
      <c r="N249" s="10" t="s">
        <v>327</v>
      </c>
      <c r="O249" s="10"/>
      <c r="P249" s="10"/>
      <c r="Q249" s="111"/>
    </row>
    <row r="250" spans="2:17" x14ac:dyDescent="0.3">
      <c r="B250" s="10" t="s">
        <v>524</v>
      </c>
      <c r="C250" s="10" t="s">
        <v>321</v>
      </c>
      <c r="D250" s="10">
        <v>2</v>
      </c>
      <c r="E250" s="10">
        <f t="shared" si="18"/>
        <v>1</v>
      </c>
      <c r="F250" s="142">
        <v>0</v>
      </c>
      <c r="G250" s="10">
        <v>9249</v>
      </c>
      <c r="H250" s="10">
        <v>1</v>
      </c>
      <c r="I250" s="10">
        <v>1</v>
      </c>
      <c r="J250" s="10" t="s">
        <v>418</v>
      </c>
      <c r="K250" s="10">
        <f t="shared" si="17"/>
        <v>881</v>
      </c>
      <c r="L250" s="10">
        <f t="shared" si="19"/>
        <v>880</v>
      </c>
      <c r="M250" s="10" t="s">
        <v>419</v>
      </c>
      <c r="N250" s="10" t="s">
        <v>327</v>
      </c>
      <c r="O250" s="10"/>
      <c r="P250" s="10"/>
      <c r="Q250" s="111"/>
    </row>
    <row r="251" spans="2:17" x14ac:dyDescent="0.3">
      <c r="B251" s="10" t="s">
        <v>525</v>
      </c>
      <c r="C251" s="10" t="s">
        <v>321</v>
      </c>
      <c r="D251" s="10">
        <v>2</v>
      </c>
      <c r="E251" s="10">
        <f t="shared" si="18"/>
        <v>1</v>
      </c>
      <c r="F251" s="142">
        <v>0</v>
      </c>
      <c r="G251" s="10">
        <v>9249</v>
      </c>
      <c r="H251" s="10">
        <v>1</v>
      </c>
      <c r="I251" s="10">
        <v>1</v>
      </c>
      <c r="J251" s="10" t="s">
        <v>418</v>
      </c>
      <c r="K251" s="10">
        <f t="shared" si="17"/>
        <v>882</v>
      </c>
      <c r="L251" s="10">
        <f t="shared" si="19"/>
        <v>881</v>
      </c>
      <c r="M251" s="10" t="s">
        <v>419</v>
      </c>
      <c r="N251" s="10" t="s">
        <v>327</v>
      </c>
      <c r="O251" s="10"/>
      <c r="P251" s="10"/>
      <c r="Q251" s="111"/>
    </row>
    <row r="252" spans="2:17" x14ac:dyDescent="0.3">
      <c r="B252" s="10" t="s">
        <v>526</v>
      </c>
      <c r="C252" s="10" t="s">
        <v>321</v>
      </c>
      <c r="D252" s="10">
        <v>2</v>
      </c>
      <c r="E252" s="10">
        <f t="shared" si="18"/>
        <v>1</v>
      </c>
      <c r="F252" s="142">
        <v>0</v>
      </c>
      <c r="G252" s="10">
        <v>9249</v>
      </c>
      <c r="H252" s="10">
        <v>1</v>
      </c>
      <c r="I252" s="10">
        <v>1</v>
      </c>
      <c r="J252" s="10" t="s">
        <v>418</v>
      </c>
      <c r="K252" s="10">
        <f t="shared" si="17"/>
        <v>883</v>
      </c>
      <c r="L252" s="10">
        <f t="shared" si="19"/>
        <v>882</v>
      </c>
      <c r="M252" s="10" t="s">
        <v>419</v>
      </c>
      <c r="N252" s="10" t="s">
        <v>327</v>
      </c>
      <c r="O252" s="10"/>
      <c r="P252" s="10"/>
      <c r="Q252" s="111"/>
    </row>
    <row r="253" spans="2:17" x14ac:dyDescent="0.3">
      <c r="B253" s="10" t="s">
        <v>527</v>
      </c>
      <c r="C253" s="10" t="s">
        <v>321</v>
      </c>
      <c r="D253" s="10">
        <v>2</v>
      </c>
      <c r="E253" s="10">
        <f t="shared" si="18"/>
        <v>1</v>
      </c>
      <c r="F253" s="142">
        <v>0</v>
      </c>
      <c r="G253" s="10">
        <v>9249</v>
      </c>
      <c r="H253" s="10">
        <v>1</v>
      </c>
      <c r="I253" s="10">
        <v>1</v>
      </c>
      <c r="J253" s="10" t="s">
        <v>418</v>
      </c>
      <c r="K253" s="10">
        <f t="shared" si="17"/>
        <v>884</v>
      </c>
      <c r="L253" s="10">
        <f t="shared" si="19"/>
        <v>883</v>
      </c>
      <c r="M253" s="10" t="s">
        <v>419</v>
      </c>
      <c r="N253" s="10" t="s">
        <v>327</v>
      </c>
      <c r="O253" s="10"/>
      <c r="P253" s="10"/>
      <c r="Q253" s="111"/>
    </row>
    <row r="254" spans="2:17" x14ac:dyDescent="0.3">
      <c r="B254" s="10" t="s">
        <v>528</v>
      </c>
      <c r="C254" s="10" t="s">
        <v>321</v>
      </c>
      <c r="D254" s="10">
        <v>2</v>
      </c>
      <c r="E254" s="10">
        <f t="shared" si="18"/>
        <v>1</v>
      </c>
      <c r="F254" s="142">
        <v>0</v>
      </c>
      <c r="G254" s="10">
        <v>9249</v>
      </c>
      <c r="H254" s="10">
        <v>1</v>
      </c>
      <c r="I254" s="10">
        <v>1</v>
      </c>
      <c r="J254" s="10" t="s">
        <v>418</v>
      </c>
      <c r="K254" s="10">
        <f t="shared" si="17"/>
        <v>885</v>
      </c>
      <c r="L254" s="10">
        <f t="shared" si="19"/>
        <v>884</v>
      </c>
      <c r="M254" s="10" t="s">
        <v>419</v>
      </c>
      <c r="N254" s="10" t="s">
        <v>327</v>
      </c>
      <c r="O254" s="10"/>
      <c r="P254" s="10"/>
      <c r="Q254" s="111"/>
    </row>
    <row r="255" spans="2:17" x14ac:dyDescent="0.3">
      <c r="B255" s="10" t="s">
        <v>529</v>
      </c>
      <c r="C255" s="10" t="s">
        <v>321</v>
      </c>
      <c r="D255" s="10">
        <v>2</v>
      </c>
      <c r="E255" s="10">
        <f t="shared" si="18"/>
        <v>1</v>
      </c>
      <c r="F255" s="142">
        <v>0</v>
      </c>
      <c r="G255" s="10">
        <v>9249</v>
      </c>
      <c r="H255" s="10">
        <v>1</v>
      </c>
      <c r="I255" s="10">
        <v>1</v>
      </c>
      <c r="J255" s="10" t="s">
        <v>418</v>
      </c>
      <c r="K255" s="10">
        <f t="shared" si="17"/>
        <v>886</v>
      </c>
      <c r="L255" s="10">
        <f t="shared" si="19"/>
        <v>885</v>
      </c>
      <c r="M255" s="10" t="s">
        <v>419</v>
      </c>
      <c r="N255" s="10" t="s">
        <v>327</v>
      </c>
      <c r="O255" s="10"/>
      <c r="P255" s="10"/>
      <c r="Q255" s="111"/>
    </row>
    <row r="256" spans="2:17" x14ac:dyDescent="0.3">
      <c r="B256" s="10" t="s">
        <v>530</v>
      </c>
      <c r="C256" s="10" t="s">
        <v>321</v>
      </c>
      <c r="D256" s="10">
        <v>2</v>
      </c>
      <c r="E256" s="10">
        <f t="shared" si="18"/>
        <v>1</v>
      </c>
      <c r="F256" s="142">
        <v>0</v>
      </c>
      <c r="G256" s="10">
        <v>9249</v>
      </c>
      <c r="H256" s="10">
        <v>1</v>
      </c>
      <c r="I256" s="10">
        <v>1</v>
      </c>
      <c r="J256" s="10" t="s">
        <v>418</v>
      </c>
      <c r="K256" s="10">
        <f t="shared" si="17"/>
        <v>887</v>
      </c>
      <c r="L256" s="10">
        <f t="shared" si="19"/>
        <v>886</v>
      </c>
      <c r="M256" s="10" t="s">
        <v>419</v>
      </c>
      <c r="N256" s="10" t="s">
        <v>327</v>
      </c>
      <c r="O256" s="10"/>
      <c r="P256" s="10"/>
      <c r="Q256" s="111"/>
    </row>
    <row r="257" spans="2:27" x14ac:dyDescent="0.3">
      <c r="B257" s="10" t="s">
        <v>531</v>
      </c>
      <c r="C257" s="10" t="s">
        <v>321</v>
      </c>
      <c r="D257" s="10">
        <v>2</v>
      </c>
      <c r="E257" s="10">
        <f t="shared" si="18"/>
        <v>1</v>
      </c>
      <c r="F257" s="142">
        <v>0</v>
      </c>
      <c r="G257" s="10">
        <v>9249</v>
      </c>
      <c r="H257" s="10">
        <v>1</v>
      </c>
      <c r="I257" s="10">
        <v>1</v>
      </c>
      <c r="J257" s="10" t="s">
        <v>418</v>
      </c>
      <c r="K257" s="10">
        <f t="shared" si="17"/>
        <v>888</v>
      </c>
      <c r="L257" s="10">
        <f t="shared" si="19"/>
        <v>887</v>
      </c>
      <c r="M257" s="10" t="s">
        <v>419</v>
      </c>
      <c r="N257" s="10" t="s">
        <v>327</v>
      </c>
      <c r="O257" s="10"/>
      <c r="P257" s="10"/>
      <c r="Q257" s="111"/>
    </row>
    <row r="258" spans="2:27" x14ac:dyDescent="0.3">
      <c r="B258" s="10" t="s">
        <v>532</v>
      </c>
      <c r="C258" s="10" t="s">
        <v>321</v>
      </c>
      <c r="D258" s="10">
        <v>2</v>
      </c>
      <c r="E258" s="10">
        <f t="shared" si="18"/>
        <v>1</v>
      </c>
      <c r="F258" s="142">
        <v>0</v>
      </c>
      <c r="G258" s="10">
        <v>9249</v>
      </c>
      <c r="H258" s="10">
        <v>1</v>
      </c>
      <c r="I258" s="10">
        <v>1</v>
      </c>
      <c r="J258" s="10" t="s">
        <v>418</v>
      </c>
      <c r="K258" s="10">
        <f t="shared" si="17"/>
        <v>889</v>
      </c>
      <c r="L258" s="10">
        <f t="shared" si="19"/>
        <v>888</v>
      </c>
      <c r="M258" s="10" t="s">
        <v>419</v>
      </c>
      <c r="N258" s="10" t="s">
        <v>327</v>
      </c>
      <c r="O258" s="10"/>
      <c r="P258" s="10"/>
      <c r="Q258" s="111"/>
    </row>
    <row r="259" spans="2:27" x14ac:dyDescent="0.3">
      <c r="B259" s="10" t="s">
        <v>533</v>
      </c>
      <c r="C259" s="10" t="s">
        <v>321</v>
      </c>
      <c r="D259" s="10">
        <v>2</v>
      </c>
      <c r="E259" s="10">
        <f t="shared" si="18"/>
        <v>1</v>
      </c>
      <c r="F259" s="142">
        <v>0</v>
      </c>
      <c r="G259" s="10">
        <v>9249</v>
      </c>
      <c r="H259" s="10">
        <v>1</v>
      </c>
      <c r="I259" s="10">
        <v>1</v>
      </c>
      <c r="J259" s="10" t="s">
        <v>418</v>
      </c>
      <c r="K259" s="10">
        <f t="shared" si="17"/>
        <v>890</v>
      </c>
      <c r="L259" s="10">
        <f t="shared" si="19"/>
        <v>889</v>
      </c>
      <c r="M259" s="10" t="s">
        <v>419</v>
      </c>
      <c r="N259" s="10" t="s">
        <v>327</v>
      </c>
      <c r="O259" s="10"/>
      <c r="P259" s="10"/>
      <c r="Q259" s="111"/>
    </row>
    <row r="260" spans="2:27" x14ac:dyDescent="0.3">
      <c r="B260" s="10" t="s">
        <v>534</v>
      </c>
      <c r="C260" s="10" t="s">
        <v>321</v>
      </c>
      <c r="D260" s="10">
        <v>2</v>
      </c>
      <c r="E260" s="10">
        <f t="shared" si="18"/>
        <v>1</v>
      </c>
      <c r="F260" s="142">
        <v>0</v>
      </c>
      <c r="G260" s="10">
        <v>9249</v>
      </c>
      <c r="H260" s="10">
        <v>1</v>
      </c>
      <c r="I260" s="10">
        <v>1</v>
      </c>
      <c r="J260" s="10" t="s">
        <v>418</v>
      </c>
      <c r="K260" s="10">
        <f t="shared" si="17"/>
        <v>891</v>
      </c>
      <c r="L260" s="10">
        <f t="shared" si="19"/>
        <v>890</v>
      </c>
      <c r="M260" s="10" t="s">
        <v>419</v>
      </c>
      <c r="N260" s="10" t="s">
        <v>327</v>
      </c>
      <c r="O260" s="10"/>
      <c r="P260" s="10"/>
      <c r="Q260" s="111"/>
    </row>
    <row r="261" spans="2:27" x14ac:dyDescent="0.3">
      <c r="B261" s="10" t="s">
        <v>535</v>
      </c>
      <c r="C261" s="10" t="s">
        <v>321</v>
      </c>
      <c r="D261" s="10">
        <v>2</v>
      </c>
      <c r="E261" s="10">
        <f t="shared" si="18"/>
        <v>1</v>
      </c>
      <c r="F261" s="142">
        <v>0</v>
      </c>
      <c r="G261" s="10">
        <v>9249</v>
      </c>
      <c r="H261" s="10">
        <v>1</v>
      </c>
      <c r="I261" s="10">
        <v>1</v>
      </c>
      <c r="J261" s="10" t="s">
        <v>418</v>
      </c>
      <c r="K261" s="10">
        <f t="shared" si="17"/>
        <v>892</v>
      </c>
      <c r="L261" s="10">
        <f t="shared" si="19"/>
        <v>891</v>
      </c>
      <c r="M261" s="10" t="s">
        <v>419</v>
      </c>
      <c r="N261" s="10" t="s">
        <v>327</v>
      </c>
      <c r="O261" s="10"/>
      <c r="P261" s="10"/>
      <c r="Q261" s="111"/>
    </row>
    <row r="262" spans="2:27" x14ac:dyDescent="0.3">
      <c r="B262" s="10" t="s">
        <v>536</v>
      </c>
      <c r="C262" s="10" t="s">
        <v>321</v>
      </c>
      <c r="D262" s="10">
        <v>2</v>
      </c>
      <c r="E262" s="10">
        <f t="shared" si="18"/>
        <v>1</v>
      </c>
      <c r="F262" s="142">
        <v>0</v>
      </c>
      <c r="G262" s="10">
        <v>9249</v>
      </c>
      <c r="H262" s="10">
        <v>1</v>
      </c>
      <c r="I262" s="10">
        <v>1</v>
      </c>
      <c r="J262" s="10" t="s">
        <v>418</v>
      </c>
      <c r="K262" s="10">
        <f t="shared" si="17"/>
        <v>893</v>
      </c>
      <c r="L262" s="10">
        <f t="shared" si="19"/>
        <v>892</v>
      </c>
      <c r="M262" s="10" t="s">
        <v>419</v>
      </c>
      <c r="N262" s="10" t="s">
        <v>327</v>
      </c>
      <c r="O262" s="10"/>
      <c r="P262" s="10"/>
      <c r="Q262" s="111"/>
    </row>
    <row r="263" spans="2:27" x14ac:dyDescent="0.3">
      <c r="B263" s="10" t="s">
        <v>537</v>
      </c>
      <c r="C263" s="10" t="s">
        <v>321</v>
      </c>
      <c r="D263" s="10">
        <v>2</v>
      </c>
      <c r="E263" s="10">
        <f t="shared" si="18"/>
        <v>1</v>
      </c>
      <c r="F263" s="142">
        <v>0</v>
      </c>
      <c r="G263" s="10">
        <v>9249</v>
      </c>
      <c r="H263" s="10">
        <v>1</v>
      </c>
      <c r="I263" s="10">
        <v>1</v>
      </c>
      <c r="J263" s="10" t="s">
        <v>418</v>
      </c>
      <c r="K263" s="10">
        <f t="shared" si="17"/>
        <v>894</v>
      </c>
      <c r="L263" s="10">
        <f t="shared" si="19"/>
        <v>893</v>
      </c>
      <c r="M263" s="10" t="s">
        <v>419</v>
      </c>
      <c r="N263" s="10" t="s">
        <v>327</v>
      </c>
      <c r="O263" s="10"/>
      <c r="P263" s="10"/>
      <c r="Q263" s="111"/>
    </row>
    <row r="264" spans="2:27" x14ac:dyDescent="0.3">
      <c r="B264" s="10" t="s">
        <v>538</v>
      </c>
      <c r="C264" s="10" t="s">
        <v>321</v>
      </c>
      <c r="D264" s="10">
        <v>2</v>
      </c>
      <c r="E264" s="10">
        <f t="shared" si="18"/>
        <v>1</v>
      </c>
      <c r="F264" s="142">
        <v>0</v>
      </c>
      <c r="G264" s="10">
        <v>9249</v>
      </c>
      <c r="H264" s="10">
        <v>1</v>
      </c>
      <c r="I264" s="10">
        <v>1</v>
      </c>
      <c r="J264" s="10" t="s">
        <v>418</v>
      </c>
      <c r="K264" s="10">
        <f t="shared" si="17"/>
        <v>895</v>
      </c>
      <c r="L264" s="10">
        <f t="shared" si="19"/>
        <v>894</v>
      </c>
      <c r="M264" s="10" t="s">
        <v>419</v>
      </c>
      <c r="N264" s="10" t="s">
        <v>327</v>
      </c>
      <c r="O264" s="10"/>
      <c r="P264" s="10"/>
      <c r="Q264" s="111"/>
    </row>
    <row r="265" spans="2:27" x14ac:dyDescent="0.3">
      <c r="B265" s="10" t="s">
        <v>539</v>
      </c>
      <c r="C265" s="10" t="s">
        <v>321</v>
      </c>
      <c r="D265" s="10">
        <v>2</v>
      </c>
      <c r="E265" s="10">
        <f t="shared" si="18"/>
        <v>1</v>
      </c>
      <c r="F265" s="142">
        <v>0</v>
      </c>
      <c r="G265" s="10">
        <v>9249</v>
      </c>
      <c r="H265" s="10">
        <v>1</v>
      </c>
      <c r="I265" s="10">
        <v>1</v>
      </c>
      <c r="J265" s="10" t="s">
        <v>418</v>
      </c>
      <c r="K265" s="10">
        <f t="shared" si="17"/>
        <v>896</v>
      </c>
      <c r="L265" s="10">
        <f t="shared" si="19"/>
        <v>895</v>
      </c>
      <c r="M265" s="10" t="s">
        <v>419</v>
      </c>
      <c r="N265" s="10" t="s">
        <v>327</v>
      </c>
      <c r="O265" s="10"/>
      <c r="P265" s="10"/>
      <c r="Q265" s="111"/>
    </row>
    <row r="266" spans="2:27" x14ac:dyDescent="0.3">
      <c r="B266" s="10" t="s">
        <v>540</v>
      </c>
      <c r="C266" s="10" t="s">
        <v>321</v>
      </c>
      <c r="D266" s="10">
        <v>2</v>
      </c>
      <c r="E266" s="10">
        <f t="shared" si="18"/>
        <v>1</v>
      </c>
      <c r="F266" s="142">
        <v>0</v>
      </c>
      <c r="G266" s="10">
        <v>9249</v>
      </c>
      <c r="H266" s="10">
        <v>1</v>
      </c>
      <c r="I266" s="10">
        <v>1</v>
      </c>
      <c r="J266" s="10" t="s">
        <v>418</v>
      </c>
      <c r="K266" s="10">
        <f t="shared" si="17"/>
        <v>897</v>
      </c>
      <c r="L266" s="10">
        <f t="shared" si="19"/>
        <v>896</v>
      </c>
      <c r="M266" s="10" t="s">
        <v>419</v>
      </c>
      <c r="N266" s="10" t="s">
        <v>327</v>
      </c>
      <c r="O266" s="10"/>
      <c r="P266" s="10"/>
      <c r="Q266" s="111"/>
    </row>
    <row r="267" spans="2:27" x14ac:dyDescent="0.3">
      <c r="B267" s="10" t="s">
        <v>541</v>
      </c>
      <c r="C267" s="10" t="s">
        <v>321</v>
      </c>
      <c r="D267" s="10">
        <v>2</v>
      </c>
      <c r="E267" s="10">
        <f t="shared" si="18"/>
        <v>1</v>
      </c>
      <c r="F267" s="142">
        <v>0</v>
      </c>
      <c r="G267" s="10">
        <v>9249</v>
      </c>
      <c r="H267" s="10">
        <v>1</v>
      </c>
      <c r="I267" s="10">
        <v>1</v>
      </c>
      <c r="J267" s="10" t="s">
        <v>418</v>
      </c>
      <c r="K267" s="10">
        <f t="shared" si="17"/>
        <v>898</v>
      </c>
      <c r="L267" s="10">
        <f t="shared" si="19"/>
        <v>897</v>
      </c>
      <c r="M267" s="10" t="s">
        <v>419</v>
      </c>
      <c r="N267" s="10" t="s">
        <v>327</v>
      </c>
      <c r="O267" s="10"/>
      <c r="P267" s="10"/>
      <c r="Q267" s="111"/>
    </row>
    <row r="268" spans="2:27" x14ac:dyDescent="0.3">
      <c r="B268" s="10" t="s">
        <v>542</v>
      </c>
      <c r="C268" s="10" t="s">
        <v>321</v>
      </c>
      <c r="D268" s="10">
        <v>2</v>
      </c>
      <c r="E268" s="10">
        <f t="shared" si="18"/>
        <v>1</v>
      </c>
      <c r="F268" s="142">
        <v>0</v>
      </c>
      <c r="G268" s="10">
        <v>9249</v>
      </c>
      <c r="H268" s="10">
        <v>1</v>
      </c>
      <c r="I268" s="10">
        <v>1</v>
      </c>
      <c r="J268" s="10" t="s">
        <v>418</v>
      </c>
      <c r="K268" s="10">
        <f t="shared" si="17"/>
        <v>899</v>
      </c>
      <c r="L268" s="10">
        <f t="shared" si="19"/>
        <v>898</v>
      </c>
      <c r="M268" s="10" t="s">
        <v>419</v>
      </c>
      <c r="N268" s="10" t="s">
        <v>327</v>
      </c>
      <c r="O268" s="10"/>
      <c r="P268" s="10"/>
      <c r="Q268" s="111"/>
    </row>
    <row r="269" spans="2:27" ht="16.2" thickBot="1" x14ac:dyDescent="0.35">
      <c r="B269" s="10" t="s">
        <v>543</v>
      </c>
      <c r="C269" s="10" t="s">
        <v>321</v>
      </c>
      <c r="D269" s="10">
        <v>2</v>
      </c>
      <c r="E269" s="10">
        <f t="shared" si="18"/>
        <v>1</v>
      </c>
      <c r="F269" s="142">
        <v>0</v>
      </c>
      <c r="G269" s="10">
        <v>9249</v>
      </c>
      <c r="H269" s="10">
        <v>1</v>
      </c>
      <c r="I269" s="10">
        <v>1</v>
      </c>
      <c r="J269" s="10" t="s">
        <v>418</v>
      </c>
      <c r="K269" s="10">
        <f t="shared" si="17"/>
        <v>900</v>
      </c>
      <c r="L269" s="10">
        <f t="shared" si="19"/>
        <v>899</v>
      </c>
      <c r="M269" s="10" t="s">
        <v>419</v>
      </c>
      <c r="N269" s="10" t="s">
        <v>327</v>
      </c>
      <c r="O269" s="10"/>
      <c r="P269" s="10"/>
      <c r="Q269" s="111"/>
    </row>
    <row r="270" spans="2:27" s="26" customFormat="1" ht="16.2" x14ac:dyDescent="0.3">
      <c r="B270" s="456" t="s">
        <v>544</v>
      </c>
      <c r="C270" s="457"/>
      <c r="D270" s="457"/>
      <c r="E270" s="457"/>
      <c r="F270" s="457"/>
      <c r="G270" s="457"/>
      <c r="H270" s="457"/>
      <c r="I270" s="457"/>
      <c r="J270" s="457"/>
      <c r="K270" s="457"/>
      <c r="L270" s="457"/>
      <c r="M270" s="457"/>
      <c r="N270" s="457"/>
      <c r="O270" s="457"/>
      <c r="P270" s="457"/>
      <c r="Q270" s="457"/>
      <c r="R270" s="29"/>
      <c r="S270" s="56"/>
      <c r="T270" s="56"/>
      <c r="U270" s="16"/>
      <c r="V270" s="16"/>
      <c r="W270" s="16"/>
      <c r="X270" s="16"/>
      <c r="Y270" s="56"/>
      <c r="Z270" s="56"/>
      <c r="AA270" s="56"/>
    </row>
    <row r="271" spans="2:27" x14ac:dyDescent="0.3">
      <c r="B271" s="10" t="s">
        <v>444</v>
      </c>
      <c r="C271" s="10" t="s">
        <v>321</v>
      </c>
      <c r="D271" s="10">
        <v>2</v>
      </c>
      <c r="E271" s="10">
        <f>D271/2</f>
        <v>1</v>
      </c>
      <c r="F271" s="10">
        <v>0</v>
      </c>
      <c r="G271" s="10">
        <v>65535</v>
      </c>
      <c r="H271" s="10">
        <v>1</v>
      </c>
      <c r="I271" s="10">
        <v>1</v>
      </c>
      <c r="J271" s="10" t="s">
        <v>418</v>
      </c>
      <c r="K271" s="10">
        <f t="shared" ref="K271:K334" si="20">L271+1</f>
        <v>901</v>
      </c>
      <c r="L271" s="10">
        <f>L269+E269</f>
        <v>900</v>
      </c>
      <c r="M271" s="10" t="s">
        <v>419</v>
      </c>
      <c r="N271" s="10" t="s">
        <v>324</v>
      </c>
      <c r="O271" s="10"/>
      <c r="P271" s="10"/>
      <c r="Q271" s="111"/>
      <c r="T271" s="8"/>
      <c r="U271" s="8"/>
      <c r="V271" s="8"/>
      <c r="W271" s="8"/>
      <c r="X271" s="8"/>
      <c r="Y271" s="8"/>
      <c r="Z271" s="8"/>
    </row>
    <row r="272" spans="2:27" x14ac:dyDescent="0.3">
      <c r="B272" s="10" t="s">
        <v>445</v>
      </c>
      <c r="C272" s="10" t="s">
        <v>321</v>
      </c>
      <c r="D272" s="10">
        <v>2</v>
      </c>
      <c r="E272" s="10">
        <f>D272/2</f>
        <v>1</v>
      </c>
      <c r="F272" s="10">
        <v>0</v>
      </c>
      <c r="G272" s="10">
        <v>65535</v>
      </c>
      <c r="H272" s="10">
        <v>1</v>
      </c>
      <c r="I272" s="10">
        <v>1</v>
      </c>
      <c r="J272" s="10" t="s">
        <v>418</v>
      </c>
      <c r="K272" s="10">
        <f t="shared" si="20"/>
        <v>902</v>
      </c>
      <c r="L272" s="10">
        <f>L271+$E271</f>
        <v>901</v>
      </c>
      <c r="M272" s="10" t="s">
        <v>419</v>
      </c>
      <c r="N272" s="10" t="s">
        <v>324</v>
      </c>
      <c r="O272" s="10"/>
      <c r="P272" s="10"/>
      <c r="Q272" s="111"/>
      <c r="T272" s="8"/>
      <c r="U272" s="8"/>
      <c r="V272" s="8"/>
      <c r="W272" s="8"/>
      <c r="X272" s="8"/>
      <c r="Y272" s="8"/>
      <c r="Z272" s="8"/>
    </row>
    <row r="273" spans="1:226" x14ac:dyDescent="0.3">
      <c r="B273" s="10" t="s">
        <v>446</v>
      </c>
      <c r="C273" s="10" t="s">
        <v>321</v>
      </c>
      <c r="D273" s="10">
        <v>2</v>
      </c>
      <c r="E273" s="10">
        <f>D273/2</f>
        <v>1</v>
      </c>
      <c r="F273" s="10">
        <v>0</v>
      </c>
      <c r="G273" s="10">
        <v>65535</v>
      </c>
      <c r="H273" s="10">
        <v>1</v>
      </c>
      <c r="I273" s="10">
        <v>1</v>
      </c>
      <c r="J273" s="10" t="s">
        <v>418</v>
      </c>
      <c r="K273" s="10">
        <f t="shared" si="20"/>
        <v>903</v>
      </c>
      <c r="L273" s="10">
        <f>L272+$E272</f>
        <v>902</v>
      </c>
      <c r="M273" s="10" t="s">
        <v>419</v>
      </c>
      <c r="N273" s="10" t="s">
        <v>324</v>
      </c>
      <c r="O273" s="10"/>
      <c r="P273" s="10"/>
      <c r="Q273" s="111"/>
      <c r="T273" s="8"/>
      <c r="U273" s="8"/>
      <c r="V273" s="8"/>
      <c r="W273" s="8"/>
      <c r="X273" s="8"/>
      <c r="Y273" s="8"/>
      <c r="Z273" s="8"/>
    </row>
    <row r="274" spans="1:226" x14ac:dyDescent="0.3">
      <c r="B274" s="10" t="s">
        <v>447</v>
      </c>
      <c r="C274" s="10" t="s">
        <v>321</v>
      </c>
      <c r="D274" s="10">
        <v>2</v>
      </c>
      <c r="E274" s="10">
        <f t="shared" ref="E274:E276" si="21">D274/2</f>
        <v>1</v>
      </c>
      <c r="F274" s="10">
        <v>0</v>
      </c>
      <c r="G274" s="10">
        <v>65535</v>
      </c>
      <c r="H274" s="10">
        <v>1</v>
      </c>
      <c r="I274" s="10">
        <v>1</v>
      </c>
      <c r="J274" s="10" t="s">
        <v>418</v>
      </c>
      <c r="K274" s="10">
        <f t="shared" si="20"/>
        <v>904</v>
      </c>
      <c r="L274" s="10">
        <f t="shared" ref="L274:L277" si="22">L273+$E273</f>
        <v>903</v>
      </c>
      <c r="M274" s="10" t="s">
        <v>419</v>
      </c>
      <c r="N274" s="10" t="s">
        <v>324</v>
      </c>
      <c r="O274" s="10"/>
      <c r="P274" s="10"/>
      <c r="Q274" s="111"/>
      <c r="T274" s="8"/>
      <c r="U274" s="8"/>
      <c r="V274" s="8"/>
      <c r="W274" s="8"/>
      <c r="X274" s="8"/>
      <c r="Y274" s="8"/>
      <c r="Z274" s="8"/>
    </row>
    <row r="275" spans="1:226" x14ac:dyDescent="0.3">
      <c r="B275" s="10" t="s">
        <v>448</v>
      </c>
      <c r="C275" s="10" t="s">
        <v>321</v>
      </c>
      <c r="D275" s="10">
        <v>2</v>
      </c>
      <c r="E275" s="10">
        <f t="shared" si="21"/>
        <v>1</v>
      </c>
      <c r="F275" s="10">
        <v>0</v>
      </c>
      <c r="G275" s="10">
        <v>65535</v>
      </c>
      <c r="H275" s="10">
        <v>1</v>
      </c>
      <c r="I275" s="10">
        <v>1</v>
      </c>
      <c r="J275" s="10" t="s">
        <v>418</v>
      </c>
      <c r="K275" s="10">
        <f t="shared" si="20"/>
        <v>905</v>
      </c>
      <c r="L275" s="10">
        <f t="shared" si="22"/>
        <v>904</v>
      </c>
      <c r="M275" s="10" t="s">
        <v>419</v>
      </c>
      <c r="N275" s="10" t="s">
        <v>324</v>
      </c>
      <c r="O275" s="10"/>
      <c r="P275" s="10"/>
      <c r="Q275" s="111"/>
      <c r="T275" s="8"/>
      <c r="U275" s="8"/>
      <c r="V275" s="8"/>
      <c r="W275" s="8"/>
      <c r="X275" s="8"/>
      <c r="Y275" s="8"/>
      <c r="Z275" s="8"/>
    </row>
    <row r="276" spans="1:226" x14ac:dyDescent="0.3">
      <c r="B276" s="10" t="s">
        <v>449</v>
      </c>
      <c r="C276" s="10" t="s">
        <v>321</v>
      </c>
      <c r="D276" s="10">
        <v>2</v>
      </c>
      <c r="E276" s="10">
        <f t="shared" si="21"/>
        <v>1</v>
      </c>
      <c r="F276" s="10">
        <v>0</v>
      </c>
      <c r="G276" s="10">
        <v>65535</v>
      </c>
      <c r="H276" s="10">
        <v>1</v>
      </c>
      <c r="I276" s="10">
        <v>1</v>
      </c>
      <c r="J276" s="10" t="s">
        <v>418</v>
      </c>
      <c r="K276" s="10">
        <f t="shared" si="20"/>
        <v>906</v>
      </c>
      <c r="L276" s="10">
        <f t="shared" si="22"/>
        <v>905</v>
      </c>
      <c r="M276" s="10" t="s">
        <v>419</v>
      </c>
      <c r="N276" s="10" t="s">
        <v>324</v>
      </c>
      <c r="O276" s="10"/>
      <c r="P276" s="10"/>
      <c r="Q276" s="111"/>
      <c r="T276" s="8"/>
      <c r="U276" s="8"/>
      <c r="V276" s="8"/>
      <c r="W276" s="8"/>
      <c r="X276" s="8"/>
      <c r="Y276" s="8"/>
      <c r="Z276" s="8"/>
    </row>
    <row r="277" spans="1:226" x14ac:dyDescent="0.3">
      <c r="B277" s="10" t="s">
        <v>450</v>
      </c>
      <c r="C277" s="10" t="s">
        <v>321</v>
      </c>
      <c r="D277" s="10">
        <v>2</v>
      </c>
      <c r="E277" s="10">
        <f>D277/2</f>
        <v>1</v>
      </c>
      <c r="F277" s="10">
        <v>0</v>
      </c>
      <c r="G277" s="10">
        <v>65535</v>
      </c>
      <c r="H277" s="10">
        <v>1</v>
      </c>
      <c r="I277" s="10">
        <v>1</v>
      </c>
      <c r="J277" s="10" t="s">
        <v>418</v>
      </c>
      <c r="K277" s="10">
        <f t="shared" si="20"/>
        <v>907</v>
      </c>
      <c r="L277" s="10">
        <f t="shared" si="22"/>
        <v>906</v>
      </c>
      <c r="M277" s="10" t="s">
        <v>419</v>
      </c>
      <c r="N277" s="10" t="s">
        <v>324</v>
      </c>
      <c r="O277" s="10"/>
      <c r="P277" s="10"/>
      <c r="Q277" s="111"/>
      <c r="T277" s="8"/>
      <c r="U277" s="8"/>
      <c r="V277" s="8"/>
      <c r="W277" s="8"/>
      <c r="X277" s="8"/>
      <c r="Y277" s="8"/>
      <c r="Z277" s="8"/>
    </row>
    <row r="278" spans="1:226" s="26" customFormat="1" x14ac:dyDescent="0.3">
      <c r="B278" s="10" t="s">
        <v>451</v>
      </c>
      <c r="C278" s="10" t="s">
        <v>321</v>
      </c>
      <c r="D278" s="10">
        <v>2</v>
      </c>
      <c r="E278" s="10">
        <f t="shared" ref="E278:E341" si="23">D278/2</f>
        <v>1</v>
      </c>
      <c r="F278" s="10">
        <v>0</v>
      </c>
      <c r="G278" s="10">
        <v>65535</v>
      </c>
      <c r="H278" s="10">
        <v>1</v>
      </c>
      <c r="I278" s="10">
        <v>1</v>
      </c>
      <c r="J278" s="10" t="s">
        <v>418</v>
      </c>
      <c r="K278" s="10">
        <f t="shared" si="20"/>
        <v>908</v>
      </c>
      <c r="L278" s="10">
        <f t="shared" ref="L278:L341" si="24">L277+E277</f>
        <v>907</v>
      </c>
      <c r="M278" s="10" t="s">
        <v>419</v>
      </c>
      <c r="N278" s="10" t="s">
        <v>324</v>
      </c>
      <c r="O278" s="10"/>
      <c r="P278" s="10"/>
      <c r="Q278" s="111"/>
      <c r="R278" s="56"/>
      <c r="S278" s="56"/>
      <c r="T278" s="16"/>
      <c r="U278" s="16"/>
      <c r="V278" s="16"/>
      <c r="W278" s="16"/>
      <c r="X278" s="56"/>
      <c r="Y278" s="56"/>
      <c r="Z278" s="56"/>
    </row>
    <row r="279" spans="1:226" s="26" customFormat="1" x14ac:dyDescent="0.3">
      <c r="B279" s="10" t="s">
        <v>452</v>
      </c>
      <c r="C279" s="10" t="s">
        <v>321</v>
      </c>
      <c r="D279" s="10">
        <v>2</v>
      </c>
      <c r="E279" s="10">
        <f t="shared" si="23"/>
        <v>1</v>
      </c>
      <c r="F279" s="10">
        <v>0</v>
      </c>
      <c r="G279" s="10">
        <v>65535</v>
      </c>
      <c r="H279" s="10">
        <v>1</v>
      </c>
      <c r="I279" s="10">
        <v>1</v>
      </c>
      <c r="J279" s="10" t="s">
        <v>418</v>
      </c>
      <c r="K279" s="10">
        <f t="shared" si="20"/>
        <v>909</v>
      </c>
      <c r="L279" s="10">
        <f t="shared" si="24"/>
        <v>908</v>
      </c>
      <c r="M279" s="10" t="s">
        <v>419</v>
      </c>
      <c r="N279" s="10" t="s">
        <v>324</v>
      </c>
      <c r="O279" s="10"/>
      <c r="P279" s="10"/>
      <c r="Q279" s="111"/>
      <c r="R279" s="56"/>
      <c r="S279" s="56"/>
      <c r="T279" s="16"/>
      <c r="U279" s="16"/>
      <c r="V279" s="16"/>
      <c r="W279" s="16"/>
      <c r="X279" s="56"/>
      <c r="Y279" s="56"/>
      <c r="Z279" s="56"/>
    </row>
    <row r="280" spans="1:226" x14ac:dyDescent="0.3">
      <c r="B280" s="10" t="s">
        <v>453</v>
      </c>
      <c r="C280" s="10" t="s">
        <v>321</v>
      </c>
      <c r="D280" s="10">
        <v>2</v>
      </c>
      <c r="E280" s="10">
        <f t="shared" si="23"/>
        <v>1</v>
      </c>
      <c r="F280" s="10">
        <v>0</v>
      </c>
      <c r="G280" s="10">
        <v>65535</v>
      </c>
      <c r="H280" s="10">
        <v>1</v>
      </c>
      <c r="I280" s="10">
        <v>1</v>
      </c>
      <c r="J280" s="10" t="s">
        <v>418</v>
      </c>
      <c r="K280" s="10">
        <f t="shared" si="20"/>
        <v>910</v>
      </c>
      <c r="L280" s="10">
        <f t="shared" si="24"/>
        <v>909</v>
      </c>
      <c r="M280" s="10" t="s">
        <v>419</v>
      </c>
      <c r="N280" s="10" t="s">
        <v>324</v>
      </c>
      <c r="O280" s="10"/>
      <c r="P280" s="10"/>
      <c r="Q280" s="111"/>
    </row>
    <row r="281" spans="1:226" s="8" customFormat="1" x14ac:dyDescent="0.3">
      <c r="A281" s="6"/>
      <c r="B281" s="10" t="s">
        <v>454</v>
      </c>
      <c r="C281" s="10" t="s">
        <v>321</v>
      </c>
      <c r="D281" s="10">
        <v>2</v>
      </c>
      <c r="E281" s="10">
        <f t="shared" si="23"/>
        <v>1</v>
      </c>
      <c r="F281" s="10">
        <v>0</v>
      </c>
      <c r="G281" s="10">
        <v>65535</v>
      </c>
      <c r="H281" s="10">
        <v>1</v>
      </c>
      <c r="I281" s="10">
        <v>1</v>
      </c>
      <c r="J281" s="10" t="s">
        <v>418</v>
      </c>
      <c r="K281" s="10">
        <f t="shared" si="20"/>
        <v>911</v>
      </c>
      <c r="L281" s="10">
        <f t="shared" si="24"/>
        <v>910</v>
      </c>
      <c r="M281" s="10" t="s">
        <v>419</v>
      </c>
      <c r="N281" s="10" t="s">
        <v>324</v>
      </c>
      <c r="O281" s="10"/>
      <c r="P281" s="10"/>
      <c r="Q281" s="111"/>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c r="EE281" s="6"/>
      <c r="EF281" s="6"/>
      <c r="EG281" s="6"/>
      <c r="EH281" s="6"/>
      <c r="EI281" s="6"/>
      <c r="EJ281" s="6"/>
      <c r="EK281" s="6"/>
      <c r="EL281" s="6"/>
      <c r="EM281" s="6"/>
      <c r="EN281" s="6"/>
      <c r="EO281" s="6"/>
      <c r="EP281" s="6"/>
      <c r="EQ281" s="6"/>
      <c r="ER281" s="6"/>
      <c r="ES281" s="6"/>
      <c r="ET281" s="6"/>
      <c r="EU281" s="6"/>
      <c r="EV281" s="6"/>
      <c r="EW281" s="6"/>
      <c r="EX281" s="6"/>
      <c r="EY281" s="6"/>
      <c r="EZ281" s="6"/>
      <c r="FA281" s="6"/>
      <c r="FB281" s="6"/>
      <c r="FC281" s="6"/>
      <c r="FD281" s="6"/>
      <c r="FE281" s="6"/>
      <c r="FF281" s="6"/>
      <c r="FG281" s="6"/>
      <c r="FH281" s="6"/>
      <c r="FI281" s="6"/>
      <c r="FJ281" s="6"/>
      <c r="FK281" s="6"/>
      <c r="FL281" s="6"/>
      <c r="FM281" s="6"/>
      <c r="FN281" s="6"/>
      <c r="FO281" s="6"/>
      <c r="FP281" s="6"/>
      <c r="FQ281" s="6"/>
      <c r="FR281" s="6"/>
      <c r="FS281" s="6"/>
      <c r="FT281" s="6"/>
      <c r="FU281" s="6"/>
      <c r="FV281" s="6"/>
      <c r="FW281" s="6"/>
      <c r="FX281" s="6"/>
      <c r="FY281" s="6"/>
      <c r="FZ281" s="6"/>
      <c r="GA281" s="6"/>
      <c r="GB281" s="6"/>
      <c r="GC281" s="6"/>
      <c r="GD281" s="6"/>
      <c r="GE281" s="6"/>
      <c r="GF281" s="6"/>
      <c r="GG281" s="6"/>
      <c r="GH281" s="6"/>
      <c r="GI281" s="6"/>
      <c r="GJ281" s="6"/>
      <c r="GK281" s="6"/>
      <c r="GL281" s="6"/>
      <c r="GM281" s="6"/>
      <c r="GN281" s="6"/>
      <c r="GO281" s="6"/>
      <c r="GP281" s="6"/>
      <c r="GQ281" s="6"/>
      <c r="GR281" s="6"/>
      <c r="GS281" s="6"/>
      <c r="GT281" s="6"/>
      <c r="GU281" s="6"/>
      <c r="GV281" s="6"/>
      <c r="GW281" s="6"/>
      <c r="GX281" s="6"/>
      <c r="GY281" s="6"/>
      <c r="GZ281" s="6"/>
      <c r="HA281" s="6"/>
      <c r="HB281" s="6"/>
      <c r="HC281" s="6"/>
      <c r="HD281" s="6"/>
      <c r="HE281" s="6"/>
      <c r="HF281" s="6"/>
      <c r="HG281" s="6"/>
      <c r="HH281" s="6"/>
      <c r="HI281" s="6"/>
      <c r="HJ281" s="6"/>
      <c r="HK281" s="6"/>
      <c r="HL281" s="6"/>
      <c r="HM281" s="6"/>
      <c r="HN281" s="6"/>
      <c r="HO281" s="6"/>
      <c r="HP281" s="6"/>
      <c r="HQ281" s="6"/>
      <c r="HR281" s="6"/>
    </row>
    <row r="282" spans="1:226" s="8" customFormat="1" x14ac:dyDescent="0.3">
      <c r="A282" s="6"/>
      <c r="B282" s="10" t="s">
        <v>455</v>
      </c>
      <c r="C282" s="10" t="s">
        <v>321</v>
      </c>
      <c r="D282" s="10">
        <v>2</v>
      </c>
      <c r="E282" s="10">
        <f t="shared" si="23"/>
        <v>1</v>
      </c>
      <c r="F282" s="10">
        <v>0</v>
      </c>
      <c r="G282" s="10">
        <v>65535</v>
      </c>
      <c r="H282" s="10">
        <v>1</v>
      </c>
      <c r="I282" s="10">
        <v>1</v>
      </c>
      <c r="J282" s="10" t="s">
        <v>418</v>
      </c>
      <c r="K282" s="10">
        <f t="shared" si="20"/>
        <v>912</v>
      </c>
      <c r="L282" s="10">
        <f t="shared" si="24"/>
        <v>911</v>
      </c>
      <c r="M282" s="10" t="s">
        <v>419</v>
      </c>
      <c r="N282" s="10" t="s">
        <v>324</v>
      </c>
      <c r="O282" s="10"/>
      <c r="P282" s="10"/>
      <c r="Q282" s="111"/>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6"/>
      <c r="EH282" s="6"/>
      <c r="EI282" s="6"/>
      <c r="EJ282" s="6"/>
      <c r="EK282" s="6"/>
      <c r="EL282" s="6"/>
      <c r="EM282" s="6"/>
      <c r="EN282" s="6"/>
      <c r="EO282" s="6"/>
      <c r="EP282" s="6"/>
      <c r="EQ282" s="6"/>
      <c r="ER282" s="6"/>
      <c r="ES282" s="6"/>
      <c r="ET282" s="6"/>
      <c r="EU282" s="6"/>
      <c r="EV282" s="6"/>
      <c r="EW282" s="6"/>
      <c r="EX282" s="6"/>
      <c r="EY282" s="6"/>
      <c r="EZ282" s="6"/>
      <c r="FA282" s="6"/>
      <c r="FB282" s="6"/>
      <c r="FC282" s="6"/>
      <c r="FD282" s="6"/>
      <c r="FE282" s="6"/>
      <c r="FF282" s="6"/>
      <c r="FG282" s="6"/>
      <c r="FH282" s="6"/>
      <c r="FI282" s="6"/>
      <c r="FJ282" s="6"/>
      <c r="FK282" s="6"/>
      <c r="FL282" s="6"/>
      <c r="FM282" s="6"/>
      <c r="FN282" s="6"/>
      <c r="FO282" s="6"/>
      <c r="FP282" s="6"/>
      <c r="FQ282" s="6"/>
      <c r="FR282" s="6"/>
      <c r="FS282" s="6"/>
      <c r="FT282" s="6"/>
      <c r="FU282" s="6"/>
      <c r="FV282" s="6"/>
      <c r="FW282" s="6"/>
      <c r="FX282" s="6"/>
      <c r="FY282" s="6"/>
      <c r="FZ282" s="6"/>
      <c r="GA282" s="6"/>
      <c r="GB282" s="6"/>
      <c r="GC282" s="6"/>
      <c r="GD282" s="6"/>
      <c r="GE282" s="6"/>
      <c r="GF282" s="6"/>
      <c r="GG282" s="6"/>
      <c r="GH282" s="6"/>
      <c r="GI282" s="6"/>
      <c r="GJ282" s="6"/>
      <c r="GK282" s="6"/>
      <c r="GL282" s="6"/>
      <c r="GM282" s="6"/>
      <c r="GN282" s="6"/>
      <c r="GO282" s="6"/>
      <c r="GP282" s="6"/>
      <c r="GQ282" s="6"/>
      <c r="GR282" s="6"/>
      <c r="GS282" s="6"/>
      <c r="GT282" s="6"/>
      <c r="GU282" s="6"/>
      <c r="GV282" s="6"/>
      <c r="GW282" s="6"/>
      <c r="GX282" s="6"/>
      <c r="GY282" s="6"/>
      <c r="GZ282" s="6"/>
      <c r="HA282" s="6"/>
      <c r="HB282" s="6"/>
      <c r="HC282" s="6"/>
      <c r="HD282" s="6"/>
      <c r="HE282" s="6"/>
      <c r="HF282" s="6"/>
      <c r="HG282" s="6"/>
      <c r="HH282" s="6"/>
      <c r="HI282" s="6"/>
      <c r="HJ282" s="6"/>
      <c r="HK282" s="6"/>
      <c r="HL282" s="6"/>
      <c r="HM282" s="6"/>
      <c r="HN282" s="6"/>
      <c r="HO282" s="6"/>
      <c r="HP282" s="6"/>
      <c r="HQ282" s="6"/>
      <c r="HR282" s="6"/>
    </row>
    <row r="283" spans="1:226" s="8" customFormat="1" x14ac:dyDescent="0.3">
      <c r="A283" s="6"/>
      <c r="B283" s="10" t="s">
        <v>456</v>
      </c>
      <c r="C283" s="10" t="s">
        <v>321</v>
      </c>
      <c r="D283" s="10">
        <v>2</v>
      </c>
      <c r="E283" s="10">
        <f t="shared" si="23"/>
        <v>1</v>
      </c>
      <c r="F283" s="10">
        <v>0</v>
      </c>
      <c r="G283" s="10">
        <v>65535</v>
      </c>
      <c r="H283" s="10">
        <v>1</v>
      </c>
      <c r="I283" s="10">
        <v>1</v>
      </c>
      <c r="J283" s="10" t="s">
        <v>418</v>
      </c>
      <c r="K283" s="10">
        <f t="shared" si="20"/>
        <v>913</v>
      </c>
      <c r="L283" s="10">
        <f t="shared" si="24"/>
        <v>912</v>
      </c>
      <c r="M283" s="10" t="s">
        <v>419</v>
      </c>
      <c r="N283" s="10" t="s">
        <v>324</v>
      </c>
      <c r="O283" s="10"/>
      <c r="P283" s="10"/>
      <c r="Q283" s="111"/>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c r="EE283" s="6"/>
      <c r="EF283" s="6"/>
      <c r="EG283" s="6"/>
      <c r="EH283" s="6"/>
      <c r="EI283" s="6"/>
      <c r="EJ283" s="6"/>
      <c r="EK283" s="6"/>
      <c r="EL283" s="6"/>
      <c r="EM283" s="6"/>
      <c r="EN283" s="6"/>
      <c r="EO283" s="6"/>
      <c r="EP283" s="6"/>
      <c r="EQ283" s="6"/>
      <c r="ER283" s="6"/>
      <c r="ES283" s="6"/>
      <c r="ET283" s="6"/>
      <c r="EU283" s="6"/>
      <c r="EV283" s="6"/>
      <c r="EW283" s="6"/>
      <c r="EX283" s="6"/>
      <c r="EY283" s="6"/>
      <c r="EZ283" s="6"/>
      <c r="FA283" s="6"/>
      <c r="FB283" s="6"/>
      <c r="FC283" s="6"/>
      <c r="FD283" s="6"/>
      <c r="FE283" s="6"/>
      <c r="FF283" s="6"/>
      <c r="FG283" s="6"/>
      <c r="FH283" s="6"/>
      <c r="FI283" s="6"/>
      <c r="FJ283" s="6"/>
      <c r="FK283" s="6"/>
      <c r="FL283" s="6"/>
      <c r="FM283" s="6"/>
      <c r="FN283" s="6"/>
      <c r="FO283" s="6"/>
      <c r="FP283" s="6"/>
      <c r="FQ283" s="6"/>
      <c r="FR283" s="6"/>
      <c r="FS283" s="6"/>
      <c r="FT283" s="6"/>
      <c r="FU283" s="6"/>
      <c r="FV283" s="6"/>
      <c r="FW283" s="6"/>
      <c r="FX283" s="6"/>
      <c r="FY283" s="6"/>
      <c r="FZ283" s="6"/>
      <c r="GA283" s="6"/>
      <c r="GB283" s="6"/>
      <c r="GC283" s="6"/>
      <c r="GD283" s="6"/>
      <c r="GE283" s="6"/>
      <c r="GF283" s="6"/>
      <c r="GG283" s="6"/>
      <c r="GH283" s="6"/>
      <c r="GI283" s="6"/>
      <c r="GJ283" s="6"/>
      <c r="GK283" s="6"/>
      <c r="GL283" s="6"/>
      <c r="GM283" s="6"/>
      <c r="GN283" s="6"/>
      <c r="GO283" s="6"/>
      <c r="GP283" s="6"/>
      <c r="GQ283" s="6"/>
      <c r="GR283" s="6"/>
      <c r="GS283" s="6"/>
      <c r="GT283" s="6"/>
      <c r="GU283" s="6"/>
      <c r="GV283" s="6"/>
      <c r="GW283" s="6"/>
      <c r="GX283" s="6"/>
      <c r="GY283" s="6"/>
      <c r="GZ283" s="6"/>
      <c r="HA283" s="6"/>
      <c r="HB283" s="6"/>
      <c r="HC283" s="6"/>
      <c r="HD283" s="6"/>
      <c r="HE283" s="6"/>
      <c r="HF283" s="6"/>
      <c r="HG283" s="6"/>
      <c r="HH283" s="6"/>
      <c r="HI283" s="6"/>
      <c r="HJ283" s="6"/>
      <c r="HK283" s="6"/>
      <c r="HL283" s="6"/>
      <c r="HM283" s="6"/>
      <c r="HN283" s="6"/>
      <c r="HO283" s="6"/>
      <c r="HP283" s="6"/>
      <c r="HQ283" s="6"/>
      <c r="HR283" s="6"/>
    </row>
    <row r="284" spans="1:226" s="8" customFormat="1" x14ac:dyDescent="0.3">
      <c r="A284" s="6"/>
      <c r="B284" s="10" t="s">
        <v>457</v>
      </c>
      <c r="C284" s="10" t="s">
        <v>321</v>
      </c>
      <c r="D284" s="10">
        <v>2</v>
      </c>
      <c r="E284" s="10">
        <f t="shared" si="23"/>
        <v>1</v>
      </c>
      <c r="F284" s="10">
        <v>0</v>
      </c>
      <c r="G284" s="10">
        <v>65535</v>
      </c>
      <c r="H284" s="10">
        <v>1</v>
      </c>
      <c r="I284" s="10">
        <v>1</v>
      </c>
      <c r="J284" s="10" t="s">
        <v>418</v>
      </c>
      <c r="K284" s="10">
        <f t="shared" si="20"/>
        <v>914</v>
      </c>
      <c r="L284" s="10">
        <f t="shared" si="24"/>
        <v>913</v>
      </c>
      <c r="M284" s="10" t="s">
        <v>419</v>
      </c>
      <c r="N284" s="10" t="s">
        <v>324</v>
      </c>
      <c r="O284" s="10"/>
      <c r="P284" s="10"/>
      <c r="Q284" s="111"/>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c r="EE284" s="6"/>
      <c r="EF284" s="6"/>
      <c r="EG284" s="6"/>
      <c r="EH284" s="6"/>
      <c r="EI284" s="6"/>
      <c r="EJ284" s="6"/>
      <c r="EK284" s="6"/>
      <c r="EL284" s="6"/>
      <c r="EM284" s="6"/>
      <c r="EN284" s="6"/>
      <c r="EO284" s="6"/>
      <c r="EP284" s="6"/>
      <c r="EQ284" s="6"/>
      <c r="ER284" s="6"/>
      <c r="ES284" s="6"/>
      <c r="ET284" s="6"/>
      <c r="EU284" s="6"/>
      <c r="EV284" s="6"/>
      <c r="EW284" s="6"/>
      <c r="EX284" s="6"/>
      <c r="EY284" s="6"/>
      <c r="EZ284" s="6"/>
      <c r="FA284" s="6"/>
      <c r="FB284" s="6"/>
      <c r="FC284" s="6"/>
      <c r="FD284" s="6"/>
      <c r="FE284" s="6"/>
      <c r="FF284" s="6"/>
      <c r="FG284" s="6"/>
      <c r="FH284" s="6"/>
      <c r="FI284" s="6"/>
      <c r="FJ284" s="6"/>
      <c r="FK284" s="6"/>
      <c r="FL284" s="6"/>
      <c r="FM284" s="6"/>
      <c r="FN284" s="6"/>
      <c r="FO284" s="6"/>
      <c r="FP284" s="6"/>
      <c r="FQ284" s="6"/>
      <c r="FR284" s="6"/>
      <c r="FS284" s="6"/>
      <c r="FT284" s="6"/>
      <c r="FU284" s="6"/>
      <c r="FV284" s="6"/>
      <c r="FW284" s="6"/>
      <c r="FX284" s="6"/>
      <c r="FY284" s="6"/>
      <c r="FZ284" s="6"/>
      <c r="GA284" s="6"/>
      <c r="GB284" s="6"/>
      <c r="GC284" s="6"/>
      <c r="GD284" s="6"/>
      <c r="GE284" s="6"/>
      <c r="GF284" s="6"/>
      <c r="GG284" s="6"/>
      <c r="GH284" s="6"/>
      <c r="GI284" s="6"/>
      <c r="GJ284" s="6"/>
      <c r="GK284" s="6"/>
      <c r="GL284" s="6"/>
      <c r="GM284" s="6"/>
      <c r="GN284" s="6"/>
      <c r="GO284" s="6"/>
      <c r="GP284" s="6"/>
      <c r="GQ284" s="6"/>
      <c r="GR284" s="6"/>
      <c r="GS284" s="6"/>
      <c r="GT284" s="6"/>
      <c r="GU284" s="6"/>
      <c r="GV284" s="6"/>
      <c r="GW284" s="6"/>
      <c r="GX284" s="6"/>
      <c r="GY284" s="6"/>
      <c r="GZ284" s="6"/>
      <c r="HA284" s="6"/>
      <c r="HB284" s="6"/>
      <c r="HC284" s="6"/>
      <c r="HD284" s="6"/>
      <c r="HE284" s="6"/>
      <c r="HF284" s="6"/>
      <c r="HG284" s="6"/>
      <c r="HH284" s="6"/>
      <c r="HI284" s="6"/>
      <c r="HJ284" s="6"/>
      <c r="HK284" s="6"/>
      <c r="HL284" s="6"/>
      <c r="HM284" s="6"/>
      <c r="HN284" s="6"/>
      <c r="HO284" s="6"/>
      <c r="HP284" s="6"/>
      <c r="HQ284" s="6"/>
      <c r="HR284" s="6"/>
    </row>
    <row r="285" spans="1:226" s="8" customFormat="1" x14ac:dyDescent="0.3">
      <c r="A285" s="6"/>
      <c r="B285" s="10" t="s">
        <v>458</v>
      </c>
      <c r="C285" s="10" t="s">
        <v>321</v>
      </c>
      <c r="D285" s="10">
        <v>2</v>
      </c>
      <c r="E285" s="10">
        <f t="shared" si="23"/>
        <v>1</v>
      </c>
      <c r="F285" s="10">
        <v>0</v>
      </c>
      <c r="G285" s="10">
        <v>65535</v>
      </c>
      <c r="H285" s="10">
        <v>1</v>
      </c>
      <c r="I285" s="10">
        <v>1</v>
      </c>
      <c r="J285" s="10" t="s">
        <v>418</v>
      </c>
      <c r="K285" s="10">
        <f t="shared" si="20"/>
        <v>915</v>
      </c>
      <c r="L285" s="10">
        <f t="shared" si="24"/>
        <v>914</v>
      </c>
      <c r="M285" s="10" t="s">
        <v>419</v>
      </c>
      <c r="N285" s="10" t="s">
        <v>324</v>
      </c>
      <c r="O285" s="10"/>
      <c r="P285" s="10"/>
      <c r="Q285" s="111"/>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c r="EE285" s="6"/>
      <c r="EF285" s="6"/>
      <c r="EG285" s="6"/>
      <c r="EH285" s="6"/>
      <c r="EI285" s="6"/>
      <c r="EJ285" s="6"/>
      <c r="EK285" s="6"/>
      <c r="EL285" s="6"/>
      <c r="EM285" s="6"/>
      <c r="EN285" s="6"/>
      <c r="EO285" s="6"/>
      <c r="EP285" s="6"/>
      <c r="EQ285" s="6"/>
      <c r="ER285" s="6"/>
      <c r="ES285" s="6"/>
      <c r="ET285" s="6"/>
      <c r="EU285" s="6"/>
      <c r="EV285" s="6"/>
      <c r="EW285" s="6"/>
      <c r="EX285" s="6"/>
      <c r="EY285" s="6"/>
      <c r="EZ285" s="6"/>
      <c r="FA285" s="6"/>
      <c r="FB285" s="6"/>
      <c r="FC285" s="6"/>
      <c r="FD285" s="6"/>
      <c r="FE285" s="6"/>
      <c r="FF285" s="6"/>
      <c r="FG285" s="6"/>
      <c r="FH285" s="6"/>
      <c r="FI285" s="6"/>
      <c r="FJ285" s="6"/>
      <c r="FK285" s="6"/>
      <c r="FL285" s="6"/>
      <c r="FM285" s="6"/>
      <c r="FN285" s="6"/>
      <c r="FO285" s="6"/>
      <c r="FP285" s="6"/>
      <c r="FQ285" s="6"/>
      <c r="FR285" s="6"/>
      <c r="FS285" s="6"/>
      <c r="FT285" s="6"/>
      <c r="FU285" s="6"/>
      <c r="FV285" s="6"/>
      <c r="FW285" s="6"/>
      <c r="FX285" s="6"/>
      <c r="FY285" s="6"/>
      <c r="FZ285" s="6"/>
      <c r="GA285" s="6"/>
      <c r="GB285" s="6"/>
      <c r="GC285" s="6"/>
      <c r="GD285" s="6"/>
      <c r="GE285" s="6"/>
      <c r="GF285" s="6"/>
      <c r="GG285" s="6"/>
      <c r="GH285" s="6"/>
      <c r="GI285" s="6"/>
      <c r="GJ285" s="6"/>
      <c r="GK285" s="6"/>
      <c r="GL285" s="6"/>
      <c r="GM285" s="6"/>
      <c r="GN285" s="6"/>
      <c r="GO285" s="6"/>
      <c r="GP285" s="6"/>
      <c r="GQ285" s="6"/>
      <c r="GR285" s="6"/>
      <c r="GS285" s="6"/>
      <c r="GT285" s="6"/>
      <c r="GU285" s="6"/>
      <c r="GV285" s="6"/>
      <c r="GW285" s="6"/>
      <c r="GX285" s="6"/>
      <c r="GY285" s="6"/>
      <c r="GZ285" s="6"/>
      <c r="HA285" s="6"/>
      <c r="HB285" s="6"/>
      <c r="HC285" s="6"/>
      <c r="HD285" s="6"/>
      <c r="HE285" s="6"/>
      <c r="HF285" s="6"/>
      <c r="HG285" s="6"/>
      <c r="HH285" s="6"/>
      <c r="HI285" s="6"/>
      <c r="HJ285" s="6"/>
      <c r="HK285" s="6"/>
      <c r="HL285" s="6"/>
      <c r="HM285" s="6"/>
      <c r="HN285" s="6"/>
      <c r="HO285" s="6"/>
      <c r="HP285" s="6"/>
      <c r="HQ285" s="6"/>
      <c r="HR285" s="6"/>
    </row>
    <row r="286" spans="1:226" s="8" customFormat="1" x14ac:dyDescent="0.3">
      <c r="A286" s="6"/>
      <c r="B286" s="10" t="s">
        <v>459</v>
      </c>
      <c r="C286" s="10" t="s">
        <v>321</v>
      </c>
      <c r="D286" s="10">
        <v>2</v>
      </c>
      <c r="E286" s="10">
        <f t="shared" si="23"/>
        <v>1</v>
      </c>
      <c r="F286" s="10">
        <v>0</v>
      </c>
      <c r="G286" s="10">
        <v>65535</v>
      </c>
      <c r="H286" s="10">
        <v>1</v>
      </c>
      <c r="I286" s="10">
        <v>1</v>
      </c>
      <c r="J286" s="10" t="s">
        <v>418</v>
      </c>
      <c r="K286" s="10">
        <f t="shared" si="20"/>
        <v>916</v>
      </c>
      <c r="L286" s="10">
        <f t="shared" si="24"/>
        <v>915</v>
      </c>
      <c r="M286" s="10" t="s">
        <v>419</v>
      </c>
      <c r="N286" s="10" t="s">
        <v>324</v>
      </c>
      <c r="O286" s="10"/>
      <c r="P286" s="10"/>
      <c r="Q286" s="111"/>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c r="EN286" s="6"/>
      <c r="EO286" s="6"/>
      <c r="EP286" s="6"/>
      <c r="EQ286" s="6"/>
      <c r="ER286" s="6"/>
      <c r="ES286" s="6"/>
      <c r="ET286" s="6"/>
      <c r="EU286" s="6"/>
      <c r="EV286" s="6"/>
      <c r="EW286" s="6"/>
      <c r="EX286" s="6"/>
      <c r="EY286" s="6"/>
      <c r="EZ286" s="6"/>
      <c r="FA286" s="6"/>
      <c r="FB286" s="6"/>
      <c r="FC286" s="6"/>
      <c r="FD286" s="6"/>
      <c r="FE286" s="6"/>
      <c r="FF286" s="6"/>
      <c r="FG286" s="6"/>
      <c r="FH286" s="6"/>
      <c r="FI286" s="6"/>
      <c r="FJ286" s="6"/>
      <c r="FK286" s="6"/>
      <c r="FL286" s="6"/>
      <c r="FM286" s="6"/>
      <c r="FN286" s="6"/>
      <c r="FO286" s="6"/>
      <c r="FP286" s="6"/>
      <c r="FQ286" s="6"/>
      <c r="FR286" s="6"/>
      <c r="FS286" s="6"/>
      <c r="FT286" s="6"/>
      <c r="FU286" s="6"/>
      <c r="FV286" s="6"/>
      <c r="FW286" s="6"/>
      <c r="FX286" s="6"/>
      <c r="FY286" s="6"/>
      <c r="FZ286" s="6"/>
      <c r="GA286" s="6"/>
      <c r="GB286" s="6"/>
      <c r="GC286" s="6"/>
      <c r="GD286" s="6"/>
      <c r="GE286" s="6"/>
      <c r="GF286" s="6"/>
      <c r="GG286" s="6"/>
      <c r="GH286" s="6"/>
      <c r="GI286" s="6"/>
      <c r="GJ286" s="6"/>
      <c r="GK286" s="6"/>
      <c r="GL286" s="6"/>
      <c r="GM286" s="6"/>
      <c r="GN286" s="6"/>
      <c r="GO286" s="6"/>
      <c r="GP286" s="6"/>
      <c r="GQ286" s="6"/>
      <c r="GR286" s="6"/>
      <c r="GS286" s="6"/>
      <c r="GT286" s="6"/>
      <c r="GU286" s="6"/>
      <c r="GV286" s="6"/>
      <c r="GW286" s="6"/>
      <c r="GX286" s="6"/>
      <c r="GY286" s="6"/>
      <c r="GZ286" s="6"/>
      <c r="HA286" s="6"/>
      <c r="HB286" s="6"/>
      <c r="HC286" s="6"/>
      <c r="HD286" s="6"/>
      <c r="HE286" s="6"/>
      <c r="HF286" s="6"/>
      <c r="HG286" s="6"/>
      <c r="HH286" s="6"/>
      <c r="HI286" s="6"/>
      <c r="HJ286" s="6"/>
      <c r="HK286" s="6"/>
      <c r="HL286" s="6"/>
      <c r="HM286" s="6"/>
      <c r="HN286" s="6"/>
      <c r="HO286" s="6"/>
      <c r="HP286" s="6"/>
      <c r="HQ286" s="6"/>
      <c r="HR286" s="6"/>
    </row>
    <row r="287" spans="1:226" s="8" customFormat="1" x14ac:dyDescent="0.3">
      <c r="A287" s="6"/>
      <c r="B287" s="10" t="s">
        <v>460</v>
      </c>
      <c r="C287" s="10" t="s">
        <v>321</v>
      </c>
      <c r="D287" s="10">
        <v>2</v>
      </c>
      <c r="E287" s="10">
        <f t="shared" si="23"/>
        <v>1</v>
      </c>
      <c r="F287" s="10">
        <v>0</v>
      </c>
      <c r="G287" s="10">
        <v>65535</v>
      </c>
      <c r="H287" s="10">
        <v>1</v>
      </c>
      <c r="I287" s="10">
        <v>1</v>
      </c>
      <c r="J287" s="10" t="s">
        <v>418</v>
      </c>
      <c r="K287" s="10">
        <f t="shared" si="20"/>
        <v>917</v>
      </c>
      <c r="L287" s="10">
        <f t="shared" si="24"/>
        <v>916</v>
      </c>
      <c r="M287" s="10" t="s">
        <v>419</v>
      </c>
      <c r="N287" s="10" t="s">
        <v>324</v>
      </c>
      <c r="O287" s="10"/>
      <c r="P287" s="10"/>
      <c r="Q287" s="111"/>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c r="EE287" s="6"/>
      <c r="EF287" s="6"/>
      <c r="EG287" s="6"/>
      <c r="EH287" s="6"/>
      <c r="EI287" s="6"/>
      <c r="EJ287" s="6"/>
      <c r="EK287" s="6"/>
      <c r="EL287" s="6"/>
      <c r="EM287" s="6"/>
      <c r="EN287" s="6"/>
      <c r="EO287" s="6"/>
      <c r="EP287" s="6"/>
      <c r="EQ287" s="6"/>
      <c r="ER287" s="6"/>
      <c r="ES287" s="6"/>
      <c r="ET287" s="6"/>
      <c r="EU287" s="6"/>
      <c r="EV287" s="6"/>
      <c r="EW287" s="6"/>
      <c r="EX287" s="6"/>
      <c r="EY287" s="6"/>
      <c r="EZ287" s="6"/>
      <c r="FA287" s="6"/>
      <c r="FB287" s="6"/>
      <c r="FC287" s="6"/>
      <c r="FD287" s="6"/>
      <c r="FE287" s="6"/>
      <c r="FF287" s="6"/>
      <c r="FG287" s="6"/>
      <c r="FH287" s="6"/>
      <c r="FI287" s="6"/>
      <c r="FJ287" s="6"/>
      <c r="FK287" s="6"/>
      <c r="FL287" s="6"/>
      <c r="FM287" s="6"/>
      <c r="FN287" s="6"/>
      <c r="FO287" s="6"/>
      <c r="FP287" s="6"/>
      <c r="FQ287" s="6"/>
      <c r="FR287" s="6"/>
      <c r="FS287" s="6"/>
      <c r="FT287" s="6"/>
      <c r="FU287" s="6"/>
      <c r="FV287" s="6"/>
      <c r="FW287" s="6"/>
      <c r="FX287" s="6"/>
      <c r="FY287" s="6"/>
      <c r="FZ287" s="6"/>
      <c r="GA287" s="6"/>
      <c r="GB287" s="6"/>
      <c r="GC287" s="6"/>
      <c r="GD287" s="6"/>
      <c r="GE287" s="6"/>
      <c r="GF287" s="6"/>
      <c r="GG287" s="6"/>
      <c r="GH287" s="6"/>
      <c r="GI287" s="6"/>
      <c r="GJ287" s="6"/>
      <c r="GK287" s="6"/>
      <c r="GL287" s="6"/>
      <c r="GM287" s="6"/>
      <c r="GN287" s="6"/>
      <c r="GO287" s="6"/>
      <c r="GP287" s="6"/>
      <c r="GQ287" s="6"/>
      <c r="GR287" s="6"/>
      <c r="GS287" s="6"/>
      <c r="GT287" s="6"/>
      <c r="GU287" s="6"/>
      <c r="GV287" s="6"/>
      <c r="GW287" s="6"/>
      <c r="GX287" s="6"/>
      <c r="GY287" s="6"/>
      <c r="GZ287" s="6"/>
      <c r="HA287" s="6"/>
      <c r="HB287" s="6"/>
      <c r="HC287" s="6"/>
      <c r="HD287" s="6"/>
      <c r="HE287" s="6"/>
      <c r="HF287" s="6"/>
      <c r="HG287" s="6"/>
      <c r="HH287" s="6"/>
      <c r="HI287" s="6"/>
      <c r="HJ287" s="6"/>
      <c r="HK287" s="6"/>
      <c r="HL287" s="6"/>
      <c r="HM287" s="6"/>
      <c r="HN287" s="6"/>
      <c r="HO287" s="6"/>
      <c r="HP287" s="6"/>
      <c r="HQ287" s="6"/>
      <c r="HR287" s="6"/>
    </row>
    <row r="288" spans="1:226" s="8" customFormat="1" x14ac:dyDescent="0.3">
      <c r="A288" s="6"/>
      <c r="B288" s="10" t="s">
        <v>461</v>
      </c>
      <c r="C288" s="10" t="s">
        <v>321</v>
      </c>
      <c r="D288" s="10">
        <v>2</v>
      </c>
      <c r="E288" s="10">
        <f t="shared" si="23"/>
        <v>1</v>
      </c>
      <c r="F288" s="10">
        <v>0</v>
      </c>
      <c r="G288" s="10">
        <v>65535</v>
      </c>
      <c r="H288" s="10">
        <v>1</v>
      </c>
      <c r="I288" s="10">
        <v>1</v>
      </c>
      <c r="J288" s="10" t="s">
        <v>418</v>
      </c>
      <c r="K288" s="10">
        <f t="shared" si="20"/>
        <v>918</v>
      </c>
      <c r="L288" s="10">
        <f t="shared" si="24"/>
        <v>917</v>
      </c>
      <c r="M288" s="10" t="s">
        <v>419</v>
      </c>
      <c r="N288" s="10" t="s">
        <v>324</v>
      </c>
      <c r="O288" s="10"/>
      <c r="P288" s="10"/>
      <c r="Q288" s="111"/>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c r="EE288" s="6"/>
      <c r="EF288" s="6"/>
      <c r="EG288" s="6"/>
      <c r="EH288" s="6"/>
      <c r="EI288" s="6"/>
      <c r="EJ288" s="6"/>
      <c r="EK288" s="6"/>
      <c r="EL288" s="6"/>
      <c r="EM288" s="6"/>
      <c r="EN288" s="6"/>
      <c r="EO288" s="6"/>
      <c r="EP288" s="6"/>
      <c r="EQ288" s="6"/>
      <c r="ER288" s="6"/>
      <c r="ES288" s="6"/>
      <c r="ET288" s="6"/>
      <c r="EU288" s="6"/>
      <c r="EV288" s="6"/>
      <c r="EW288" s="6"/>
      <c r="EX288" s="6"/>
      <c r="EY288" s="6"/>
      <c r="EZ288" s="6"/>
      <c r="FA288" s="6"/>
      <c r="FB288" s="6"/>
      <c r="FC288" s="6"/>
      <c r="FD288" s="6"/>
      <c r="FE288" s="6"/>
      <c r="FF288" s="6"/>
      <c r="FG288" s="6"/>
      <c r="FH288" s="6"/>
      <c r="FI288" s="6"/>
      <c r="FJ288" s="6"/>
      <c r="FK288" s="6"/>
      <c r="FL288" s="6"/>
      <c r="FM288" s="6"/>
      <c r="FN288" s="6"/>
      <c r="FO288" s="6"/>
      <c r="FP288" s="6"/>
      <c r="FQ288" s="6"/>
      <c r="FR288" s="6"/>
      <c r="FS288" s="6"/>
      <c r="FT288" s="6"/>
      <c r="FU288" s="6"/>
      <c r="FV288" s="6"/>
      <c r="FW288" s="6"/>
      <c r="FX288" s="6"/>
      <c r="FY288" s="6"/>
      <c r="FZ288" s="6"/>
      <c r="GA288" s="6"/>
      <c r="GB288" s="6"/>
      <c r="GC288" s="6"/>
      <c r="GD288" s="6"/>
      <c r="GE288" s="6"/>
      <c r="GF288" s="6"/>
      <c r="GG288" s="6"/>
      <c r="GH288" s="6"/>
      <c r="GI288" s="6"/>
      <c r="GJ288" s="6"/>
      <c r="GK288" s="6"/>
      <c r="GL288" s="6"/>
      <c r="GM288" s="6"/>
      <c r="GN288" s="6"/>
      <c r="GO288" s="6"/>
      <c r="GP288" s="6"/>
      <c r="GQ288" s="6"/>
      <c r="GR288" s="6"/>
      <c r="GS288" s="6"/>
      <c r="GT288" s="6"/>
      <c r="GU288" s="6"/>
      <c r="GV288" s="6"/>
      <c r="GW288" s="6"/>
      <c r="GX288" s="6"/>
      <c r="GY288" s="6"/>
      <c r="GZ288" s="6"/>
      <c r="HA288" s="6"/>
      <c r="HB288" s="6"/>
      <c r="HC288" s="6"/>
      <c r="HD288" s="6"/>
      <c r="HE288" s="6"/>
      <c r="HF288" s="6"/>
      <c r="HG288" s="6"/>
      <c r="HH288" s="6"/>
      <c r="HI288" s="6"/>
      <c r="HJ288" s="6"/>
      <c r="HK288" s="6"/>
      <c r="HL288" s="6"/>
      <c r="HM288" s="6"/>
      <c r="HN288" s="6"/>
      <c r="HO288" s="6"/>
      <c r="HP288" s="6"/>
      <c r="HQ288" s="6"/>
      <c r="HR288" s="6"/>
    </row>
    <row r="289" spans="1:226" s="47" customFormat="1" x14ac:dyDescent="0.3">
      <c r="A289" s="6"/>
      <c r="B289" s="10" t="s">
        <v>462</v>
      </c>
      <c r="C289" s="10" t="s">
        <v>321</v>
      </c>
      <c r="D289" s="10">
        <v>2</v>
      </c>
      <c r="E289" s="10">
        <f t="shared" si="23"/>
        <v>1</v>
      </c>
      <c r="F289" s="10">
        <v>0</v>
      </c>
      <c r="G289" s="10">
        <v>65535</v>
      </c>
      <c r="H289" s="10">
        <v>1</v>
      </c>
      <c r="I289" s="10">
        <v>1</v>
      </c>
      <c r="J289" s="10" t="s">
        <v>418</v>
      </c>
      <c r="K289" s="10">
        <f t="shared" si="20"/>
        <v>919</v>
      </c>
      <c r="L289" s="10">
        <f t="shared" si="24"/>
        <v>918</v>
      </c>
      <c r="M289" s="10" t="s">
        <v>419</v>
      </c>
      <c r="N289" s="10" t="s">
        <v>324</v>
      </c>
      <c r="O289" s="10"/>
      <c r="P289" s="10"/>
      <c r="Q289" s="111"/>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6"/>
      <c r="ED289" s="6"/>
      <c r="EE289" s="6"/>
      <c r="EF289" s="6"/>
      <c r="EG289" s="6"/>
      <c r="EH289" s="6"/>
      <c r="EI289" s="6"/>
      <c r="EJ289" s="6"/>
      <c r="EK289" s="6"/>
      <c r="EL289" s="6"/>
      <c r="EM289" s="6"/>
      <c r="EN289" s="6"/>
      <c r="EO289" s="6"/>
      <c r="EP289" s="6"/>
      <c r="EQ289" s="6"/>
      <c r="ER289" s="6"/>
      <c r="ES289" s="6"/>
      <c r="ET289" s="6"/>
      <c r="EU289" s="6"/>
      <c r="EV289" s="6"/>
      <c r="EW289" s="6"/>
      <c r="EX289" s="6"/>
      <c r="EY289" s="6"/>
      <c r="EZ289" s="6"/>
      <c r="FA289" s="6"/>
      <c r="FB289" s="6"/>
      <c r="FC289" s="6"/>
      <c r="FD289" s="6"/>
      <c r="FE289" s="6"/>
      <c r="FF289" s="6"/>
      <c r="FG289" s="6"/>
      <c r="FH289" s="6"/>
      <c r="FI289" s="6"/>
      <c r="FJ289" s="6"/>
      <c r="FK289" s="6"/>
      <c r="FL289" s="6"/>
      <c r="FM289" s="6"/>
      <c r="FN289" s="6"/>
      <c r="FO289" s="6"/>
      <c r="FP289" s="6"/>
      <c r="FQ289" s="6"/>
      <c r="FR289" s="6"/>
      <c r="FS289" s="6"/>
      <c r="FT289" s="6"/>
      <c r="FU289" s="6"/>
      <c r="FV289" s="6"/>
      <c r="FW289" s="6"/>
      <c r="FX289" s="6"/>
      <c r="FY289" s="6"/>
      <c r="FZ289" s="6"/>
      <c r="GA289" s="6"/>
      <c r="GB289" s="6"/>
      <c r="GC289" s="6"/>
      <c r="GD289" s="6"/>
      <c r="GE289" s="6"/>
      <c r="GF289" s="6"/>
      <c r="GG289" s="6"/>
      <c r="GH289" s="6"/>
      <c r="GI289" s="6"/>
      <c r="GJ289" s="6"/>
      <c r="GK289" s="6"/>
      <c r="GL289" s="6"/>
      <c r="GM289" s="6"/>
      <c r="GN289" s="6"/>
      <c r="GO289" s="6"/>
      <c r="GP289" s="6"/>
      <c r="GQ289" s="6"/>
      <c r="GR289" s="6"/>
      <c r="GS289" s="6"/>
      <c r="GT289" s="6"/>
      <c r="GU289" s="6"/>
      <c r="GV289" s="6"/>
      <c r="GW289" s="6"/>
      <c r="GX289" s="6"/>
      <c r="GY289" s="6"/>
      <c r="GZ289" s="6"/>
      <c r="HA289" s="6"/>
      <c r="HB289" s="6"/>
      <c r="HC289" s="6"/>
      <c r="HD289" s="6"/>
      <c r="HE289" s="6"/>
      <c r="HF289" s="6"/>
      <c r="HG289" s="6"/>
      <c r="HH289" s="6"/>
      <c r="HI289" s="6"/>
      <c r="HJ289" s="6"/>
      <c r="HK289" s="6"/>
      <c r="HL289" s="6"/>
      <c r="HM289" s="6"/>
      <c r="HN289" s="6"/>
      <c r="HO289" s="6"/>
      <c r="HP289" s="6"/>
      <c r="HQ289" s="6"/>
      <c r="HR289" s="6"/>
    </row>
    <row r="290" spans="1:226" s="47" customFormat="1" x14ac:dyDescent="0.3">
      <c r="A290" s="6"/>
      <c r="B290" s="10" t="s">
        <v>463</v>
      </c>
      <c r="C290" s="10" t="s">
        <v>321</v>
      </c>
      <c r="D290" s="10">
        <v>2</v>
      </c>
      <c r="E290" s="10">
        <f t="shared" si="23"/>
        <v>1</v>
      </c>
      <c r="F290" s="10">
        <v>0</v>
      </c>
      <c r="G290" s="10">
        <v>65535</v>
      </c>
      <c r="H290" s="10">
        <v>1</v>
      </c>
      <c r="I290" s="10">
        <v>1</v>
      </c>
      <c r="J290" s="10" t="s">
        <v>418</v>
      </c>
      <c r="K290" s="10">
        <f t="shared" si="20"/>
        <v>920</v>
      </c>
      <c r="L290" s="10">
        <f t="shared" si="24"/>
        <v>919</v>
      </c>
      <c r="M290" s="10" t="s">
        <v>419</v>
      </c>
      <c r="N290" s="10" t="s">
        <v>324</v>
      </c>
      <c r="O290" s="10"/>
      <c r="P290" s="10"/>
      <c r="Q290" s="111"/>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6"/>
      <c r="EH290" s="6"/>
      <c r="EI290" s="6"/>
      <c r="EJ290" s="6"/>
      <c r="EK290" s="6"/>
      <c r="EL290" s="6"/>
      <c r="EM290" s="6"/>
      <c r="EN290" s="6"/>
      <c r="EO290" s="6"/>
      <c r="EP290" s="6"/>
      <c r="EQ290" s="6"/>
      <c r="ER290" s="6"/>
      <c r="ES290" s="6"/>
      <c r="ET290" s="6"/>
      <c r="EU290" s="6"/>
      <c r="EV290" s="6"/>
      <c r="EW290" s="6"/>
      <c r="EX290" s="6"/>
      <c r="EY290" s="6"/>
      <c r="EZ290" s="6"/>
      <c r="FA290" s="6"/>
      <c r="FB290" s="6"/>
      <c r="FC290" s="6"/>
      <c r="FD290" s="6"/>
      <c r="FE290" s="6"/>
      <c r="FF290" s="6"/>
      <c r="FG290" s="6"/>
      <c r="FH290" s="6"/>
      <c r="FI290" s="6"/>
      <c r="FJ290" s="6"/>
      <c r="FK290" s="6"/>
      <c r="FL290" s="6"/>
      <c r="FM290" s="6"/>
      <c r="FN290" s="6"/>
      <c r="FO290" s="6"/>
      <c r="FP290" s="6"/>
      <c r="FQ290" s="6"/>
      <c r="FR290" s="6"/>
      <c r="FS290" s="6"/>
      <c r="FT290" s="6"/>
      <c r="FU290" s="6"/>
      <c r="FV290" s="6"/>
      <c r="FW290" s="6"/>
      <c r="FX290" s="6"/>
      <c r="FY290" s="6"/>
      <c r="FZ290" s="6"/>
      <c r="GA290" s="6"/>
      <c r="GB290" s="6"/>
      <c r="GC290" s="6"/>
      <c r="GD290" s="6"/>
      <c r="GE290" s="6"/>
      <c r="GF290" s="6"/>
      <c r="GG290" s="6"/>
      <c r="GH290" s="6"/>
      <c r="GI290" s="6"/>
      <c r="GJ290" s="6"/>
      <c r="GK290" s="6"/>
      <c r="GL290" s="6"/>
      <c r="GM290" s="6"/>
      <c r="GN290" s="6"/>
      <c r="GO290" s="6"/>
      <c r="GP290" s="6"/>
      <c r="GQ290" s="6"/>
      <c r="GR290" s="6"/>
      <c r="GS290" s="6"/>
      <c r="GT290" s="6"/>
      <c r="GU290" s="6"/>
      <c r="GV290" s="6"/>
      <c r="GW290" s="6"/>
      <c r="GX290" s="6"/>
      <c r="GY290" s="6"/>
      <c r="GZ290" s="6"/>
      <c r="HA290" s="6"/>
      <c r="HB290" s="6"/>
      <c r="HC290" s="6"/>
      <c r="HD290" s="6"/>
      <c r="HE290" s="6"/>
      <c r="HF290" s="6"/>
      <c r="HG290" s="6"/>
      <c r="HH290" s="6"/>
      <c r="HI290" s="6"/>
      <c r="HJ290" s="6"/>
      <c r="HK290" s="6"/>
      <c r="HL290" s="6"/>
      <c r="HM290" s="6"/>
      <c r="HN290" s="6"/>
      <c r="HO290" s="6"/>
      <c r="HP290" s="6"/>
      <c r="HQ290" s="6"/>
      <c r="HR290" s="6"/>
    </row>
    <row r="291" spans="1:226" s="47" customFormat="1" x14ac:dyDescent="0.3">
      <c r="A291" s="6"/>
      <c r="B291" s="10" t="s">
        <v>464</v>
      </c>
      <c r="C291" s="10" t="s">
        <v>321</v>
      </c>
      <c r="D291" s="10">
        <v>2</v>
      </c>
      <c r="E291" s="10">
        <f t="shared" si="23"/>
        <v>1</v>
      </c>
      <c r="F291" s="10">
        <v>0</v>
      </c>
      <c r="G291" s="10">
        <v>65535</v>
      </c>
      <c r="H291" s="10">
        <v>1</v>
      </c>
      <c r="I291" s="10">
        <v>1</v>
      </c>
      <c r="J291" s="10" t="s">
        <v>418</v>
      </c>
      <c r="K291" s="10">
        <f t="shared" si="20"/>
        <v>921</v>
      </c>
      <c r="L291" s="10">
        <f t="shared" si="24"/>
        <v>920</v>
      </c>
      <c r="M291" s="10" t="s">
        <v>419</v>
      </c>
      <c r="N291" s="10" t="s">
        <v>324</v>
      </c>
      <c r="O291" s="10"/>
      <c r="P291" s="10"/>
      <c r="Q291" s="111"/>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c r="EE291" s="6"/>
      <c r="EF291" s="6"/>
      <c r="EG291" s="6"/>
      <c r="EH291" s="6"/>
      <c r="EI291" s="6"/>
      <c r="EJ291" s="6"/>
      <c r="EK291" s="6"/>
      <c r="EL291" s="6"/>
      <c r="EM291" s="6"/>
      <c r="EN291" s="6"/>
      <c r="EO291" s="6"/>
      <c r="EP291" s="6"/>
      <c r="EQ291" s="6"/>
      <c r="ER291" s="6"/>
      <c r="ES291" s="6"/>
      <c r="ET291" s="6"/>
      <c r="EU291" s="6"/>
      <c r="EV291" s="6"/>
      <c r="EW291" s="6"/>
      <c r="EX291" s="6"/>
      <c r="EY291" s="6"/>
      <c r="EZ291" s="6"/>
      <c r="FA291" s="6"/>
      <c r="FB291" s="6"/>
      <c r="FC291" s="6"/>
      <c r="FD291" s="6"/>
      <c r="FE291" s="6"/>
      <c r="FF291" s="6"/>
      <c r="FG291" s="6"/>
      <c r="FH291" s="6"/>
      <c r="FI291" s="6"/>
      <c r="FJ291" s="6"/>
      <c r="FK291" s="6"/>
      <c r="FL291" s="6"/>
      <c r="FM291" s="6"/>
      <c r="FN291" s="6"/>
      <c r="FO291" s="6"/>
      <c r="FP291" s="6"/>
      <c r="FQ291" s="6"/>
      <c r="FR291" s="6"/>
      <c r="FS291" s="6"/>
      <c r="FT291" s="6"/>
      <c r="FU291" s="6"/>
      <c r="FV291" s="6"/>
      <c r="FW291" s="6"/>
      <c r="FX291" s="6"/>
      <c r="FY291" s="6"/>
      <c r="FZ291" s="6"/>
      <c r="GA291" s="6"/>
      <c r="GB291" s="6"/>
      <c r="GC291" s="6"/>
      <c r="GD291" s="6"/>
      <c r="GE291" s="6"/>
      <c r="GF291" s="6"/>
      <c r="GG291" s="6"/>
      <c r="GH291" s="6"/>
      <c r="GI291" s="6"/>
      <c r="GJ291" s="6"/>
      <c r="GK291" s="6"/>
      <c r="GL291" s="6"/>
      <c r="GM291" s="6"/>
      <c r="GN291" s="6"/>
      <c r="GO291" s="6"/>
      <c r="GP291" s="6"/>
      <c r="GQ291" s="6"/>
      <c r="GR291" s="6"/>
      <c r="GS291" s="6"/>
      <c r="GT291" s="6"/>
      <c r="GU291" s="6"/>
      <c r="GV291" s="6"/>
      <c r="GW291" s="6"/>
      <c r="GX291" s="6"/>
      <c r="GY291" s="6"/>
      <c r="GZ291" s="6"/>
      <c r="HA291" s="6"/>
      <c r="HB291" s="6"/>
      <c r="HC291" s="6"/>
      <c r="HD291" s="6"/>
      <c r="HE291" s="6"/>
      <c r="HF291" s="6"/>
      <c r="HG291" s="6"/>
      <c r="HH291" s="6"/>
      <c r="HI291" s="6"/>
      <c r="HJ291" s="6"/>
      <c r="HK291" s="6"/>
      <c r="HL291" s="6"/>
      <c r="HM291" s="6"/>
      <c r="HN291" s="6"/>
      <c r="HO291" s="6"/>
      <c r="HP291" s="6"/>
      <c r="HQ291" s="6"/>
      <c r="HR291" s="6"/>
    </row>
    <row r="292" spans="1:226" s="47" customFormat="1" x14ac:dyDescent="0.3">
      <c r="A292" s="6"/>
      <c r="B292" s="10" t="s">
        <v>465</v>
      </c>
      <c r="C292" s="10" t="s">
        <v>321</v>
      </c>
      <c r="D292" s="10">
        <v>2</v>
      </c>
      <c r="E292" s="10">
        <f t="shared" si="23"/>
        <v>1</v>
      </c>
      <c r="F292" s="10">
        <v>0</v>
      </c>
      <c r="G292" s="10">
        <v>65535</v>
      </c>
      <c r="H292" s="10">
        <v>1</v>
      </c>
      <c r="I292" s="10">
        <v>1</v>
      </c>
      <c r="J292" s="10" t="s">
        <v>418</v>
      </c>
      <c r="K292" s="10">
        <f t="shared" si="20"/>
        <v>922</v>
      </c>
      <c r="L292" s="10">
        <f t="shared" si="24"/>
        <v>921</v>
      </c>
      <c r="M292" s="10" t="s">
        <v>419</v>
      </c>
      <c r="N292" s="10" t="s">
        <v>324</v>
      </c>
      <c r="O292" s="10"/>
      <c r="P292" s="10"/>
      <c r="Q292" s="111"/>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6"/>
      <c r="EH292" s="6"/>
      <c r="EI292" s="6"/>
      <c r="EJ292" s="6"/>
      <c r="EK292" s="6"/>
      <c r="EL292" s="6"/>
      <c r="EM292" s="6"/>
      <c r="EN292" s="6"/>
      <c r="EO292" s="6"/>
      <c r="EP292" s="6"/>
      <c r="EQ292" s="6"/>
      <c r="ER292" s="6"/>
      <c r="ES292" s="6"/>
      <c r="ET292" s="6"/>
      <c r="EU292" s="6"/>
      <c r="EV292" s="6"/>
      <c r="EW292" s="6"/>
      <c r="EX292" s="6"/>
      <c r="EY292" s="6"/>
      <c r="EZ292" s="6"/>
      <c r="FA292" s="6"/>
      <c r="FB292" s="6"/>
      <c r="FC292" s="6"/>
      <c r="FD292" s="6"/>
      <c r="FE292" s="6"/>
      <c r="FF292" s="6"/>
      <c r="FG292" s="6"/>
      <c r="FH292" s="6"/>
      <c r="FI292" s="6"/>
      <c r="FJ292" s="6"/>
      <c r="FK292" s="6"/>
      <c r="FL292" s="6"/>
      <c r="FM292" s="6"/>
      <c r="FN292" s="6"/>
      <c r="FO292" s="6"/>
      <c r="FP292" s="6"/>
      <c r="FQ292" s="6"/>
      <c r="FR292" s="6"/>
      <c r="FS292" s="6"/>
      <c r="FT292" s="6"/>
      <c r="FU292" s="6"/>
      <c r="FV292" s="6"/>
      <c r="FW292" s="6"/>
      <c r="FX292" s="6"/>
      <c r="FY292" s="6"/>
      <c r="FZ292" s="6"/>
      <c r="GA292" s="6"/>
      <c r="GB292" s="6"/>
      <c r="GC292" s="6"/>
      <c r="GD292" s="6"/>
      <c r="GE292" s="6"/>
      <c r="GF292" s="6"/>
      <c r="GG292" s="6"/>
      <c r="GH292" s="6"/>
      <c r="GI292" s="6"/>
      <c r="GJ292" s="6"/>
      <c r="GK292" s="6"/>
      <c r="GL292" s="6"/>
      <c r="GM292" s="6"/>
      <c r="GN292" s="6"/>
      <c r="GO292" s="6"/>
      <c r="GP292" s="6"/>
      <c r="GQ292" s="6"/>
      <c r="GR292" s="6"/>
      <c r="GS292" s="6"/>
      <c r="GT292" s="6"/>
      <c r="GU292" s="6"/>
      <c r="GV292" s="6"/>
      <c r="GW292" s="6"/>
      <c r="GX292" s="6"/>
      <c r="GY292" s="6"/>
      <c r="GZ292" s="6"/>
      <c r="HA292" s="6"/>
      <c r="HB292" s="6"/>
      <c r="HC292" s="6"/>
      <c r="HD292" s="6"/>
      <c r="HE292" s="6"/>
      <c r="HF292" s="6"/>
      <c r="HG292" s="6"/>
      <c r="HH292" s="6"/>
      <c r="HI292" s="6"/>
      <c r="HJ292" s="6"/>
      <c r="HK292" s="6"/>
      <c r="HL292" s="6"/>
      <c r="HM292" s="6"/>
      <c r="HN292" s="6"/>
      <c r="HO292" s="6"/>
      <c r="HP292" s="6"/>
      <c r="HQ292" s="6"/>
      <c r="HR292" s="6"/>
    </row>
    <row r="293" spans="1:226" s="47" customFormat="1" x14ac:dyDescent="0.3">
      <c r="A293" s="6"/>
      <c r="B293" s="10" t="s">
        <v>466</v>
      </c>
      <c r="C293" s="10" t="s">
        <v>321</v>
      </c>
      <c r="D293" s="10">
        <v>2</v>
      </c>
      <c r="E293" s="10">
        <f t="shared" si="23"/>
        <v>1</v>
      </c>
      <c r="F293" s="10">
        <v>0</v>
      </c>
      <c r="G293" s="10">
        <v>65535</v>
      </c>
      <c r="H293" s="10">
        <v>1</v>
      </c>
      <c r="I293" s="10">
        <v>1</v>
      </c>
      <c r="J293" s="10" t="s">
        <v>418</v>
      </c>
      <c r="K293" s="10">
        <f t="shared" si="20"/>
        <v>923</v>
      </c>
      <c r="L293" s="10">
        <f t="shared" si="24"/>
        <v>922</v>
      </c>
      <c r="M293" s="10" t="s">
        <v>419</v>
      </c>
      <c r="N293" s="10" t="s">
        <v>324</v>
      </c>
      <c r="O293" s="10"/>
      <c r="P293" s="10"/>
      <c r="Q293" s="111"/>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c r="EE293" s="6"/>
      <c r="EF293" s="6"/>
      <c r="EG293" s="6"/>
      <c r="EH293" s="6"/>
      <c r="EI293" s="6"/>
      <c r="EJ293" s="6"/>
      <c r="EK293" s="6"/>
      <c r="EL293" s="6"/>
      <c r="EM293" s="6"/>
      <c r="EN293" s="6"/>
      <c r="EO293" s="6"/>
      <c r="EP293" s="6"/>
      <c r="EQ293" s="6"/>
      <c r="ER293" s="6"/>
      <c r="ES293" s="6"/>
      <c r="ET293" s="6"/>
      <c r="EU293" s="6"/>
      <c r="EV293" s="6"/>
      <c r="EW293" s="6"/>
      <c r="EX293" s="6"/>
      <c r="EY293" s="6"/>
      <c r="EZ293" s="6"/>
      <c r="FA293" s="6"/>
      <c r="FB293" s="6"/>
      <c r="FC293" s="6"/>
      <c r="FD293" s="6"/>
      <c r="FE293" s="6"/>
      <c r="FF293" s="6"/>
      <c r="FG293" s="6"/>
      <c r="FH293" s="6"/>
      <c r="FI293" s="6"/>
      <c r="FJ293" s="6"/>
      <c r="FK293" s="6"/>
      <c r="FL293" s="6"/>
      <c r="FM293" s="6"/>
      <c r="FN293" s="6"/>
      <c r="FO293" s="6"/>
      <c r="FP293" s="6"/>
      <c r="FQ293" s="6"/>
      <c r="FR293" s="6"/>
      <c r="FS293" s="6"/>
      <c r="FT293" s="6"/>
      <c r="FU293" s="6"/>
      <c r="FV293" s="6"/>
      <c r="FW293" s="6"/>
      <c r="FX293" s="6"/>
      <c r="FY293" s="6"/>
      <c r="FZ293" s="6"/>
      <c r="GA293" s="6"/>
      <c r="GB293" s="6"/>
      <c r="GC293" s="6"/>
      <c r="GD293" s="6"/>
      <c r="GE293" s="6"/>
      <c r="GF293" s="6"/>
      <c r="GG293" s="6"/>
      <c r="GH293" s="6"/>
      <c r="GI293" s="6"/>
      <c r="GJ293" s="6"/>
      <c r="GK293" s="6"/>
      <c r="GL293" s="6"/>
      <c r="GM293" s="6"/>
      <c r="GN293" s="6"/>
      <c r="GO293" s="6"/>
      <c r="GP293" s="6"/>
      <c r="GQ293" s="6"/>
      <c r="GR293" s="6"/>
      <c r="GS293" s="6"/>
      <c r="GT293" s="6"/>
      <c r="GU293" s="6"/>
      <c r="GV293" s="6"/>
      <c r="GW293" s="6"/>
      <c r="GX293" s="6"/>
      <c r="GY293" s="6"/>
      <c r="GZ293" s="6"/>
      <c r="HA293" s="6"/>
      <c r="HB293" s="6"/>
      <c r="HC293" s="6"/>
      <c r="HD293" s="6"/>
      <c r="HE293" s="6"/>
      <c r="HF293" s="6"/>
      <c r="HG293" s="6"/>
      <c r="HH293" s="6"/>
      <c r="HI293" s="6"/>
      <c r="HJ293" s="6"/>
      <c r="HK293" s="6"/>
      <c r="HL293" s="6"/>
      <c r="HM293" s="6"/>
      <c r="HN293" s="6"/>
      <c r="HO293" s="6"/>
      <c r="HP293" s="6"/>
      <c r="HQ293" s="6"/>
      <c r="HR293" s="6"/>
    </row>
    <row r="294" spans="1:226" s="47" customFormat="1" x14ac:dyDescent="0.3">
      <c r="A294" s="6"/>
      <c r="B294" s="10" t="s">
        <v>467</v>
      </c>
      <c r="C294" s="10" t="s">
        <v>321</v>
      </c>
      <c r="D294" s="10">
        <v>2</v>
      </c>
      <c r="E294" s="10">
        <f t="shared" si="23"/>
        <v>1</v>
      </c>
      <c r="F294" s="10">
        <v>0</v>
      </c>
      <c r="G294" s="10">
        <v>65535</v>
      </c>
      <c r="H294" s="10">
        <v>1</v>
      </c>
      <c r="I294" s="10">
        <v>1</v>
      </c>
      <c r="J294" s="10" t="s">
        <v>418</v>
      </c>
      <c r="K294" s="10">
        <f t="shared" si="20"/>
        <v>924</v>
      </c>
      <c r="L294" s="10">
        <f t="shared" si="24"/>
        <v>923</v>
      </c>
      <c r="M294" s="10" t="s">
        <v>419</v>
      </c>
      <c r="N294" s="10" t="s">
        <v>324</v>
      </c>
      <c r="O294" s="10"/>
      <c r="P294" s="10"/>
      <c r="Q294" s="111"/>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c r="EE294" s="6"/>
      <c r="EF294" s="6"/>
      <c r="EG294" s="6"/>
      <c r="EH294" s="6"/>
      <c r="EI294" s="6"/>
      <c r="EJ294" s="6"/>
      <c r="EK294" s="6"/>
      <c r="EL294" s="6"/>
      <c r="EM294" s="6"/>
      <c r="EN294" s="6"/>
      <c r="EO294" s="6"/>
      <c r="EP294" s="6"/>
      <c r="EQ294" s="6"/>
      <c r="ER294" s="6"/>
      <c r="ES294" s="6"/>
      <c r="ET294" s="6"/>
      <c r="EU294" s="6"/>
      <c r="EV294" s="6"/>
      <c r="EW294" s="6"/>
      <c r="EX294" s="6"/>
      <c r="EY294" s="6"/>
      <c r="EZ294" s="6"/>
      <c r="FA294" s="6"/>
      <c r="FB294" s="6"/>
      <c r="FC294" s="6"/>
      <c r="FD294" s="6"/>
      <c r="FE294" s="6"/>
      <c r="FF294" s="6"/>
      <c r="FG294" s="6"/>
      <c r="FH294" s="6"/>
      <c r="FI294" s="6"/>
      <c r="FJ294" s="6"/>
      <c r="FK294" s="6"/>
      <c r="FL294" s="6"/>
      <c r="FM294" s="6"/>
      <c r="FN294" s="6"/>
      <c r="FO294" s="6"/>
      <c r="FP294" s="6"/>
      <c r="FQ294" s="6"/>
      <c r="FR294" s="6"/>
      <c r="FS294" s="6"/>
      <c r="FT294" s="6"/>
      <c r="FU294" s="6"/>
      <c r="FV294" s="6"/>
      <c r="FW294" s="6"/>
      <c r="FX294" s="6"/>
      <c r="FY294" s="6"/>
      <c r="FZ294" s="6"/>
      <c r="GA294" s="6"/>
      <c r="GB294" s="6"/>
      <c r="GC294" s="6"/>
      <c r="GD294" s="6"/>
      <c r="GE294" s="6"/>
      <c r="GF294" s="6"/>
      <c r="GG294" s="6"/>
      <c r="GH294" s="6"/>
      <c r="GI294" s="6"/>
      <c r="GJ294" s="6"/>
      <c r="GK294" s="6"/>
      <c r="GL294" s="6"/>
      <c r="GM294" s="6"/>
      <c r="GN294" s="6"/>
      <c r="GO294" s="6"/>
      <c r="GP294" s="6"/>
      <c r="GQ294" s="6"/>
      <c r="GR294" s="6"/>
      <c r="GS294" s="6"/>
      <c r="GT294" s="6"/>
      <c r="GU294" s="6"/>
      <c r="GV294" s="6"/>
      <c r="GW294" s="6"/>
      <c r="GX294" s="6"/>
      <c r="GY294" s="6"/>
      <c r="GZ294" s="6"/>
      <c r="HA294" s="6"/>
      <c r="HB294" s="6"/>
      <c r="HC294" s="6"/>
      <c r="HD294" s="6"/>
      <c r="HE294" s="6"/>
      <c r="HF294" s="6"/>
      <c r="HG294" s="6"/>
      <c r="HH294" s="6"/>
      <c r="HI294" s="6"/>
      <c r="HJ294" s="6"/>
      <c r="HK294" s="6"/>
      <c r="HL294" s="6"/>
      <c r="HM294" s="6"/>
      <c r="HN294" s="6"/>
      <c r="HO294" s="6"/>
      <c r="HP294" s="6"/>
      <c r="HQ294" s="6"/>
      <c r="HR294" s="6"/>
    </row>
    <row r="295" spans="1:226" s="47" customFormat="1" x14ac:dyDescent="0.3">
      <c r="A295" s="6"/>
      <c r="B295" s="10" t="s">
        <v>468</v>
      </c>
      <c r="C295" s="10" t="s">
        <v>321</v>
      </c>
      <c r="D295" s="10">
        <v>2</v>
      </c>
      <c r="E295" s="10">
        <f t="shared" si="23"/>
        <v>1</v>
      </c>
      <c r="F295" s="10">
        <v>0</v>
      </c>
      <c r="G295" s="10">
        <v>65535</v>
      </c>
      <c r="H295" s="10">
        <v>1</v>
      </c>
      <c r="I295" s="10">
        <v>1</v>
      </c>
      <c r="J295" s="10" t="s">
        <v>418</v>
      </c>
      <c r="K295" s="10">
        <f t="shared" si="20"/>
        <v>925</v>
      </c>
      <c r="L295" s="10">
        <f t="shared" si="24"/>
        <v>924</v>
      </c>
      <c r="M295" s="10" t="s">
        <v>419</v>
      </c>
      <c r="N295" s="10" t="s">
        <v>324</v>
      </c>
      <c r="O295" s="10"/>
      <c r="P295" s="10"/>
      <c r="Q295" s="111"/>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6"/>
      <c r="DO295" s="6"/>
      <c r="DP295" s="6"/>
      <c r="DQ295" s="6"/>
      <c r="DR295" s="6"/>
      <c r="DS295" s="6"/>
      <c r="DT295" s="6"/>
      <c r="DU295" s="6"/>
      <c r="DV295" s="6"/>
      <c r="DW295" s="6"/>
      <c r="DX295" s="6"/>
      <c r="DY295" s="6"/>
      <c r="DZ295" s="6"/>
      <c r="EA295" s="6"/>
      <c r="EB295" s="6"/>
      <c r="EC295" s="6"/>
      <c r="ED295" s="6"/>
      <c r="EE295" s="6"/>
      <c r="EF295" s="6"/>
      <c r="EG295" s="6"/>
      <c r="EH295" s="6"/>
      <c r="EI295" s="6"/>
      <c r="EJ295" s="6"/>
      <c r="EK295" s="6"/>
      <c r="EL295" s="6"/>
      <c r="EM295" s="6"/>
      <c r="EN295" s="6"/>
      <c r="EO295" s="6"/>
      <c r="EP295" s="6"/>
      <c r="EQ295" s="6"/>
      <c r="ER295" s="6"/>
      <c r="ES295" s="6"/>
      <c r="ET295" s="6"/>
      <c r="EU295" s="6"/>
      <c r="EV295" s="6"/>
      <c r="EW295" s="6"/>
      <c r="EX295" s="6"/>
      <c r="EY295" s="6"/>
      <c r="EZ295" s="6"/>
      <c r="FA295" s="6"/>
      <c r="FB295" s="6"/>
      <c r="FC295" s="6"/>
      <c r="FD295" s="6"/>
      <c r="FE295" s="6"/>
      <c r="FF295" s="6"/>
      <c r="FG295" s="6"/>
      <c r="FH295" s="6"/>
      <c r="FI295" s="6"/>
      <c r="FJ295" s="6"/>
      <c r="FK295" s="6"/>
      <c r="FL295" s="6"/>
      <c r="FM295" s="6"/>
      <c r="FN295" s="6"/>
      <c r="FO295" s="6"/>
      <c r="FP295" s="6"/>
      <c r="FQ295" s="6"/>
      <c r="FR295" s="6"/>
      <c r="FS295" s="6"/>
      <c r="FT295" s="6"/>
      <c r="FU295" s="6"/>
      <c r="FV295" s="6"/>
      <c r="FW295" s="6"/>
      <c r="FX295" s="6"/>
      <c r="FY295" s="6"/>
      <c r="FZ295" s="6"/>
      <c r="GA295" s="6"/>
      <c r="GB295" s="6"/>
      <c r="GC295" s="6"/>
      <c r="GD295" s="6"/>
      <c r="GE295" s="6"/>
      <c r="GF295" s="6"/>
      <c r="GG295" s="6"/>
      <c r="GH295" s="6"/>
      <c r="GI295" s="6"/>
      <c r="GJ295" s="6"/>
      <c r="GK295" s="6"/>
      <c r="GL295" s="6"/>
      <c r="GM295" s="6"/>
      <c r="GN295" s="6"/>
      <c r="GO295" s="6"/>
      <c r="GP295" s="6"/>
      <c r="GQ295" s="6"/>
      <c r="GR295" s="6"/>
      <c r="GS295" s="6"/>
      <c r="GT295" s="6"/>
      <c r="GU295" s="6"/>
      <c r="GV295" s="6"/>
      <c r="GW295" s="6"/>
      <c r="GX295" s="6"/>
      <c r="GY295" s="6"/>
      <c r="GZ295" s="6"/>
      <c r="HA295" s="6"/>
      <c r="HB295" s="6"/>
      <c r="HC295" s="6"/>
      <c r="HD295" s="6"/>
      <c r="HE295" s="6"/>
      <c r="HF295" s="6"/>
      <c r="HG295" s="6"/>
      <c r="HH295" s="6"/>
      <c r="HI295" s="6"/>
      <c r="HJ295" s="6"/>
      <c r="HK295" s="6"/>
      <c r="HL295" s="6"/>
      <c r="HM295" s="6"/>
      <c r="HN295" s="6"/>
      <c r="HO295" s="6"/>
      <c r="HP295" s="6"/>
      <c r="HQ295" s="6"/>
      <c r="HR295" s="6"/>
    </row>
    <row r="296" spans="1:226" x14ac:dyDescent="0.3">
      <c r="B296" s="10" t="s">
        <v>469</v>
      </c>
      <c r="C296" s="10" t="s">
        <v>321</v>
      </c>
      <c r="D296" s="10">
        <v>2</v>
      </c>
      <c r="E296" s="10">
        <f t="shared" si="23"/>
        <v>1</v>
      </c>
      <c r="F296" s="10">
        <v>0</v>
      </c>
      <c r="G296" s="10">
        <v>65535</v>
      </c>
      <c r="H296" s="10">
        <v>1</v>
      </c>
      <c r="I296" s="10">
        <v>1</v>
      </c>
      <c r="J296" s="10" t="s">
        <v>418</v>
      </c>
      <c r="K296" s="10">
        <f t="shared" si="20"/>
        <v>926</v>
      </c>
      <c r="L296" s="10">
        <f t="shared" si="24"/>
        <v>925</v>
      </c>
      <c r="M296" s="10" t="s">
        <v>419</v>
      </c>
      <c r="N296" s="10" t="s">
        <v>324</v>
      </c>
      <c r="O296" s="10"/>
      <c r="P296" s="10"/>
      <c r="Q296" s="111"/>
    </row>
    <row r="297" spans="1:226" x14ac:dyDescent="0.3">
      <c r="B297" s="10" t="s">
        <v>470</v>
      </c>
      <c r="C297" s="10" t="s">
        <v>321</v>
      </c>
      <c r="D297" s="10">
        <v>2</v>
      </c>
      <c r="E297" s="10">
        <f t="shared" si="23"/>
        <v>1</v>
      </c>
      <c r="F297" s="10">
        <v>0</v>
      </c>
      <c r="G297" s="10">
        <v>65535</v>
      </c>
      <c r="H297" s="10">
        <v>1</v>
      </c>
      <c r="I297" s="10">
        <v>1</v>
      </c>
      <c r="J297" s="10" t="s">
        <v>418</v>
      </c>
      <c r="K297" s="10">
        <f t="shared" si="20"/>
        <v>927</v>
      </c>
      <c r="L297" s="10">
        <f t="shared" si="24"/>
        <v>926</v>
      </c>
      <c r="M297" s="10" t="s">
        <v>419</v>
      </c>
      <c r="N297" s="10" t="s">
        <v>324</v>
      </c>
      <c r="O297" s="10"/>
      <c r="P297" s="10"/>
      <c r="Q297" s="111"/>
    </row>
    <row r="298" spans="1:226" x14ac:dyDescent="0.3">
      <c r="B298" s="10" t="s">
        <v>471</v>
      </c>
      <c r="C298" s="10" t="s">
        <v>321</v>
      </c>
      <c r="D298" s="10">
        <v>2</v>
      </c>
      <c r="E298" s="10">
        <f t="shared" si="23"/>
        <v>1</v>
      </c>
      <c r="F298" s="10">
        <v>0</v>
      </c>
      <c r="G298" s="10">
        <v>65535</v>
      </c>
      <c r="H298" s="10">
        <v>1</v>
      </c>
      <c r="I298" s="10">
        <v>1</v>
      </c>
      <c r="J298" s="10" t="s">
        <v>418</v>
      </c>
      <c r="K298" s="10">
        <f t="shared" si="20"/>
        <v>928</v>
      </c>
      <c r="L298" s="10">
        <f t="shared" si="24"/>
        <v>927</v>
      </c>
      <c r="M298" s="10" t="s">
        <v>419</v>
      </c>
      <c r="N298" s="10" t="s">
        <v>324</v>
      </c>
      <c r="O298" s="10"/>
      <c r="P298" s="10"/>
      <c r="Q298" s="111"/>
    </row>
    <row r="299" spans="1:226" x14ac:dyDescent="0.3">
      <c r="B299" s="10" t="s">
        <v>472</v>
      </c>
      <c r="C299" s="10" t="s">
        <v>321</v>
      </c>
      <c r="D299" s="10">
        <v>2</v>
      </c>
      <c r="E299" s="10">
        <f t="shared" si="23"/>
        <v>1</v>
      </c>
      <c r="F299" s="10">
        <v>0</v>
      </c>
      <c r="G299" s="10">
        <v>65535</v>
      </c>
      <c r="H299" s="10">
        <v>1</v>
      </c>
      <c r="I299" s="10">
        <v>1</v>
      </c>
      <c r="J299" s="10" t="s">
        <v>418</v>
      </c>
      <c r="K299" s="10">
        <f t="shared" si="20"/>
        <v>929</v>
      </c>
      <c r="L299" s="10">
        <f t="shared" si="24"/>
        <v>928</v>
      </c>
      <c r="M299" s="10" t="s">
        <v>419</v>
      </c>
      <c r="N299" s="10" t="s">
        <v>324</v>
      </c>
      <c r="O299" s="10"/>
      <c r="P299" s="10"/>
      <c r="Q299" s="111"/>
    </row>
    <row r="300" spans="1:226" x14ac:dyDescent="0.3">
      <c r="B300" s="10" t="s">
        <v>473</v>
      </c>
      <c r="C300" s="10" t="s">
        <v>321</v>
      </c>
      <c r="D300" s="10">
        <v>2</v>
      </c>
      <c r="E300" s="10">
        <f t="shared" si="23"/>
        <v>1</v>
      </c>
      <c r="F300" s="10">
        <v>0</v>
      </c>
      <c r="G300" s="10">
        <v>65535</v>
      </c>
      <c r="H300" s="10">
        <v>1</v>
      </c>
      <c r="I300" s="10">
        <v>1</v>
      </c>
      <c r="J300" s="10" t="s">
        <v>418</v>
      </c>
      <c r="K300" s="10">
        <f t="shared" si="20"/>
        <v>930</v>
      </c>
      <c r="L300" s="10">
        <f t="shared" si="24"/>
        <v>929</v>
      </c>
      <c r="M300" s="10" t="s">
        <v>419</v>
      </c>
      <c r="N300" s="10" t="s">
        <v>324</v>
      </c>
      <c r="O300" s="10"/>
      <c r="P300" s="10"/>
      <c r="Q300" s="111"/>
    </row>
    <row r="301" spans="1:226" x14ac:dyDescent="0.3">
      <c r="B301" s="10" t="s">
        <v>474</v>
      </c>
      <c r="C301" s="10" t="s">
        <v>321</v>
      </c>
      <c r="D301" s="10">
        <v>2</v>
      </c>
      <c r="E301" s="10">
        <f t="shared" si="23"/>
        <v>1</v>
      </c>
      <c r="F301" s="10">
        <v>0</v>
      </c>
      <c r="G301" s="10">
        <v>65535</v>
      </c>
      <c r="H301" s="10">
        <v>1</v>
      </c>
      <c r="I301" s="10">
        <v>1</v>
      </c>
      <c r="J301" s="10" t="s">
        <v>418</v>
      </c>
      <c r="K301" s="10">
        <f t="shared" si="20"/>
        <v>931</v>
      </c>
      <c r="L301" s="10">
        <f t="shared" si="24"/>
        <v>930</v>
      </c>
      <c r="M301" s="10" t="s">
        <v>419</v>
      </c>
      <c r="N301" s="10" t="s">
        <v>324</v>
      </c>
      <c r="O301" s="10"/>
      <c r="P301" s="10"/>
      <c r="Q301" s="111"/>
    </row>
    <row r="302" spans="1:226" x14ac:dyDescent="0.3">
      <c r="B302" s="10" t="s">
        <v>475</v>
      </c>
      <c r="C302" s="10" t="s">
        <v>321</v>
      </c>
      <c r="D302" s="10">
        <v>2</v>
      </c>
      <c r="E302" s="10">
        <f t="shared" si="23"/>
        <v>1</v>
      </c>
      <c r="F302" s="10">
        <v>0</v>
      </c>
      <c r="G302" s="10">
        <v>65535</v>
      </c>
      <c r="H302" s="10">
        <v>1</v>
      </c>
      <c r="I302" s="10">
        <v>1</v>
      </c>
      <c r="J302" s="10" t="s">
        <v>418</v>
      </c>
      <c r="K302" s="10">
        <f t="shared" si="20"/>
        <v>932</v>
      </c>
      <c r="L302" s="10">
        <f t="shared" si="24"/>
        <v>931</v>
      </c>
      <c r="M302" s="10" t="s">
        <v>419</v>
      </c>
      <c r="N302" s="10" t="s">
        <v>324</v>
      </c>
      <c r="O302" s="10"/>
      <c r="P302" s="10"/>
      <c r="Q302" s="111"/>
    </row>
    <row r="303" spans="1:226" x14ac:dyDescent="0.3">
      <c r="B303" s="10" t="s">
        <v>476</v>
      </c>
      <c r="C303" s="10" t="s">
        <v>321</v>
      </c>
      <c r="D303" s="10">
        <v>2</v>
      </c>
      <c r="E303" s="10">
        <f t="shared" si="23"/>
        <v>1</v>
      </c>
      <c r="F303" s="10">
        <v>0</v>
      </c>
      <c r="G303" s="10">
        <v>65535</v>
      </c>
      <c r="H303" s="10">
        <v>1</v>
      </c>
      <c r="I303" s="10">
        <v>1</v>
      </c>
      <c r="J303" s="10" t="s">
        <v>418</v>
      </c>
      <c r="K303" s="10">
        <f t="shared" si="20"/>
        <v>933</v>
      </c>
      <c r="L303" s="10">
        <f t="shared" si="24"/>
        <v>932</v>
      </c>
      <c r="M303" s="10" t="s">
        <v>419</v>
      </c>
      <c r="N303" s="10" t="s">
        <v>324</v>
      </c>
      <c r="O303" s="10"/>
      <c r="P303" s="10"/>
      <c r="Q303" s="111"/>
    </row>
    <row r="304" spans="1:226" x14ac:dyDescent="0.3">
      <c r="B304" s="10" t="s">
        <v>477</v>
      </c>
      <c r="C304" s="10" t="s">
        <v>321</v>
      </c>
      <c r="D304" s="10">
        <v>2</v>
      </c>
      <c r="E304" s="10">
        <f t="shared" si="23"/>
        <v>1</v>
      </c>
      <c r="F304" s="10">
        <v>0</v>
      </c>
      <c r="G304" s="10">
        <v>65535</v>
      </c>
      <c r="H304" s="10">
        <v>1</v>
      </c>
      <c r="I304" s="10">
        <v>1</v>
      </c>
      <c r="J304" s="10" t="s">
        <v>418</v>
      </c>
      <c r="K304" s="10">
        <f t="shared" si="20"/>
        <v>934</v>
      </c>
      <c r="L304" s="10">
        <f t="shared" si="24"/>
        <v>933</v>
      </c>
      <c r="M304" s="10" t="s">
        <v>419</v>
      </c>
      <c r="N304" s="10" t="s">
        <v>324</v>
      </c>
      <c r="O304" s="10"/>
      <c r="P304" s="10"/>
      <c r="Q304" s="111"/>
    </row>
    <row r="305" spans="2:17" x14ac:dyDescent="0.3">
      <c r="B305" s="10" t="s">
        <v>478</v>
      </c>
      <c r="C305" s="10" t="s">
        <v>321</v>
      </c>
      <c r="D305" s="10">
        <v>2</v>
      </c>
      <c r="E305" s="10">
        <f t="shared" si="23"/>
        <v>1</v>
      </c>
      <c r="F305" s="10">
        <v>0</v>
      </c>
      <c r="G305" s="10">
        <v>65535</v>
      </c>
      <c r="H305" s="10">
        <v>1</v>
      </c>
      <c r="I305" s="10">
        <v>1</v>
      </c>
      <c r="J305" s="10" t="s">
        <v>418</v>
      </c>
      <c r="K305" s="10">
        <f t="shared" si="20"/>
        <v>935</v>
      </c>
      <c r="L305" s="10">
        <f t="shared" si="24"/>
        <v>934</v>
      </c>
      <c r="M305" s="10" t="s">
        <v>419</v>
      </c>
      <c r="N305" s="10" t="s">
        <v>324</v>
      </c>
      <c r="O305" s="10"/>
      <c r="P305" s="10"/>
      <c r="Q305" s="111"/>
    </row>
    <row r="306" spans="2:17" x14ac:dyDescent="0.3">
      <c r="B306" s="10" t="s">
        <v>479</v>
      </c>
      <c r="C306" s="10" t="s">
        <v>321</v>
      </c>
      <c r="D306" s="10">
        <v>2</v>
      </c>
      <c r="E306" s="10">
        <f t="shared" si="23"/>
        <v>1</v>
      </c>
      <c r="F306" s="10">
        <v>0</v>
      </c>
      <c r="G306" s="10">
        <v>65535</v>
      </c>
      <c r="H306" s="10">
        <v>1</v>
      </c>
      <c r="I306" s="10">
        <v>1</v>
      </c>
      <c r="J306" s="10" t="s">
        <v>418</v>
      </c>
      <c r="K306" s="10">
        <f t="shared" si="20"/>
        <v>936</v>
      </c>
      <c r="L306" s="10">
        <f t="shared" si="24"/>
        <v>935</v>
      </c>
      <c r="M306" s="10" t="s">
        <v>419</v>
      </c>
      <c r="N306" s="10" t="s">
        <v>324</v>
      </c>
      <c r="O306" s="10"/>
      <c r="P306" s="10"/>
      <c r="Q306" s="111"/>
    </row>
    <row r="307" spans="2:17" x14ac:dyDescent="0.3">
      <c r="B307" s="10" t="s">
        <v>480</v>
      </c>
      <c r="C307" s="10" t="s">
        <v>321</v>
      </c>
      <c r="D307" s="10">
        <v>2</v>
      </c>
      <c r="E307" s="10">
        <f t="shared" si="23"/>
        <v>1</v>
      </c>
      <c r="F307" s="10">
        <v>0</v>
      </c>
      <c r="G307" s="10">
        <v>65535</v>
      </c>
      <c r="H307" s="10">
        <v>1</v>
      </c>
      <c r="I307" s="10">
        <v>1</v>
      </c>
      <c r="J307" s="10" t="s">
        <v>418</v>
      </c>
      <c r="K307" s="10">
        <f t="shared" si="20"/>
        <v>937</v>
      </c>
      <c r="L307" s="10">
        <f t="shared" si="24"/>
        <v>936</v>
      </c>
      <c r="M307" s="10" t="s">
        <v>419</v>
      </c>
      <c r="N307" s="10" t="s">
        <v>324</v>
      </c>
      <c r="O307" s="10"/>
      <c r="P307" s="10"/>
      <c r="Q307" s="111"/>
    </row>
    <row r="308" spans="2:17" x14ac:dyDescent="0.3">
      <c r="B308" s="10" t="s">
        <v>481</v>
      </c>
      <c r="C308" s="10" t="s">
        <v>321</v>
      </c>
      <c r="D308" s="10">
        <v>2</v>
      </c>
      <c r="E308" s="10">
        <f t="shared" si="23"/>
        <v>1</v>
      </c>
      <c r="F308" s="10">
        <v>0</v>
      </c>
      <c r="G308" s="10">
        <v>65535</v>
      </c>
      <c r="H308" s="10">
        <v>1</v>
      </c>
      <c r="I308" s="10">
        <v>1</v>
      </c>
      <c r="J308" s="10" t="s">
        <v>418</v>
      </c>
      <c r="K308" s="10">
        <f t="shared" si="20"/>
        <v>938</v>
      </c>
      <c r="L308" s="10">
        <f t="shared" si="24"/>
        <v>937</v>
      </c>
      <c r="M308" s="10" t="s">
        <v>419</v>
      </c>
      <c r="N308" s="10" t="s">
        <v>324</v>
      </c>
      <c r="O308" s="10"/>
      <c r="P308" s="10"/>
      <c r="Q308" s="111"/>
    </row>
    <row r="309" spans="2:17" x14ac:dyDescent="0.3">
      <c r="B309" s="10" t="s">
        <v>482</v>
      </c>
      <c r="C309" s="10" t="s">
        <v>321</v>
      </c>
      <c r="D309" s="10">
        <v>2</v>
      </c>
      <c r="E309" s="10">
        <f t="shared" si="23"/>
        <v>1</v>
      </c>
      <c r="F309" s="10">
        <v>0</v>
      </c>
      <c r="G309" s="10">
        <v>65535</v>
      </c>
      <c r="H309" s="10">
        <v>1</v>
      </c>
      <c r="I309" s="10">
        <v>1</v>
      </c>
      <c r="J309" s="10" t="s">
        <v>418</v>
      </c>
      <c r="K309" s="10">
        <f t="shared" si="20"/>
        <v>939</v>
      </c>
      <c r="L309" s="10">
        <f t="shared" si="24"/>
        <v>938</v>
      </c>
      <c r="M309" s="10" t="s">
        <v>419</v>
      </c>
      <c r="N309" s="10" t="s">
        <v>324</v>
      </c>
      <c r="O309" s="10"/>
      <c r="P309" s="10"/>
      <c r="Q309" s="111"/>
    </row>
    <row r="310" spans="2:17" x14ac:dyDescent="0.3">
      <c r="B310" s="10" t="s">
        <v>483</v>
      </c>
      <c r="C310" s="10" t="s">
        <v>321</v>
      </c>
      <c r="D310" s="10">
        <v>2</v>
      </c>
      <c r="E310" s="10">
        <f t="shared" si="23"/>
        <v>1</v>
      </c>
      <c r="F310" s="10">
        <v>0</v>
      </c>
      <c r="G310" s="10">
        <v>65535</v>
      </c>
      <c r="H310" s="10">
        <v>1</v>
      </c>
      <c r="I310" s="10">
        <v>1</v>
      </c>
      <c r="J310" s="10" t="s">
        <v>418</v>
      </c>
      <c r="K310" s="10">
        <f t="shared" si="20"/>
        <v>940</v>
      </c>
      <c r="L310" s="10">
        <f t="shared" si="24"/>
        <v>939</v>
      </c>
      <c r="M310" s="10" t="s">
        <v>419</v>
      </c>
      <c r="N310" s="10" t="s">
        <v>324</v>
      </c>
      <c r="O310" s="10"/>
      <c r="P310" s="10"/>
      <c r="Q310" s="111"/>
    </row>
    <row r="311" spans="2:17" x14ac:dyDescent="0.3">
      <c r="B311" s="10" t="s">
        <v>484</v>
      </c>
      <c r="C311" s="10" t="s">
        <v>321</v>
      </c>
      <c r="D311" s="10">
        <v>2</v>
      </c>
      <c r="E311" s="10">
        <f t="shared" si="23"/>
        <v>1</v>
      </c>
      <c r="F311" s="10">
        <v>0</v>
      </c>
      <c r="G311" s="10">
        <v>65535</v>
      </c>
      <c r="H311" s="10">
        <v>1</v>
      </c>
      <c r="I311" s="10">
        <v>1</v>
      </c>
      <c r="J311" s="10" t="s">
        <v>418</v>
      </c>
      <c r="K311" s="10">
        <f t="shared" si="20"/>
        <v>941</v>
      </c>
      <c r="L311" s="10">
        <f t="shared" si="24"/>
        <v>940</v>
      </c>
      <c r="M311" s="10" t="s">
        <v>419</v>
      </c>
      <c r="N311" s="10" t="s">
        <v>324</v>
      </c>
      <c r="O311" s="10"/>
      <c r="P311" s="10"/>
      <c r="Q311" s="111"/>
    </row>
    <row r="312" spans="2:17" x14ac:dyDescent="0.3">
      <c r="B312" s="10" t="s">
        <v>485</v>
      </c>
      <c r="C312" s="10" t="s">
        <v>321</v>
      </c>
      <c r="D312" s="10">
        <v>2</v>
      </c>
      <c r="E312" s="10">
        <f t="shared" si="23"/>
        <v>1</v>
      </c>
      <c r="F312" s="10">
        <v>0</v>
      </c>
      <c r="G312" s="10">
        <v>65535</v>
      </c>
      <c r="H312" s="10">
        <v>1</v>
      </c>
      <c r="I312" s="10">
        <v>1</v>
      </c>
      <c r="J312" s="10" t="s">
        <v>418</v>
      </c>
      <c r="K312" s="10">
        <f t="shared" si="20"/>
        <v>942</v>
      </c>
      <c r="L312" s="10">
        <f t="shared" si="24"/>
        <v>941</v>
      </c>
      <c r="M312" s="10" t="s">
        <v>419</v>
      </c>
      <c r="N312" s="10" t="s">
        <v>324</v>
      </c>
      <c r="O312" s="10"/>
      <c r="P312" s="10"/>
      <c r="Q312" s="111"/>
    </row>
    <row r="313" spans="2:17" x14ac:dyDescent="0.3">
      <c r="B313" s="10" t="s">
        <v>486</v>
      </c>
      <c r="C313" s="10" t="s">
        <v>321</v>
      </c>
      <c r="D313" s="10">
        <v>2</v>
      </c>
      <c r="E313" s="10">
        <f t="shared" si="23"/>
        <v>1</v>
      </c>
      <c r="F313" s="10">
        <v>0</v>
      </c>
      <c r="G313" s="10">
        <v>65535</v>
      </c>
      <c r="H313" s="10">
        <v>1</v>
      </c>
      <c r="I313" s="10">
        <v>1</v>
      </c>
      <c r="J313" s="10" t="s">
        <v>418</v>
      </c>
      <c r="K313" s="10">
        <f t="shared" si="20"/>
        <v>943</v>
      </c>
      <c r="L313" s="10">
        <f t="shared" si="24"/>
        <v>942</v>
      </c>
      <c r="M313" s="10" t="s">
        <v>419</v>
      </c>
      <c r="N313" s="10" t="s">
        <v>324</v>
      </c>
      <c r="O313" s="10"/>
      <c r="P313" s="10"/>
      <c r="Q313" s="111"/>
    </row>
    <row r="314" spans="2:17" x14ac:dyDescent="0.3">
      <c r="B314" s="10" t="s">
        <v>487</v>
      </c>
      <c r="C314" s="10" t="s">
        <v>321</v>
      </c>
      <c r="D314" s="10">
        <v>2</v>
      </c>
      <c r="E314" s="10">
        <f t="shared" si="23"/>
        <v>1</v>
      </c>
      <c r="F314" s="10">
        <v>0</v>
      </c>
      <c r="G314" s="10">
        <v>65535</v>
      </c>
      <c r="H314" s="10">
        <v>1</v>
      </c>
      <c r="I314" s="10">
        <v>1</v>
      </c>
      <c r="J314" s="10" t="s">
        <v>418</v>
      </c>
      <c r="K314" s="10">
        <f t="shared" si="20"/>
        <v>944</v>
      </c>
      <c r="L314" s="10">
        <f t="shared" si="24"/>
        <v>943</v>
      </c>
      <c r="M314" s="10" t="s">
        <v>419</v>
      </c>
      <c r="N314" s="10" t="s">
        <v>324</v>
      </c>
      <c r="O314" s="10"/>
      <c r="P314" s="10"/>
      <c r="Q314" s="111"/>
    </row>
    <row r="315" spans="2:17" x14ac:dyDescent="0.3">
      <c r="B315" s="10" t="s">
        <v>488</v>
      </c>
      <c r="C315" s="10" t="s">
        <v>321</v>
      </c>
      <c r="D315" s="10">
        <v>2</v>
      </c>
      <c r="E315" s="10">
        <f t="shared" si="23"/>
        <v>1</v>
      </c>
      <c r="F315" s="10">
        <v>0</v>
      </c>
      <c r="G315" s="10">
        <v>65535</v>
      </c>
      <c r="H315" s="10">
        <v>1</v>
      </c>
      <c r="I315" s="10">
        <v>1</v>
      </c>
      <c r="J315" s="10" t="s">
        <v>418</v>
      </c>
      <c r="K315" s="10">
        <f t="shared" si="20"/>
        <v>945</v>
      </c>
      <c r="L315" s="10">
        <f t="shared" si="24"/>
        <v>944</v>
      </c>
      <c r="M315" s="10" t="s">
        <v>419</v>
      </c>
      <c r="N315" s="10" t="s">
        <v>324</v>
      </c>
      <c r="O315" s="10"/>
      <c r="P315" s="10"/>
      <c r="Q315" s="111"/>
    </row>
    <row r="316" spans="2:17" x14ac:dyDescent="0.3">
      <c r="B316" s="10" t="s">
        <v>489</v>
      </c>
      <c r="C316" s="10" t="s">
        <v>321</v>
      </c>
      <c r="D316" s="10">
        <v>2</v>
      </c>
      <c r="E316" s="10">
        <f t="shared" si="23"/>
        <v>1</v>
      </c>
      <c r="F316" s="10">
        <v>0</v>
      </c>
      <c r="G316" s="10">
        <v>65535</v>
      </c>
      <c r="H316" s="10">
        <v>1</v>
      </c>
      <c r="I316" s="10">
        <v>1</v>
      </c>
      <c r="J316" s="10" t="s">
        <v>418</v>
      </c>
      <c r="K316" s="10">
        <f t="shared" si="20"/>
        <v>946</v>
      </c>
      <c r="L316" s="10">
        <f t="shared" si="24"/>
        <v>945</v>
      </c>
      <c r="M316" s="10" t="s">
        <v>419</v>
      </c>
      <c r="N316" s="10" t="s">
        <v>324</v>
      </c>
      <c r="O316" s="10"/>
      <c r="P316" s="10"/>
      <c r="Q316" s="111"/>
    </row>
    <row r="317" spans="2:17" x14ac:dyDescent="0.3">
      <c r="B317" s="10" t="s">
        <v>490</v>
      </c>
      <c r="C317" s="10" t="s">
        <v>321</v>
      </c>
      <c r="D317" s="10">
        <v>2</v>
      </c>
      <c r="E317" s="10">
        <f t="shared" si="23"/>
        <v>1</v>
      </c>
      <c r="F317" s="10">
        <v>0</v>
      </c>
      <c r="G317" s="10">
        <v>65535</v>
      </c>
      <c r="H317" s="10">
        <v>1</v>
      </c>
      <c r="I317" s="10">
        <v>1</v>
      </c>
      <c r="J317" s="10" t="s">
        <v>418</v>
      </c>
      <c r="K317" s="10">
        <f t="shared" si="20"/>
        <v>947</v>
      </c>
      <c r="L317" s="10">
        <f t="shared" si="24"/>
        <v>946</v>
      </c>
      <c r="M317" s="10" t="s">
        <v>419</v>
      </c>
      <c r="N317" s="10" t="s">
        <v>324</v>
      </c>
      <c r="O317" s="10"/>
      <c r="P317" s="10"/>
      <c r="Q317" s="111"/>
    </row>
    <row r="318" spans="2:17" x14ac:dyDescent="0.3">
      <c r="B318" s="10" t="s">
        <v>491</v>
      </c>
      <c r="C318" s="10" t="s">
        <v>321</v>
      </c>
      <c r="D318" s="10">
        <v>2</v>
      </c>
      <c r="E318" s="10">
        <f t="shared" si="23"/>
        <v>1</v>
      </c>
      <c r="F318" s="10">
        <v>0</v>
      </c>
      <c r="G318" s="10">
        <v>65535</v>
      </c>
      <c r="H318" s="10">
        <v>1</v>
      </c>
      <c r="I318" s="10">
        <v>1</v>
      </c>
      <c r="J318" s="10" t="s">
        <v>418</v>
      </c>
      <c r="K318" s="10">
        <f t="shared" si="20"/>
        <v>948</v>
      </c>
      <c r="L318" s="10">
        <f t="shared" si="24"/>
        <v>947</v>
      </c>
      <c r="M318" s="10" t="s">
        <v>419</v>
      </c>
      <c r="N318" s="10" t="s">
        <v>324</v>
      </c>
      <c r="O318" s="10"/>
      <c r="P318" s="10"/>
      <c r="Q318" s="111"/>
    </row>
    <row r="319" spans="2:17" x14ac:dyDescent="0.3">
      <c r="B319" s="10" t="s">
        <v>492</v>
      </c>
      <c r="C319" s="10" t="s">
        <v>321</v>
      </c>
      <c r="D319" s="10">
        <v>2</v>
      </c>
      <c r="E319" s="10">
        <f t="shared" si="23"/>
        <v>1</v>
      </c>
      <c r="F319" s="10">
        <v>0</v>
      </c>
      <c r="G319" s="10">
        <v>65535</v>
      </c>
      <c r="H319" s="10">
        <v>1</v>
      </c>
      <c r="I319" s="10">
        <v>1</v>
      </c>
      <c r="J319" s="10" t="s">
        <v>418</v>
      </c>
      <c r="K319" s="10">
        <f t="shared" si="20"/>
        <v>949</v>
      </c>
      <c r="L319" s="10">
        <f t="shared" si="24"/>
        <v>948</v>
      </c>
      <c r="M319" s="10" t="s">
        <v>419</v>
      </c>
      <c r="N319" s="10" t="s">
        <v>324</v>
      </c>
      <c r="O319" s="10"/>
      <c r="P319" s="10"/>
      <c r="Q319" s="111"/>
    </row>
    <row r="320" spans="2:17" x14ac:dyDescent="0.3">
      <c r="B320" s="10" t="s">
        <v>493</v>
      </c>
      <c r="C320" s="10" t="s">
        <v>321</v>
      </c>
      <c r="D320" s="10">
        <v>2</v>
      </c>
      <c r="E320" s="10">
        <f t="shared" si="23"/>
        <v>1</v>
      </c>
      <c r="F320" s="10">
        <v>0</v>
      </c>
      <c r="G320" s="10">
        <v>65535</v>
      </c>
      <c r="H320" s="10">
        <v>1</v>
      </c>
      <c r="I320" s="10">
        <v>1</v>
      </c>
      <c r="J320" s="10" t="s">
        <v>418</v>
      </c>
      <c r="K320" s="10">
        <f t="shared" si="20"/>
        <v>950</v>
      </c>
      <c r="L320" s="10">
        <f t="shared" si="24"/>
        <v>949</v>
      </c>
      <c r="M320" s="10" t="s">
        <v>419</v>
      </c>
      <c r="N320" s="10" t="s">
        <v>324</v>
      </c>
      <c r="O320" s="10"/>
      <c r="P320" s="10"/>
      <c r="Q320" s="111"/>
    </row>
    <row r="321" spans="2:17" x14ac:dyDescent="0.3">
      <c r="B321" s="10" t="s">
        <v>494</v>
      </c>
      <c r="C321" s="10" t="s">
        <v>321</v>
      </c>
      <c r="D321" s="10">
        <v>2</v>
      </c>
      <c r="E321" s="10">
        <f t="shared" si="23"/>
        <v>1</v>
      </c>
      <c r="F321" s="10">
        <v>0</v>
      </c>
      <c r="G321" s="10">
        <v>65535</v>
      </c>
      <c r="H321" s="10">
        <v>1</v>
      </c>
      <c r="I321" s="10">
        <v>1</v>
      </c>
      <c r="J321" s="10" t="s">
        <v>418</v>
      </c>
      <c r="K321" s="10">
        <f t="shared" si="20"/>
        <v>951</v>
      </c>
      <c r="L321" s="10">
        <f t="shared" si="24"/>
        <v>950</v>
      </c>
      <c r="M321" s="10" t="s">
        <v>419</v>
      </c>
      <c r="N321" s="10" t="s">
        <v>324</v>
      </c>
      <c r="O321" s="10"/>
      <c r="P321" s="10"/>
      <c r="Q321" s="111"/>
    </row>
    <row r="322" spans="2:17" x14ac:dyDescent="0.3">
      <c r="B322" s="10" t="s">
        <v>495</v>
      </c>
      <c r="C322" s="10" t="s">
        <v>321</v>
      </c>
      <c r="D322" s="10">
        <v>2</v>
      </c>
      <c r="E322" s="10">
        <f t="shared" si="23"/>
        <v>1</v>
      </c>
      <c r="F322" s="10">
        <v>0</v>
      </c>
      <c r="G322" s="10">
        <v>65535</v>
      </c>
      <c r="H322" s="10">
        <v>1</v>
      </c>
      <c r="I322" s="10">
        <v>1</v>
      </c>
      <c r="J322" s="10" t="s">
        <v>418</v>
      </c>
      <c r="K322" s="10">
        <f t="shared" si="20"/>
        <v>952</v>
      </c>
      <c r="L322" s="10">
        <f t="shared" si="24"/>
        <v>951</v>
      </c>
      <c r="M322" s="10" t="s">
        <v>419</v>
      </c>
      <c r="N322" s="10" t="s">
        <v>324</v>
      </c>
      <c r="O322" s="10"/>
      <c r="P322" s="10"/>
      <c r="Q322" s="111"/>
    </row>
    <row r="323" spans="2:17" x14ac:dyDescent="0.3">
      <c r="B323" s="10" t="s">
        <v>496</v>
      </c>
      <c r="C323" s="10" t="s">
        <v>321</v>
      </c>
      <c r="D323" s="10">
        <v>2</v>
      </c>
      <c r="E323" s="10">
        <f t="shared" si="23"/>
        <v>1</v>
      </c>
      <c r="F323" s="10">
        <v>0</v>
      </c>
      <c r="G323" s="10">
        <v>65535</v>
      </c>
      <c r="H323" s="10">
        <v>1</v>
      </c>
      <c r="I323" s="10">
        <v>1</v>
      </c>
      <c r="J323" s="10" t="s">
        <v>418</v>
      </c>
      <c r="K323" s="10">
        <f t="shared" si="20"/>
        <v>953</v>
      </c>
      <c r="L323" s="10">
        <f t="shared" si="24"/>
        <v>952</v>
      </c>
      <c r="M323" s="10" t="s">
        <v>419</v>
      </c>
      <c r="N323" s="10" t="s">
        <v>324</v>
      </c>
      <c r="O323" s="10"/>
      <c r="P323" s="10"/>
      <c r="Q323" s="111"/>
    </row>
    <row r="324" spans="2:17" x14ac:dyDescent="0.3">
      <c r="B324" s="10" t="s">
        <v>497</v>
      </c>
      <c r="C324" s="10" t="s">
        <v>321</v>
      </c>
      <c r="D324" s="10">
        <v>2</v>
      </c>
      <c r="E324" s="10">
        <f t="shared" si="23"/>
        <v>1</v>
      </c>
      <c r="F324" s="10">
        <v>0</v>
      </c>
      <c r="G324" s="10">
        <v>65535</v>
      </c>
      <c r="H324" s="10">
        <v>1</v>
      </c>
      <c r="I324" s="10">
        <v>1</v>
      </c>
      <c r="J324" s="10" t="s">
        <v>418</v>
      </c>
      <c r="K324" s="10">
        <f t="shared" si="20"/>
        <v>954</v>
      </c>
      <c r="L324" s="10">
        <f t="shared" si="24"/>
        <v>953</v>
      </c>
      <c r="M324" s="10" t="s">
        <v>419</v>
      </c>
      <c r="N324" s="10" t="s">
        <v>324</v>
      </c>
      <c r="O324" s="10"/>
      <c r="P324" s="10"/>
      <c r="Q324" s="111"/>
    </row>
    <row r="325" spans="2:17" x14ac:dyDescent="0.3">
      <c r="B325" s="10" t="s">
        <v>498</v>
      </c>
      <c r="C325" s="10" t="s">
        <v>321</v>
      </c>
      <c r="D325" s="10">
        <v>2</v>
      </c>
      <c r="E325" s="10">
        <f t="shared" si="23"/>
        <v>1</v>
      </c>
      <c r="F325" s="10">
        <v>0</v>
      </c>
      <c r="G325" s="10">
        <v>65535</v>
      </c>
      <c r="H325" s="10">
        <v>1</v>
      </c>
      <c r="I325" s="10">
        <v>1</v>
      </c>
      <c r="J325" s="10" t="s">
        <v>418</v>
      </c>
      <c r="K325" s="10">
        <f t="shared" si="20"/>
        <v>955</v>
      </c>
      <c r="L325" s="10">
        <f t="shared" si="24"/>
        <v>954</v>
      </c>
      <c r="M325" s="10" t="s">
        <v>419</v>
      </c>
      <c r="N325" s="10" t="s">
        <v>324</v>
      </c>
      <c r="O325" s="10"/>
      <c r="P325" s="10"/>
      <c r="Q325" s="111"/>
    </row>
    <row r="326" spans="2:17" x14ac:dyDescent="0.3">
      <c r="B326" s="10" t="s">
        <v>499</v>
      </c>
      <c r="C326" s="10" t="s">
        <v>321</v>
      </c>
      <c r="D326" s="10">
        <v>2</v>
      </c>
      <c r="E326" s="10">
        <f t="shared" si="23"/>
        <v>1</v>
      </c>
      <c r="F326" s="10">
        <v>0</v>
      </c>
      <c r="G326" s="10">
        <v>65535</v>
      </c>
      <c r="H326" s="10">
        <v>1</v>
      </c>
      <c r="I326" s="10">
        <v>1</v>
      </c>
      <c r="J326" s="10" t="s">
        <v>418</v>
      </c>
      <c r="K326" s="10">
        <f t="shared" si="20"/>
        <v>956</v>
      </c>
      <c r="L326" s="10">
        <f t="shared" si="24"/>
        <v>955</v>
      </c>
      <c r="M326" s="10" t="s">
        <v>419</v>
      </c>
      <c r="N326" s="10" t="s">
        <v>324</v>
      </c>
      <c r="O326" s="10"/>
      <c r="P326" s="10"/>
      <c r="Q326" s="111"/>
    </row>
    <row r="327" spans="2:17" x14ac:dyDescent="0.3">
      <c r="B327" s="10" t="s">
        <v>500</v>
      </c>
      <c r="C327" s="10" t="s">
        <v>321</v>
      </c>
      <c r="D327" s="10">
        <v>2</v>
      </c>
      <c r="E327" s="10">
        <f t="shared" si="23"/>
        <v>1</v>
      </c>
      <c r="F327" s="10">
        <v>0</v>
      </c>
      <c r="G327" s="10">
        <v>65535</v>
      </c>
      <c r="H327" s="10">
        <v>1</v>
      </c>
      <c r="I327" s="10">
        <v>1</v>
      </c>
      <c r="J327" s="10" t="s">
        <v>418</v>
      </c>
      <c r="K327" s="10">
        <f t="shared" si="20"/>
        <v>957</v>
      </c>
      <c r="L327" s="10">
        <f t="shared" si="24"/>
        <v>956</v>
      </c>
      <c r="M327" s="10" t="s">
        <v>419</v>
      </c>
      <c r="N327" s="10" t="s">
        <v>324</v>
      </c>
      <c r="O327" s="10"/>
      <c r="P327" s="10"/>
      <c r="Q327" s="111"/>
    </row>
    <row r="328" spans="2:17" x14ac:dyDescent="0.3">
      <c r="B328" s="10" t="s">
        <v>501</v>
      </c>
      <c r="C328" s="10" t="s">
        <v>321</v>
      </c>
      <c r="D328" s="10">
        <v>2</v>
      </c>
      <c r="E328" s="10">
        <f t="shared" si="23"/>
        <v>1</v>
      </c>
      <c r="F328" s="10">
        <v>0</v>
      </c>
      <c r="G328" s="10">
        <v>65535</v>
      </c>
      <c r="H328" s="10">
        <v>1</v>
      </c>
      <c r="I328" s="10">
        <v>1</v>
      </c>
      <c r="J328" s="10" t="s">
        <v>418</v>
      </c>
      <c r="K328" s="10">
        <f t="shared" si="20"/>
        <v>958</v>
      </c>
      <c r="L328" s="10">
        <f t="shared" si="24"/>
        <v>957</v>
      </c>
      <c r="M328" s="10" t="s">
        <v>419</v>
      </c>
      <c r="N328" s="10" t="s">
        <v>324</v>
      </c>
      <c r="O328" s="10"/>
      <c r="P328" s="10"/>
      <c r="Q328" s="111"/>
    </row>
    <row r="329" spans="2:17" x14ac:dyDescent="0.3">
      <c r="B329" s="10" t="s">
        <v>502</v>
      </c>
      <c r="C329" s="10" t="s">
        <v>321</v>
      </c>
      <c r="D329" s="10">
        <v>2</v>
      </c>
      <c r="E329" s="10">
        <f t="shared" si="23"/>
        <v>1</v>
      </c>
      <c r="F329" s="10">
        <v>0</v>
      </c>
      <c r="G329" s="10">
        <v>65535</v>
      </c>
      <c r="H329" s="10">
        <v>1</v>
      </c>
      <c r="I329" s="10">
        <v>1</v>
      </c>
      <c r="J329" s="10" t="s">
        <v>418</v>
      </c>
      <c r="K329" s="10">
        <f t="shared" si="20"/>
        <v>959</v>
      </c>
      <c r="L329" s="10">
        <f t="shared" si="24"/>
        <v>958</v>
      </c>
      <c r="M329" s="10" t="s">
        <v>419</v>
      </c>
      <c r="N329" s="10" t="s">
        <v>324</v>
      </c>
      <c r="O329" s="10"/>
      <c r="P329" s="10"/>
      <c r="Q329" s="111"/>
    </row>
    <row r="330" spans="2:17" x14ac:dyDescent="0.3">
      <c r="B330" s="10" t="s">
        <v>503</v>
      </c>
      <c r="C330" s="10" t="s">
        <v>321</v>
      </c>
      <c r="D330" s="10">
        <v>2</v>
      </c>
      <c r="E330" s="10">
        <f t="shared" si="23"/>
        <v>1</v>
      </c>
      <c r="F330" s="10">
        <v>0</v>
      </c>
      <c r="G330" s="10">
        <v>65535</v>
      </c>
      <c r="H330" s="10">
        <v>1</v>
      </c>
      <c r="I330" s="10">
        <v>1</v>
      </c>
      <c r="J330" s="10" t="s">
        <v>418</v>
      </c>
      <c r="K330" s="10">
        <f t="shared" si="20"/>
        <v>960</v>
      </c>
      <c r="L330" s="10">
        <f t="shared" si="24"/>
        <v>959</v>
      </c>
      <c r="M330" s="10" t="s">
        <v>419</v>
      </c>
      <c r="N330" s="10" t="s">
        <v>324</v>
      </c>
      <c r="O330" s="10"/>
      <c r="P330" s="10"/>
      <c r="Q330" s="111"/>
    </row>
    <row r="331" spans="2:17" x14ac:dyDescent="0.3">
      <c r="B331" s="10" t="s">
        <v>504</v>
      </c>
      <c r="C331" s="10" t="s">
        <v>321</v>
      </c>
      <c r="D331" s="10">
        <v>2</v>
      </c>
      <c r="E331" s="10">
        <f t="shared" si="23"/>
        <v>1</v>
      </c>
      <c r="F331" s="10">
        <v>0</v>
      </c>
      <c r="G331" s="10">
        <v>65535</v>
      </c>
      <c r="H331" s="10">
        <v>1</v>
      </c>
      <c r="I331" s="10">
        <v>1</v>
      </c>
      <c r="J331" s="10" t="s">
        <v>418</v>
      </c>
      <c r="K331" s="10">
        <f t="shared" si="20"/>
        <v>961</v>
      </c>
      <c r="L331" s="10">
        <f t="shared" si="24"/>
        <v>960</v>
      </c>
      <c r="M331" s="10" t="s">
        <v>419</v>
      </c>
      <c r="N331" s="10" t="s">
        <v>324</v>
      </c>
      <c r="O331" s="10"/>
      <c r="P331" s="10"/>
      <c r="Q331" s="111"/>
    </row>
    <row r="332" spans="2:17" x14ac:dyDescent="0.3">
      <c r="B332" s="10" t="s">
        <v>505</v>
      </c>
      <c r="C332" s="10" t="s">
        <v>321</v>
      </c>
      <c r="D332" s="10">
        <v>2</v>
      </c>
      <c r="E332" s="10">
        <f t="shared" si="23"/>
        <v>1</v>
      </c>
      <c r="F332" s="10">
        <v>0</v>
      </c>
      <c r="G332" s="10">
        <v>65535</v>
      </c>
      <c r="H332" s="10">
        <v>1</v>
      </c>
      <c r="I332" s="10">
        <v>1</v>
      </c>
      <c r="J332" s="10" t="s">
        <v>418</v>
      </c>
      <c r="K332" s="10">
        <f t="shared" si="20"/>
        <v>962</v>
      </c>
      <c r="L332" s="10">
        <f t="shared" si="24"/>
        <v>961</v>
      </c>
      <c r="M332" s="10" t="s">
        <v>419</v>
      </c>
      <c r="N332" s="10" t="s">
        <v>324</v>
      </c>
      <c r="O332" s="10"/>
      <c r="P332" s="10"/>
      <c r="Q332" s="111"/>
    </row>
    <row r="333" spans="2:17" x14ac:dyDescent="0.3">
      <c r="B333" s="10" t="s">
        <v>506</v>
      </c>
      <c r="C333" s="10" t="s">
        <v>321</v>
      </c>
      <c r="D333" s="10">
        <v>2</v>
      </c>
      <c r="E333" s="10">
        <f t="shared" si="23"/>
        <v>1</v>
      </c>
      <c r="F333" s="10">
        <v>0</v>
      </c>
      <c r="G333" s="10">
        <v>65535</v>
      </c>
      <c r="H333" s="10">
        <v>1</v>
      </c>
      <c r="I333" s="10">
        <v>1</v>
      </c>
      <c r="J333" s="10" t="s">
        <v>418</v>
      </c>
      <c r="K333" s="10">
        <f t="shared" si="20"/>
        <v>963</v>
      </c>
      <c r="L333" s="10">
        <f t="shared" si="24"/>
        <v>962</v>
      </c>
      <c r="M333" s="10" t="s">
        <v>419</v>
      </c>
      <c r="N333" s="10" t="s">
        <v>324</v>
      </c>
      <c r="O333" s="10"/>
      <c r="P333" s="10"/>
      <c r="Q333" s="111"/>
    </row>
    <row r="334" spans="2:17" x14ac:dyDescent="0.3">
      <c r="B334" s="10" t="s">
        <v>507</v>
      </c>
      <c r="C334" s="10" t="s">
        <v>321</v>
      </c>
      <c r="D334" s="10">
        <v>2</v>
      </c>
      <c r="E334" s="10">
        <f t="shared" si="23"/>
        <v>1</v>
      </c>
      <c r="F334" s="10">
        <v>0</v>
      </c>
      <c r="G334" s="10">
        <v>65535</v>
      </c>
      <c r="H334" s="10">
        <v>1</v>
      </c>
      <c r="I334" s="10">
        <v>1</v>
      </c>
      <c r="J334" s="10" t="s">
        <v>418</v>
      </c>
      <c r="K334" s="10">
        <f t="shared" si="20"/>
        <v>964</v>
      </c>
      <c r="L334" s="10">
        <f t="shared" si="24"/>
        <v>963</v>
      </c>
      <c r="M334" s="10" t="s">
        <v>419</v>
      </c>
      <c r="N334" s="10" t="s">
        <v>324</v>
      </c>
      <c r="O334" s="10"/>
      <c r="P334" s="10"/>
      <c r="Q334" s="111"/>
    </row>
    <row r="335" spans="2:17" x14ac:dyDescent="0.3">
      <c r="B335" s="10" t="s">
        <v>508</v>
      </c>
      <c r="C335" s="10" t="s">
        <v>321</v>
      </c>
      <c r="D335" s="10">
        <v>2</v>
      </c>
      <c r="E335" s="10">
        <f t="shared" si="23"/>
        <v>1</v>
      </c>
      <c r="F335" s="10">
        <v>0</v>
      </c>
      <c r="G335" s="10">
        <v>65535</v>
      </c>
      <c r="H335" s="10">
        <v>1</v>
      </c>
      <c r="I335" s="10">
        <v>1</v>
      </c>
      <c r="J335" s="10" t="s">
        <v>418</v>
      </c>
      <c r="K335" s="10">
        <f t="shared" ref="K335:K370" si="25">L335+1</f>
        <v>965</v>
      </c>
      <c r="L335" s="10">
        <f t="shared" si="24"/>
        <v>964</v>
      </c>
      <c r="M335" s="10" t="s">
        <v>419</v>
      </c>
      <c r="N335" s="10" t="s">
        <v>324</v>
      </c>
      <c r="O335" s="10"/>
      <c r="P335" s="10"/>
      <c r="Q335" s="111"/>
    </row>
    <row r="336" spans="2:17" x14ac:dyDescent="0.3">
      <c r="B336" s="10" t="s">
        <v>509</v>
      </c>
      <c r="C336" s="10" t="s">
        <v>321</v>
      </c>
      <c r="D336" s="10">
        <v>2</v>
      </c>
      <c r="E336" s="10">
        <f t="shared" si="23"/>
        <v>1</v>
      </c>
      <c r="F336" s="10">
        <v>0</v>
      </c>
      <c r="G336" s="10">
        <v>65535</v>
      </c>
      <c r="H336" s="10">
        <v>1</v>
      </c>
      <c r="I336" s="10">
        <v>1</v>
      </c>
      <c r="J336" s="10" t="s">
        <v>418</v>
      </c>
      <c r="K336" s="10">
        <f t="shared" si="25"/>
        <v>966</v>
      </c>
      <c r="L336" s="10">
        <f t="shared" si="24"/>
        <v>965</v>
      </c>
      <c r="M336" s="10" t="s">
        <v>419</v>
      </c>
      <c r="N336" s="10" t="s">
        <v>324</v>
      </c>
      <c r="O336" s="10"/>
      <c r="P336" s="10"/>
      <c r="Q336" s="111"/>
    </row>
    <row r="337" spans="2:17" x14ac:dyDescent="0.3">
      <c r="B337" s="10" t="s">
        <v>510</v>
      </c>
      <c r="C337" s="10" t="s">
        <v>321</v>
      </c>
      <c r="D337" s="10">
        <v>2</v>
      </c>
      <c r="E337" s="10">
        <f t="shared" si="23"/>
        <v>1</v>
      </c>
      <c r="F337" s="10">
        <v>0</v>
      </c>
      <c r="G337" s="10">
        <v>65535</v>
      </c>
      <c r="H337" s="10">
        <v>1</v>
      </c>
      <c r="I337" s="10">
        <v>1</v>
      </c>
      <c r="J337" s="10" t="s">
        <v>418</v>
      </c>
      <c r="K337" s="10">
        <f t="shared" si="25"/>
        <v>967</v>
      </c>
      <c r="L337" s="10">
        <f t="shared" si="24"/>
        <v>966</v>
      </c>
      <c r="M337" s="10" t="s">
        <v>419</v>
      </c>
      <c r="N337" s="10" t="s">
        <v>324</v>
      </c>
      <c r="O337" s="10"/>
      <c r="P337" s="10"/>
      <c r="Q337" s="111"/>
    </row>
    <row r="338" spans="2:17" x14ac:dyDescent="0.3">
      <c r="B338" s="10" t="s">
        <v>511</v>
      </c>
      <c r="C338" s="10" t="s">
        <v>321</v>
      </c>
      <c r="D338" s="10">
        <v>2</v>
      </c>
      <c r="E338" s="10">
        <f t="shared" si="23"/>
        <v>1</v>
      </c>
      <c r="F338" s="10">
        <v>0</v>
      </c>
      <c r="G338" s="10">
        <v>65535</v>
      </c>
      <c r="H338" s="10">
        <v>1</v>
      </c>
      <c r="I338" s="10">
        <v>1</v>
      </c>
      <c r="J338" s="10" t="s">
        <v>418</v>
      </c>
      <c r="K338" s="10">
        <f t="shared" si="25"/>
        <v>968</v>
      </c>
      <c r="L338" s="10">
        <f t="shared" si="24"/>
        <v>967</v>
      </c>
      <c r="M338" s="10" t="s">
        <v>419</v>
      </c>
      <c r="N338" s="10" t="s">
        <v>324</v>
      </c>
      <c r="O338" s="10"/>
      <c r="P338" s="10"/>
      <c r="Q338" s="111"/>
    </row>
    <row r="339" spans="2:17" x14ac:dyDescent="0.3">
      <c r="B339" s="10" t="s">
        <v>512</v>
      </c>
      <c r="C339" s="10" t="s">
        <v>321</v>
      </c>
      <c r="D339" s="10">
        <v>2</v>
      </c>
      <c r="E339" s="10">
        <f t="shared" si="23"/>
        <v>1</v>
      </c>
      <c r="F339" s="10">
        <v>0</v>
      </c>
      <c r="G339" s="10">
        <v>65535</v>
      </c>
      <c r="H339" s="10">
        <v>1</v>
      </c>
      <c r="I339" s="10">
        <v>1</v>
      </c>
      <c r="J339" s="10" t="s">
        <v>418</v>
      </c>
      <c r="K339" s="10">
        <f t="shared" si="25"/>
        <v>969</v>
      </c>
      <c r="L339" s="10">
        <f t="shared" si="24"/>
        <v>968</v>
      </c>
      <c r="M339" s="10" t="s">
        <v>419</v>
      </c>
      <c r="N339" s="10" t="s">
        <v>324</v>
      </c>
      <c r="O339" s="10"/>
      <c r="P339" s="10"/>
      <c r="Q339" s="111"/>
    </row>
    <row r="340" spans="2:17" x14ac:dyDescent="0.3">
      <c r="B340" s="10" t="s">
        <v>513</v>
      </c>
      <c r="C340" s="10" t="s">
        <v>321</v>
      </c>
      <c r="D340" s="10">
        <v>2</v>
      </c>
      <c r="E340" s="10">
        <f t="shared" si="23"/>
        <v>1</v>
      </c>
      <c r="F340" s="10">
        <v>0</v>
      </c>
      <c r="G340" s="10">
        <v>65535</v>
      </c>
      <c r="H340" s="10">
        <v>1</v>
      </c>
      <c r="I340" s="10">
        <v>1</v>
      </c>
      <c r="J340" s="10" t="s">
        <v>418</v>
      </c>
      <c r="K340" s="10">
        <f t="shared" si="25"/>
        <v>970</v>
      </c>
      <c r="L340" s="10">
        <f t="shared" si="24"/>
        <v>969</v>
      </c>
      <c r="M340" s="10" t="s">
        <v>419</v>
      </c>
      <c r="N340" s="10" t="s">
        <v>324</v>
      </c>
      <c r="O340" s="10"/>
      <c r="P340" s="10"/>
      <c r="Q340" s="111"/>
    </row>
    <row r="341" spans="2:17" x14ac:dyDescent="0.3">
      <c r="B341" s="10" t="s">
        <v>514</v>
      </c>
      <c r="C341" s="10" t="s">
        <v>321</v>
      </c>
      <c r="D341" s="10">
        <v>2</v>
      </c>
      <c r="E341" s="10">
        <f t="shared" si="23"/>
        <v>1</v>
      </c>
      <c r="F341" s="10">
        <v>0</v>
      </c>
      <c r="G341" s="10">
        <v>65535</v>
      </c>
      <c r="H341" s="10">
        <v>1</v>
      </c>
      <c r="I341" s="10">
        <v>1</v>
      </c>
      <c r="J341" s="10" t="s">
        <v>418</v>
      </c>
      <c r="K341" s="10">
        <f t="shared" si="25"/>
        <v>971</v>
      </c>
      <c r="L341" s="10">
        <f t="shared" si="24"/>
        <v>970</v>
      </c>
      <c r="M341" s="10" t="s">
        <v>419</v>
      </c>
      <c r="N341" s="10" t="s">
        <v>324</v>
      </c>
      <c r="O341" s="10"/>
      <c r="P341" s="10"/>
      <c r="Q341" s="111"/>
    </row>
    <row r="342" spans="2:17" x14ac:dyDescent="0.3">
      <c r="B342" s="10" t="s">
        <v>515</v>
      </c>
      <c r="C342" s="10" t="s">
        <v>321</v>
      </c>
      <c r="D342" s="10">
        <v>2</v>
      </c>
      <c r="E342" s="10">
        <f t="shared" ref="E342:E370" si="26">D342/2</f>
        <v>1</v>
      </c>
      <c r="F342" s="10">
        <v>0</v>
      </c>
      <c r="G342" s="10">
        <v>65535</v>
      </c>
      <c r="H342" s="10">
        <v>1</v>
      </c>
      <c r="I342" s="10">
        <v>1</v>
      </c>
      <c r="J342" s="10" t="s">
        <v>418</v>
      </c>
      <c r="K342" s="10">
        <f t="shared" si="25"/>
        <v>972</v>
      </c>
      <c r="L342" s="10">
        <f t="shared" ref="L342:L370" si="27">L341+E341</f>
        <v>971</v>
      </c>
      <c r="M342" s="10" t="s">
        <v>419</v>
      </c>
      <c r="N342" s="10" t="s">
        <v>324</v>
      </c>
      <c r="O342" s="10"/>
      <c r="P342" s="10"/>
      <c r="Q342" s="111"/>
    </row>
    <row r="343" spans="2:17" x14ac:dyDescent="0.3">
      <c r="B343" s="10" t="s">
        <v>516</v>
      </c>
      <c r="C343" s="10" t="s">
        <v>321</v>
      </c>
      <c r="D343" s="10">
        <v>2</v>
      </c>
      <c r="E343" s="10">
        <f t="shared" si="26"/>
        <v>1</v>
      </c>
      <c r="F343" s="10">
        <v>0</v>
      </c>
      <c r="G343" s="10">
        <v>65535</v>
      </c>
      <c r="H343" s="10">
        <v>1</v>
      </c>
      <c r="I343" s="10">
        <v>1</v>
      </c>
      <c r="J343" s="10" t="s">
        <v>418</v>
      </c>
      <c r="K343" s="10">
        <f t="shared" si="25"/>
        <v>973</v>
      </c>
      <c r="L343" s="10">
        <f t="shared" si="27"/>
        <v>972</v>
      </c>
      <c r="M343" s="10" t="s">
        <v>419</v>
      </c>
      <c r="N343" s="10" t="s">
        <v>324</v>
      </c>
      <c r="O343" s="10"/>
      <c r="P343" s="10"/>
      <c r="Q343" s="111"/>
    </row>
    <row r="344" spans="2:17" x14ac:dyDescent="0.3">
      <c r="B344" s="10" t="s">
        <v>517</v>
      </c>
      <c r="C344" s="10" t="s">
        <v>321</v>
      </c>
      <c r="D344" s="10">
        <v>2</v>
      </c>
      <c r="E344" s="10">
        <f t="shared" si="26"/>
        <v>1</v>
      </c>
      <c r="F344" s="10">
        <v>0</v>
      </c>
      <c r="G344" s="10">
        <v>65535</v>
      </c>
      <c r="H344" s="10">
        <v>1</v>
      </c>
      <c r="I344" s="10">
        <v>1</v>
      </c>
      <c r="J344" s="10" t="s">
        <v>418</v>
      </c>
      <c r="K344" s="10">
        <f t="shared" si="25"/>
        <v>974</v>
      </c>
      <c r="L344" s="10">
        <f t="shared" si="27"/>
        <v>973</v>
      </c>
      <c r="M344" s="10" t="s">
        <v>419</v>
      </c>
      <c r="N344" s="10" t="s">
        <v>324</v>
      </c>
      <c r="O344" s="10"/>
      <c r="P344" s="10"/>
      <c r="Q344" s="111"/>
    </row>
    <row r="345" spans="2:17" x14ac:dyDescent="0.3">
      <c r="B345" s="10" t="s">
        <v>518</v>
      </c>
      <c r="C345" s="10" t="s">
        <v>321</v>
      </c>
      <c r="D345" s="10">
        <v>2</v>
      </c>
      <c r="E345" s="10">
        <f t="shared" si="26"/>
        <v>1</v>
      </c>
      <c r="F345" s="10">
        <v>0</v>
      </c>
      <c r="G345" s="10">
        <v>65535</v>
      </c>
      <c r="H345" s="10">
        <v>1</v>
      </c>
      <c r="I345" s="10">
        <v>1</v>
      </c>
      <c r="J345" s="10" t="s">
        <v>418</v>
      </c>
      <c r="K345" s="10">
        <f t="shared" si="25"/>
        <v>975</v>
      </c>
      <c r="L345" s="10">
        <f t="shared" si="27"/>
        <v>974</v>
      </c>
      <c r="M345" s="10" t="s">
        <v>419</v>
      </c>
      <c r="N345" s="10" t="s">
        <v>324</v>
      </c>
      <c r="O345" s="10"/>
      <c r="P345" s="10"/>
      <c r="Q345" s="111"/>
    </row>
    <row r="346" spans="2:17" x14ac:dyDescent="0.3">
      <c r="B346" s="10" t="s">
        <v>519</v>
      </c>
      <c r="C346" s="10" t="s">
        <v>321</v>
      </c>
      <c r="D346" s="10">
        <v>2</v>
      </c>
      <c r="E346" s="10">
        <f t="shared" si="26"/>
        <v>1</v>
      </c>
      <c r="F346" s="10">
        <v>0</v>
      </c>
      <c r="G346" s="10">
        <v>65535</v>
      </c>
      <c r="H346" s="10">
        <v>1</v>
      </c>
      <c r="I346" s="10">
        <v>1</v>
      </c>
      <c r="J346" s="10" t="s">
        <v>418</v>
      </c>
      <c r="K346" s="10">
        <f t="shared" si="25"/>
        <v>976</v>
      </c>
      <c r="L346" s="10">
        <f t="shared" si="27"/>
        <v>975</v>
      </c>
      <c r="M346" s="10" t="s">
        <v>419</v>
      </c>
      <c r="N346" s="10" t="s">
        <v>324</v>
      </c>
      <c r="O346" s="10"/>
      <c r="P346" s="10"/>
      <c r="Q346" s="111"/>
    </row>
    <row r="347" spans="2:17" x14ac:dyDescent="0.3">
      <c r="B347" s="10" t="s">
        <v>520</v>
      </c>
      <c r="C347" s="10" t="s">
        <v>321</v>
      </c>
      <c r="D347" s="10">
        <v>2</v>
      </c>
      <c r="E347" s="10">
        <f t="shared" si="26"/>
        <v>1</v>
      </c>
      <c r="F347" s="10">
        <v>0</v>
      </c>
      <c r="G347" s="10">
        <v>65535</v>
      </c>
      <c r="H347" s="10">
        <v>1</v>
      </c>
      <c r="I347" s="10">
        <v>1</v>
      </c>
      <c r="J347" s="10" t="s">
        <v>418</v>
      </c>
      <c r="K347" s="10">
        <f t="shared" si="25"/>
        <v>977</v>
      </c>
      <c r="L347" s="10">
        <f t="shared" si="27"/>
        <v>976</v>
      </c>
      <c r="M347" s="10" t="s">
        <v>419</v>
      </c>
      <c r="N347" s="10" t="s">
        <v>324</v>
      </c>
      <c r="O347" s="10"/>
      <c r="P347" s="10"/>
      <c r="Q347" s="111"/>
    </row>
    <row r="348" spans="2:17" x14ac:dyDescent="0.3">
      <c r="B348" s="10" t="s">
        <v>521</v>
      </c>
      <c r="C348" s="10" t="s">
        <v>321</v>
      </c>
      <c r="D348" s="10">
        <v>2</v>
      </c>
      <c r="E348" s="10">
        <f t="shared" si="26"/>
        <v>1</v>
      </c>
      <c r="F348" s="10">
        <v>0</v>
      </c>
      <c r="G348" s="10">
        <v>65535</v>
      </c>
      <c r="H348" s="10">
        <v>1</v>
      </c>
      <c r="I348" s="10">
        <v>1</v>
      </c>
      <c r="J348" s="10" t="s">
        <v>418</v>
      </c>
      <c r="K348" s="10">
        <f t="shared" si="25"/>
        <v>978</v>
      </c>
      <c r="L348" s="10">
        <f t="shared" si="27"/>
        <v>977</v>
      </c>
      <c r="M348" s="10" t="s">
        <v>419</v>
      </c>
      <c r="N348" s="10" t="s">
        <v>324</v>
      </c>
      <c r="O348" s="10"/>
      <c r="P348" s="10"/>
      <c r="Q348" s="111"/>
    </row>
    <row r="349" spans="2:17" x14ac:dyDescent="0.3">
      <c r="B349" s="10" t="s">
        <v>522</v>
      </c>
      <c r="C349" s="10" t="s">
        <v>321</v>
      </c>
      <c r="D349" s="10">
        <v>2</v>
      </c>
      <c r="E349" s="10">
        <f t="shared" si="26"/>
        <v>1</v>
      </c>
      <c r="F349" s="10">
        <v>0</v>
      </c>
      <c r="G349" s="10">
        <v>65535</v>
      </c>
      <c r="H349" s="10">
        <v>1</v>
      </c>
      <c r="I349" s="10">
        <v>1</v>
      </c>
      <c r="J349" s="10" t="s">
        <v>418</v>
      </c>
      <c r="K349" s="10">
        <f t="shared" si="25"/>
        <v>979</v>
      </c>
      <c r="L349" s="10">
        <f t="shared" si="27"/>
        <v>978</v>
      </c>
      <c r="M349" s="10" t="s">
        <v>419</v>
      </c>
      <c r="N349" s="10" t="s">
        <v>324</v>
      </c>
      <c r="O349" s="10"/>
      <c r="P349" s="10"/>
      <c r="Q349" s="111"/>
    </row>
    <row r="350" spans="2:17" x14ac:dyDescent="0.3">
      <c r="B350" s="10" t="s">
        <v>523</v>
      </c>
      <c r="C350" s="10" t="s">
        <v>321</v>
      </c>
      <c r="D350" s="10">
        <v>2</v>
      </c>
      <c r="E350" s="10">
        <f t="shared" si="26"/>
        <v>1</v>
      </c>
      <c r="F350" s="10">
        <v>0</v>
      </c>
      <c r="G350" s="10">
        <v>65535</v>
      </c>
      <c r="H350" s="10">
        <v>1</v>
      </c>
      <c r="I350" s="10">
        <v>1</v>
      </c>
      <c r="J350" s="10" t="s">
        <v>418</v>
      </c>
      <c r="K350" s="10">
        <f t="shared" si="25"/>
        <v>980</v>
      </c>
      <c r="L350" s="10">
        <f t="shared" si="27"/>
        <v>979</v>
      </c>
      <c r="M350" s="10" t="s">
        <v>419</v>
      </c>
      <c r="N350" s="10" t="s">
        <v>324</v>
      </c>
      <c r="O350" s="10"/>
      <c r="P350" s="10"/>
      <c r="Q350" s="111"/>
    </row>
    <row r="351" spans="2:17" x14ac:dyDescent="0.3">
      <c r="B351" s="10" t="s">
        <v>524</v>
      </c>
      <c r="C351" s="10" t="s">
        <v>321</v>
      </c>
      <c r="D351" s="10">
        <v>2</v>
      </c>
      <c r="E351" s="10">
        <f t="shared" si="26"/>
        <v>1</v>
      </c>
      <c r="F351" s="10">
        <v>0</v>
      </c>
      <c r="G351" s="10">
        <v>65535</v>
      </c>
      <c r="H351" s="10">
        <v>1</v>
      </c>
      <c r="I351" s="10">
        <v>1</v>
      </c>
      <c r="J351" s="10" t="s">
        <v>418</v>
      </c>
      <c r="K351" s="10">
        <f t="shared" si="25"/>
        <v>981</v>
      </c>
      <c r="L351" s="10">
        <f t="shared" si="27"/>
        <v>980</v>
      </c>
      <c r="M351" s="10" t="s">
        <v>419</v>
      </c>
      <c r="N351" s="10" t="s">
        <v>324</v>
      </c>
      <c r="O351" s="10"/>
      <c r="P351" s="10"/>
      <c r="Q351" s="111"/>
    </row>
    <row r="352" spans="2:17" x14ac:dyDescent="0.3">
      <c r="B352" s="10" t="s">
        <v>525</v>
      </c>
      <c r="C352" s="10" t="s">
        <v>321</v>
      </c>
      <c r="D352" s="10">
        <v>2</v>
      </c>
      <c r="E352" s="10">
        <f t="shared" si="26"/>
        <v>1</v>
      </c>
      <c r="F352" s="10">
        <v>0</v>
      </c>
      <c r="G352" s="10">
        <v>65535</v>
      </c>
      <c r="H352" s="10">
        <v>1</v>
      </c>
      <c r="I352" s="10">
        <v>1</v>
      </c>
      <c r="J352" s="10" t="s">
        <v>418</v>
      </c>
      <c r="K352" s="10">
        <f t="shared" si="25"/>
        <v>982</v>
      </c>
      <c r="L352" s="10">
        <f t="shared" si="27"/>
        <v>981</v>
      </c>
      <c r="M352" s="10" t="s">
        <v>419</v>
      </c>
      <c r="N352" s="10" t="s">
        <v>324</v>
      </c>
      <c r="O352" s="10"/>
      <c r="P352" s="10"/>
      <c r="Q352" s="111"/>
    </row>
    <row r="353" spans="2:17" x14ac:dyDescent="0.3">
      <c r="B353" s="10" t="s">
        <v>526</v>
      </c>
      <c r="C353" s="10" t="s">
        <v>321</v>
      </c>
      <c r="D353" s="10">
        <v>2</v>
      </c>
      <c r="E353" s="10">
        <f t="shared" si="26"/>
        <v>1</v>
      </c>
      <c r="F353" s="10">
        <v>0</v>
      </c>
      <c r="G353" s="10">
        <v>65535</v>
      </c>
      <c r="H353" s="10">
        <v>1</v>
      </c>
      <c r="I353" s="10">
        <v>1</v>
      </c>
      <c r="J353" s="10" t="s">
        <v>418</v>
      </c>
      <c r="K353" s="10">
        <f t="shared" si="25"/>
        <v>983</v>
      </c>
      <c r="L353" s="10">
        <f t="shared" si="27"/>
        <v>982</v>
      </c>
      <c r="M353" s="10" t="s">
        <v>419</v>
      </c>
      <c r="N353" s="10" t="s">
        <v>324</v>
      </c>
      <c r="O353" s="10"/>
      <c r="P353" s="10"/>
      <c r="Q353" s="111"/>
    </row>
    <row r="354" spans="2:17" x14ac:dyDescent="0.3">
      <c r="B354" s="10" t="s">
        <v>527</v>
      </c>
      <c r="C354" s="10" t="s">
        <v>321</v>
      </c>
      <c r="D354" s="10">
        <v>2</v>
      </c>
      <c r="E354" s="10">
        <f t="shared" si="26"/>
        <v>1</v>
      </c>
      <c r="F354" s="10">
        <v>0</v>
      </c>
      <c r="G354" s="10">
        <v>65535</v>
      </c>
      <c r="H354" s="10">
        <v>1</v>
      </c>
      <c r="I354" s="10">
        <v>1</v>
      </c>
      <c r="J354" s="10" t="s">
        <v>418</v>
      </c>
      <c r="K354" s="10">
        <f t="shared" si="25"/>
        <v>984</v>
      </c>
      <c r="L354" s="10">
        <f t="shared" si="27"/>
        <v>983</v>
      </c>
      <c r="M354" s="10" t="s">
        <v>419</v>
      </c>
      <c r="N354" s="10" t="s">
        <v>324</v>
      </c>
      <c r="O354" s="10"/>
      <c r="P354" s="10"/>
      <c r="Q354" s="111"/>
    </row>
    <row r="355" spans="2:17" x14ac:dyDescent="0.3">
      <c r="B355" s="10" t="s">
        <v>528</v>
      </c>
      <c r="C355" s="10" t="s">
        <v>321</v>
      </c>
      <c r="D355" s="10">
        <v>2</v>
      </c>
      <c r="E355" s="10">
        <f t="shared" si="26"/>
        <v>1</v>
      </c>
      <c r="F355" s="10">
        <v>0</v>
      </c>
      <c r="G355" s="10">
        <v>65535</v>
      </c>
      <c r="H355" s="10">
        <v>1</v>
      </c>
      <c r="I355" s="10">
        <v>1</v>
      </c>
      <c r="J355" s="10" t="s">
        <v>418</v>
      </c>
      <c r="K355" s="10">
        <f t="shared" si="25"/>
        <v>985</v>
      </c>
      <c r="L355" s="10">
        <f t="shared" si="27"/>
        <v>984</v>
      </c>
      <c r="M355" s="10" t="s">
        <v>419</v>
      </c>
      <c r="N355" s="10" t="s">
        <v>324</v>
      </c>
      <c r="O355" s="10"/>
      <c r="P355" s="10"/>
      <c r="Q355" s="111"/>
    </row>
    <row r="356" spans="2:17" x14ac:dyDescent="0.3">
      <c r="B356" s="10" t="s">
        <v>529</v>
      </c>
      <c r="C356" s="10" t="s">
        <v>321</v>
      </c>
      <c r="D356" s="10">
        <v>2</v>
      </c>
      <c r="E356" s="10">
        <f t="shared" si="26"/>
        <v>1</v>
      </c>
      <c r="F356" s="10">
        <v>0</v>
      </c>
      <c r="G356" s="10">
        <v>65535</v>
      </c>
      <c r="H356" s="10">
        <v>1</v>
      </c>
      <c r="I356" s="10">
        <v>1</v>
      </c>
      <c r="J356" s="10" t="s">
        <v>418</v>
      </c>
      <c r="K356" s="10">
        <f t="shared" si="25"/>
        <v>986</v>
      </c>
      <c r="L356" s="10">
        <f t="shared" si="27"/>
        <v>985</v>
      </c>
      <c r="M356" s="10" t="s">
        <v>419</v>
      </c>
      <c r="N356" s="10" t="s">
        <v>324</v>
      </c>
      <c r="O356" s="10"/>
      <c r="P356" s="10"/>
      <c r="Q356" s="111"/>
    </row>
    <row r="357" spans="2:17" x14ac:dyDescent="0.3">
      <c r="B357" s="10" t="s">
        <v>530</v>
      </c>
      <c r="C357" s="10" t="s">
        <v>321</v>
      </c>
      <c r="D357" s="10">
        <v>2</v>
      </c>
      <c r="E357" s="10">
        <f t="shared" si="26"/>
        <v>1</v>
      </c>
      <c r="F357" s="10">
        <v>0</v>
      </c>
      <c r="G357" s="10">
        <v>65535</v>
      </c>
      <c r="H357" s="10">
        <v>1</v>
      </c>
      <c r="I357" s="10">
        <v>1</v>
      </c>
      <c r="J357" s="10" t="s">
        <v>418</v>
      </c>
      <c r="K357" s="10">
        <f t="shared" si="25"/>
        <v>987</v>
      </c>
      <c r="L357" s="10">
        <f t="shared" si="27"/>
        <v>986</v>
      </c>
      <c r="M357" s="10" t="s">
        <v>419</v>
      </c>
      <c r="N357" s="10" t="s">
        <v>324</v>
      </c>
      <c r="O357" s="10"/>
      <c r="P357" s="10"/>
      <c r="Q357" s="111"/>
    </row>
    <row r="358" spans="2:17" x14ac:dyDescent="0.3">
      <c r="B358" s="10" t="s">
        <v>531</v>
      </c>
      <c r="C358" s="10" t="s">
        <v>321</v>
      </c>
      <c r="D358" s="10">
        <v>2</v>
      </c>
      <c r="E358" s="10">
        <f t="shared" si="26"/>
        <v>1</v>
      </c>
      <c r="F358" s="10">
        <v>0</v>
      </c>
      <c r="G358" s="10">
        <v>65535</v>
      </c>
      <c r="H358" s="10">
        <v>1</v>
      </c>
      <c r="I358" s="10">
        <v>1</v>
      </c>
      <c r="J358" s="10" t="s">
        <v>418</v>
      </c>
      <c r="K358" s="10">
        <f t="shared" si="25"/>
        <v>988</v>
      </c>
      <c r="L358" s="10">
        <f t="shared" si="27"/>
        <v>987</v>
      </c>
      <c r="M358" s="10" t="s">
        <v>419</v>
      </c>
      <c r="N358" s="10" t="s">
        <v>324</v>
      </c>
      <c r="O358" s="10"/>
      <c r="P358" s="10"/>
      <c r="Q358" s="111"/>
    </row>
    <row r="359" spans="2:17" x14ac:dyDescent="0.3">
      <c r="B359" s="10" t="s">
        <v>532</v>
      </c>
      <c r="C359" s="10" t="s">
        <v>321</v>
      </c>
      <c r="D359" s="10">
        <v>2</v>
      </c>
      <c r="E359" s="10">
        <f t="shared" si="26"/>
        <v>1</v>
      </c>
      <c r="F359" s="10">
        <v>0</v>
      </c>
      <c r="G359" s="10">
        <v>65535</v>
      </c>
      <c r="H359" s="10">
        <v>1</v>
      </c>
      <c r="I359" s="10">
        <v>1</v>
      </c>
      <c r="J359" s="10" t="s">
        <v>418</v>
      </c>
      <c r="K359" s="10">
        <f t="shared" si="25"/>
        <v>989</v>
      </c>
      <c r="L359" s="10">
        <f t="shared" si="27"/>
        <v>988</v>
      </c>
      <c r="M359" s="10" t="s">
        <v>419</v>
      </c>
      <c r="N359" s="10" t="s">
        <v>324</v>
      </c>
      <c r="O359" s="10"/>
      <c r="P359" s="10"/>
      <c r="Q359" s="111"/>
    </row>
    <row r="360" spans="2:17" x14ac:dyDescent="0.3">
      <c r="B360" s="10" t="s">
        <v>533</v>
      </c>
      <c r="C360" s="10" t="s">
        <v>321</v>
      </c>
      <c r="D360" s="10">
        <v>2</v>
      </c>
      <c r="E360" s="10">
        <f t="shared" si="26"/>
        <v>1</v>
      </c>
      <c r="F360" s="10">
        <v>0</v>
      </c>
      <c r="G360" s="10">
        <v>65535</v>
      </c>
      <c r="H360" s="10">
        <v>1</v>
      </c>
      <c r="I360" s="10">
        <v>1</v>
      </c>
      <c r="J360" s="10" t="s">
        <v>418</v>
      </c>
      <c r="K360" s="10">
        <f t="shared" si="25"/>
        <v>990</v>
      </c>
      <c r="L360" s="10">
        <f t="shared" si="27"/>
        <v>989</v>
      </c>
      <c r="M360" s="10" t="s">
        <v>419</v>
      </c>
      <c r="N360" s="10" t="s">
        <v>324</v>
      </c>
      <c r="O360" s="10"/>
      <c r="P360" s="10"/>
      <c r="Q360" s="111"/>
    </row>
    <row r="361" spans="2:17" x14ac:dyDescent="0.3">
      <c r="B361" s="10" t="s">
        <v>534</v>
      </c>
      <c r="C361" s="10" t="s">
        <v>321</v>
      </c>
      <c r="D361" s="10">
        <v>2</v>
      </c>
      <c r="E361" s="10">
        <f t="shared" si="26"/>
        <v>1</v>
      </c>
      <c r="F361" s="10">
        <v>0</v>
      </c>
      <c r="G361" s="10">
        <v>65535</v>
      </c>
      <c r="H361" s="10">
        <v>1</v>
      </c>
      <c r="I361" s="10">
        <v>1</v>
      </c>
      <c r="J361" s="10" t="s">
        <v>418</v>
      </c>
      <c r="K361" s="10">
        <f t="shared" si="25"/>
        <v>991</v>
      </c>
      <c r="L361" s="10">
        <f t="shared" si="27"/>
        <v>990</v>
      </c>
      <c r="M361" s="10" t="s">
        <v>419</v>
      </c>
      <c r="N361" s="10" t="s">
        <v>324</v>
      </c>
      <c r="O361" s="10"/>
      <c r="P361" s="10"/>
      <c r="Q361" s="111"/>
    </row>
    <row r="362" spans="2:17" x14ac:dyDescent="0.3">
      <c r="B362" s="10" t="s">
        <v>535</v>
      </c>
      <c r="C362" s="10" t="s">
        <v>321</v>
      </c>
      <c r="D362" s="10">
        <v>2</v>
      </c>
      <c r="E362" s="10">
        <f t="shared" si="26"/>
        <v>1</v>
      </c>
      <c r="F362" s="10">
        <v>0</v>
      </c>
      <c r="G362" s="10">
        <v>65535</v>
      </c>
      <c r="H362" s="10">
        <v>1</v>
      </c>
      <c r="I362" s="10">
        <v>1</v>
      </c>
      <c r="J362" s="10" t="s">
        <v>418</v>
      </c>
      <c r="K362" s="10">
        <f t="shared" si="25"/>
        <v>992</v>
      </c>
      <c r="L362" s="10">
        <f t="shared" si="27"/>
        <v>991</v>
      </c>
      <c r="M362" s="10" t="s">
        <v>419</v>
      </c>
      <c r="N362" s="10" t="s">
        <v>324</v>
      </c>
      <c r="O362" s="10"/>
      <c r="P362" s="10"/>
      <c r="Q362" s="111"/>
    </row>
    <row r="363" spans="2:17" x14ac:dyDescent="0.3">
      <c r="B363" s="10" t="s">
        <v>536</v>
      </c>
      <c r="C363" s="10" t="s">
        <v>321</v>
      </c>
      <c r="D363" s="10">
        <v>2</v>
      </c>
      <c r="E363" s="10">
        <f t="shared" si="26"/>
        <v>1</v>
      </c>
      <c r="F363" s="10">
        <v>0</v>
      </c>
      <c r="G363" s="10">
        <v>65535</v>
      </c>
      <c r="H363" s="10">
        <v>1</v>
      </c>
      <c r="I363" s="10">
        <v>1</v>
      </c>
      <c r="J363" s="10" t="s">
        <v>418</v>
      </c>
      <c r="K363" s="10">
        <f t="shared" si="25"/>
        <v>993</v>
      </c>
      <c r="L363" s="10">
        <f t="shared" si="27"/>
        <v>992</v>
      </c>
      <c r="M363" s="10" t="s">
        <v>419</v>
      </c>
      <c r="N363" s="10" t="s">
        <v>324</v>
      </c>
      <c r="O363" s="10"/>
      <c r="P363" s="10"/>
      <c r="Q363" s="111"/>
    </row>
    <row r="364" spans="2:17" x14ac:dyDescent="0.3">
      <c r="B364" s="10" t="s">
        <v>537</v>
      </c>
      <c r="C364" s="10" t="s">
        <v>321</v>
      </c>
      <c r="D364" s="10">
        <v>2</v>
      </c>
      <c r="E364" s="10">
        <f t="shared" si="26"/>
        <v>1</v>
      </c>
      <c r="F364" s="10">
        <v>0</v>
      </c>
      <c r="G364" s="10">
        <v>65535</v>
      </c>
      <c r="H364" s="10">
        <v>1</v>
      </c>
      <c r="I364" s="10">
        <v>1</v>
      </c>
      <c r="J364" s="10" t="s">
        <v>418</v>
      </c>
      <c r="K364" s="10">
        <f t="shared" si="25"/>
        <v>994</v>
      </c>
      <c r="L364" s="10">
        <f t="shared" si="27"/>
        <v>993</v>
      </c>
      <c r="M364" s="10" t="s">
        <v>419</v>
      </c>
      <c r="N364" s="10" t="s">
        <v>324</v>
      </c>
      <c r="O364" s="10"/>
      <c r="P364" s="10"/>
      <c r="Q364" s="111"/>
    </row>
    <row r="365" spans="2:17" x14ac:dyDescent="0.3">
      <c r="B365" s="10" t="s">
        <v>538</v>
      </c>
      <c r="C365" s="10" t="s">
        <v>321</v>
      </c>
      <c r="D365" s="10">
        <v>2</v>
      </c>
      <c r="E365" s="10">
        <f t="shared" si="26"/>
        <v>1</v>
      </c>
      <c r="F365" s="10">
        <v>0</v>
      </c>
      <c r="G365" s="10">
        <v>65535</v>
      </c>
      <c r="H365" s="10">
        <v>1</v>
      </c>
      <c r="I365" s="10">
        <v>1</v>
      </c>
      <c r="J365" s="10" t="s">
        <v>418</v>
      </c>
      <c r="K365" s="10">
        <f t="shared" si="25"/>
        <v>995</v>
      </c>
      <c r="L365" s="10">
        <f t="shared" si="27"/>
        <v>994</v>
      </c>
      <c r="M365" s="10" t="s">
        <v>419</v>
      </c>
      <c r="N365" s="10" t="s">
        <v>324</v>
      </c>
      <c r="O365" s="10"/>
      <c r="P365" s="10"/>
      <c r="Q365" s="111"/>
    </row>
    <row r="366" spans="2:17" x14ac:dyDescent="0.3">
      <c r="B366" s="10" t="s">
        <v>539</v>
      </c>
      <c r="C366" s="10" t="s">
        <v>321</v>
      </c>
      <c r="D366" s="10">
        <v>2</v>
      </c>
      <c r="E366" s="10">
        <f t="shared" si="26"/>
        <v>1</v>
      </c>
      <c r="F366" s="10">
        <v>0</v>
      </c>
      <c r="G366" s="10">
        <v>65535</v>
      </c>
      <c r="H366" s="10">
        <v>1</v>
      </c>
      <c r="I366" s="10">
        <v>1</v>
      </c>
      <c r="J366" s="10" t="s">
        <v>418</v>
      </c>
      <c r="K366" s="10">
        <f t="shared" si="25"/>
        <v>996</v>
      </c>
      <c r="L366" s="10">
        <f t="shared" si="27"/>
        <v>995</v>
      </c>
      <c r="M366" s="10" t="s">
        <v>419</v>
      </c>
      <c r="N366" s="10" t="s">
        <v>324</v>
      </c>
      <c r="O366" s="10"/>
      <c r="P366" s="10"/>
      <c r="Q366" s="111"/>
    </row>
    <row r="367" spans="2:17" x14ac:dyDescent="0.3">
      <c r="B367" s="10" t="s">
        <v>540</v>
      </c>
      <c r="C367" s="10" t="s">
        <v>321</v>
      </c>
      <c r="D367" s="10">
        <v>2</v>
      </c>
      <c r="E367" s="10">
        <f t="shared" si="26"/>
        <v>1</v>
      </c>
      <c r="F367" s="10">
        <v>0</v>
      </c>
      <c r="G367" s="10">
        <v>65535</v>
      </c>
      <c r="H367" s="10">
        <v>1</v>
      </c>
      <c r="I367" s="10">
        <v>1</v>
      </c>
      <c r="J367" s="10" t="s">
        <v>418</v>
      </c>
      <c r="K367" s="10">
        <f t="shared" si="25"/>
        <v>997</v>
      </c>
      <c r="L367" s="10">
        <f t="shared" si="27"/>
        <v>996</v>
      </c>
      <c r="M367" s="10" t="s">
        <v>419</v>
      </c>
      <c r="N367" s="10" t="s">
        <v>324</v>
      </c>
      <c r="O367" s="10"/>
      <c r="P367" s="10"/>
      <c r="Q367" s="111"/>
    </row>
    <row r="368" spans="2:17" x14ac:dyDescent="0.3">
      <c r="B368" s="10" t="s">
        <v>541</v>
      </c>
      <c r="C368" s="10" t="s">
        <v>321</v>
      </c>
      <c r="D368" s="10">
        <v>2</v>
      </c>
      <c r="E368" s="10">
        <f t="shared" si="26"/>
        <v>1</v>
      </c>
      <c r="F368" s="10">
        <v>0</v>
      </c>
      <c r="G368" s="10">
        <v>65535</v>
      </c>
      <c r="H368" s="10">
        <v>1</v>
      </c>
      <c r="I368" s="10">
        <v>1</v>
      </c>
      <c r="J368" s="10" t="s">
        <v>418</v>
      </c>
      <c r="K368" s="10">
        <f t="shared" si="25"/>
        <v>998</v>
      </c>
      <c r="L368" s="10">
        <f t="shared" si="27"/>
        <v>997</v>
      </c>
      <c r="M368" s="10" t="s">
        <v>419</v>
      </c>
      <c r="N368" s="10" t="s">
        <v>324</v>
      </c>
      <c r="O368" s="10"/>
      <c r="P368" s="10"/>
      <c r="Q368" s="111"/>
    </row>
    <row r="369" spans="2:27" x14ac:dyDescent="0.3">
      <c r="B369" s="10" t="s">
        <v>542</v>
      </c>
      <c r="C369" s="10" t="s">
        <v>321</v>
      </c>
      <c r="D369" s="10">
        <v>2</v>
      </c>
      <c r="E369" s="10">
        <f t="shared" si="26"/>
        <v>1</v>
      </c>
      <c r="F369" s="10">
        <v>0</v>
      </c>
      <c r="G369" s="10">
        <v>65535</v>
      </c>
      <c r="H369" s="10">
        <v>1</v>
      </c>
      <c r="I369" s="10">
        <v>1</v>
      </c>
      <c r="J369" s="10" t="s">
        <v>418</v>
      </c>
      <c r="K369" s="10">
        <f t="shared" si="25"/>
        <v>999</v>
      </c>
      <c r="L369" s="10">
        <f t="shared" si="27"/>
        <v>998</v>
      </c>
      <c r="M369" s="10" t="s">
        <v>419</v>
      </c>
      <c r="N369" s="10" t="s">
        <v>324</v>
      </c>
      <c r="O369" s="10"/>
      <c r="P369" s="10"/>
      <c r="Q369" s="111"/>
    </row>
    <row r="370" spans="2:27" ht="16.2" thickBot="1" x14ac:dyDescent="0.35">
      <c r="B370" s="10" t="s">
        <v>543</v>
      </c>
      <c r="C370" s="10" t="s">
        <v>321</v>
      </c>
      <c r="D370" s="10">
        <v>2</v>
      </c>
      <c r="E370" s="10">
        <f t="shared" si="26"/>
        <v>1</v>
      </c>
      <c r="F370" s="10">
        <v>0</v>
      </c>
      <c r="G370" s="10">
        <v>65535</v>
      </c>
      <c r="H370" s="10">
        <v>1</v>
      </c>
      <c r="I370" s="10">
        <v>1</v>
      </c>
      <c r="J370" s="10" t="s">
        <v>418</v>
      </c>
      <c r="K370" s="10">
        <f t="shared" si="25"/>
        <v>1000</v>
      </c>
      <c r="L370" s="10">
        <f t="shared" si="27"/>
        <v>999</v>
      </c>
      <c r="M370" s="10" t="s">
        <v>419</v>
      </c>
      <c r="N370" s="10" t="s">
        <v>324</v>
      </c>
      <c r="O370" s="10"/>
      <c r="P370" s="10"/>
      <c r="Q370" s="111"/>
    </row>
    <row r="371" spans="2:27" s="26" customFormat="1" ht="16.2" x14ac:dyDescent="0.3">
      <c r="B371" s="456" t="s">
        <v>545</v>
      </c>
      <c r="C371" s="457"/>
      <c r="D371" s="457"/>
      <c r="E371" s="457"/>
      <c r="F371" s="457"/>
      <c r="G371" s="457"/>
      <c r="H371" s="457"/>
      <c r="I371" s="457"/>
      <c r="J371" s="457"/>
      <c r="K371" s="457"/>
      <c r="L371" s="457"/>
      <c r="M371" s="457"/>
      <c r="N371" s="457"/>
      <c r="O371" s="457"/>
      <c r="P371" s="457"/>
      <c r="Q371" s="457"/>
      <c r="R371" s="29"/>
      <c r="S371" s="56"/>
      <c r="T371" s="56"/>
      <c r="U371" s="16"/>
      <c r="V371" s="16"/>
      <c r="W371" s="16"/>
      <c r="X371" s="16"/>
      <c r="Y371" s="56"/>
      <c r="Z371" s="56"/>
      <c r="AA371" s="56"/>
    </row>
    <row r="372" spans="2:27" x14ac:dyDescent="0.3">
      <c r="B372" s="193" t="s">
        <v>320</v>
      </c>
      <c r="C372" s="193" t="s">
        <v>321</v>
      </c>
      <c r="D372" s="193">
        <v>40</v>
      </c>
      <c r="E372" s="193">
        <f>D372/2</f>
        <v>20</v>
      </c>
      <c r="F372" s="193">
        <v>0</v>
      </c>
      <c r="G372" s="193">
        <v>65535</v>
      </c>
      <c r="H372" s="193">
        <v>1</v>
      </c>
      <c r="I372" s="193">
        <v>1</v>
      </c>
      <c r="J372" s="193" t="s">
        <v>322</v>
      </c>
      <c r="K372" s="193">
        <f t="shared" ref="K372:K374" si="28">L372+1</f>
        <v>1001</v>
      </c>
      <c r="L372" s="193">
        <f>L370+E370</f>
        <v>1000</v>
      </c>
      <c r="M372" s="193" t="s">
        <v>323</v>
      </c>
      <c r="N372" s="193" t="s">
        <v>324</v>
      </c>
      <c r="O372" s="193"/>
      <c r="P372" s="193"/>
      <c r="Q372" s="205"/>
      <c r="T372" s="8"/>
      <c r="U372" s="8"/>
      <c r="V372" s="8"/>
      <c r="W372" s="8"/>
      <c r="X372" s="8"/>
      <c r="Y372" s="8"/>
      <c r="Z372" s="8"/>
    </row>
    <row r="373" spans="2:27" x14ac:dyDescent="0.3">
      <c r="B373" s="193" t="s">
        <v>546</v>
      </c>
      <c r="C373" s="193" t="s">
        <v>321</v>
      </c>
      <c r="D373" s="193">
        <v>2</v>
      </c>
      <c r="E373" s="193">
        <f>D373/2</f>
        <v>1</v>
      </c>
      <c r="F373" s="193">
        <v>0</v>
      </c>
      <c r="G373" s="193">
        <v>65535</v>
      </c>
      <c r="H373" s="193">
        <v>1</v>
      </c>
      <c r="I373" s="193">
        <v>1</v>
      </c>
      <c r="J373" s="193" t="s">
        <v>322</v>
      </c>
      <c r="K373" s="193">
        <f t="shared" si="28"/>
        <v>1021</v>
      </c>
      <c r="L373" s="193">
        <f t="shared" ref="L373:L374" si="29">L372+E372</f>
        <v>1020</v>
      </c>
      <c r="M373" s="193" t="s">
        <v>323</v>
      </c>
      <c r="N373" s="193" t="s">
        <v>324</v>
      </c>
      <c r="O373" s="193"/>
      <c r="P373" s="193"/>
      <c r="Q373" s="205"/>
      <c r="T373" s="8"/>
      <c r="U373" s="8"/>
      <c r="V373" s="8"/>
      <c r="W373" s="8"/>
      <c r="X373" s="8"/>
      <c r="Y373" s="8"/>
      <c r="Z373" s="8"/>
    </row>
    <row r="374" spans="2:27" ht="16.2" thickBot="1" x14ac:dyDescent="0.35">
      <c r="B374" s="193" t="s">
        <v>320</v>
      </c>
      <c r="C374" s="193" t="s">
        <v>321</v>
      </c>
      <c r="D374" s="193">
        <v>358</v>
      </c>
      <c r="E374" s="193">
        <f>D374/2</f>
        <v>179</v>
      </c>
      <c r="F374" s="193">
        <v>0</v>
      </c>
      <c r="G374" s="193">
        <v>65535</v>
      </c>
      <c r="H374" s="193">
        <v>1</v>
      </c>
      <c r="I374" s="193">
        <v>1</v>
      </c>
      <c r="J374" s="193" t="s">
        <v>322</v>
      </c>
      <c r="K374" s="193">
        <f t="shared" si="28"/>
        <v>1022</v>
      </c>
      <c r="L374" s="193">
        <f t="shared" si="29"/>
        <v>1021</v>
      </c>
      <c r="M374" s="193" t="s">
        <v>323</v>
      </c>
      <c r="N374" s="193" t="s">
        <v>324</v>
      </c>
      <c r="O374" s="193"/>
      <c r="P374" s="193"/>
      <c r="Q374" s="205"/>
      <c r="T374" s="8"/>
      <c r="U374" s="8"/>
      <c r="V374" s="8"/>
      <c r="W374" s="8"/>
      <c r="X374" s="8"/>
      <c r="Y374" s="8"/>
      <c r="Z374" s="8"/>
    </row>
    <row r="375" spans="2:27" s="26" customFormat="1" ht="16.2" x14ac:dyDescent="0.3">
      <c r="B375" s="456" t="s">
        <v>547</v>
      </c>
      <c r="C375" s="457"/>
      <c r="D375" s="457"/>
      <c r="E375" s="457"/>
      <c r="F375" s="457"/>
      <c r="G375" s="457"/>
      <c r="H375" s="457"/>
      <c r="I375" s="457"/>
      <c r="J375" s="457"/>
      <c r="K375" s="457"/>
      <c r="L375" s="457"/>
      <c r="M375" s="457"/>
      <c r="N375" s="457"/>
      <c r="O375" s="457"/>
      <c r="P375" s="457"/>
      <c r="Q375" s="457"/>
      <c r="R375" s="29"/>
      <c r="S375" s="56"/>
      <c r="T375" s="56"/>
      <c r="U375" s="16"/>
      <c r="V375" s="16"/>
      <c r="W375" s="16"/>
      <c r="X375" s="16"/>
      <c r="Y375" s="56"/>
      <c r="Z375" s="56"/>
      <c r="AA375" s="56"/>
    </row>
    <row r="376" spans="2:27" x14ac:dyDescent="0.3">
      <c r="B376" s="10" t="s">
        <v>548</v>
      </c>
      <c r="C376" s="10" t="s">
        <v>321</v>
      </c>
      <c r="D376" s="10">
        <v>2</v>
      </c>
      <c r="E376" s="10">
        <f>D376/2</f>
        <v>1</v>
      </c>
      <c r="F376" s="10">
        <v>0</v>
      </c>
      <c r="G376" s="10">
        <v>65535</v>
      </c>
      <c r="H376" s="10">
        <v>1</v>
      </c>
      <c r="I376" s="10">
        <v>1</v>
      </c>
      <c r="J376" s="10" t="s">
        <v>322</v>
      </c>
      <c r="K376" s="10">
        <f t="shared" ref="K376:K441" si="30">L376+1</f>
        <v>1201</v>
      </c>
      <c r="L376" s="10">
        <f>L374+E374</f>
        <v>1200</v>
      </c>
      <c r="M376" s="10" t="s">
        <v>323</v>
      </c>
      <c r="N376" s="10" t="s">
        <v>324</v>
      </c>
      <c r="O376" s="10"/>
      <c r="P376" s="10"/>
      <c r="Q376" s="111"/>
      <c r="T376" s="8"/>
      <c r="U376" s="8"/>
      <c r="V376" s="8"/>
      <c r="W376" s="8"/>
      <c r="X376" s="8"/>
      <c r="Y376" s="8"/>
      <c r="Z376" s="8"/>
    </row>
    <row r="377" spans="2:27" x14ac:dyDescent="0.3">
      <c r="B377" s="10" t="s">
        <v>549</v>
      </c>
      <c r="C377" s="10" t="s">
        <v>321</v>
      </c>
      <c r="D377" s="10">
        <v>2</v>
      </c>
      <c r="E377" s="10">
        <f t="shared" ref="E377:E382" si="31">D377/2</f>
        <v>1</v>
      </c>
      <c r="F377" s="10">
        <v>0</v>
      </c>
      <c r="G377" s="10">
        <v>65535</v>
      </c>
      <c r="H377" s="10">
        <v>1</v>
      </c>
      <c r="I377" s="10">
        <v>1</v>
      </c>
      <c r="J377" s="10" t="s">
        <v>322</v>
      </c>
      <c r="K377" s="10">
        <f t="shared" si="30"/>
        <v>1202</v>
      </c>
      <c r="L377" s="10">
        <f t="shared" ref="L377:L382" si="32">L376+E376</f>
        <v>1201</v>
      </c>
      <c r="M377" s="10" t="s">
        <v>323</v>
      </c>
      <c r="N377" s="10" t="s">
        <v>324</v>
      </c>
      <c r="O377" s="10"/>
      <c r="P377" s="10"/>
      <c r="Q377" s="111"/>
    </row>
    <row r="378" spans="2:27" x14ac:dyDescent="0.3">
      <c r="B378" s="10" t="s">
        <v>550</v>
      </c>
      <c r="C378" s="10" t="s">
        <v>321</v>
      </c>
      <c r="D378" s="10">
        <v>2</v>
      </c>
      <c r="E378" s="10">
        <f t="shared" si="31"/>
        <v>1</v>
      </c>
      <c r="F378" s="10">
        <v>0</v>
      </c>
      <c r="G378" s="10">
        <v>65535</v>
      </c>
      <c r="H378" s="10">
        <v>1</v>
      </c>
      <c r="I378" s="10">
        <v>1</v>
      </c>
      <c r="J378" s="10" t="s">
        <v>322</v>
      </c>
      <c r="K378" s="10">
        <f t="shared" si="30"/>
        <v>1203</v>
      </c>
      <c r="L378" s="10">
        <f t="shared" si="32"/>
        <v>1202</v>
      </c>
      <c r="M378" s="10" t="s">
        <v>323</v>
      </c>
      <c r="N378" s="10" t="s">
        <v>324</v>
      </c>
      <c r="O378" s="10"/>
      <c r="P378" s="10"/>
      <c r="Q378" s="111"/>
    </row>
    <row r="379" spans="2:27" x14ac:dyDescent="0.3">
      <c r="B379" s="10" t="s">
        <v>551</v>
      </c>
      <c r="C379" s="10" t="s">
        <v>321</v>
      </c>
      <c r="D379" s="10">
        <v>2</v>
      </c>
      <c r="E379" s="10">
        <f t="shared" si="31"/>
        <v>1</v>
      </c>
      <c r="F379" s="10">
        <v>0</v>
      </c>
      <c r="G379" s="10">
        <v>65535</v>
      </c>
      <c r="H379" s="10">
        <v>1</v>
      </c>
      <c r="I379" s="10">
        <v>1</v>
      </c>
      <c r="J379" s="10" t="s">
        <v>322</v>
      </c>
      <c r="K379" s="10">
        <f t="shared" si="30"/>
        <v>1204</v>
      </c>
      <c r="L379" s="10">
        <f t="shared" si="32"/>
        <v>1203</v>
      </c>
      <c r="M379" s="10" t="s">
        <v>323</v>
      </c>
      <c r="N379" s="10" t="s">
        <v>324</v>
      </c>
      <c r="O379" s="10"/>
      <c r="P379" s="10"/>
      <c r="Q379" s="111"/>
    </row>
    <row r="380" spans="2:27" x14ac:dyDescent="0.3">
      <c r="B380" s="10" t="s">
        <v>552</v>
      </c>
      <c r="C380" s="10" t="s">
        <v>321</v>
      </c>
      <c r="D380" s="10">
        <v>2</v>
      </c>
      <c r="E380" s="10">
        <f t="shared" si="31"/>
        <v>1</v>
      </c>
      <c r="F380" s="10">
        <v>0</v>
      </c>
      <c r="G380" s="10">
        <v>65535</v>
      </c>
      <c r="H380" s="10">
        <v>1</v>
      </c>
      <c r="I380" s="10">
        <v>1</v>
      </c>
      <c r="J380" s="10" t="s">
        <v>322</v>
      </c>
      <c r="K380" s="10">
        <f t="shared" si="30"/>
        <v>1205</v>
      </c>
      <c r="L380" s="10">
        <f t="shared" si="32"/>
        <v>1204</v>
      </c>
      <c r="M380" s="10" t="s">
        <v>323</v>
      </c>
      <c r="N380" s="10" t="s">
        <v>324</v>
      </c>
      <c r="O380" s="10"/>
      <c r="P380" s="10"/>
      <c r="Q380" s="111"/>
    </row>
    <row r="381" spans="2:27" x14ac:dyDescent="0.3">
      <c r="B381" s="10" t="s">
        <v>553</v>
      </c>
      <c r="C381" s="10" t="s">
        <v>321</v>
      </c>
      <c r="D381" s="10">
        <v>2</v>
      </c>
      <c r="E381" s="10">
        <f t="shared" si="31"/>
        <v>1</v>
      </c>
      <c r="F381" s="10">
        <v>0</v>
      </c>
      <c r="G381" s="10">
        <v>65535</v>
      </c>
      <c r="H381" s="10">
        <v>1</v>
      </c>
      <c r="I381" s="10">
        <v>1</v>
      </c>
      <c r="J381" s="10" t="s">
        <v>322</v>
      </c>
      <c r="K381" s="10">
        <f t="shared" si="30"/>
        <v>1206</v>
      </c>
      <c r="L381" s="10">
        <f t="shared" si="32"/>
        <v>1205</v>
      </c>
      <c r="M381" s="10" t="s">
        <v>323</v>
      </c>
      <c r="N381" s="10" t="s">
        <v>324</v>
      </c>
      <c r="O381" s="10"/>
      <c r="P381" s="10"/>
      <c r="Q381" s="111"/>
    </row>
    <row r="382" spans="2:27" x14ac:dyDescent="0.3">
      <c r="B382" s="10" t="s">
        <v>320</v>
      </c>
      <c r="C382" s="10" t="s">
        <v>321</v>
      </c>
      <c r="D382" s="10">
        <v>88</v>
      </c>
      <c r="E382" s="10">
        <f t="shared" si="31"/>
        <v>44</v>
      </c>
      <c r="F382" s="10">
        <v>0</v>
      </c>
      <c r="G382" s="10">
        <v>0</v>
      </c>
      <c r="H382" s="10">
        <v>1</v>
      </c>
      <c r="I382" s="10">
        <v>1</v>
      </c>
      <c r="J382" s="10" t="s">
        <v>322</v>
      </c>
      <c r="K382" s="10">
        <f t="shared" si="30"/>
        <v>1207</v>
      </c>
      <c r="L382" s="10">
        <f t="shared" si="32"/>
        <v>1206</v>
      </c>
      <c r="M382" s="10" t="s">
        <v>323</v>
      </c>
      <c r="N382" s="10" t="s">
        <v>324</v>
      </c>
      <c r="O382" s="10"/>
      <c r="P382" s="10"/>
      <c r="Q382" s="111"/>
    </row>
    <row r="383" spans="2:27" x14ac:dyDescent="0.3">
      <c r="B383" s="10" t="s">
        <v>554</v>
      </c>
      <c r="C383" s="10" t="s">
        <v>321</v>
      </c>
      <c r="D383" s="10">
        <v>2</v>
      </c>
      <c r="E383" s="10">
        <f>D383/2</f>
        <v>1</v>
      </c>
      <c r="F383" s="10">
        <v>0</v>
      </c>
      <c r="G383" s="10">
        <v>65535</v>
      </c>
      <c r="H383" s="10">
        <v>1</v>
      </c>
      <c r="I383" s="10">
        <v>1</v>
      </c>
      <c r="J383" s="10" t="s">
        <v>418</v>
      </c>
      <c r="K383" s="10">
        <f t="shared" si="30"/>
        <v>1251</v>
      </c>
      <c r="L383" s="10">
        <f>L382+E382</f>
        <v>1250</v>
      </c>
      <c r="M383" s="10" t="s">
        <v>419</v>
      </c>
      <c r="N383" s="10" t="s">
        <v>327</v>
      </c>
      <c r="O383" s="10"/>
      <c r="P383" s="10"/>
      <c r="Q383" s="111"/>
      <c r="T383" s="8"/>
      <c r="U383" s="8"/>
      <c r="V383" s="8"/>
      <c r="W383" s="8"/>
      <c r="X383" s="8"/>
      <c r="Y383" s="8"/>
      <c r="Z383" s="8"/>
    </row>
    <row r="384" spans="2:27" x14ac:dyDescent="0.3">
      <c r="B384" s="10" t="s">
        <v>320</v>
      </c>
      <c r="C384" s="10" t="s">
        <v>321</v>
      </c>
      <c r="D384" s="10">
        <v>38</v>
      </c>
      <c r="E384" s="10">
        <f t="shared" ref="E384" si="33">D384/2</f>
        <v>19</v>
      </c>
      <c r="F384" s="10">
        <v>0</v>
      </c>
      <c r="G384" s="10">
        <v>0</v>
      </c>
      <c r="H384" s="10">
        <v>1</v>
      </c>
      <c r="I384" s="10">
        <v>1</v>
      </c>
      <c r="J384" s="10" t="s">
        <v>418</v>
      </c>
      <c r="K384" s="10">
        <f t="shared" si="30"/>
        <v>1252</v>
      </c>
      <c r="L384" s="10">
        <f t="shared" ref="L384" si="34">L383+E383</f>
        <v>1251</v>
      </c>
      <c r="M384" s="10" t="s">
        <v>419</v>
      </c>
      <c r="N384" s="10" t="s">
        <v>324</v>
      </c>
      <c r="O384" s="10"/>
      <c r="P384" s="10"/>
      <c r="Q384" s="111"/>
    </row>
    <row r="385" spans="2:26" x14ac:dyDescent="0.3">
      <c r="B385" s="10" t="s">
        <v>555</v>
      </c>
      <c r="C385" s="10" t="s">
        <v>321</v>
      </c>
      <c r="D385" s="10">
        <v>2</v>
      </c>
      <c r="E385" s="10">
        <f>D385/2</f>
        <v>1</v>
      </c>
      <c r="F385" s="10">
        <v>0</v>
      </c>
      <c r="G385" s="10">
        <v>65535</v>
      </c>
      <c r="H385" s="10">
        <v>1</v>
      </c>
      <c r="I385" s="10">
        <v>1</v>
      </c>
      <c r="J385" s="10" t="s">
        <v>418</v>
      </c>
      <c r="K385" s="10">
        <f t="shared" si="30"/>
        <v>1271</v>
      </c>
      <c r="L385" s="10">
        <f>L384+E384</f>
        <v>1270</v>
      </c>
      <c r="M385" s="10" t="s">
        <v>419</v>
      </c>
      <c r="N385" s="10" t="s">
        <v>327</v>
      </c>
      <c r="O385" s="10"/>
      <c r="P385" s="10"/>
      <c r="Q385" s="111"/>
      <c r="T385" s="8"/>
      <c r="U385" s="8"/>
      <c r="V385" s="8"/>
      <c r="W385" s="8"/>
      <c r="X385" s="8"/>
      <c r="Y385" s="8"/>
      <c r="Z385" s="8"/>
    </row>
    <row r="386" spans="2:26" x14ac:dyDescent="0.3">
      <c r="B386" s="10" t="s">
        <v>320</v>
      </c>
      <c r="C386" s="10" t="s">
        <v>321</v>
      </c>
      <c r="D386" s="10">
        <v>18</v>
      </c>
      <c r="E386" s="10">
        <f t="shared" ref="E386" si="35">D386/2</f>
        <v>9</v>
      </c>
      <c r="F386" s="10">
        <v>0</v>
      </c>
      <c r="G386" s="10">
        <v>0</v>
      </c>
      <c r="H386" s="10">
        <v>1</v>
      </c>
      <c r="I386" s="10">
        <v>1</v>
      </c>
      <c r="J386" s="10" t="s">
        <v>418</v>
      </c>
      <c r="K386" s="10">
        <f t="shared" si="30"/>
        <v>1272</v>
      </c>
      <c r="L386" s="10">
        <f t="shared" ref="L386:L391" si="36">L385+E385</f>
        <v>1271</v>
      </c>
      <c r="M386" s="10" t="s">
        <v>419</v>
      </c>
      <c r="N386" s="10" t="s">
        <v>324</v>
      </c>
      <c r="O386" s="10"/>
      <c r="P386" s="10"/>
      <c r="Q386" s="111"/>
    </row>
    <row r="387" spans="2:26" x14ac:dyDescent="0.3">
      <c r="B387" s="10" t="s">
        <v>556</v>
      </c>
      <c r="C387" s="10" t="s">
        <v>321</v>
      </c>
      <c r="D387" s="10">
        <v>2</v>
      </c>
      <c r="E387" s="10">
        <f>D387/2</f>
        <v>1</v>
      </c>
      <c r="F387" s="10">
        <v>0</v>
      </c>
      <c r="G387" s="10">
        <v>65535</v>
      </c>
      <c r="H387" s="10">
        <v>1</v>
      </c>
      <c r="I387" s="10">
        <v>1</v>
      </c>
      <c r="J387" s="10" t="s">
        <v>322</v>
      </c>
      <c r="K387" s="10">
        <f t="shared" si="30"/>
        <v>1281</v>
      </c>
      <c r="L387" s="10">
        <f t="shared" si="36"/>
        <v>1280</v>
      </c>
      <c r="M387" s="10" t="s">
        <v>323</v>
      </c>
      <c r="N387" s="10" t="s">
        <v>324</v>
      </c>
      <c r="O387" s="10"/>
      <c r="P387" s="10"/>
      <c r="Q387" s="111"/>
      <c r="T387" s="8"/>
      <c r="U387" s="8"/>
      <c r="V387" s="8"/>
      <c r="W387" s="8"/>
      <c r="X387" s="8"/>
      <c r="Y387" s="8"/>
      <c r="Z387" s="8"/>
    </row>
    <row r="388" spans="2:26" x14ac:dyDescent="0.3">
      <c r="B388" s="10" t="s">
        <v>320</v>
      </c>
      <c r="C388" s="10" t="s">
        <v>321</v>
      </c>
      <c r="D388" s="10">
        <v>20</v>
      </c>
      <c r="E388" s="10">
        <f t="shared" ref="E388" si="37">D388/2</f>
        <v>10</v>
      </c>
      <c r="F388" s="10">
        <v>0</v>
      </c>
      <c r="G388" s="10">
        <v>0</v>
      </c>
      <c r="H388" s="10">
        <v>1</v>
      </c>
      <c r="I388" s="10">
        <v>1</v>
      </c>
      <c r="J388" s="10" t="s">
        <v>322</v>
      </c>
      <c r="K388" s="10">
        <f t="shared" si="30"/>
        <v>1282</v>
      </c>
      <c r="L388" s="10">
        <f t="shared" si="36"/>
        <v>1281</v>
      </c>
      <c r="M388" s="10" t="s">
        <v>323</v>
      </c>
      <c r="N388" s="10" t="s">
        <v>324</v>
      </c>
      <c r="O388" s="10"/>
      <c r="P388" s="10"/>
      <c r="Q388" s="111"/>
    </row>
    <row r="389" spans="2:26" ht="249.6" x14ac:dyDescent="0.3">
      <c r="B389" s="10" t="s">
        <v>557</v>
      </c>
      <c r="C389" s="10" t="s">
        <v>321</v>
      </c>
      <c r="D389" s="10">
        <v>2</v>
      </c>
      <c r="E389" s="10">
        <f>D389/2</f>
        <v>1</v>
      </c>
      <c r="F389" s="10">
        <v>0</v>
      </c>
      <c r="G389" s="10">
        <v>65535</v>
      </c>
      <c r="H389" s="10">
        <v>1</v>
      </c>
      <c r="I389" s="10">
        <v>1</v>
      </c>
      <c r="J389" s="10" t="s">
        <v>322</v>
      </c>
      <c r="K389" s="10">
        <f t="shared" si="30"/>
        <v>1292</v>
      </c>
      <c r="L389" s="10">
        <f t="shared" si="36"/>
        <v>1291</v>
      </c>
      <c r="M389" s="10" t="s">
        <v>323</v>
      </c>
      <c r="N389" s="10" t="s">
        <v>324</v>
      </c>
      <c r="O389" s="10"/>
      <c r="P389" s="10"/>
      <c r="Q389" s="110" t="s">
        <v>558</v>
      </c>
      <c r="T389" s="8"/>
      <c r="U389" s="8"/>
      <c r="V389" s="8"/>
      <c r="W389" s="8"/>
      <c r="X389" s="8"/>
      <c r="Y389" s="8"/>
      <c r="Z389" s="8"/>
    </row>
    <row r="390" spans="2:26" x14ac:dyDescent="0.3">
      <c r="B390" s="10" t="s">
        <v>320</v>
      </c>
      <c r="C390" s="10" t="s">
        <v>321</v>
      </c>
      <c r="D390" s="10">
        <v>18</v>
      </c>
      <c r="E390" s="10">
        <f t="shared" ref="E390" si="38">D390/2</f>
        <v>9</v>
      </c>
      <c r="F390" s="10">
        <v>0</v>
      </c>
      <c r="G390" s="10">
        <v>65535</v>
      </c>
      <c r="H390" s="10">
        <v>1</v>
      </c>
      <c r="I390" s="10">
        <v>1</v>
      </c>
      <c r="J390" s="10" t="s">
        <v>322</v>
      </c>
      <c r="K390" s="10">
        <f t="shared" si="30"/>
        <v>1293</v>
      </c>
      <c r="L390" s="10">
        <f t="shared" si="36"/>
        <v>1292</v>
      </c>
      <c r="M390" s="10" t="s">
        <v>323</v>
      </c>
      <c r="N390" s="10" t="s">
        <v>324</v>
      </c>
      <c r="O390" s="10"/>
      <c r="P390" s="10"/>
      <c r="Q390" s="111"/>
    </row>
    <row r="391" spans="2:26" x14ac:dyDescent="0.3">
      <c r="B391" s="10" t="s">
        <v>559</v>
      </c>
      <c r="C391" s="10" t="s">
        <v>321</v>
      </c>
      <c r="D391" s="10">
        <v>2</v>
      </c>
      <c r="E391" s="10">
        <f>D391/2</f>
        <v>1</v>
      </c>
      <c r="F391" s="10">
        <v>0</v>
      </c>
      <c r="G391" s="10">
        <v>65535</v>
      </c>
      <c r="H391" s="10">
        <v>1</v>
      </c>
      <c r="I391" s="10">
        <v>1</v>
      </c>
      <c r="J391" s="10" t="s">
        <v>418</v>
      </c>
      <c r="K391" s="10">
        <f t="shared" si="30"/>
        <v>1302</v>
      </c>
      <c r="L391" s="10">
        <f t="shared" si="36"/>
        <v>1301</v>
      </c>
      <c r="M391" s="10" t="s">
        <v>419</v>
      </c>
      <c r="N391" s="10" t="s">
        <v>324</v>
      </c>
      <c r="O391" s="10"/>
      <c r="P391" s="10"/>
      <c r="Q391" s="111"/>
    </row>
    <row r="392" spans="2:26" x14ac:dyDescent="0.3">
      <c r="B392" s="10" t="s">
        <v>560</v>
      </c>
      <c r="C392" s="10" t="s">
        <v>321</v>
      </c>
      <c r="D392" s="10">
        <v>2</v>
      </c>
      <c r="E392" s="10">
        <f>D392/2</f>
        <v>1</v>
      </c>
      <c r="F392" s="10">
        <v>0</v>
      </c>
      <c r="G392" s="10">
        <v>65535</v>
      </c>
      <c r="H392" s="10">
        <v>1</v>
      </c>
      <c r="I392" s="10">
        <v>1</v>
      </c>
      <c r="J392" s="10" t="s">
        <v>418</v>
      </c>
      <c r="K392" s="10">
        <f t="shared" si="30"/>
        <v>1303</v>
      </c>
      <c r="L392" s="10">
        <f>L391+E391</f>
        <v>1302</v>
      </c>
      <c r="M392" s="10" t="s">
        <v>419</v>
      </c>
      <c r="N392" s="10" t="s">
        <v>324</v>
      </c>
      <c r="O392" s="10"/>
      <c r="P392" s="10"/>
      <c r="Q392" s="111"/>
    </row>
    <row r="393" spans="2:26" x14ac:dyDescent="0.3">
      <c r="B393" s="10" t="s">
        <v>561</v>
      </c>
      <c r="C393" s="10" t="s">
        <v>321</v>
      </c>
      <c r="D393" s="10">
        <v>2</v>
      </c>
      <c r="E393" s="10">
        <f t="shared" ref="E393:E456" si="39">D393/2</f>
        <v>1</v>
      </c>
      <c r="F393" s="10">
        <v>0</v>
      </c>
      <c r="G393" s="10">
        <v>65535</v>
      </c>
      <c r="H393" s="10">
        <v>1</v>
      </c>
      <c r="I393" s="10">
        <v>1</v>
      </c>
      <c r="J393" s="10" t="s">
        <v>418</v>
      </c>
      <c r="K393" s="10">
        <f t="shared" si="30"/>
        <v>1304</v>
      </c>
      <c r="L393" s="10">
        <f t="shared" ref="L393:L456" si="40">L392+E392</f>
        <v>1303</v>
      </c>
      <c r="M393" s="10" t="s">
        <v>419</v>
      </c>
      <c r="N393" s="10" t="s">
        <v>324</v>
      </c>
      <c r="O393" s="10"/>
      <c r="P393" s="10"/>
      <c r="Q393" s="111"/>
    </row>
    <row r="394" spans="2:26" x14ac:dyDescent="0.3">
      <c r="B394" s="10" t="s">
        <v>562</v>
      </c>
      <c r="C394" s="10" t="s">
        <v>321</v>
      </c>
      <c r="D394" s="10">
        <v>2</v>
      </c>
      <c r="E394" s="10">
        <f t="shared" si="39"/>
        <v>1</v>
      </c>
      <c r="F394" s="10">
        <v>0</v>
      </c>
      <c r="G394" s="10">
        <v>65535</v>
      </c>
      <c r="H394" s="10">
        <v>1</v>
      </c>
      <c r="I394" s="10">
        <v>1</v>
      </c>
      <c r="J394" s="10" t="s">
        <v>418</v>
      </c>
      <c r="K394" s="10">
        <f t="shared" si="30"/>
        <v>1305</v>
      </c>
      <c r="L394" s="10">
        <f t="shared" si="40"/>
        <v>1304</v>
      </c>
      <c r="M394" s="10" t="s">
        <v>419</v>
      </c>
      <c r="N394" s="10" t="s">
        <v>324</v>
      </c>
      <c r="O394" s="10"/>
      <c r="P394" s="10"/>
      <c r="Q394" s="111"/>
    </row>
    <row r="395" spans="2:26" x14ac:dyDescent="0.3">
      <c r="B395" s="10" t="s">
        <v>563</v>
      </c>
      <c r="C395" s="10" t="s">
        <v>321</v>
      </c>
      <c r="D395" s="10">
        <v>2</v>
      </c>
      <c r="E395" s="10">
        <f t="shared" si="39"/>
        <v>1</v>
      </c>
      <c r="F395" s="10">
        <v>0</v>
      </c>
      <c r="G395" s="10">
        <v>65535</v>
      </c>
      <c r="H395" s="10">
        <v>1</v>
      </c>
      <c r="I395" s="10">
        <v>1</v>
      </c>
      <c r="J395" s="10" t="s">
        <v>418</v>
      </c>
      <c r="K395" s="10">
        <f t="shared" si="30"/>
        <v>1306</v>
      </c>
      <c r="L395" s="10">
        <f t="shared" si="40"/>
        <v>1305</v>
      </c>
      <c r="M395" s="10" t="s">
        <v>419</v>
      </c>
      <c r="N395" s="10" t="s">
        <v>324</v>
      </c>
      <c r="O395" s="10"/>
      <c r="P395" s="10"/>
      <c r="Q395" s="111"/>
    </row>
    <row r="396" spans="2:26" x14ac:dyDescent="0.3">
      <c r="B396" s="10" t="s">
        <v>564</v>
      </c>
      <c r="C396" s="10" t="s">
        <v>321</v>
      </c>
      <c r="D396" s="10">
        <v>2</v>
      </c>
      <c r="E396" s="10">
        <f t="shared" si="39"/>
        <v>1</v>
      </c>
      <c r="F396" s="10">
        <v>0</v>
      </c>
      <c r="G396" s="10">
        <v>65535</v>
      </c>
      <c r="H396" s="10">
        <v>1</v>
      </c>
      <c r="I396" s="10">
        <v>1</v>
      </c>
      <c r="J396" s="10" t="s">
        <v>418</v>
      </c>
      <c r="K396" s="10">
        <f t="shared" si="30"/>
        <v>1307</v>
      </c>
      <c r="L396" s="10">
        <f t="shared" si="40"/>
        <v>1306</v>
      </c>
      <c r="M396" s="10" t="s">
        <v>419</v>
      </c>
      <c r="N396" s="10" t="s">
        <v>324</v>
      </c>
      <c r="O396" s="10"/>
      <c r="P396" s="10"/>
      <c r="Q396" s="111"/>
    </row>
    <row r="397" spans="2:26" x14ac:dyDescent="0.3">
      <c r="B397" s="10" t="s">
        <v>565</v>
      </c>
      <c r="C397" s="10" t="s">
        <v>321</v>
      </c>
      <c r="D397" s="10">
        <v>2</v>
      </c>
      <c r="E397" s="10">
        <f t="shared" si="39"/>
        <v>1</v>
      </c>
      <c r="F397" s="10">
        <v>0</v>
      </c>
      <c r="G397" s="10">
        <v>65535</v>
      </c>
      <c r="H397" s="10">
        <v>1</v>
      </c>
      <c r="I397" s="10">
        <v>1</v>
      </c>
      <c r="J397" s="10" t="s">
        <v>418</v>
      </c>
      <c r="K397" s="10">
        <f t="shared" si="30"/>
        <v>1308</v>
      </c>
      <c r="L397" s="10">
        <f t="shared" si="40"/>
        <v>1307</v>
      </c>
      <c r="M397" s="10" t="s">
        <v>419</v>
      </c>
      <c r="N397" s="10" t="s">
        <v>324</v>
      </c>
      <c r="O397" s="10"/>
      <c r="P397" s="10"/>
      <c r="Q397" s="111"/>
    </row>
    <row r="398" spans="2:26" x14ac:dyDescent="0.3">
      <c r="B398" s="10" t="s">
        <v>566</v>
      </c>
      <c r="C398" s="10" t="s">
        <v>321</v>
      </c>
      <c r="D398" s="10">
        <v>2</v>
      </c>
      <c r="E398" s="10">
        <f t="shared" si="39"/>
        <v>1</v>
      </c>
      <c r="F398" s="10">
        <v>0</v>
      </c>
      <c r="G398" s="10">
        <v>65535</v>
      </c>
      <c r="H398" s="10">
        <v>1</v>
      </c>
      <c r="I398" s="10">
        <v>1</v>
      </c>
      <c r="J398" s="10" t="s">
        <v>418</v>
      </c>
      <c r="K398" s="10">
        <f t="shared" si="30"/>
        <v>1309</v>
      </c>
      <c r="L398" s="10">
        <f t="shared" si="40"/>
        <v>1308</v>
      </c>
      <c r="M398" s="10" t="s">
        <v>419</v>
      </c>
      <c r="N398" s="10" t="s">
        <v>324</v>
      </c>
      <c r="O398" s="10"/>
      <c r="P398" s="10"/>
      <c r="Q398" s="111"/>
    </row>
    <row r="399" spans="2:26" x14ac:dyDescent="0.3">
      <c r="B399" s="10" t="s">
        <v>567</v>
      </c>
      <c r="C399" s="10" t="s">
        <v>321</v>
      </c>
      <c r="D399" s="10">
        <v>2</v>
      </c>
      <c r="E399" s="10">
        <f t="shared" si="39"/>
        <v>1</v>
      </c>
      <c r="F399" s="10">
        <v>0</v>
      </c>
      <c r="G399" s="10">
        <v>65535</v>
      </c>
      <c r="H399" s="10">
        <v>1</v>
      </c>
      <c r="I399" s="10">
        <v>1</v>
      </c>
      <c r="J399" s="10" t="s">
        <v>418</v>
      </c>
      <c r="K399" s="10">
        <f t="shared" si="30"/>
        <v>1310</v>
      </c>
      <c r="L399" s="10">
        <f t="shared" si="40"/>
        <v>1309</v>
      </c>
      <c r="M399" s="10" t="s">
        <v>419</v>
      </c>
      <c r="N399" s="10" t="s">
        <v>324</v>
      </c>
      <c r="O399" s="10"/>
      <c r="P399" s="10"/>
      <c r="Q399" s="111"/>
    </row>
    <row r="400" spans="2:26" x14ac:dyDescent="0.3">
      <c r="B400" s="10" t="s">
        <v>568</v>
      </c>
      <c r="C400" s="10" t="s">
        <v>321</v>
      </c>
      <c r="D400" s="10">
        <v>2</v>
      </c>
      <c r="E400" s="10">
        <f t="shared" si="39"/>
        <v>1</v>
      </c>
      <c r="F400" s="10">
        <v>0</v>
      </c>
      <c r="G400" s="10">
        <v>65535</v>
      </c>
      <c r="H400" s="10">
        <v>1</v>
      </c>
      <c r="I400" s="10">
        <v>1</v>
      </c>
      <c r="J400" s="10" t="s">
        <v>418</v>
      </c>
      <c r="K400" s="10">
        <f t="shared" si="30"/>
        <v>1311</v>
      </c>
      <c r="L400" s="10">
        <f t="shared" si="40"/>
        <v>1310</v>
      </c>
      <c r="M400" s="10" t="s">
        <v>419</v>
      </c>
      <c r="N400" s="10" t="s">
        <v>324</v>
      </c>
      <c r="O400" s="10"/>
      <c r="P400" s="10"/>
      <c r="Q400" s="111"/>
    </row>
    <row r="401" spans="2:17" x14ac:dyDescent="0.3">
      <c r="B401" s="10" t="s">
        <v>569</v>
      </c>
      <c r="C401" s="10" t="s">
        <v>321</v>
      </c>
      <c r="D401" s="10">
        <v>2</v>
      </c>
      <c r="E401" s="10">
        <f t="shared" si="39"/>
        <v>1</v>
      </c>
      <c r="F401" s="10">
        <v>0</v>
      </c>
      <c r="G401" s="10">
        <v>65535</v>
      </c>
      <c r="H401" s="10">
        <v>1</v>
      </c>
      <c r="I401" s="10">
        <v>1</v>
      </c>
      <c r="J401" s="10" t="s">
        <v>418</v>
      </c>
      <c r="K401" s="10">
        <f t="shared" si="30"/>
        <v>1312</v>
      </c>
      <c r="L401" s="10">
        <f t="shared" si="40"/>
        <v>1311</v>
      </c>
      <c r="M401" s="10" t="s">
        <v>419</v>
      </c>
      <c r="N401" s="10" t="s">
        <v>324</v>
      </c>
      <c r="O401" s="10"/>
      <c r="P401" s="10"/>
      <c r="Q401" s="111"/>
    </row>
    <row r="402" spans="2:17" x14ac:dyDescent="0.3">
      <c r="B402" s="10" t="s">
        <v>570</v>
      </c>
      <c r="C402" s="10" t="s">
        <v>321</v>
      </c>
      <c r="D402" s="10">
        <v>2</v>
      </c>
      <c r="E402" s="10">
        <f t="shared" si="39"/>
        <v>1</v>
      </c>
      <c r="F402" s="10">
        <v>0</v>
      </c>
      <c r="G402" s="10">
        <v>65535</v>
      </c>
      <c r="H402" s="10">
        <v>1</v>
      </c>
      <c r="I402" s="10">
        <v>1</v>
      </c>
      <c r="J402" s="10" t="s">
        <v>418</v>
      </c>
      <c r="K402" s="10">
        <f t="shared" si="30"/>
        <v>1313</v>
      </c>
      <c r="L402" s="10">
        <f t="shared" si="40"/>
        <v>1312</v>
      </c>
      <c r="M402" s="10" t="s">
        <v>419</v>
      </c>
      <c r="N402" s="10" t="s">
        <v>324</v>
      </c>
      <c r="O402" s="10"/>
      <c r="P402" s="10"/>
      <c r="Q402" s="111"/>
    </row>
    <row r="403" spans="2:17" x14ac:dyDescent="0.3">
      <c r="B403" s="10" t="s">
        <v>571</v>
      </c>
      <c r="C403" s="10" t="s">
        <v>321</v>
      </c>
      <c r="D403" s="10">
        <v>2</v>
      </c>
      <c r="E403" s="10">
        <f t="shared" si="39"/>
        <v>1</v>
      </c>
      <c r="F403" s="10">
        <v>0</v>
      </c>
      <c r="G403" s="10">
        <v>65535</v>
      </c>
      <c r="H403" s="10">
        <v>1</v>
      </c>
      <c r="I403" s="10">
        <v>1</v>
      </c>
      <c r="J403" s="10" t="s">
        <v>418</v>
      </c>
      <c r="K403" s="10">
        <f t="shared" si="30"/>
        <v>1314</v>
      </c>
      <c r="L403" s="10">
        <f t="shared" si="40"/>
        <v>1313</v>
      </c>
      <c r="M403" s="10" t="s">
        <v>419</v>
      </c>
      <c r="N403" s="10" t="s">
        <v>324</v>
      </c>
      <c r="O403" s="10"/>
      <c r="P403" s="10"/>
      <c r="Q403" s="111"/>
    </row>
    <row r="404" spans="2:17" x14ac:dyDescent="0.3">
      <c r="B404" s="10" t="s">
        <v>572</v>
      </c>
      <c r="C404" s="10" t="s">
        <v>321</v>
      </c>
      <c r="D404" s="10">
        <v>2</v>
      </c>
      <c r="E404" s="10">
        <f t="shared" si="39"/>
        <v>1</v>
      </c>
      <c r="F404" s="10">
        <v>0</v>
      </c>
      <c r="G404" s="10">
        <v>65535</v>
      </c>
      <c r="H404" s="10">
        <v>1</v>
      </c>
      <c r="I404" s="10">
        <v>1</v>
      </c>
      <c r="J404" s="10" t="s">
        <v>418</v>
      </c>
      <c r="K404" s="10">
        <f t="shared" si="30"/>
        <v>1315</v>
      </c>
      <c r="L404" s="10">
        <f t="shared" si="40"/>
        <v>1314</v>
      </c>
      <c r="M404" s="10" t="s">
        <v>419</v>
      </c>
      <c r="N404" s="10" t="s">
        <v>324</v>
      </c>
      <c r="O404" s="10"/>
      <c r="P404" s="10"/>
      <c r="Q404" s="111"/>
    </row>
    <row r="405" spans="2:17" x14ac:dyDescent="0.3">
      <c r="B405" s="10" t="s">
        <v>573</v>
      </c>
      <c r="C405" s="10" t="s">
        <v>321</v>
      </c>
      <c r="D405" s="10">
        <v>2</v>
      </c>
      <c r="E405" s="10">
        <f t="shared" si="39"/>
        <v>1</v>
      </c>
      <c r="F405" s="10">
        <v>0</v>
      </c>
      <c r="G405" s="10">
        <v>65535</v>
      </c>
      <c r="H405" s="10">
        <v>1</v>
      </c>
      <c r="I405" s="10">
        <v>1</v>
      </c>
      <c r="J405" s="10" t="s">
        <v>418</v>
      </c>
      <c r="K405" s="10">
        <f t="shared" si="30"/>
        <v>1316</v>
      </c>
      <c r="L405" s="10">
        <f t="shared" si="40"/>
        <v>1315</v>
      </c>
      <c r="M405" s="10" t="s">
        <v>419</v>
      </c>
      <c r="N405" s="10" t="s">
        <v>324</v>
      </c>
      <c r="O405" s="10"/>
      <c r="P405" s="10"/>
      <c r="Q405" s="111"/>
    </row>
    <row r="406" spans="2:17" x14ac:dyDescent="0.3">
      <c r="B406" s="10" t="s">
        <v>574</v>
      </c>
      <c r="C406" s="10" t="s">
        <v>321</v>
      </c>
      <c r="D406" s="10">
        <v>2</v>
      </c>
      <c r="E406" s="10">
        <f t="shared" si="39"/>
        <v>1</v>
      </c>
      <c r="F406" s="10">
        <v>0</v>
      </c>
      <c r="G406" s="10">
        <v>65535</v>
      </c>
      <c r="H406" s="10">
        <v>1</v>
      </c>
      <c r="I406" s="10">
        <v>1</v>
      </c>
      <c r="J406" s="10" t="s">
        <v>418</v>
      </c>
      <c r="K406" s="10">
        <f t="shared" si="30"/>
        <v>1317</v>
      </c>
      <c r="L406" s="10">
        <f t="shared" si="40"/>
        <v>1316</v>
      </c>
      <c r="M406" s="10" t="s">
        <v>419</v>
      </c>
      <c r="N406" s="10" t="s">
        <v>324</v>
      </c>
      <c r="O406" s="10"/>
      <c r="P406" s="10"/>
      <c r="Q406" s="111"/>
    </row>
    <row r="407" spans="2:17" x14ac:dyDescent="0.3">
      <c r="B407" s="10" t="s">
        <v>575</v>
      </c>
      <c r="C407" s="10" t="s">
        <v>321</v>
      </c>
      <c r="D407" s="10">
        <v>2</v>
      </c>
      <c r="E407" s="10">
        <f t="shared" si="39"/>
        <v>1</v>
      </c>
      <c r="F407" s="10">
        <v>0</v>
      </c>
      <c r="G407" s="10">
        <v>65535</v>
      </c>
      <c r="H407" s="10">
        <v>1</v>
      </c>
      <c r="I407" s="10">
        <v>1</v>
      </c>
      <c r="J407" s="10" t="s">
        <v>418</v>
      </c>
      <c r="K407" s="10">
        <f t="shared" si="30"/>
        <v>1318</v>
      </c>
      <c r="L407" s="10">
        <f t="shared" si="40"/>
        <v>1317</v>
      </c>
      <c r="M407" s="10" t="s">
        <v>419</v>
      </c>
      <c r="N407" s="10" t="s">
        <v>324</v>
      </c>
      <c r="O407" s="10"/>
      <c r="P407" s="10"/>
      <c r="Q407" s="111"/>
    </row>
    <row r="408" spans="2:17" x14ac:dyDescent="0.3">
      <c r="B408" s="10" t="s">
        <v>576</v>
      </c>
      <c r="C408" s="10" t="s">
        <v>321</v>
      </c>
      <c r="D408" s="10">
        <v>2</v>
      </c>
      <c r="E408" s="10">
        <f t="shared" si="39"/>
        <v>1</v>
      </c>
      <c r="F408" s="10">
        <v>0</v>
      </c>
      <c r="G408" s="10">
        <v>65535</v>
      </c>
      <c r="H408" s="10">
        <v>1</v>
      </c>
      <c r="I408" s="10">
        <v>1</v>
      </c>
      <c r="J408" s="10" t="s">
        <v>418</v>
      </c>
      <c r="K408" s="10">
        <f t="shared" si="30"/>
        <v>1319</v>
      </c>
      <c r="L408" s="10">
        <f t="shared" si="40"/>
        <v>1318</v>
      </c>
      <c r="M408" s="10" t="s">
        <v>419</v>
      </c>
      <c r="N408" s="10" t="s">
        <v>324</v>
      </c>
      <c r="O408" s="10"/>
      <c r="P408" s="10"/>
      <c r="Q408" s="111"/>
    </row>
    <row r="409" spans="2:17" x14ac:dyDescent="0.3">
      <c r="B409" s="10" t="s">
        <v>577</v>
      </c>
      <c r="C409" s="10" t="s">
        <v>321</v>
      </c>
      <c r="D409" s="10">
        <v>2</v>
      </c>
      <c r="E409" s="10">
        <f t="shared" si="39"/>
        <v>1</v>
      </c>
      <c r="F409" s="10">
        <v>0</v>
      </c>
      <c r="G409" s="10">
        <v>65535</v>
      </c>
      <c r="H409" s="10">
        <v>1</v>
      </c>
      <c r="I409" s="10">
        <v>1</v>
      </c>
      <c r="J409" s="10" t="s">
        <v>418</v>
      </c>
      <c r="K409" s="10">
        <f t="shared" si="30"/>
        <v>1320</v>
      </c>
      <c r="L409" s="10">
        <f t="shared" si="40"/>
        <v>1319</v>
      </c>
      <c r="M409" s="10" t="s">
        <v>419</v>
      </c>
      <c r="N409" s="10" t="s">
        <v>324</v>
      </c>
      <c r="O409" s="10"/>
      <c r="P409" s="10"/>
      <c r="Q409" s="111"/>
    </row>
    <row r="410" spans="2:17" x14ac:dyDescent="0.3">
      <c r="B410" s="10" t="s">
        <v>578</v>
      </c>
      <c r="C410" s="10" t="s">
        <v>321</v>
      </c>
      <c r="D410" s="10">
        <v>2</v>
      </c>
      <c r="E410" s="10">
        <f t="shared" si="39"/>
        <v>1</v>
      </c>
      <c r="F410" s="10">
        <v>0</v>
      </c>
      <c r="G410" s="10">
        <v>65535</v>
      </c>
      <c r="H410" s="10">
        <v>1</v>
      </c>
      <c r="I410" s="10">
        <v>1</v>
      </c>
      <c r="J410" s="10" t="s">
        <v>418</v>
      </c>
      <c r="K410" s="10">
        <f t="shared" si="30"/>
        <v>1321</v>
      </c>
      <c r="L410" s="10">
        <f t="shared" si="40"/>
        <v>1320</v>
      </c>
      <c r="M410" s="10" t="s">
        <v>419</v>
      </c>
      <c r="N410" s="10" t="s">
        <v>324</v>
      </c>
      <c r="O410" s="10"/>
      <c r="P410" s="10"/>
      <c r="Q410" s="111"/>
    </row>
    <row r="411" spans="2:17" x14ac:dyDescent="0.3">
      <c r="B411" s="10" t="s">
        <v>579</v>
      </c>
      <c r="C411" s="10" t="s">
        <v>321</v>
      </c>
      <c r="D411" s="10">
        <v>2</v>
      </c>
      <c r="E411" s="10">
        <f t="shared" si="39"/>
        <v>1</v>
      </c>
      <c r="F411" s="10">
        <v>0</v>
      </c>
      <c r="G411" s="10">
        <v>65535</v>
      </c>
      <c r="H411" s="10">
        <v>1</v>
      </c>
      <c r="I411" s="10">
        <v>1</v>
      </c>
      <c r="J411" s="10" t="s">
        <v>418</v>
      </c>
      <c r="K411" s="10">
        <f t="shared" si="30"/>
        <v>1322</v>
      </c>
      <c r="L411" s="10">
        <f t="shared" si="40"/>
        <v>1321</v>
      </c>
      <c r="M411" s="10" t="s">
        <v>419</v>
      </c>
      <c r="N411" s="10" t="s">
        <v>324</v>
      </c>
      <c r="O411" s="10"/>
      <c r="P411" s="10"/>
      <c r="Q411" s="111"/>
    </row>
    <row r="412" spans="2:17" x14ac:dyDescent="0.3">
      <c r="B412" s="10" t="s">
        <v>580</v>
      </c>
      <c r="C412" s="10" t="s">
        <v>321</v>
      </c>
      <c r="D412" s="10">
        <v>2</v>
      </c>
      <c r="E412" s="10">
        <f t="shared" si="39"/>
        <v>1</v>
      </c>
      <c r="F412" s="10">
        <v>0</v>
      </c>
      <c r="G412" s="10">
        <v>65535</v>
      </c>
      <c r="H412" s="10">
        <v>1</v>
      </c>
      <c r="I412" s="10">
        <v>1</v>
      </c>
      <c r="J412" s="10" t="s">
        <v>418</v>
      </c>
      <c r="K412" s="10">
        <f t="shared" si="30"/>
        <v>1323</v>
      </c>
      <c r="L412" s="10">
        <f t="shared" si="40"/>
        <v>1322</v>
      </c>
      <c r="M412" s="10" t="s">
        <v>419</v>
      </c>
      <c r="N412" s="10" t="s">
        <v>324</v>
      </c>
      <c r="O412" s="10"/>
      <c r="P412" s="10"/>
      <c r="Q412" s="111"/>
    </row>
    <row r="413" spans="2:17" x14ac:dyDescent="0.3">
      <c r="B413" s="10" t="s">
        <v>581</v>
      </c>
      <c r="C413" s="10" t="s">
        <v>321</v>
      </c>
      <c r="D413" s="10">
        <v>2</v>
      </c>
      <c r="E413" s="10">
        <f t="shared" si="39"/>
        <v>1</v>
      </c>
      <c r="F413" s="10">
        <v>0</v>
      </c>
      <c r="G413" s="10">
        <v>65535</v>
      </c>
      <c r="H413" s="10">
        <v>1</v>
      </c>
      <c r="I413" s="10">
        <v>1</v>
      </c>
      <c r="J413" s="10" t="s">
        <v>418</v>
      </c>
      <c r="K413" s="10">
        <f t="shared" si="30"/>
        <v>1324</v>
      </c>
      <c r="L413" s="10">
        <f t="shared" si="40"/>
        <v>1323</v>
      </c>
      <c r="M413" s="10" t="s">
        <v>419</v>
      </c>
      <c r="N413" s="10" t="s">
        <v>324</v>
      </c>
      <c r="O413" s="10"/>
      <c r="P413" s="10"/>
      <c r="Q413" s="111"/>
    </row>
    <row r="414" spans="2:17" x14ac:dyDescent="0.3">
      <c r="B414" s="10" t="s">
        <v>582</v>
      </c>
      <c r="C414" s="10" t="s">
        <v>321</v>
      </c>
      <c r="D414" s="10">
        <v>2</v>
      </c>
      <c r="E414" s="10">
        <f t="shared" si="39"/>
        <v>1</v>
      </c>
      <c r="F414" s="10">
        <v>0</v>
      </c>
      <c r="G414" s="10">
        <v>65535</v>
      </c>
      <c r="H414" s="10">
        <v>1</v>
      </c>
      <c r="I414" s="10">
        <v>1</v>
      </c>
      <c r="J414" s="10" t="s">
        <v>418</v>
      </c>
      <c r="K414" s="10">
        <f t="shared" si="30"/>
        <v>1325</v>
      </c>
      <c r="L414" s="10">
        <f t="shared" si="40"/>
        <v>1324</v>
      </c>
      <c r="M414" s="10" t="s">
        <v>419</v>
      </c>
      <c r="N414" s="10" t="s">
        <v>324</v>
      </c>
      <c r="O414" s="10"/>
      <c r="P414" s="10"/>
      <c r="Q414" s="111"/>
    </row>
    <row r="415" spans="2:17" x14ac:dyDescent="0.3">
      <c r="B415" s="10" t="s">
        <v>583</v>
      </c>
      <c r="C415" s="10" t="s">
        <v>321</v>
      </c>
      <c r="D415" s="10">
        <v>2</v>
      </c>
      <c r="E415" s="10">
        <f t="shared" si="39"/>
        <v>1</v>
      </c>
      <c r="F415" s="10">
        <v>0</v>
      </c>
      <c r="G415" s="10">
        <v>65535</v>
      </c>
      <c r="H415" s="10">
        <v>1</v>
      </c>
      <c r="I415" s="10">
        <v>1</v>
      </c>
      <c r="J415" s="10" t="s">
        <v>418</v>
      </c>
      <c r="K415" s="10">
        <f t="shared" si="30"/>
        <v>1326</v>
      </c>
      <c r="L415" s="10">
        <f t="shared" si="40"/>
        <v>1325</v>
      </c>
      <c r="M415" s="10" t="s">
        <v>419</v>
      </c>
      <c r="N415" s="10" t="s">
        <v>324</v>
      </c>
      <c r="O415" s="10"/>
      <c r="P415" s="10"/>
      <c r="Q415" s="111"/>
    </row>
    <row r="416" spans="2:17" x14ac:dyDescent="0.3">
      <c r="B416" s="10" t="s">
        <v>584</v>
      </c>
      <c r="C416" s="10" t="s">
        <v>321</v>
      </c>
      <c r="D416" s="10">
        <v>2</v>
      </c>
      <c r="E416" s="10">
        <f t="shared" si="39"/>
        <v>1</v>
      </c>
      <c r="F416" s="10">
        <v>0</v>
      </c>
      <c r="G416" s="10">
        <v>65535</v>
      </c>
      <c r="H416" s="10">
        <v>1</v>
      </c>
      <c r="I416" s="10">
        <v>1</v>
      </c>
      <c r="J416" s="10" t="s">
        <v>418</v>
      </c>
      <c r="K416" s="10">
        <f t="shared" si="30"/>
        <v>1327</v>
      </c>
      <c r="L416" s="10">
        <f t="shared" si="40"/>
        <v>1326</v>
      </c>
      <c r="M416" s="10" t="s">
        <v>419</v>
      </c>
      <c r="N416" s="10" t="s">
        <v>324</v>
      </c>
      <c r="O416" s="10"/>
      <c r="P416" s="10"/>
      <c r="Q416" s="111"/>
    </row>
    <row r="417" spans="2:17" x14ac:dyDescent="0.3">
      <c r="B417" s="10" t="s">
        <v>585</v>
      </c>
      <c r="C417" s="10" t="s">
        <v>321</v>
      </c>
      <c r="D417" s="10">
        <v>2</v>
      </c>
      <c r="E417" s="10">
        <f t="shared" si="39"/>
        <v>1</v>
      </c>
      <c r="F417" s="10">
        <v>0</v>
      </c>
      <c r="G417" s="10">
        <v>65535</v>
      </c>
      <c r="H417" s="10">
        <v>1</v>
      </c>
      <c r="I417" s="10">
        <v>1</v>
      </c>
      <c r="J417" s="10" t="s">
        <v>418</v>
      </c>
      <c r="K417" s="10">
        <f t="shared" si="30"/>
        <v>1328</v>
      </c>
      <c r="L417" s="10">
        <f t="shared" si="40"/>
        <v>1327</v>
      </c>
      <c r="M417" s="10" t="s">
        <v>419</v>
      </c>
      <c r="N417" s="10" t="s">
        <v>324</v>
      </c>
      <c r="O417" s="10"/>
      <c r="P417" s="10"/>
      <c r="Q417" s="111"/>
    </row>
    <row r="418" spans="2:17" x14ac:dyDescent="0.3">
      <c r="B418" s="10" t="s">
        <v>586</v>
      </c>
      <c r="C418" s="10" t="s">
        <v>321</v>
      </c>
      <c r="D418" s="10">
        <v>2</v>
      </c>
      <c r="E418" s="10">
        <f t="shared" si="39"/>
        <v>1</v>
      </c>
      <c r="F418" s="10">
        <v>0</v>
      </c>
      <c r="G418" s="10">
        <v>65535</v>
      </c>
      <c r="H418" s="10">
        <v>1</v>
      </c>
      <c r="I418" s="10">
        <v>1</v>
      </c>
      <c r="J418" s="10" t="s">
        <v>418</v>
      </c>
      <c r="K418" s="10">
        <f t="shared" si="30"/>
        <v>1329</v>
      </c>
      <c r="L418" s="10">
        <f t="shared" si="40"/>
        <v>1328</v>
      </c>
      <c r="M418" s="10" t="s">
        <v>419</v>
      </c>
      <c r="N418" s="10" t="s">
        <v>324</v>
      </c>
      <c r="O418" s="10"/>
      <c r="P418" s="10"/>
      <c r="Q418" s="111"/>
    </row>
    <row r="419" spans="2:17" x14ac:dyDescent="0.3">
      <c r="B419" s="10" t="s">
        <v>587</v>
      </c>
      <c r="C419" s="10" t="s">
        <v>321</v>
      </c>
      <c r="D419" s="10">
        <v>2</v>
      </c>
      <c r="E419" s="10">
        <f t="shared" si="39"/>
        <v>1</v>
      </c>
      <c r="F419" s="10">
        <v>0</v>
      </c>
      <c r="G419" s="10">
        <v>65535</v>
      </c>
      <c r="H419" s="10">
        <v>1</v>
      </c>
      <c r="I419" s="10">
        <v>1</v>
      </c>
      <c r="J419" s="10" t="s">
        <v>418</v>
      </c>
      <c r="K419" s="10">
        <f t="shared" si="30"/>
        <v>1330</v>
      </c>
      <c r="L419" s="10">
        <f t="shared" si="40"/>
        <v>1329</v>
      </c>
      <c r="M419" s="10" t="s">
        <v>419</v>
      </c>
      <c r="N419" s="10" t="s">
        <v>324</v>
      </c>
      <c r="O419" s="10"/>
      <c r="P419" s="10"/>
      <c r="Q419" s="111"/>
    </row>
    <row r="420" spans="2:17" x14ac:dyDescent="0.3">
      <c r="B420" s="10" t="s">
        <v>588</v>
      </c>
      <c r="C420" s="10" t="s">
        <v>321</v>
      </c>
      <c r="D420" s="10">
        <v>2</v>
      </c>
      <c r="E420" s="10">
        <f t="shared" si="39"/>
        <v>1</v>
      </c>
      <c r="F420" s="10">
        <v>0</v>
      </c>
      <c r="G420" s="10">
        <v>65535</v>
      </c>
      <c r="H420" s="10">
        <v>1</v>
      </c>
      <c r="I420" s="10">
        <v>1</v>
      </c>
      <c r="J420" s="10" t="s">
        <v>418</v>
      </c>
      <c r="K420" s="10">
        <f t="shared" si="30"/>
        <v>1331</v>
      </c>
      <c r="L420" s="10">
        <f t="shared" si="40"/>
        <v>1330</v>
      </c>
      <c r="M420" s="10" t="s">
        <v>419</v>
      </c>
      <c r="N420" s="10" t="s">
        <v>324</v>
      </c>
      <c r="O420" s="10"/>
      <c r="P420" s="10"/>
      <c r="Q420" s="111"/>
    </row>
    <row r="421" spans="2:17" x14ac:dyDescent="0.3">
      <c r="B421" s="10" t="s">
        <v>589</v>
      </c>
      <c r="C421" s="10" t="s">
        <v>321</v>
      </c>
      <c r="D421" s="10">
        <v>2</v>
      </c>
      <c r="E421" s="10">
        <f t="shared" si="39"/>
        <v>1</v>
      </c>
      <c r="F421" s="10">
        <v>0</v>
      </c>
      <c r="G421" s="10">
        <v>65535</v>
      </c>
      <c r="H421" s="10">
        <v>1</v>
      </c>
      <c r="I421" s="10">
        <v>1</v>
      </c>
      <c r="J421" s="10" t="s">
        <v>418</v>
      </c>
      <c r="K421" s="10">
        <f t="shared" si="30"/>
        <v>1332</v>
      </c>
      <c r="L421" s="10">
        <f t="shared" si="40"/>
        <v>1331</v>
      </c>
      <c r="M421" s="10" t="s">
        <v>419</v>
      </c>
      <c r="N421" s="10" t="s">
        <v>324</v>
      </c>
      <c r="O421" s="10"/>
      <c r="P421" s="10"/>
      <c r="Q421" s="111"/>
    </row>
    <row r="422" spans="2:17" x14ac:dyDescent="0.3">
      <c r="B422" s="10" t="s">
        <v>590</v>
      </c>
      <c r="C422" s="10" t="s">
        <v>321</v>
      </c>
      <c r="D422" s="10">
        <v>2</v>
      </c>
      <c r="E422" s="10">
        <f t="shared" si="39"/>
        <v>1</v>
      </c>
      <c r="F422" s="10">
        <v>0</v>
      </c>
      <c r="G422" s="10">
        <v>65535</v>
      </c>
      <c r="H422" s="10">
        <v>1</v>
      </c>
      <c r="I422" s="10">
        <v>1</v>
      </c>
      <c r="J422" s="10" t="s">
        <v>418</v>
      </c>
      <c r="K422" s="10">
        <f t="shared" si="30"/>
        <v>1333</v>
      </c>
      <c r="L422" s="10">
        <f t="shared" si="40"/>
        <v>1332</v>
      </c>
      <c r="M422" s="10" t="s">
        <v>419</v>
      </c>
      <c r="N422" s="10" t="s">
        <v>324</v>
      </c>
      <c r="O422" s="10"/>
      <c r="P422" s="10"/>
      <c r="Q422" s="111"/>
    </row>
    <row r="423" spans="2:17" x14ac:dyDescent="0.3">
      <c r="B423" s="10" t="s">
        <v>591</v>
      </c>
      <c r="C423" s="10" t="s">
        <v>321</v>
      </c>
      <c r="D423" s="10">
        <v>2</v>
      </c>
      <c r="E423" s="10">
        <f t="shared" si="39"/>
        <v>1</v>
      </c>
      <c r="F423" s="10">
        <v>0</v>
      </c>
      <c r="G423" s="10">
        <v>65535</v>
      </c>
      <c r="H423" s="10">
        <v>1</v>
      </c>
      <c r="I423" s="10">
        <v>1</v>
      </c>
      <c r="J423" s="10" t="s">
        <v>418</v>
      </c>
      <c r="K423" s="10">
        <f t="shared" si="30"/>
        <v>1334</v>
      </c>
      <c r="L423" s="10">
        <f t="shared" si="40"/>
        <v>1333</v>
      </c>
      <c r="M423" s="10" t="s">
        <v>419</v>
      </c>
      <c r="N423" s="10" t="s">
        <v>324</v>
      </c>
      <c r="O423" s="10"/>
      <c r="P423" s="10"/>
      <c r="Q423" s="111"/>
    </row>
    <row r="424" spans="2:17" x14ac:dyDescent="0.3">
      <c r="B424" s="10" t="s">
        <v>592</v>
      </c>
      <c r="C424" s="10" t="s">
        <v>321</v>
      </c>
      <c r="D424" s="10">
        <v>2</v>
      </c>
      <c r="E424" s="10">
        <f t="shared" si="39"/>
        <v>1</v>
      </c>
      <c r="F424" s="10">
        <v>0</v>
      </c>
      <c r="G424" s="10">
        <v>65535</v>
      </c>
      <c r="H424" s="10">
        <v>1</v>
      </c>
      <c r="I424" s="10">
        <v>1</v>
      </c>
      <c r="J424" s="10" t="s">
        <v>418</v>
      </c>
      <c r="K424" s="10">
        <f t="shared" si="30"/>
        <v>1335</v>
      </c>
      <c r="L424" s="10">
        <f t="shared" si="40"/>
        <v>1334</v>
      </c>
      <c r="M424" s="10" t="s">
        <v>419</v>
      </c>
      <c r="N424" s="10" t="s">
        <v>324</v>
      </c>
      <c r="O424" s="10"/>
      <c r="P424" s="10"/>
      <c r="Q424" s="111"/>
    </row>
    <row r="425" spans="2:17" x14ac:dyDescent="0.3">
      <c r="B425" s="10" t="s">
        <v>593</v>
      </c>
      <c r="C425" s="10" t="s">
        <v>321</v>
      </c>
      <c r="D425" s="10">
        <v>2</v>
      </c>
      <c r="E425" s="10">
        <f t="shared" si="39"/>
        <v>1</v>
      </c>
      <c r="F425" s="10">
        <v>0</v>
      </c>
      <c r="G425" s="10">
        <v>65535</v>
      </c>
      <c r="H425" s="10">
        <v>1</v>
      </c>
      <c r="I425" s="10">
        <v>1</v>
      </c>
      <c r="J425" s="10" t="s">
        <v>418</v>
      </c>
      <c r="K425" s="10">
        <f t="shared" si="30"/>
        <v>1336</v>
      </c>
      <c r="L425" s="10">
        <f t="shared" si="40"/>
        <v>1335</v>
      </c>
      <c r="M425" s="10" t="s">
        <v>419</v>
      </c>
      <c r="N425" s="10" t="s">
        <v>324</v>
      </c>
      <c r="O425" s="10"/>
      <c r="P425" s="10"/>
      <c r="Q425" s="111"/>
    </row>
    <row r="426" spans="2:17" x14ac:dyDescent="0.3">
      <c r="B426" s="10" t="s">
        <v>594</v>
      </c>
      <c r="C426" s="10" t="s">
        <v>321</v>
      </c>
      <c r="D426" s="10">
        <v>2</v>
      </c>
      <c r="E426" s="10">
        <f t="shared" si="39"/>
        <v>1</v>
      </c>
      <c r="F426" s="10">
        <v>0</v>
      </c>
      <c r="G426" s="10">
        <v>65535</v>
      </c>
      <c r="H426" s="10">
        <v>1</v>
      </c>
      <c r="I426" s="10">
        <v>1</v>
      </c>
      <c r="J426" s="10" t="s">
        <v>418</v>
      </c>
      <c r="K426" s="10">
        <f t="shared" si="30"/>
        <v>1337</v>
      </c>
      <c r="L426" s="10">
        <f t="shared" si="40"/>
        <v>1336</v>
      </c>
      <c r="M426" s="10" t="s">
        <v>419</v>
      </c>
      <c r="N426" s="10" t="s">
        <v>324</v>
      </c>
      <c r="O426" s="10"/>
      <c r="P426" s="10"/>
      <c r="Q426" s="111"/>
    </row>
    <row r="427" spans="2:17" x14ac:dyDescent="0.3">
      <c r="B427" s="10" t="s">
        <v>595</v>
      </c>
      <c r="C427" s="10" t="s">
        <v>321</v>
      </c>
      <c r="D427" s="10">
        <v>2</v>
      </c>
      <c r="E427" s="10">
        <f t="shared" si="39"/>
        <v>1</v>
      </c>
      <c r="F427" s="10">
        <v>0</v>
      </c>
      <c r="G427" s="10">
        <v>65535</v>
      </c>
      <c r="H427" s="10">
        <v>1</v>
      </c>
      <c r="I427" s="10">
        <v>1</v>
      </c>
      <c r="J427" s="10" t="s">
        <v>418</v>
      </c>
      <c r="K427" s="10">
        <f t="shared" si="30"/>
        <v>1338</v>
      </c>
      <c r="L427" s="10">
        <f t="shared" si="40"/>
        <v>1337</v>
      </c>
      <c r="M427" s="10" t="s">
        <v>419</v>
      </c>
      <c r="N427" s="10" t="s">
        <v>324</v>
      </c>
      <c r="O427" s="10"/>
      <c r="P427" s="10"/>
      <c r="Q427" s="111"/>
    </row>
    <row r="428" spans="2:17" x14ac:dyDescent="0.3">
      <c r="B428" s="10" t="s">
        <v>596</v>
      </c>
      <c r="C428" s="10" t="s">
        <v>321</v>
      </c>
      <c r="D428" s="10">
        <v>2</v>
      </c>
      <c r="E428" s="10">
        <f t="shared" si="39"/>
        <v>1</v>
      </c>
      <c r="F428" s="10">
        <v>0</v>
      </c>
      <c r="G428" s="10">
        <v>65535</v>
      </c>
      <c r="H428" s="10">
        <v>1</v>
      </c>
      <c r="I428" s="10">
        <v>1</v>
      </c>
      <c r="J428" s="10" t="s">
        <v>418</v>
      </c>
      <c r="K428" s="10">
        <f t="shared" si="30"/>
        <v>1339</v>
      </c>
      <c r="L428" s="10">
        <f t="shared" si="40"/>
        <v>1338</v>
      </c>
      <c r="M428" s="10" t="s">
        <v>419</v>
      </c>
      <c r="N428" s="10" t="s">
        <v>324</v>
      </c>
      <c r="O428" s="10"/>
      <c r="P428" s="10"/>
      <c r="Q428" s="111"/>
    </row>
    <row r="429" spans="2:17" x14ac:dyDescent="0.3">
      <c r="B429" s="10" t="s">
        <v>597</v>
      </c>
      <c r="C429" s="10" t="s">
        <v>321</v>
      </c>
      <c r="D429" s="10">
        <v>2</v>
      </c>
      <c r="E429" s="10">
        <f t="shared" si="39"/>
        <v>1</v>
      </c>
      <c r="F429" s="10">
        <v>0</v>
      </c>
      <c r="G429" s="10">
        <v>65535</v>
      </c>
      <c r="H429" s="10">
        <v>1</v>
      </c>
      <c r="I429" s="10">
        <v>1</v>
      </c>
      <c r="J429" s="10" t="s">
        <v>418</v>
      </c>
      <c r="K429" s="10">
        <f t="shared" si="30"/>
        <v>1340</v>
      </c>
      <c r="L429" s="10">
        <f t="shared" si="40"/>
        <v>1339</v>
      </c>
      <c r="M429" s="10" t="s">
        <v>419</v>
      </c>
      <c r="N429" s="10" t="s">
        <v>324</v>
      </c>
      <c r="O429" s="10"/>
      <c r="P429" s="10"/>
      <c r="Q429" s="111"/>
    </row>
    <row r="430" spans="2:17" x14ac:dyDescent="0.3">
      <c r="B430" s="10" t="s">
        <v>598</v>
      </c>
      <c r="C430" s="10" t="s">
        <v>321</v>
      </c>
      <c r="D430" s="10">
        <v>2</v>
      </c>
      <c r="E430" s="10">
        <f t="shared" si="39"/>
        <v>1</v>
      </c>
      <c r="F430" s="10">
        <v>0</v>
      </c>
      <c r="G430" s="10">
        <v>65535</v>
      </c>
      <c r="H430" s="10">
        <v>1</v>
      </c>
      <c r="I430" s="10">
        <v>1</v>
      </c>
      <c r="J430" s="10" t="s">
        <v>418</v>
      </c>
      <c r="K430" s="10">
        <f t="shared" si="30"/>
        <v>1341</v>
      </c>
      <c r="L430" s="10">
        <f t="shared" si="40"/>
        <v>1340</v>
      </c>
      <c r="M430" s="10" t="s">
        <v>419</v>
      </c>
      <c r="N430" s="10" t="s">
        <v>324</v>
      </c>
      <c r="O430" s="10"/>
      <c r="P430" s="10"/>
      <c r="Q430" s="111"/>
    </row>
    <row r="431" spans="2:17" x14ac:dyDescent="0.3">
      <c r="B431" s="10" t="s">
        <v>599</v>
      </c>
      <c r="C431" s="10" t="s">
        <v>321</v>
      </c>
      <c r="D431" s="10">
        <v>2</v>
      </c>
      <c r="E431" s="10">
        <f t="shared" si="39"/>
        <v>1</v>
      </c>
      <c r="F431" s="10">
        <v>0</v>
      </c>
      <c r="G431" s="10">
        <v>65535</v>
      </c>
      <c r="H431" s="10">
        <v>1</v>
      </c>
      <c r="I431" s="10">
        <v>1</v>
      </c>
      <c r="J431" s="10" t="s">
        <v>418</v>
      </c>
      <c r="K431" s="10">
        <f t="shared" si="30"/>
        <v>1342</v>
      </c>
      <c r="L431" s="10">
        <f t="shared" si="40"/>
        <v>1341</v>
      </c>
      <c r="M431" s="10" t="s">
        <v>419</v>
      </c>
      <c r="N431" s="10" t="s">
        <v>324</v>
      </c>
      <c r="O431" s="10"/>
      <c r="P431" s="10"/>
      <c r="Q431" s="111"/>
    </row>
    <row r="432" spans="2:17" x14ac:dyDescent="0.3">
      <c r="B432" s="10" t="s">
        <v>600</v>
      </c>
      <c r="C432" s="10" t="s">
        <v>321</v>
      </c>
      <c r="D432" s="10">
        <v>2</v>
      </c>
      <c r="E432" s="10">
        <f t="shared" si="39"/>
        <v>1</v>
      </c>
      <c r="F432" s="10">
        <v>0</v>
      </c>
      <c r="G432" s="10">
        <v>65535</v>
      </c>
      <c r="H432" s="10">
        <v>1</v>
      </c>
      <c r="I432" s="10">
        <v>1</v>
      </c>
      <c r="J432" s="10" t="s">
        <v>418</v>
      </c>
      <c r="K432" s="10">
        <f t="shared" si="30"/>
        <v>1343</v>
      </c>
      <c r="L432" s="10">
        <f t="shared" si="40"/>
        <v>1342</v>
      </c>
      <c r="M432" s="10" t="s">
        <v>419</v>
      </c>
      <c r="N432" s="10" t="s">
        <v>324</v>
      </c>
      <c r="O432" s="10"/>
      <c r="P432" s="10"/>
      <c r="Q432" s="111"/>
    </row>
    <row r="433" spans="2:17" x14ac:dyDescent="0.3">
      <c r="B433" s="10" t="s">
        <v>601</v>
      </c>
      <c r="C433" s="10" t="s">
        <v>321</v>
      </c>
      <c r="D433" s="10">
        <v>2</v>
      </c>
      <c r="E433" s="10">
        <f t="shared" si="39"/>
        <v>1</v>
      </c>
      <c r="F433" s="10">
        <v>0</v>
      </c>
      <c r="G433" s="10">
        <v>65535</v>
      </c>
      <c r="H433" s="10">
        <v>1</v>
      </c>
      <c r="I433" s="10">
        <v>1</v>
      </c>
      <c r="J433" s="10" t="s">
        <v>418</v>
      </c>
      <c r="K433" s="10">
        <f t="shared" si="30"/>
        <v>1344</v>
      </c>
      <c r="L433" s="10">
        <f t="shared" si="40"/>
        <v>1343</v>
      </c>
      <c r="M433" s="10" t="s">
        <v>419</v>
      </c>
      <c r="N433" s="10" t="s">
        <v>324</v>
      </c>
      <c r="O433" s="10"/>
      <c r="P433" s="10"/>
      <c r="Q433" s="111"/>
    </row>
    <row r="434" spans="2:17" x14ac:dyDescent="0.3">
      <c r="B434" s="10" t="s">
        <v>602</v>
      </c>
      <c r="C434" s="10" t="s">
        <v>321</v>
      </c>
      <c r="D434" s="10">
        <v>2</v>
      </c>
      <c r="E434" s="10">
        <f t="shared" si="39"/>
        <v>1</v>
      </c>
      <c r="F434" s="10">
        <v>0</v>
      </c>
      <c r="G434" s="10">
        <v>65535</v>
      </c>
      <c r="H434" s="10">
        <v>1</v>
      </c>
      <c r="I434" s="10">
        <v>1</v>
      </c>
      <c r="J434" s="10" t="s">
        <v>418</v>
      </c>
      <c r="K434" s="10">
        <f t="shared" si="30"/>
        <v>1345</v>
      </c>
      <c r="L434" s="10">
        <f t="shared" si="40"/>
        <v>1344</v>
      </c>
      <c r="M434" s="10" t="s">
        <v>419</v>
      </c>
      <c r="N434" s="10" t="s">
        <v>324</v>
      </c>
      <c r="O434" s="10"/>
      <c r="P434" s="10"/>
      <c r="Q434" s="111"/>
    </row>
    <row r="435" spans="2:17" x14ac:dyDescent="0.3">
      <c r="B435" s="10" t="s">
        <v>603</v>
      </c>
      <c r="C435" s="10" t="s">
        <v>321</v>
      </c>
      <c r="D435" s="10">
        <v>2</v>
      </c>
      <c r="E435" s="10">
        <f t="shared" si="39"/>
        <v>1</v>
      </c>
      <c r="F435" s="10">
        <v>0</v>
      </c>
      <c r="G435" s="10">
        <v>65535</v>
      </c>
      <c r="H435" s="10">
        <v>1</v>
      </c>
      <c r="I435" s="10">
        <v>1</v>
      </c>
      <c r="J435" s="10" t="s">
        <v>418</v>
      </c>
      <c r="K435" s="10">
        <f t="shared" si="30"/>
        <v>1346</v>
      </c>
      <c r="L435" s="10">
        <f t="shared" si="40"/>
        <v>1345</v>
      </c>
      <c r="M435" s="10" t="s">
        <v>419</v>
      </c>
      <c r="N435" s="10" t="s">
        <v>324</v>
      </c>
      <c r="O435" s="10"/>
      <c r="P435" s="10"/>
      <c r="Q435" s="111"/>
    </row>
    <row r="436" spans="2:17" x14ac:dyDescent="0.3">
      <c r="B436" s="10" t="s">
        <v>604</v>
      </c>
      <c r="C436" s="10" t="s">
        <v>321</v>
      </c>
      <c r="D436" s="10">
        <v>2</v>
      </c>
      <c r="E436" s="10">
        <f t="shared" si="39"/>
        <v>1</v>
      </c>
      <c r="F436" s="10">
        <v>0</v>
      </c>
      <c r="G436" s="10">
        <v>65535</v>
      </c>
      <c r="H436" s="10">
        <v>1</v>
      </c>
      <c r="I436" s="10">
        <v>1</v>
      </c>
      <c r="J436" s="10" t="s">
        <v>418</v>
      </c>
      <c r="K436" s="10">
        <f t="shared" si="30"/>
        <v>1347</v>
      </c>
      <c r="L436" s="10">
        <f t="shared" si="40"/>
        <v>1346</v>
      </c>
      <c r="M436" s="10" t="s">
        <v>419</v>
      </c>
      <c r="N436" s="10" t="s">
        <v>324</v>
      </c>
      <c r="O436" s="10"/>
      <c r="P436" s="10"/>
      <c r="Q436" s="111"/>
    </row>
    <row r="437" spans="2:17" x14ac:dyDescent="0.3">
      <c r="B437" s="10" t="s">
        <v>605</v>
      </c>
      <c r="C437" s="10" t="s">
        <v>321</v>
      </c>
      <c r="D437" s="10">
        <v>2</v>
      </c>
      <c r="E437" s="10">
        <f t="shared" si="39"/>
        <v>1</v>
      </c>
      <c r="F437" s="10">
        <v>0</v>
      </c>
      <c r="G437" s="10">
        <v>65535</v>
      </c>
      <c r="H437" s="10">
        <v>1</v>
      </c>
      <c r="I437" s="10">
        <v>1</v>
      </c>
      <c r="J437" s="10" t="s">
        <v>418</v>
      </c>
      <c r="K437" s="10">
        <f t="shared" si="30"/>
        <v>1348</v>
      </c>
      <c r="L437" s="10">
        <f t="shared" si="40"/>
        <v>1347</v>
      </c>
      <c r="M437" s="10" t="s">
        <v>419</v>
      </c>
      <c r="N437" s="10" t="s">
        <v>324</v>
      </c>
      <c r="O437" s="10"/>
      <c r="P437" s="10"/>
      <c r="Q437" s="111"/>
    </row>
    <row r="438" spans="2:17" x14ac:dyDescent="0.3">
      <c r="B438" s="10" t="s">
        <v>606</v>
      </c>
      <c r="C438" s="10" t="s">
        <v>321</v>
      </c>
      <c r="D438" s="10">
        <v>2</v>
      </c>
      <c r="E438" s="10">
        <f t="shared" si="39"/>
        <v>1</v>
      </c>
      <c r="F438" s="10">
        <v>0</v>
      </c>
      <c r="G438" s="10">
        <v>65535</v>
      </c>
      <c r="H438" s="10">
        <v>1</v>
      </c>
      <c r="I438" s="10">
        <v>1</v>
      </c>
      <c r="J438" s="10" t="s">
        <v>418</v>
      </c>
      <c r="K438" s="10">
        <f t="shared" si="30"/>
        <v>1349</v>
      </c>
      <c r="L438" s="10">
        <f t="shared" si="40"/>
        <v>1348</v>
      </c>
      <c r="M438" s="10" t="s">
        <v>419</v>
      </c>
      <c r="N438" s="10" t="s">
        <v>324</v>
      </c>
      <c r="O438" s="10"/>
      <c r="P438" s="10"/>
      <c r="Q438" s="111"/>
    </row>
    <row r="439" spans="2:17" x14ac:dyDescent="0.3">
      <c r="B439" s="10" t="s">
        <v>607</v>
      </c>
      <c r="C439" s="10" t="s">
        <v>321</v>
      </c>
      <c r="D439" s="10">
        <v>2</v>
      </c>
      <c r="E439" s="10">
        <f t="shared" si="39"/>
        <v>1</v>
      </c>
      <c r="F439" s="10">
        <v>0</v>
      </c>
      <c r="G439" s="10">
        <v>65535</v>
      </c>
      <c r="H439" s="10">
        <v>1</v>
      </c>
      <c r="I439" s="10">
        <v>1</v>
      </c>
      <c r="J439" s="10" t="s">
        <v>418</v>
      </c>
      <c r="K439" s="10">
        <f t="shared" si="30"/>
        <v>1350</v>
      </c>
      <c r="L439" s="10">
        <f t="shared" si="40"/>
        <v>1349</v>
      </c>
      <c r="M439" s="10" t="s">
        <v>419</v>
      </c>
      <c r="N439" s="10" t="s">
        <v>324</v>
      </c>
      <c r="O439" s="10"/>
      <c r="P439" s="10"/>
      <c r="Q439" s="111"/>
    </row>
    <row r="440" spans="2:17" x14ac:dyDescent="0.3">
      <c r="B440" s="10" t="s">
        <v>608</v>
      </c>
      <c r="C440" s="10" t="s">
        <v>321</v>
      </c>
      <c r="D440" s="10">
        <v>2</v>
      </c>
      <c r="E440" s="10">
        <f t="shared" si="39"/>
        <v>1</v>
      </c>
      <c r="F440" s="10">
        <v>0</v>
      </c>
      <c r="G440" s="10">
        <v>65535</v>
      </c>
      <c r="H440" s="10">
        <v>1</v>
      </c>
      <c r="I440" s="10">
        <v>1</v>
      </c>
      <c r="J440" s="10" t="s">
        <v>418</v>
      </c>
      <c r="K440" s="10">
        <f t="shared" si="30"/>
        <v>1351</v>
      </c>
      <c r="L440" s="10">
        <f t="shared" si="40"/>
        <v>1350</v>
      </c>
      <c r="M440" s="10" t="s">
        <v>419</v>
      </c>
      <c r="N440" s="10" t="s">
        <v>324</v>
      </c>
      <c r="O440" s="10"/>
      <c r="P440" s="10"/>
      <c r="Q440" s="111"/>
    </row>
    <row r="441" spans="2:17" x14ac:dyDescent="0.3">
      <c r="B441" s="10" t="s">
        <v>609</v>
      </c>
      <c r="C441" s="10" t="s">
        <v>321</v>
      </c>
      <c r="D441" s="10">
        <v>2</v>
      </c>
      <c r="E441" s="10">
        <f t="shared" si="39"/>
        <v>1</v>
      </c>
      <c r="F441" s="10">
        <v>0</v>
      </c>
      <c r="G441" s="10">
        <v>65535</v>
      </c>
      <c r="H441" s="10">
        <v>1</v>
      </c>
      <c r="I441" s="10">
        <v>1</v>
      </c>
      <c r="J441" s="10" t="s">
        <v>418</v>
      </c>
      <c r="K441" s="10">
        <f t="shared" si="30"/>
        <v>1352</v>
      </c>
      <c r="L441" s="10">
        <f t="shared" si="40"/>
        <v>1351</v>
      </c>
      <c r="M441" s="10" t="s">
        <v>419</v>
      </c>
      <c r="N441" s="10" t="s">
        <v>324</v>
      </c>
      <c r="O441" s="10"/>
      <c r="P441" s="10"/>
      <c r="Q441" s="111"/>
    </row>
    <row r="442" spans="2:17" x14ac:dyDescent="0.3">
      <c r="B442" s="10" t="s">
        <v>610</v>
      </c>
      <c r="C442" s="10" t="s">
        <v>321</v>
      </c>
      <c r="D442" s="10">
        <v>2</v>
      </c>
      <c r="E442" s="10">
        <f t="shared" si="39"/>
        <v>1</v>
      </c>
      <c r="F442" s="10">
        <v>0</v>
      </c>
      <c r="G442" s="10">
        <v>65535</v>
      </c>
      <c r="H442" s="10">
        <v>1</v>
      </c>
      <c r="I442" s="10">
        <v>1</v>
      </c>
      <c r="J442" s="10" t="s">
        <v>418</v>
      </c>
      <c r="K442" s="10">
        <f t="shared" ref="K442:K489" si="41">L442+1</f>
        <v>1353</v>
      </c>
      <c r="L442" s="10">
        <f t="shared" si="40"/>
        <v>1352</v>
      </c>
      <c r="M442" s="10" t="s">
        <v>419</v>
      </c>
      <c r="N442" s="10" t="s">
        <v>324</v>
      </c>
      <c r="O442" s="10"/>
      <c r="P442" s="10"/>
      <c r="Q442" s="111"/>
    </row>
    <row r="443" spans="2:17" x14ac:dyDescent="0.3">
      <c r="B443" s="10" t="s">
        <v>611</v>
      </c>
      <c r="C443" s="10" t="s">
        <v>321</v>
      </c>
      <c r="D443" s="10">
        <v>2</v>
      </c>
      <c r="E443" s="10">
        <f t="shared" si="39"/>
        <v>1</v>
      </c>
      <c r="F443" s="10">
        <v>0</v>
      </c>
      <c r="G443" s="10">
        <v>65535</v>
      </c>
      <c r="H443" s="10">
        <v>1</v>
      </c>
      <c r="I443" s="10">
        <v>1</v>
      </c>
      <c r="J443" s="10" t="s">
        <v>418</v>
      </c>
      <c r="K443" s="10">
        <f t="shared" si="41"/>
        <v>1354</v>
      </c>
      <c r="L443" s="10">
        <f t="shared" si="40"/>
        <v>1353</v>
      </c>
      <c r="M443" s="10" t="s">
        <v>419</v>
      </c>
      <c r="N443" s="10" t="s">
        <v>324</v>
      </c>
      <c r="O443" s="10"/>
      <c r="P443" s="10"/>
      <c r="Q443" s="111"/>
    </row>
    <row r="444" spans="2:17" x14ac:dyDescent="0.3">
      <c r="B444" s="10" t="s">
        <v>612</v>
      </c>
      <c r="C444" s="10" t="s">
        <v>321</v>
      </c>
      <c r="D444" s="10">
        <v>2</v>
      </c>
      <c r="E444" s="10">
        <f t="shared" si="39"/>
        <v>1</v>
      </c>
      <c r="F444" s="10">
        <v>0</v>
      </c>
      <c r="G444" s="10">
        <v>65535</v>
      </c>
      <c r="H444" s="10">
        <v>1</v>
      </c>
      <c r="I444" s="10">
        <v>1</v>
      </c>
      <c r="J444" s="10" t="s">
        <v>418</v>
      </c>
      <c r="K444" s="10">
        <f t="shared" si="41"/>
        <v>1355</v>
      </c>
      <c r="L444" s="10">
        <f t="shared" si="40"/>
        <v>1354</v>
      </c>
      <c r="M444" s="10" t="s">
        <v>419</v>
      </c>
      <c r="N444" s="10" t="s">
        <v>324</v>
      </c>
      <c r="O444" s="10"/>
      <c r="P444" s="10"/>
      <c r="Q444" s="111"/>
    </row>
    <row r="445" spans="2:17" x14ac:dyDescent="0.3">
      <c r="B445" s="10" t="s">
        <v>613</v>
      </c>
      <c r="C445" s="10" t="s">
        <v>321</v>
      </c>
      <c r="D445" s="10">
        <v>2</v>
      </c>
      <c r="E445" s="10">
        <f t="shared" si="39"/>
        <v>1</v>
      </c>
      <c r="F445" s="10">
        <v>0</v>
      </c>
      <c r="G445" s="10">
        <v>65535</v>
      </c>
      <c r="H445" s="10">
        <v>1</v>
      </c>
      <c r="I445" s="10">
        <v>1</v>
      </c>
      <c r="J445" s="10" t="s">
        <v>418</v>
      </c>
      <c r="K445" s="10">
        <f t="shared" si="41"/>
        <v>1356</v>
      </c>
      <c r="L445" s="10">
        <f t="shared" si="40"/>
        <v>1355</v>
      </c>
      <c r="M445" s="10" t="s">
        <v>419</v>
      </c>
      <c r="N445" s="10" t="s">
        <v>324</v>
      </c>
      <c r="O445" s="10"/>
      <c r="P445" s="10"/>
      <c r="Q445" s="111"/>
    </row>
    <row r="446" spans="2:17" x14ac:dyDescent="0.3">
      <c r="B446" s="10" t="s">
        <v>614</v>
      </c>
      <c r="C446" s="10" t="s">
        <v>321</v>
      </c>
      <c r="D446" s="10">
        <v>2</v>
      </c>
      <c r="E446" s="10">
        <f t="shared" si="39"/>
        <v>1</v>
      </c>
      <c r="F446" s="10">
        <v>0</v>
      </c>
      <c r="G446" s="10">
        <v>65535</v>
      </c>
      <c r="H446" s="10">
        <v>1</v>
      </c>
      <c r="I446" s="10">
        <v>1</v>
      </c>
      <c r="J446" s="10" t="s">
        <v>418</v>
      </c>
      <c r="K446" s="10">
        <f t="shared" si="41"/>
        <v>1357</v>
      </c>
      <c r="L446" s="10">
        <f t="shared" si="40"/>
        <v>1356</v>
      </c>
      <c r="M446" s="10" t="s">
        <v>419</v>
      </c>
      <c r="N446" s="10" t="s">
        <v>324</v>
      </c>
      <c r="O446" s="10"/>
      <c r="P446" s="10"/>
      <c r="Q446" s="111"/>
    </row>
    <row r="447" spans="2:17" x14ac:dyDescent="0.3">
      <c r="B447" s="10" t="s">
        <v>615</v>
      </c>
      <c r="C447" s="10" t="s">
        <v>321</v>
      </c>
      <c r="D447" s="10">
        <v>2</v>
      </c>
      <c r="E447" s="10">
        <f t="shared" si="39"/>
        <v>1</v>
      </c>
      <c r="F447" s="10">
        <v>0</v>
      </c>
      <c r="G447" s="10">
        <v>65535</v>
      </c>
      <c r="H447" s="10">
        <v>1</v>
      </c>
      <c r="I447" s="10">
        <v>1</v>
      </c>
      <c r="J447" s="10" t="s">
        <v>418</v>
      </c>
      <c r="K447" s="10">
        <f t="shared" si="41"/>
        <v>1358</v>
      </c>
      <c r="L447" s="10">
        <f t="shared" si="40"/>
        <v>1357</v>
      </c>
      <c r="M447" s="10" t="s">
        <v>419</v>
      </c>
      <c r="N447" s="10" t="s">
        <v>324</v>
      </c>
      <c r="O447" s="10"/>
      <c r="P447" s="10"/>
      <c r="Q447" s="111"/>
    </row>
    <row r="448" spans="2:17" x14ac:dyDescent="0.3">
      <c r="B448" s="10" t="s">
        <v>616</v>
      </c>
      <c r="C448" s="10" t="s">
        <v>321</v>
      </c>
      <c r="D448" s="10">
        <v>2</v>
      </c>
      <c r="E448" s="10">
        <f t="shared" si="39"/>
        <v>1</v>
      </c>
      <c r="F448" s="10">
        <v>0</v>
      </c>
      <c r="G448" s="10">
        <v>65535</v>
      </c>
      <c r="H448" s="10">
        <v>1</v>
      </c>
      <c r="I448" s="10">
        <v>1</v>
      </c>
      <c r="J448" s="10" t="s">
        <v>418</v>
      </c>
      <c r="K448" s="10">
        <f t="shared" si="41"/>
        <v>1359</v>
      </c>
      <c r="L448" s="10">
        <f t="shared" si="40"/>
        <v>1358</v>
      </c>
      <c r="M448" s="10" t="s">
        <v>419</v>
      </c>
      <c r="N448" s="10" t="s">
        <v>324</v>
      </c>
      <c r="O448" s="10"/>
      <c r="P448" s="10"/>
      <c r="Q448" s="111"/>
    </row>
    <row r="449" spans="2:17" x14ac:dyDescent="0.3">
      <c r="B449" s="10" t="s">
        <v>617</v>
      </c>
      <c r="C449" s="10" t="s">
        <v>321</v>
      </c>
      <c r="D449" s="10">
        <v>2</v>
      </c>
      <c r="E449" s="10">
        <f t="shared" si="39"/>
        <v>1</v>
      </c>
      <c r="F449" s="10">
        <v>0</v>
      </c>
      <c r="G449" s="10">
        <v>65535</v>
      </c>
      <c r="H449" s="10">
        <v>1</v>
      </c>
      <c r="I449" s="10">
        <v>1</v>
      </c>
      <c r="J449" s="10" t="s">
        <v>418</v>
      </c>
      <c r="K449" s="10">
        <f t="shared" si="41"/>
        <v>1360</v>
      </c>
      <c r="L449" s="10">
        <f t="shared" si="40"/>
        <v>1359</v>
      </c>
      <c r="M449" s="10" t="s">
        <v>419</v>
      </c>
      <c r="N449" s="10" t="s">
        <v>324</v>
      </c>
      <c r="O449" s="10"/>
      <c r="P449" s="10"/>
      <c r="Q449" s="111"/>
    </row>
    <row r="450" spans="2:17" x14ac:dyDescent="0.3">
      <c r="B450" s="10" t="s">
        <v>618</v>
      </c>
      <c r="C450" s="10" t="s">
        <v>321</v>
      </c>
      <c r="D450" s="10">
        <v>2</v>
      </c>
      <c r="E450" s="10">
        <f t="shared" si="39"/>
        <v>1</v>
      </c>
      <c r="F450" s="10">
        <v>0</v>
      </c>
      <c r="G450" s="10">
        <v>65535</v>
      </c>
      <c r="H450" s="10">
        <v>1</v>
      </c>
      <c r="I450" s="10">
        <v>1</v>
      </c>
      <c r="J450" s="10" t="s">
        <v>418</v>
      </c>
      <c r="K450" s="10">
        <f t="shared" si="41"/>
        <v>1361</v>
      </c>
      <c r="L450" s="10">
        <f t="shared" si="40"/>
        <v>1360</v>
      </c>
      <c r="M450" s="10" t="s">
        <v>419</v>
      </c>
      <c r="N450" s="10" t="s">
        <v>324</v>
      </c>
      <c r="O450" s="10"/>
      <c r="P450" s="10"/>
      <c r="Q450" s="111"/>
    </row>
    <row r="451" spans="2:17" x14ac:dyDescent="0.3">
      <c r="B451" s="10" t="s">
        <v>619</v>
      </c>
      <c r="C451" s="10" t="s">
        <v>321</v>
      </c>
      <c r="D451" s="10">
        <v>2</v>
      </c>
      <c r="E451" s="10">
        <f t="shared" si="39"/>
        <v>1</v>
      </c>
      <c r="F451" s="10">
        <v>0</v>
      </c>
      <c r="G451" s="10">
        <v>65535</v>
      </c>
      <c r="H451" s="10">
        <v>1</v>
      </c>
      <c r="I451" s="10">
        <v>1</v>
      </c>
      <c r="J451" s="10" t="s">
        <v>418</v>
      </c>
      <c r="K451" s="10">
        <f t="shared" si="41"/>
        <v>1362</v>
      </c>
      <c r="L451" s="10">
        <f t="shared" si="40"/>
        <v>1361</v>
      </c>
      <c r="M451" s="10" t="s">
        <v>419</v>
      </c>
      <c r="N451" s="10" t="s">
        <v>324</v>
      </c>
      <c r="O451" s="10"/>
      <c r="P451" s="10"/>
      <c r="Q451" s="111"/>
    </row>
    <row r="452" spans="2:17" x14ac:dyDescent="0.3">
      <c r="B452" s="10" t="s">
        <v>620</v>
      </c>
      <c r="C452" s="10" t="s">
        <v>321</v>
      </c>
      <c r="D452" s="10">
        <v>2</v>
      </c>
      <c r="E452" s="10">
        <f t="shared" si="39"/>
        <v>1</v>
      </c>
      <c r="F452" s="10">
        <v>0</v>
      </c>
      <c r="G452" s="10">
        <v>65535</v>
      </c>
      <c r="H452" s="10">
        <v>1</v>
      </c>
      <c r="I452" s="10">
        <v>1</v>
      </c>
      <c r="J452" s="10" t="s">
        <v>418</v>
      </c>
      <c r="K452" s="10">
        <f t="shared" si="41"/>
        <v>1363</v>
      </c>
      <c r="L452" s="10">
        <f t="shared" si="40"/>
        <v>1362</v>
      </c>
      <c r="M452" s="10" t="s">
        <v>419</v>
      </c>
      <c r="N452" s="10" t="s">
        <v>324</v>
      </c>
      <c r="O452" s="10"/>
      <c r="P452" s="10"/>
      <c r="Q452" s="111"/>
    </row>
    <row r="453" spans="2:17" x14ac:dyDescent="0.3">
      <c r="B453" s="10" t="s">
        <v>621</v>
      </c>
      <c r="C453" s="10" t="s">
        <v>321</v>
      </c>
      <c r="D453" s="10">
        <v>2</v>
      </c>
      <c r="E453" s="10">
        <f t="shared" si="39"/>
        <v>1</v>
      </c>
      <c r="F453" s="10">
        <v>0</v>
      </c>
      <c r="G453" s="10">
        <v>65535</v>
      </c>
      <c r="H453" s="10">
        <v>1</v>
      </c>
      <c r="I453" s="10">
        <v>1</v>
      </c>
      <c r="J453" s="10" t="s">
        <v>418</v>
      </c>
      <c r="K453" s="10">
        <f t="shared" si="41"/>
        <v>1364</v>
      </c>
      <c r="L453" s="10">
        <f t="shared" si="40"/>
        <v>1363</v>
      </c>
      <c r="M453" s="10" t="s">
        <v>419</v>
      </c>
      <c r="N453" s="10" t="s">
        <v>324</v>
      </c>
      <c r="O453" s="10"/>
      <c r="P453" s="10"/>
      <c r="Q453" s="111"/>
    </row>
    <row r="454" spans="2:17" x14ac:dyDescent="0.3">
      <c r="B454" s="10" t="s">
        <v>622</v>
      </c>
      <c r="C454" s="10" t="s">
        <v>321</v>
      </c>
      <c r="D454" s="10">
        <v>2</v>
      </c>
      <c r="E454" s="10">
        <f t="shared" si="39"/>
        <v>1</v>
      </c>
      <c r="F454" s="10">
        <v>0</v>
      </c>
      <c r="G454" s="10">
        <v>65535</v>
      </c>
      <c r="H454" s="10">
        <v>1</v>
      </c>
      <c r="I454" s="10">
        <v>1</v>
      </c>
      <c r="J454" s="10" t="s">
        <v>418</v>
      </c>
      <c r="K454" s="10">
        <f t="shared" si="41"/>
        <v>1365</v>
      </c>
      <c r="L454" s="10">
        <f t="shared" si="40"/>
        <v>1364</v>
      </c>
      <c r="M454" s="10" t="s">
        <v>419</v>
      </c>
      <c r="N454" s="10" t="s">
        <v>324</v>
      </c>
      <c r="O454" s="10"/>
      <c r="P454" s="10"/>
      <c r="Q454" s="111"/>
    </row>
    <row r="455" spans="2:17" x14ac:dyDescent="0.3">
      <c r="B455" s="10" t="s">
        <v>623</v>
      </c>
      <c r="C455" s="10" t="s">
        <v>321</v>
      </c>
      <c r="D455" s="10">
        <v>2</v>
      </c>
      <c r="E455" s="10">
        <f t="shared" si="39"/>
        <v>1</v>
      </c>
      <c r="F455" s="10">
        <v>0</v>
      </c>
      <c r="G455" s="10">
        <v>65535</v>
      </c>
      <c r="H455" s="10">
        <v>1</v>
      </c>
      <c r="I455" s="10">
        <v>1</v>
      </c>
      <c r="J455" s="10" t="s">
        <v>418</v>
      </c>
      <c r="K455" s="10">
        <f t="shared" si="41"/>
        <v>1366</v>
      </c>
      <c r="L455" s="10">
        <f t="shared" si="40"/>
        <v>1365</v>
      </c>
      <c r="M455" s="10" t="s">
        <v>419</v>
      </c>
      <c r="N455" s="10" t="s">
        <v>324</v>
      </c>
      <c r="O455" s="10"/>
      <c r="P455" s="10"/>
      <c r="Q455" s="111"/>
    </row>
    <row r="456" spans="2:17" x14ac:dyDescent="0.3">
      <c r="B456" s="10" t="s">
        <v>624</v>
      </c>
      <c r="C456" s="10" t="s">
        <v>321</v>
      </c>
      <c r="D456" s="10">
        <v>2</v>
      </c>
      <c r="E456" s="10">
        <f t="shared" si="39"/>
        <v>1</v>
      </c>
      <c r="F456" s="10">
        <v>0</v>
      </c>
      <c r="G456" s="10">
        <v>65535</v>
      </c>
      <c r="H456" s="10">
        <v>1</v>
      </c>
      <c r="I456" s="10">
        <v>1</v>
      </c>
      <c r="J456" s="10" t="s">
        <v>418</v>
      </c>
      <c r="K456" s="10">
        <f t="shared" si="41"/>
        <v>1367</v>
      </c>
      <c r="L456" s="10">
        <f t="shared" si="40"/>
        <v>1366</v>
      </c>
      <c r="M456" s="10" t="s">
        <v>419</v>
      </c>
      <c r="N456" s="10" t="s">
        <v>324</v>
      </c>
      <c r="O456" s="10"/>
      <c r="P456" s="10"/>
      <c r="Q456" s="111"/>
    </row>
    <row r="457" spans="2:17" x14ac:dyDescent="0.3">
      <c r="B457" s="10" t="s">
        <v>625</v>
      </c>
      <c r="C457" s="10" t="s">
        <v>321</v>
      </c>
      <c r="D457" s="10">
        <v>2</v>
      </c>
      <c r="E457" s="10">
        <f t="shared" ref="E457:E473" si="42">D457/2</f>
        <v>1</v>
      </c>
      <c r="F457" s="10">
        <v>0</v>
      </c>
      <c r="G457" s="10">
        <v>65535</v>
      </c>
      <c r="H457" s="10">
        <v>1</v>
      </c>
      <c r="I457" s="10">
        <v>1</v>
      </c>
      <c r="J457" s="10" t="s">
        <v>418</v>
      </c>
      <c r="K457" s="10">
        <f t="shared" si="41"/>
        <v>1368</v>
      </c>
      <c r="L457" s="10">
        <f t="shared" ref="L457:L473" si="43">L456+E456</f>
        <v>1367</v>
      </c>
      <c r="M457" s="10" t="s">
        <v>419</v>
      </c>
      <c r="N457" s="10" t="s">
        <v>324</v>
      </c>
      <c r="O457" s="10"/>
      <c r="P457" s="10"/>
      <c r="Q457" s="111"/>
    </row>
    <row r="458" spans="2:17" x14ac:dyDescent="0.3">
      <c r="B458" s="10" t="s">
        <v>626</v>
      </c>
      <c r="C458" s="10" t="s">
        <v>321</v>
      </c>
      <c r="D458" s="10">
        <v>2</v>
      </c>
      <c r="E458" s="10">
        <f t="shared" si="42"/>
        <v>1</v>
      </c>
      <c r="F458" s="10">
        <v>0</v>
      </c>
      <c r="G458" s="10">
        <v>65535</v>
      </c>
      <c r="H458" s="10">
        <v>1</v>
      </c>
      <c r="I458" s="10">
        <v>1</v>
      </c>
      <c r="J458" s="10" t="s">
        <v>418</v>
      </c>
      <c r="K458" s="10">
        <f t="shared" si="41"/>
        <v>1369</v>
      </c>
      <c r="L458" s="10">
        <f t="shared" si="43"/>
        <v>1368</v>
      </c>
      <c r="M458" s="10" t="s">
        <v>419</v>
      </c>
      <c r="N458" s="10" t="s">
        <v>324</v>
      </c>
      <c r="O458" s="10"/>
      <c r="P458" s="10"/>
      <c r="Q458" s="111"/>
    </row>
    <row r="459" spans="2:17" x14ac:dyDescent="0.3">
      <c r="B459" s="10" t="s">
        <v>627</v>
      </c>
      <c r="C459" s="10" t="s">
        <v>321</v>
      </c>
      <c r="D459" s="10">
        <v>2</v>
      </c>
      <c r="E459" s="10">
        <f t="shared" si="42"/>
        <v>1</v>
      </c>
      <c r="F459" s="10">
        <v>0</v>
      </c>
      <c r="G459" s="10">
        <v>65535</v>
      </c>
      <c r="H459" s="10">
        <v>1</v>
      </c>
      <c r="I459" s="10">
        <v>1</v>
      </c>
      <c r="J459" s="10" t="s">
        <v>418</v>
      </c>
      <c r="K459" s="10">
        <f t="shared" si="41"/>
        <v>1370</v>
      </c>
      <c r="L459" s="10">
        <f t="shared" si="43"/>
        <v>1369</v>
      </c>
      <c r="M459" s="10" t="s">
        <v>419</v>
      </c>
      <c r="N459" s="10" t="s">
        <v>324</v>
      </c>
      <c r="O459" s="10"/>
      <c r="P459" s="10"/>
      <c r="Q459" s="111"/>
    </row>
    <row r="460" spans="2:17" x14ac:dyDescent="0.3">
      <c r="B460" s="10" t="s">
        <v>628</v>
      </c>
      <c r="C460" s="10" t="s">
        <v>321</v>
      </c>
      <c r="D460" s="10">
        <v>2</v>
      </c>
      <c r="E460" s="10">
        <f t="shared" si="42"/>
        <v>1</v>
      </c>
      <c r="F460" s="10">
        <v>0</v>
      </c>
      <c r="G460" s="10">
        <v>65535</v>
      </c>
      <c r="H460" s="10">
        <v>1</v>
      </c>
      <c r="I460" s="10">
        <v>1</v>
      </c>
      <c r="J460" s="10" t="s">
        <v>418</v>
      </c>
      <c r="K460" s="10">
        <f t="shared" si="41"/>
        <v>1371</v>
      </c>
      <c r="L460" s="10">
        <f t="shared" si="43"/>
        <v>1370</v>
      </c>
      <c r="M460" s="10" t="s">
        <v>419</v>
      </c>
      <c r="N460" s="10" t="s">
        <v>324</v>
      </c>
      <c r="O460" s="10"/>
      <c r="P460" s="10"/>
      <c r="Q460" s="111"/>
    </row>
    <row r="461" spans="2:17" x14ac:dyDescent="0.3">
      <c r="B461" s="10" t="s">
        <v>629</v>
      </c>
      <c r="C461" s="10" t="s">
        <v>321</v>
      </c>
      <c r="D461" s="10">
        <v>2</v>
      </c>
      <c r="E461" s="10">
        <f t="shared" si="42"/>
        <v>1</v>
      </c>
      <c r="F461" s="10">
        <v>0</v>
      </c>
      <c r="G461" s="10">
        <v>65535</v>
      </c>
      <c r="H461" s="10">
        <v>1</v>
      </c>
      <c r="I461" s="10">
        <v>1</v>
      </c>
      <c r="J461" s="10" t="s">
        <v>418</v>
      </c>
      <c r="K461" s="10">
        <f t="shared" si="41"/>
        <v>1372</v>
      </c>
      <c r="L461" s="10">
        <f t="shared" si="43"/>
        <v>1371</v>
      </c>
      <c r="M461" s="10" t="s">
        <v>419</v>
      </c>
      <c r="N461" s="10" t="s">
        <v>324</v>
      </c>
      <c r="O461" s="10"/>
      <c r="P461" s="10"/>
      <c r="Q461" s="111"/>
    </row>
    <row r="462" spans="2:17" x14ac:dyDescent="0.3">
      <c r="B462" s="10" t="s">
        <v>630</v>
      </c>
      <c r="C462" s="10" t="s">
        <v>321</v>
      </c>
      <c r="D462" s="10">
        <v>2</v>
      </c>
      <c r="E462" s="10">
        <f t="shared" si="42"/>
        <v>1</v>
      </c>
      <c r="F462" s="10">
        <v>0</v>
      </c>
      <c r="G462" s="10">
        <v>65535</v>
      </c>
      <c r="H462" s="10">
        <v>1</v>
      </c>
      <c r="I462" s="10">
        <v>1</v>
      </c>
      <c r="J462" s="10" t="s">
        <v>418</v>
      </c>
      <c r="K462" s="10">
        <f t="shared" si="41"/>
        <v>1373</v>
      </c>
      <c r="L462" s="10">
        <f t="shared" si="43"/>
        <v>1372</v>
      </c>
      <c r="M462" s="10" t="s">
        <v>419</v>
      </c>
      <c r="N462" s="10" t="s">
        <v>324</v>
      </c>
      <c r="O462" s="10"/>
      <c r="P462" s="10"/>
      <c r="Q462" s="111"/>
    </row>
    <row r="463" spans="2:17" x14ac:dyDescent="0.3">
      <c r="B463" s="10" t="s">
        <v>631</v>
      </c>
      <c r="C463" s="10" t="s">
        <v>321</v>
      </c>
      <c r="D463" s="10">
        <v>2</v>
      </c>
      <c r="E463" s="10">
        <f t="shared" si="42"/>
        <v>1</v>
      </c>
      <c r="F463" s="10">
        <v>0</v>
      </c>
      <c r="G463" s="10">
        <v>65535</v>
      </c>
      <c r="H463" s="10">
        <v>1</v>
      </c>
      <c r="I463" s="10">
        <v>1</v>
      </c>
      <c r="J463" s="10" t="s">
        <v>418</v>
      </c>
      <c r="K463" s="10">
        <f t="shared" si="41"/>
        <v>1374</v>
      </c>
      <c r="L463" s="10">
        <f t="shared" si="43"/>
        <v>1373</v>
      </c>
      <c r="M463" s="10" t="s">
        <v>419</v>
      </c>
      <c r="N463" s="10" t="s">
        <v>324</v>
      </c>
      <c r="O463" s="10"/>
      <c r="P463" s="10"/>
      <c r="Q463" s="111"/>
    </row>
    <row r="464" spans="2:17" x14ac:dyDescent="0.3">
      <c r="B464" s="10" t="s">
        <v>632</v>
      </c>
      <c r="C464" s="10" t="s">
        <v>321</v>
      </c>
      <c r="D464" s="10">
        <v>2</v>
      </c>
      <c r="E464" s="10">
        <f t="shared" si="42"/>
        <v>1</v>
      </c>
      <c r="F464" s="10">
        <v>0</v>
      </c>
      <c r="G464" s="10">
        <v>65535</v>
      </c>
      <c r="H464" s="10">
        <v>1</v>
      </c>
      <c r="I464" s="10">
        <v>1</v>
      </c>
      <c r="J464" s="10" t="s">
        <v>418</v>
      </c>
      <c r="K464" s="10">
        <f t="shared" si="41"/>
        <v>1375</v>
      </c>
      <c r="L464" s="10">
        <f t="shared" si="43"/>
        <v>1374</v>
      </c>
      <c r="M464" s="10" t="s">
        <v>419</v>
      </c>
      <c r="N464" s="10" t="s">
        <v>324</v>
      </c>
      <c r="O464" s="10"/>
      <c r="P464" s="10"/>
      <c r="Q464" s="111"/>
    </row>
    <row r="465" spans="2:17" x14ac:dyDescent="0.3">
      <c r="B465" s="10" t="s">
        <v>633</v>
      </c>
      <c r="C465" s="10" t="s">
        <v>321</v>
      </c>
      <c r="D465" s="10">
        <v>2</v>
      </c>
      <c r="E465" s="10">
        <f t="shared" si="42"/>
        <v>1</v>
      </c>
      <c r="F465" s="10">
        <v>0</v>
      </c>
      <c r="G465" s="10">
        <v>65535</v>
      </c>
      <c r="H465" s="10">
        <v>1</v>
      </c>
      <c r="I465" s="10">
        <v>1</v>
      </c>
      <c r="J465" s="10" t="s">
        <v>418</v>
      </c>
      <c r="K465" s="10">
        <f t="shared" si="41"/>
        <v>1376</v>
      </c>
      <c r="L465" s="10">
        <f t="shared" si="43"/>
        <v>1375</v>
      </c>
      <c r="M465" s="10" t="s">
        <v>419</v>
      </c>
      <c r="N465" s="10" t="s">
        <v>324</v>
      </c>
      <c r="O465" s="10"/>
      <c r="P465" s="10"/>
      <c r="Q465" s="111"/>
    </row>
    <row r="466" spans="2:17" x14ac:dyDescent="0.3">
      <c r="B466" s="10" t="s">
        <v>634</v>
      </c>
      <c r="C466" s="10" t="s">
        <v>321</v>
      </c>
      <c r="D466" s="10">
        <v>2</v>
      </c>
      <c r="E466" s="10">
        <f t="shared" si="42"/>
        <v>1</v>
      </c>
      <c r="F466" s="10">
        <v>0</v>
      </c>
      <c r="G466" s="10">
        <v>65535</v>
      </c>
      <c r="H466" s="10">
        <v>1</v>
      </c>
      <c r="I466" s="10">
        <v>1</v>
      </c>
      <c r="J466" s="10" t="s">
        <v>418</v>
      </c>
      <c r="K466" s="10">
        <f t="shared" si="41"/>
        <v>1377</v>
      </c>
      <c r="L466" s="10">
        <f t="shared" si="43"/>
        <v>1376</v>
      </c>
      <c r="M466" s="10" t="s">
        <v>419</v>
      </c>
      <c r="N466" s="10" t="s">
        <v>324</v>
      </c>
      <c r="O466" s="10"/>
      <c r="P466" s="10"/>
      <c r="Q466" s="111"/>
    </row>
    <row r="467" spans="2:17" x14ac:dyDescent="0.3">
      <c r="B467" s="10" t="s">
        <v>635</v>
      </c>
      <c r="C467" s="10" t="s">
        <v>321</v>
      </c>
      <c r="D467" s="10">
        <v>2</v>
      </c>
      <c r="E467" s="10">
        <f t="shared" si="42"/>
        <v>1</v>
      </c>
      <c r="F467" s="10">
        <v>0</v>
      </c>
      <c r="G467" s="10">
        <v>65535</v>
      </c>
      <c r="H467" s="10">
        <v>1</v>
      </c>
      <c r="I467" s="10">
        <v>1</v>
      </c>
      <c r="J467" s="10" t="s">
        <v>418</v>
      </c>
      <c r="K467" s="10">
        <f t="shared" si="41"/>
        <v>1378</v>
      </c>
      <c r="L467" s="10">
        <f t="shared" si="43"/>
        <v>1377</v>
      </c>
      <c r="M467" s="10" t="s">
        <v>419</v>
      </c>
      <c r="N467" s="10" t="s">
        <v>324</v>
      </c>
      <c r="O467" s="10"/>
      <c r="P467" s="10"/>
      <c r="Q467" s="111"/>
    </row>
    <row r="468" spans="2:17" x14ac:dyDescent="0.3">
      <c r="B468" s="10" t="s">
        <v>636</v>
      </c>
      <c r="C468" s="10" t="s">
        <v>321</v>
      </c>
      <c r="D468" s="10">
        <v>2</v>
      </c>
      <c r="E468" s="10">
        <f t="shared" si="42"/>
        <v>1</v>
      </c>
      <c r="F468" s="10">
        <v>0</v>
      </c>
      <c r="G468" s="10">
        <v>65535</v>
      </c>
      <c r="H468" s="10">
        <v>1</v>
      </c>
      <c r="I468" s="10">
        <v>1</v>
      </c>
      <c r="J468" s="10" t="s">
        <v>418</v>
      </c>
      <c r="K468" s="10">
        <f t="shared" si="41"/>
        <v>1379</v>
      </c>
      <c r="L468" s="10">
        <f t="shared" si="43"/>
        <v>1378</v>
      </c>
      <c r="M468" s="10" t="s">
        <v>419</v>
      </c>
      <c r="N468" s="10" t="s">
        <v>324</v>
      </c>
      <c r="O468" s="10"/>
      <c r="P468" s="10"/>
      <c r="Q468" s="111"/>
    </row>
    <row r="469" spans="2:17" x14ac:dyDescent="0.3">
      <c r="B469" s="10" t="s">
        <v>637</v>
      </c>
      <c r="C469" s="10" t="s">
        <v>321</v>
      </c>
      <c r="D469" s="10">
        <v>2</v>
      </c>
      <c r="E469" s="10">
        <f t="shared" si="42"/>
        <v>1</v>
      </c>
      <c r="F469" s="10">
        <v>0</v>
      </c>
      <c r="G469" s="10">
        <v>65535</v>
      </c>
      <c r="H469" s="10">
        <v>1</v>
      </c>
      <c r="I469" s="10">
        <v>1</v>
      </c>
      <c r="J469" s="10" t="s">
        <v>418</v>
      </c>
      <c r="K469" s="10">
        <f t="shared" si="41"/>
        <v>1380</v>
      </c>
      <c r="L469" s="10">
        <f t="shared" si="43"/>
        <v>1379</v>
      </c>
      <c r="M469" s="10" t="s">
        <v>419</v>
      </c>
      <c r="N469" s="10" t="s">
        <v>324</v>
      </c>
      <c r="O469" s="10"/>
      <c r="P469" s="10"/>
      <c r="Q469" s="111"/>
    </row>
    <row r="470" spans="2:17" x14ac:dyDescent="0.3">
      <c r="B470" s="10" t="s">
        <v>638</v>
      </c>
      <c r="C470" s="10" t="s">
        <v>321</v>
      </c>
      <c r="D470" s="10">
        <v>2</v>
      </c>
      <c r="E470" s="10">
        <f t="shared" si="42"/>
        <v>1</v>
      </c>
      <c r="F470" s="10">
        <v>0</v>
      </c>
      <c r="G470" s="10">
        <v>65535</v>
      </c>
      <c r="H470" s="10">
        <v>1</v>
      </c>
      <c r="I470" s="10">
        <v>1</v>
      </c>
      <c r="J470" s="10" t="s">
        <v>418</v>
      </c>
      <c r="K470" s="10">
        <f t="shared" si="41"/>
        <v>1381</v>
      </c>
      <c r="L470" s="10">
        <f t="shared" si="43"/>
        <v>1380</v>
      </c>
      <c r="M470" s="10" t="s">
        <v>419</v>
      </c>
      <c r="N470" s="10" t="s">
        <v>324</v>
      </c>
      <c r="O470" s="10"/>
      <c r="P470" s="10"/>
      <c r="Q470" s="111"/>
    </row>
    <row r="471" spans="2:17" x14ac:dyDescent="0.3">
      <c r="B471" s="10" t="s">
        <v>639</v>
      </c>
      <c r="C471" s="10" t="s">
        <v>321</v>
      </c>
      <c r="D471" s="10">
        <v>2</v>
      </c>
      <c r="E471" s="10">
        <f t="shared" si="42"/>
        <v>1</v>
      </c>
      <c r="F471" s="10">
        <v>0</v>
      </c>
      <c r="G471" s="10">
        <v>65535</v>
      </c>
      <c r="H471" s="10">
        <v>1</v>
      </c>
      <c r="I471" s="10">
        <v>1</v>
      </c>
      <c r="J471" s="10" t="s">
        <v>418</v>
      </c>
      <c r="K471" s="10">
        <f t="shared" si="41"/>
        <v>1382</v>
      </c>
      <c r="L471" s="10">
        <f t="shared" si="43"/>
        <v>1381</v>
      </c>
      <c r="M471" s="10" t="s">
        <v>419</v>
      </c>
      <c r="N471" s="10" t="s">
        <v>324</v>
      </c>
      <c r="O471" s="10"/>
      <c r="P471" s="10"/>
      <c r="Q471" s="111"/>
    </row>
    <row r="472" spans="2:17" x14ac:dyDescent="0.3">
      <c r="B472" s="10" t="s">
        <v>640</v>
      </c>
      <c r="C472" s="10" t="s">
        <v>321</v>
      </c>
      <c r="D472" s="10">
        <v>2</v>
      </c>
      <c r="E472" s="10">
        <f t="shared" si="42"/>
        <v>1</v>
      </c>
      <c r="F472" s="10">
        <v>0</v>
      </c>
      <c r="G472" s="10">
        <v>65535</v>
      </c>
      <c r="H472" s="10">
        <v>1</v>
      </c>
      <c r="I472" s="10">
        <v>1</v>
      </c>
      <c r="J472" s="10" t="s">
        <v>418</v>
      </c>
      <c r="K472" s="10">
        <f t="shared" si="41"/>
        <v>1383</v>
      </c>
      <c r="L472" s="10">
        <f t="shared" si="43"/>
        <v>1382</v>
      </c>
      <c r="M472" s="10" t="s">
        <v>419</v>
      </c>
      <c r="N472" s="10" t="s">
        <v>324</v>
      </c>
      <c r="O472" s="10"/>
      <c r="P472" s="10"/>
      <c r="Q472" s="111"/>
    </row>
    <row r="473" spans="2:17" x14ac:dyDescent="0.3">
      <c r="B473" s="10" t="s">
        <v>641</v>
      </c>
      <c r="C473" s="10" t="s">
        <v>321</v>
      </c>
      <c r="D473" s="10">
        <v>2</v>
      </c>
      <c r="E473" s="10">
        <f t="shared" si="42"/>
        <v>1</v>
      </c>
      <c r="F473" s="10">
        <v>0</v>
      </c>
      <c r="G473" s="10">
        <v>65535</v>
      </c>
      <c r="H473" s="10">
        <v>1</v>
      </c>
      <c r="I473" s="10">
        <v>1</v>
      </c>
      <c r="J473" s="10" t="s">
        <v>418</v>
      </c>
      <c r="K473" s="10">
        <f t="shared" si="41"/>
        <v>1384</v>
      </c>
      <c r="L473" s="10">
        <f t="shared" si="43"/>
        <v>1383</v>
      </c>
      <c r="M473" s="10" t="s">
        <v>419</v>
      </c>
      <c r="N473" s="10" t="s">
        <v>324</v>
      </c>
      <c r="O473" s="10"/>
      <c r="P473" s="10"/>
      <c r="Q473" s="111"/>
    </row>
    <row r="474" spans="2:17" x14ac:dyDescent="0.3">
      <c r="B474" s="10" t="s">
        <v>642</v>
      </c>
      <c r="C474" s="10" t="s">
        <v>321</v>
      </c>
      <c r="D474" s="10">
        <v>2</v>
      </c>
      <c r="E474" s="10">
        <f>D474/2</f>
        <v>1</v>
      </c>
      <c r="F474" s="10">
        <v>0</v>
      </c>
      <c r="G474" s="10">
        <v>65535</v>
      </c>
      <c r="H474" s="10">
        <v>1</v>
      </c>
      <c r="I474" s="10">
        <v>1</v>
      </c>
      <c r="J474" s="10" t="s">
        <v>418</v>
      </c>
      <c r="K474" s="10">
        <f t="shared" si="41"/>
        <v>1385</v>
      </c>
      <c r="L474" s="10">
        <f>L473+E473</f>
        <v>1384</v>
      </c>
      <c r="M474" s="10" t="s">
        <v>419</v>
      </c>
      <c r="N474" s="10" t="s">
        <v>324</v>
      </c>
      <c r="O474" s="10"/>
      <c r="P474" s="10"/>
      <c r="Q474" s="111"/>
    </row>
    <row r="475" spans="2:17" x14ac:dyDescent="0.3">
      <c r="B475" s="10" t="s">
        <v>643</v>
      </c>
      <c r="C475" s="10" t="s">
        <v>321</v>
      </c>
      <c r="D475" s="10">
        <v>2</v>
      </c>
      <c r="E475" s="10">
        <f>D475/2</f>
        <v>1</v>
      </c>
      <c r="F475" s="10">
        <v>0</v>
      </c>
      <c r="G475" s="10">
        <v>65535</v>
      </c>
      <c r="H475" s="10">
        <v>1</v>
      </c>
      <c r="I475" s="10">
        <v>1</v>
      </c>
      <c r="J475" s="10" t="s">
        <v>418</v>
      </c>
      <c r="K475" s="10">
        <f t="shared" si="41"/>
        <v>1386</v>
      </c>
      <c r="L475" s="10">
        <f>L474+E474</f>
        <v>1385</v>
      </c>
      <c r="M475" s="10" t="s">
        <v>419</v>
      </c>
      <c r="N475" s="10" t="s">
        <v>324</v>
      </c>
      <c r="O475" s="10"/>
      <c r="P475" s="10"/>
      <c r="Q475" s="111"/>
    </row>
    <row r="476" spans="2:17" x14ac:dyDescent="0.3">
      <c r="B476" s="10" t="s">
        <v>644</v>
      </c>
      <c r="C476" s="10" t="s">
        <v>321</v>
      </c>
      <c r="D476" s="10">
        <v>2</v>
      </c>
      <c r="E476" s="10">
        <f t="shared" ref="E476:E489" si="44">D476/2</f>
        <v>1</v>
      </c>
      <c r="F476" s="10">
        <v>0</v>
      </c>
      <c r="G476" s="10">
        <v>65535</v>
      </c>
      <c r="H476" s="10">
        <v>1</v>
      </c>
      <c r="I476" s="10">
        <v>1</v>
      </c>
      <c r="J476" s="10" t="s">
        <v>418</v>
      </c>
      <c r="K476" s="10">
        <f t="shared" si="41"/>
        <v>1387</v>
      </c>
      <c r="L476" s="10">
        <f t="shared" ref="L476:L489" si="45">L475+E475</f>
        <v>1386</v>
      </c>
      <c r="M476" s="10" t="s">
        <v>419</v>
      </c>
      <c r="N476" s="10" t="s">
        <v>324</v>
      </c>
      <c r="O476" s="10"/>
      <c r="P476" s="10"/>
      <c r="Q476" s="111"/>
    </row>
    <row r="477" spans="2:17" x14ac:dyDescent="0.3">
      <c r="B477" s="10" t="s">
        <v>645</v>
      </c>
      <c r="C477" s="10" t="s">
        <v>321</v>
      </c>
      <c r="D477" s="10">
        <v>2</v>
      </c>
      <c r="E477" s="10">
        <f t="shared" si="44"/>
        <v>1</v>
      </c>
      <c r="F477" s="10">
        <v>0</v>
      </c>
      <c r="G477" s="10">
        <v>65535</v>
      </c>
      <c r="H477" s="10">
        <v>1</v>
      </c>
      <c r="I477" s="10">
        <v>1</v>
      </c>
      <c r="J477" s="10" t="s">
        <v>418</v>
      </c>
      <c r="K477" s="10">
        <f t="shared" si="41"/>
        <v>1388</v>
      </c>
      <c r="L477" s="10">
        <f t="shared" si="45"/>
        <v>1387</v>
      </c>
      <c r="M477" s="10" t="s">
        <v>419</v>
      </c>
      <c r="N477" s="10" t="s">
        <v>324</v>
      </c>
      <c r="O477" s="10"/>
      <c r="P477" s="10"/>
      <c r="Q477" s="111"/>
    </row>
    <row r="478" spans="2:17" x14ac:dyDescent="0.3">
      <c r="B478" s="10" t="s">
        <v>646</v>
      </c>
      <c r="C478" s="10" t="s">
        <v>321</v>
      </c>
      <c r="D478" s="10">
        <v>2</v>
      </c>
      <c r="E478" s="10">
        <f t="shared" si="44"/>
        <v>1</v>
      </c>
      <c r="F478" s="10">
        <v>0</v>
      </c>
      <c r="G478" s="10">
        <v>65535</v>
      </c>
      <c r="H478" s="10">
        <v>1</v>
      </c>
      <c r="I478" s="10">
        <v>1</v>
      </c>
      <c r="J478" s="10" t="s">
        <v>418</v>
      </c>
      <c r="K478" s="10">
        <f t="shared" si="41"/>
        <v>1389</v>
      </c>
      <c r="L478" s="10">
        <f t="shared" si="45"/>
        <v>1388</v>
      </c>
      <c r="M478" s="10" t="s">
        <v>419</v>
      </c>
      <c r="N478" s="10" t="s">
        <v>324</v>
      </c>
      <c r="O478" s="10"/>
      <c r="P478" s="10"/>
      <c r="Q478" s="111"/>
    </row>
    <row r="479" spans="2:17" x14ac:dyDescent="0.3">
      <c r="B479" s="10" t="s">
        <v>647</v>
      </c>
      <c r="C479" s="10" t="s">
        <v>321</v>
      </c>
      <c r="D479" s="10">
        <v>2</v>
      </c>
      <c r="E479" s="10">
        <f t="shared" si="44"/>
        <v>1</v>
      </c>
      <c r="F479" s="10">
        <v>0</v>
      </c>
      <c r="G479" s="10">
        <v>65535</v>
      </c>
      <c r="H479" s="10">
        <v>1</v>
      </c>
      <c r="I479" s="10">
        <v>1</v>
      </c>
      <c r="J479" s="10" t="s">
        <v>418</v>
      </c>
      <c r="K479" s="10">
        <f t="shared" si="41"/>
        <v>1390</v>
      </c>
      <c r="L479" s="10">
        <f t="shared" si="45"/>
        <v>1389</v>
      </c>
      <c r="M479" s="10" t="s">
        <v>419</v>
      </c>
      <c r="N479" s="10" t="s">
        <v>324</v>
      </c>
      <c r="O479" s="10"/>
      <c r="P479" s="10"/>
      <c r="Q479" s="111"/>
    </row>
    <row r="480" spans="2:17" x14ac:dyDescent="0.3">
      <c r="B480" s="10" t="s">
        <v>648</v>
      </c>
      <c r="C480" s="10" t="s">
        <v>321</v>
      </c>
      <c r="D480" s="10">
        <v>2</v>
      </c>
      <c r="E480" s="10">
        <f t="shared" si="44"/>
        <v>1</v>
      </c>
      <c r="F480" s="10">
        <v>0</v>
      </c>
      <c r="G480" s="10">
        <v>65535</v>
      </c>
      <c r="H480" s="10">
        <v>1</v>
      </c>
      <c r="I480" s="10">
        <v>1</v>
      </c>
      <c r="J480" s="10" t="s">
        <v>418</v>
      </c>
      <c r="K480" s="10">
        <f t="shared" si="41"/>
        <v>1391</v>
      </c>
      <c r="L480" s="10">
        <f t="shared" si="45"/>
        <v>1390</v>
      </c>
      <c r="M480" s="10" t="s">
        <v>419</v>
      </c>
      <c r="N480" s="10" t="s">
        <v>324</v>
      </c>
      <c r="O480" s="10"/>
      <c r="P480" s="10"/>
      <c r="Q480" s="111"/>
    </row>
    <row r="481" spans="2:21" x14ac:dyDescent="0.3">
      <c r="B481" s="10" t="s">
        <v>649</v>
      </c>
      <c r="C481" s="10" t="s">
        <v>321</v>
      </c>
      <c r="D481" s="10">
        <v>2</v>
      </c>
      <c r="E481" s="10">
        <f t="shared" si="44"/>
        <v>1</v>
      </c>
      <c r="F481" s="10">
        <v>0</v>
      </c>
      <c r="G481" s="10">
        <v>65535</v>
      </c>
      <c r="H481" s="10">
        <v>1</v>
      </c>
      <c r="I481" s="10">
        <v>1</v>
      </c>
      <c r="J481" s="10" t="s">
        <v>418</v>
      </c>
      <c r="K481" s="10">
        <f t="shared" si="41"/>
        <v>1392</v>
      </c>
      <c r="L481" s="10">
        <f t="shared" si="45"/>
        <v>1391</v>
      </c>
      <c r="M481" s="10" t="s">
        <v>419</v>
      </c>
      <c r="N481" s="10" t="s">
        <v>324</v>
      </c>
      <c r="O481" s="10"/>
      <c r="P481" s="10"/>
      <c r="Q481" s="111"/>
    </row>
    <row r="482" spans="2:21" x14ac:dyDescent="0.3">
      <c r="B482" s="10" t="s">
        <v>650</v>
      </c>
      <c r="C482" s="10" t="s">
        <v>321</v>
      </c>
      <c r="D482" s="10">
        <v>2</v>
      </c>
      <c r="E482" s="10">
        <f t="shared" si="44"/>
        <v>1</v>
      </c>
      <c r="F482" s="10">
        <v>0</v>
      </c>
      <c r="G482" s="10">
        <v>65535</v>
      </c>
      <c r="H482" s="10">
        <v>1</v>
      </c>
      <c r="I482" s="10">
        <v>1</v>
      </c>
      <c r="J482" s="10" t="s">
        <v>418</v>
      </c>
      <c r="K482" s="10">
        <f t="shared" si="41"/>
        <v>1393</v>
      </c>
      <c r="L482" s="10">
        <f t="shared" si="45"/>
        <v>1392</v>
      </c>
      <c r="M482" s="10" t="s">
        <v>419</v>
      </c>
      <c r="N482" s="10" t="s">
        <v>324</v>
      </c>
      <c r="O482" s="10"/>
      <c r="P482" s="10"/>
      <c r="Q482" s="111"/>
    </row>
    <row r="483" spans="2:21" x14ac:dyDescent="0.3">
      <c r="B483" s="10" t="s">
        <v>651</v>
      </c>
      <c r="C483" s="10" t="s">
        <v>321</v>
      </c>
      <c r="D483" s="10">
        <v>2</v>
      </c>
      <c r="E483" s="10">
        <f t="shared" si="44"/>
        <v>1</v>
      </c>
      <c r="F483" s="10">
        <v>0</v>
      </c>
      <c r="G483" s="10">
        <v>65535</v>
      </c>
      <c r="H483" s="10">
        <v>1</v>
      </c>
      <c r="I483" s="10">
        <v>1</v>
      </c>
      <c r="J483" s="10" t="s">
        <v>418</v>
      </c>
      <c r="K483" s="10">
        <f t="shared" si="41"/>
        <v>1394</v>
      </c>
      <c r="L483" s="10">
        <f t="shared" si="45"/>
        <v>1393</v>
      </c>
      <c r="M483" s="10" t="s">
        <v>419</v>
      </c>
      <c r="N483" s="10" t="s">
        <v>324</v>
      </c>
      <c r="O483" s="10"/>
      <c r="P483" s="10"/>
      <c r="Q483" s="111"/>
    </row>
    <row r="484" spans="2:21" x14ac:dyDescent="0.3">
      <c r="B484" s="10" t="s">
        <v>652</v>
      </c>
      <c r="C484" s="10" t="s">
        <v>321</v>
      </c>
      <c r="D484" s="10">
        <v>2</v>
      </c>
      <c r="E484" s="10">
        <f t="shared" si="44"/>
        <v>1</v>
      </c>
      <c r="F484" s="10">
        <v>0</v>
      </c>
      <c r="G484" s="10">
        <v>65535</v>
      </c>
      <c r="H484" s="10">
        <v>1</v>
      </c>
      <c r="I484" s="10">
        <v>1</v>
      </c>
      <c r="J484" s="10" t="s">
        <v>418</v>
      </c>
      <c r="K484" s="10">
        <f t="shared" si="41"/>
        <v>1395</v>
      </c>
      <c r="L484" s="10">
        <f t="shared" si="45"/>
        <v>1394</v>
      </c>
      <c r="M484" s="10" t="s">
        <v>419</v>
      </c>
      <c r="N484" s="10" t="s">
        <v>324</v>
      </c>
      <c r="O484" s="10"/>
      <c r="P484" s="10"/>
      <c r="Q484" s="111"/>
    </row>
    <row r="485" spans="2:21" x14ac:dyDescent="0.3">
      <c r="B485" s="10" t="s">
        <v>653</v>
      </c>
      <c r="C485" s="10" t="s">
        <v>321</v>
      </c>
      <c r="D485" s="10">
        <v>2</v>
      </c>
      <c r="E485" s="10">
        <f t="shared" si="44"/>
        <v>1</v>
      </c>
      <c r="F485" s="10">
        <v>0</v>
      </c>
      <c r="G485" s="10">
        <v>65535</v>
      </c>
      <c r="H485" s="10">
        <v>1</v>
      </c>
      <c r="I485" s="10">
        <v>1</v>
      </c>
      <c r="J485" s="10" t="s">
        <v>418</v>
      </c>
      <c r="K485" s="10">
        <f t="shared" si="41"/>
        <v>1396</v>
      </c>
      <c r="L485" s="10">
        <f t="shared" si="45"/>
        <v>1395</v>
      </c>
      <c r="M485" s="10" t="s">
        <v>419</v>
      </c>
      <c r="N485" s="10" t="s">
        <v>324</v>
      </c>
      <c r="O485" s="10"/>
      <c r="P485" s="10"/>
      <c r="Q485" s="111"/>
    </row>
    <row r="486" spans="2:21" x14ac:dyDescent="0.3">
      <c r="B486" s="10" t="s">
        <v>654</v>
      </c>
      <c r="C486" s="10" t="s">
        <v>321</v>
      </c>
      <c r="D486" s="10">
        <v>2</v>
      </c>
      <c r="E486" s="10">
        <f t="shared" si="44"/>
        <v>1</v>
      </c>
      <c r="F486" s="10">
        <v>0</v>
      </c>
      <c r="G486" s="10">
        <v>65535</v>
      </c>
      <c r="H486" s="10">
        <v>1</v>
      </c>
      <c r="I486" s="10">
        <v>1</v>
      </c>
      <c r="J486" s="10" t="s">
        <v>418</v>
      </c>
      <c r="K486" s="10">
        <f t="shared" si="41"/>
        <v>1397</v>
      </c>
      <c r="L486" s="10">
        <f t="shared" si="45"/>
        <v>1396</v>
      </c>
      <c r="M486" s="10" t="s">
        <v>419</v>
      </c>
      <c r="N486" s="10" t="s">
        <v>324</v>
      </c>
      <c r="O486" s="10"/>
      <c r="P486" s="10"/>
      <c r="Q486" s="111"/>
    </row>
    <row r="487" spans="2:21" x14ac:dyDescent="0.3">
      <c r="B487" s="10" t="s">
        <v>655</v>
      </c>
      <c r="C487" s="10" t="s">
        <v>321</v>
      </c>
      <c r="D487" s="10">
        <v>2</v>
      </c>
      <c r="E487" s="10">
        <f t="shared" si="44"/>
        <v>1</v>
      </c>
      <c r="F487" s="10">
        <v>0</v>
      </c>
      <c r="G487" s="10">
        <v>65535</v>
      </c>
      <c r="H487" s="10">
        <v>1</v>
      </c>
      <c r="I487" s="10">
        <v>1</v>
      </c>
      <c r="J487" s="10" t="s">
        <v>418</v>
      </c>
      <c r="K487" s="10">
        <f t="shared" si="41"/>
        <v>1398</v>
      </c>
      <c r="L487" s="10">
        <f t="shared" si="45"/>
        <v>1397</v>
      </c>
      <c r="M487" s="10" t="s">
        <v>419</v>
      </c>
      <c r="N487" s="10" t="s">
        <v>324</v>
      </c>
      <c r="O487" s="10"/>
      <c r="P487" s="10"/>
      <c r="Q487" s="111"/>
    </row>
    <row r="488" spans="2:21" x14ac:dyDescent="0.3">
      <c r="B488" s="10" t="s">
        <v>656</v>
      </c>
      <c r="C488" s="10" t="s">
        <v>321</v>
      </c>
      <c r="D488" s="10">
        <v>2</v>
      </c>
      <c r="E488" s="10">
        <f t="shared" si="44"/>
        <v>1</v>
      </c>
      <c r="F488" s="10">
        <v>0</v>
      </c>
      <c r="G488" s="10">
        <v>65535</v>
      </c>
      <c r="H488" s="10">
        <v>1</v>
      </c>
      <c r="I488" s="10">
        <v>1</v>
      </c>
      <c r="J488" s="10" t="s">
        <v>418</v>
      </c>
      <c r="K488" s="10">
        <f t="shared" si="41"/>
        <v>1399</v>
      </c>
      <c r="L488" s="10">
        <f t="shared" si="45"/>
        <v>1398</v>
      </c>
      <c r="M488" s="10" t="s">
        <v>419</v>
      </c>
      <c r="N488" s="10" t="s">
        <v>324</v>
      </c>
      <c r="O488" s="10"/>
      <c r="P488" s="10"/>
      <c r="Q488" s="111"/>
    </row>
    <row r="489" spans="2:21" x14ac:dyDescent="0.3">
      <c r="B489" s="10" t="s">
        <v>657</v>
      </c>
      <c r="C489" s="10" t="s">
        <v>321</v>
      </c>
      <c r="D489" s="10">
        <v>2</v>
      </c>
      <c r="E489" s="10">
        <f t="shared" si="44"/>
        <v>1</v>
      </c>
      <c r="F489" s="10">
        <v>0</v>
      </c>
      <c r="G489" s="10">
        <v>65535</v>
      </c>
      <c r="H489" s="10">
        <v>1</v>
      </c>
      <c r="I489" s="10">
        <v>1</v>
      </c>
      <c r="J489" s="10" t="s">
        <v>418</v>
      </c>
      <c r="K489" s="10">
        <f t="shared" si="41"/>
        <v>1400</v>
      </c>
      <c r="L489" s="10">
        <f t="shared" si="45"/>
        <v>1399</v>
      </c>
      <c r="M489" s="10" t="s">
        <v>419</v>
      </c>
      <c r="N489" s="10" t="s">
        <v>324</v>
      </c>
      <c r="O489" s="10"/>
      <c r="P489" s="10"/>
      <c r="Q489" s="111"/>
    </row>
    <row r="492" spans="2:21" x14ac:dyDescent="0.3">
      <c r="B492" s="453" t="s">
        <v>658</v>
      </c>
      <c r="C492" s="453"/>
      <c r="D492" s="453"/>
      <c r="E492" s="453"/>
      <c r="F492" s="453"/>
      <c r="G492" s="453"/>
      <c r="H492" s="453"/>
      <c r="I492" s="453"/>
      <c r="J492" s="453"/>
      <c r="K492" s="453"/>
      <c r="L492" s="453"/>
      <c r="M492" s="453"/>
      <c r="N492" s="453"/>
      <c r="O492" s="453"/>
      <c r="P492" s="453"/>
      <c r="Q492" s="453"/>
      <c r="R492" s="453"/>
      <c r="S492" s="453"/>
      <c r="T492" s="453"/>
      <c r="U492" s="453"/>
    </row>
    <row r="493" spans="2:21" ht="16.2" x14ac:dyDescent="0.3">
      <c r="B493" s="454" t="s">
        <v>659</v>
      </c>
      <c r="C493" s="455"/>
      <c r="D493" s="455"/>
      <c r="E493" s="455"/>
      <c r="F493" s="455"/>
      <c r="G493" s="455"/>
      <c r="H493" s="455"/>
      <c r="I493" s="455"/>
      <c r="J493" s="455"/>
      <c r="K493" s="455"/>
      <c r="L493" s="455"/>
      <c r="M493" s="455"/>
      <c r="N493" s="455"/>
      <c r="O493" s="455"/>
      <c r="P493" s="455"/>
      <c r="Q493" s="455"/>
      <c r="R493" s="455"/>
      <c r="S493" s="455"/>
      <c r="T493" s="455"/>
      <c r="U493" s="455"/>
    </row>
    <row r="494" spans="2:21" ht="16.2" x14ac:dyDescent="0.3">
      <c r="B494" s="283"/>
      <c r="C494" s="284"/>
      <c r="D494" s="284"/>
      <c r="E494" s="284"/>
      <c r="F494" s="284"/>
      <c r="G494" s="284"/>
      <c r="H494" s="284"/>
      <c r="I494" s="284"/>
      <c r="J494" s="284"/>
      <c r="K494" s="284"/>
      <c r="L494" s="284"/>
      <c r="M494" s="284"/>
      <c r="N494" s="284"/>
      <c r="O494" s="284"/>
      <c r="P494" s="284"/>
      <c r="Q494" s="284" t="s">
        <v>660</v>
      </c>
      <c r="R494" s="284" t="s">
        <v>661</v>
      </c>
      <c r="S494" s="284"/>
      <c r="T494" s="284"/>
      <c r="U494" s="284"/>
    </row>
    <row r="495" spans="2:21" x14ac:dyDescent="0.3">
      <c r="B495" s="10" t="s">
        <v>662</v>
      </c>
      <c r="C495" s="10" t="s">
        <v>321</v>
      </c>
      <c r="D495" s="10">
        <v>2</v>
      </c>
      <c r="E495" s="10">
        <f>D495/2</f>
        <v>1</v>
      </c>
      <c r="F495" s="10">
        <v>0</v>
      </c>
      <c r="G495" s="10">
        <v>65535</v>
      </c>
      <c r="H495" s="10">
        <v>1</v>
      </c>
      <c r="I495" s="10">
        <v>1</v>
      </c>
      <c r="J495" s="10" t="s">
        <v>322</v>
      </c>
      <c r="K495" s="10">
        <f t="shared" ref="K495:K503" si="46">L495+1</f>
        <v>2501</v>
      </c>
      <c r="L495" s="10">
        <v>2500</v>
      </c>
      <c r="M495" s="10" t="s">
        <v>323</v>
      </c>
      <c r="N495" s="10" t="s">
        <v>324</v>
      </c>
      <c r="O495" s="59"/>
      <c r="P495" s="7"/>
      <c r="Q495" s="59">
        <v>1</v>
      </c>
      <c r="R495" s="59" t="str">
        <f>DEC2HEX(Q495)</f>
        <v>1</v>
      </c>
      <c r="S495" s="10"/>
      <c r="T495" s="10"/>
      <c r="U495" s="111"/>
    </row>
    <row r="496" spans="2:21" x14ac:dyDescent="0.3">
      <c r="B496" s="10" t="s">
        <v>663</v>
      </c>
      <c r="C496" s="10" t="s">
        <v>321</v>
      </c>
      <c r="D496" s="10">
        <v>2</v>
      </c>
      <c r="E496" s="10">
        <f t="shared" ref="E496:E503" si="47">D496/2</f>
        <v>1</v>
      </c>
      <c r="F496" s="10">
        <v>0</v>
      </c>
      <c r="G496" s="10">
        <v>65535</v>
      </c>
      <c r="H496" s="10">
        <v>1</v>
      </c>
      <c r="I496" s="10">
        <v>1</v>
      </c>
      <c r="J496" s="10" t="s">
        <v>322</v>
      </c>
      <c r="K496" s="10">
        <f t="shared" si="46"/>
        <v>2502</v>
      </c>
      <c r="L496" s="10">
        <v>2501</v>
      </c>
      <c r="M496" s="10" t="s">
        <v>323</v>
      </c>
      <c r="N496" s="10" t="s">
        <v>324</v>
      </c>
      <c r="O496" s="59"/>
      <c r="P496" s="7"/>
      <c r="Q496" s="59">
        <f>Q495+E495</f>
        <v>2</v>
      </c>
      <c r="R496" s="59" t="str">
        <f t="shared" ref="R496:R503" si="48">DEC2HEX(Q496)</f>
        <v>2</v>
      </c>
      <c r="S496" s="10"/>
      <c r="T496" s="10"/>
      <c r="U496" s="7"/>
    </row>
    <row r="497" spans="2:21" x14ac:dyDescent="0.3">
      <c r="B497" s="134" t="s">
        <v>364</v>
      </c>
      <c r="C497" s="10" t="s">
        <v>321</v>
      </c>
      <c r="D497" s="10">
        <v>2</v>
      </c>
      <c r="E497" s="10">
        <f t="shared" si="47"/>
        <v>1</v>
      </c>
      <c r="F497" s="10">
        <v>0</v>
      </c>
      <c r="G497" s="10">
        <v>65535</v>
      </c>
      <c r="H497" s="10">
        <v>1</v>
      </c>
      <c r="I497" s="10">
        <v>1</v>
      </c>
      <c r="J497" s="10" t="s">
        <v>322</v>
      </c>
      <c r="K497" s="10">
        <f t="shared" si="46"/>
        <v>2503</v>
      </c>
      <c r="L497" s="10">
        <v>2502</v>
      </c>
      <c r="M497" s="10" t="s">
        <v>323</v>
      </c>
      <c r="N497" s="10" t="s">
        <v>324</v>
      </c>
      <c r="O497" s="59"/>
      <c r="P497" s="7"/>
      <c r="Q497" s="59">
        <f>Q496+E496</f>
        <v>3</v>
      </c>
      <c r="R497" s="59" t="str">
        <f t="shared" si="48"/>
        <v>3</v>
      </c>
      <c r="S497" s="10"/>
      <c r="T497" s="10"/>
      <c r="U497" s="7"/>
    </row>
    <row r="498" spans="2:21" x14ac:dyDescent="0.3">
      <c r="B498" s="285" t="s">
        <v>366</v>
      </c>
      <c r="C498" s="10" t="s">
        <v>321</v>
      </c>
      <c r="D498" s="10">
        <v>2</v>
      </c>
      <c r="E498" s="10">
        <f t="shared" si="47"/>
        <v>1</v>
      </c>
      <c r="F498" s="10">
        <v>0</v>
      </c>
      <c r="G498" s="10">
        <v>65535</v>
      </c>
      <c r="H498" s="10">
        <v>1</v>
      </c>
      <c r="I498" s="10">
        <v>1</v>
      </c>
      <c r="J498" s="10" t="s">
        <v>322</v>
      </c>
      <c r="K498" s="10">
        <f t="shared" si="46"/>
        <v>2504</v>
      </c>
      <c r="L498" s="10">
        <v>2503</v>
      </c>
      <c r="M498" s="10" t="s">
        <v>323</v>
      </c>
      <c r="N498" s="10" t="s">
        <v>324</v>
      </c>
      <c r="O498" s="59"/>
      <c r="P498" s="7"/>
      <c r="Q498" s="59">
        <f t="shared" ref="Q498:Q503" si="49">Q497+E497</f>
        <v>4</v>
      </c>
      <c r="R498" s="59" t="str">
        <f t="shared" si="48"/>
        <v>4</v>
      </c>
      <c r="S498" s="10"/>
      <c r="T498" s="10"/>
      <c r="U498" s="7"/>
    </row>
    <row r="499" spans="2:21" x14ac:dyDescent="0.3">
      <c r="B499" s="134" t="s">
        <v>368</v>
      </c>
      <c r="C499" s="10" t="s">
        <v>321</v>
      </c>
      <c r="D499" s="10">
        <v>2</v>
      </c>
      <c r="E499" s="10">
        <f t="shared" si="47"/>
        <v>1</v>
      </c>
      <c r="F499" s="10">
        <v>0</v>
      </c>
      <c r="G499" s="10">
        <v>65535</v>
      </c>
      <c r="H499" s="10">
        <v>1</v>
      </c>
      <c r="I499" s="10">
        <v>1</v>
      </c>
      <c r="J499" s="10" t="s">
        <v>322</v>
      </c>
      <c r="K499" s="10">
        <f t="shared" si="46"/>
        <v>2505</v>
      </c>
      <c r="L499" s="10">
        <v>2504</v>
      </c>
      <c r="M499" s="10" t="s">
        <v>323</v>
      </c>
      <c r="N499" s="10" t="s">
        <v>324</v>
      </c>
      <c r="O499" s="59"/>
      <c r="P499" s="7"/>
      <c r="Q499" s="59">
        <f t="shared" si="49"/>
        <v>5</v>
      </c>
      <c r="R499" s="59" t="str">
        <f t="shared" si="48"/>
        <v>5</v>
      </c>
      <c r="S499" s="10"/>
      <c r="T499" s="10"/>
      <c r="U499" s="7"/>
    </row>
    <row r="500" spans="2:21" x14ac:dyDescent="0.3">
      <c r="B500" s="134" t="s">
        <v>369</v>
      </c>
      <c r="C500" s="10" t="s">
        <v>321</v>
      </c>
      <c r="D500" s="10">
        <v>2</v>
      </c>
      <c r="E500" s="10">
        <f t="shared" si="47"/>
        <v>1</v>
      </c>
      <c r="F500" s="10">
        <v>0</v>
      </c>
      <c r="G500" s="10">
        <v>65535</v>
      </c>
      <c r="H500" s="10">
        <v>1</v>
      </c>
      <c r="I500" s="10">
        <v>1</v>
      </c>
      <c r="J500" s="10" t="s">
        <v>322</v>
      </c>
      <c r="K500" s="10">
        <f t="shared" si="46"/>
        <v>2506</v>
      </c>
      <c r="L500" s="10">
        <v>2505</v>
      </c>
      <c r="M500" s="10" t="s">
        <v>323</v>
      </c>
      <c r="N500" s="10" t="s">
        <v>324</v>
      </c>
      <c r="O500" s="59"/>
      <c r="P500" s="7"/>
      <c r="Q500" s="59">
        <f t="shared" si="49"/>
        <v>6</v>
      </c>
      <c r="R500" s="59" t="str">
        <f t="shared" si="48"/>
        <v>6</v>
      </c>
      <c r="S500" s="10"/>
      <c r="T500" s="10"/>
      <c r="U500" s="7"/>
    </row>
    <row r="501" spans="2:21" ht="124.8" x14ac:dyDescent="0.3">
      <c r="B501" s="134" t="s">
        <v>437</v>
      </c>
      <c r="C501" s="10" t="s">
        <v>321</v>
      </c>
      <c r="D501" s="10">
        <v>2</v>
      </c>
      <c r="E501" s="10">
        <f t="shared" si="47"/>
        <v>1</v>
      </c>
      <c r="F501" s="10">
        <v>0</v>
      </c>
      <c r="G501" s="10">
        <v>65535</v>
      </c>
      <c r="H501" s="10">
        <v>1</v>
      </c>
      <c r="I501" s="10">
        <v>1</v>
      </c>
      <c r="J501" s="10" t="s">
        <v>664</v>
      </c>
      <c r="K501" s="10">
        <f t="shared" si="46"/>
        <v>2507</v>
      </c>
      <c r="L501" s="10">
        <v>2506</v>
      </c>
      <c r="M501" s="10" t="s">
        <v>419</v>
      </c>
      <c r="N501" s="10" t="s">
        <v>324</v>
      </c>
      <c r="O501" s="59"/>
      <c r="P501" s="7"/>
      <c r="Q501" s="59">
        <f t="shared" si="49"/>
        <v>7</v>
      </c>
      <c r="R501" s="59" t="str">
        <f t="shared" si="48"/>
        <v>7</v>
      </c>
      <c r="S501" s="110" t="s">
        <v>438</v>
      </c>
      <c r="T501" s="10"/>
    </row>
    <row r="502" spans="2:21" ht="312" x14ac:dyDescent="0.3">
      <c r="B502" s="10" t="s">
        <v>665</v>
      </c>
      <c r="C502" s="10" t="s">
        <v>321</v>
      </c>
      <c r="D502" s="10">
        <v>2</v>
      </c>
      <c r="E502" s="10">
        <f t="shared" si="47"/>
        <v>1</v>
      </c>
      <c r="F502" s="10">
        <v>0</v>
      </c>
      <c r="G502" s="10">
        <v>65535</v>
      </c>
      <c r="H502" s="10">
        <v>1</v>
      </c>
      <c r="I502" s="10">
        <v>1</v>
      </c>
      <c r="J502" s="10" t="s">
        <v>664</v>
      </c>
      <c r="K502" s="10">
        <f t="shared" si="46"/>
        <v>2508</v>
      </c>
      <c r="L502" s="10">
        <v>2507</v>
      </c>
      <c r="M502" s="10" t="s">
        <v>419</v>
      </c>
      <c r="N502" s="10" t="s">
        <v>324</v>
      </c>
      <c r="O502" s="59"/>
      <c r="P502" s="7"/>
      <c r="Q502" s="59">
        <f t="shared" si="49"/>
        <v>8</v>
      </c>
      <c r="R502" s="59" t="str">
        <f t="shared" si="48"/>
        <v>8</v>
      </c>
      <c r="S502" s="212" t="s">
        <v>666</v>
      </c>
      <c r="T502" s="10"/>
    </row>
    <row r="503" spans="2:21" x14ac:dyDescent="0.3">
      <c r="B503" s="10" t="s">
        <v>320</v>
      </c>
      <c r="C503" s="10" t="s">
        <v>321</v>
      </c>
      <c r="D503" s="10">
        <v>2</v>
      </c>
      <c r="E503" s="10">
        <f t="shared" si="47"/>
        <v>1</v>
      </c>
      <c r="F503" s="10">
        <v>0</v>
      </c>
      <c r="G503" s="10">
        <v>65535</v>
      </c>
      <c r="H503" s="10">
        <v>1</v>
      </c>
      <c r="I503" s="10">
        <v>1</v>
      </c>
      <c r="J503" s="10" t="s">
        <v>664</v>
      </c>
      <c r="K503" s="10">
        <f t="shared" si="46"/>
        <v>2509</v>
      </c>
      <c r="L503" s="10">
        <v>2508</v>
      </c>
      <c r="M503" s="10" t="s">
        <v>419</v>
      </c>
      <c r="N503" s="10" t="s">
        <v>324</v>
      </c>
      <c r="O503" s="59"/>
      <c r="P503" s="7"/>
      <c r="Q503" s="59">
        <f t="shared" si="49"/>
        <v>9</v>
      </c>
      <c r="R503" s="59" t="str">
        <f t="shared" si="48"/>
        <v>9</v>
      </c>
      <c r="S503" s="10"/>
      <c r="T503" s="10"/>
      <c r="U503" s="7"/>
    </row>
    <row r="507" spans="2:21" x14ac:dyDescent="0.3">
      <c r="B507" s="158" t="s">
        <v>667</v>
      </c>
      <c r="C507" s="378"/>
      <c r="D507" s="78"/>
      <c r="E507" s="78"/>
      <c r="F507" s="378"/>
      <c r="G507" s="378"/>
      <c r="H507" s="378"/>
    </row>
    <row r="508" spans="2:21" ht="46.8" x14ac:dyDescent="0.3">
      <c r="B508" s="379" t="s">
        <v>668</v>
      </c>
      <c r="C508" s="379" t="s">
        <v>669</v>
      </c>
      <c r="D508" s="379" t="s">
        <v>670</v>
      </c>
      <c r="E508" s="379" t="s">
        <v>671</v>
      </c>
      <c r="F508" s="379" t="s">
        <v>672</v>
      </c>
      <c r="G508" s="379" t="s">
        <v>673</v>
      </c>
      <c r="H508" s="452" t="s">
        <v>674</v>
      </c>
      <c r="I508" s="452"/>
      <c r="J508" s="452"/>
      <c r="K508" s="452"/>
      <c r="L508" s="452"/>
    </row>
    <row r="509" spans="2:21" x14ac:dyDescent="0.3">
      <c r="B509" s="59">
        <v>150</v>
      </c>
      <c r="C509" s="59">
        <v>180</v>
      </c>
      <c r="D509" s="59">
        <v>210</v>
      </c>
      <c r="E509" s="59">
        <v>240</v>
      </c>
      <c r="F509" s="59">
        <v>270</v>
      </c>
      <c r="G509" s="10" t="s">
        <v>321</v>
      </c>
      <c r="H509" s="450" t="s">
        <v>675</v>
      </c>
      <c r="I509" s="450"/>
      <c r="J509" s="450"/>
      <c r="K509" s="450"/>
      <c r="L509" s="450"/>
    </row>
    <row r="510" spans="2:21" x14ac:dyDescent="0.3">
      <c r="B510" s="59">
        <v>151</v>
      </c>
      <c r="C510" s="59">
        <v>181</v>
      </c>
      <c r="D510" s="59">
        <v>211</v>
      </c>
      <c r="E510" s="59">
        <v>241</v>
      </c>
      <c r="F510" s="59">
        <v>271</v>
      </c>
      <c r="G510" s="10" t="s">
        <v>321</v>
      </c>
      <c r="H510" s="450" t="s">
        <v>676</v>
      </c>
      <c r="I510" s="450"/>
      <c r="J510" s="450"/>
      <c r="K510" s="450"/>
      <c r="L510" s="450"/>
    </row>
    <row r="511" spans="2:21" x14ac:dyDescent="0.3">
      <c r="B511" s="59">
        <v>152</v>
      </c>
      <c r="C511" s="59">
        <v>182</v>
      </c>
      <c r="D511" s="59">
        <v>212</v>
      </c>
      <c r="E511" s="59">
        <v>242</v>
      </c>
      <c r="F511" s="59">
        <v>272</v>
      </c>
      <c r="G511" s="10" t="s">
        <v>321</v>
      </c>
      <c r="H511" s="450" t="s">
        <v>677</v>
      </c>
      <c r="I511" s="450"/>
      <c r="J511" s="450"/>
      <c r="K511" s="450"/>
      <c r="L511" s="450"/>
    </row>
    <row r="512" spans="2:21" x14ac:dyDescent="0.3">
      <c r="B512" s="59">
        <v>153</v>
      </c>
      <c r="C512" s="59">
        <v>183</v>
      </c>
      <c r="D512" s="59">
        <v>213</v>
      </c>
      <c r="E512" s="59">
        <v>243</v>
      </c>
      <c r="F512" s="59">
        <v>273</v>
      </c>
      <c r="G512" s="10" t="s">
        <v>321</v>
      </c>
      <c r="H512" s="450" t="s">
        <v>678</v>
      </c>
      <c r="I512" s="450"/>
      <c r="J512" s="450"/>
      <c r="K512" s="450"/>
      <c r="L512" s="450"/>
    </row>
    <row r="513" spans="2:12" x14ac:dyDescent="0.3">
      <c r="B513" s="59">
        <v>154</v>
      </c>
      <c r="C513" s="59">
        <v>184</v>
      </c>
      <c r="D513" s="59">
        <v>214</v>
      </c>
      <c r="E513" s="59">
        <v>244</v>
      </c>
      <c r="F513" s="59">
        <v>274</v>
      </c>
      <c r="G513" s="10" t="s">
        <v>321</v>
      </c>
      <c r="H513" s="450" t="s">
        <v>679</v>
      </c>
      <c r="I513" s="450"/>
      <c r="J513" s="450"/>
      <c r="K513" s="450"/>
      <c r="L513" s="450"/>
    </row>
    <row r="514" spans="2:12" x14ac:dyDescent="0.3">
      <c r="B514" s="59">
        <v>155</v>
      </c>
      <c r="C514" s="59">
        <v>185</v>
      </c>
      <c r="D514" s="59">
        <v>215</v>
      </c>
      <c r="E514" s="59">
        <v>245</v>
      </c>
      <c r="F514" s="59">
        <v>275</v>
      </c>
      <c r="G514" s="10" t="s">
        <v>321</v>
      </c>
      <c r="H514" s="450" t="s">
        <v>680</v>
      </c>
      <c r="I514" s="450"/>
      <c r="J514" s="450"/>
      <c r="K514" s="450"/>
      <c r="L514" s="450"/>
    </row>
    <row r="515" spans="2:12" x14ac:dyDescent="0.3">
      <c r="B515" s="59">
        <v>156</v>
      </c>
      <c r="C515" s="59">
        <v>186</v>
      </c>
      <c r="D515" s="59">
        <v>216</v>
      </c>
      <c r="E515" s="59">
        <v>246</v>
      </c>
      <c r="F515" s="59">
        <v>276</v>
      </c>
      <c r="G515" s="10" t="s">
        <v>321</v>
      </c>
      <c r="H515" s="450" t="s">
        <v>681</v>
      </c>
      <c r="I515" s="450"/>
      <c r="J515" s="450"/>
      <c r="K515" s="450"/>
      <c r="L515" s="450"/>
    </row>
    <row r="516" spans="2:12" x14ac:dyDescent="0.3">
      <c r="B516" s="59">
        <v>157</v>
      </c>
      <c r="C516" s="59">
        <v>187</v>
      </c>
      <c r="D516" s="59">
        <v>217</v>
      </c>
      <c r="E516" s="59">
        <v>247</v>
      </c>
      <c r="F516" s="59">
        <v>277</v>
      </c>
      <c r="G516" s="10" t="s">
        <v>321</v>
      </c>
      <c r="H516" s="450" t="s">
        <v>682</v>
      </c>
      <c r="I516" s="450"/>
      <c r="J516" s="450"/>
      <c r="K516" s="450"/>
      <c r="L516" s="450"/>
    </row>
    <row r="517" spans="2:12" x14ac:dyDescent="0.3">
      <c r="B517" s="59">
        <v>158</v>
      </c>
      <c r="C517" s="59">
        <v>188</v>
      </c>
      <c r="D517" s="59">
        <v>218</v>
      </c>
      <c r="E517" s="59">
        <v>248</v>
      </c>
      <c r="F517" s="59">
        <v>278</v>
      </c>
      <c r="G517" s="10" t="s">
        <v>321</v>
      </c>
      <c r="H517" s="450" t="s">
        <v>683</v>
      </c>
      <c r="I517" s="450"/>
      <c r="J517" s="450"/>
      <c r="K517" s="450"/>
      <c r="L517" s="450"/>
    </row>
    <row r="518" spans="2:12" x14ac:dyDescent="0.3">
      <c r="B518" s="59">
        <v>159</v>
      </c>
      <c r="C518" s="59">
        <v>189</v>
      </c>
      <c r="D518" s="59">
        <v>219</v>
      </c>
      <c r="E518" s="59">
        <v>249</v>
      </c>
      <c r="F518" s="59">
        <v>279</v>
      </c>
      <c r="G518" s="10" t="s">
        <v>321</v>
      </c>
      <c r="H518" s="450" t="s">
        <v>684</v>
      </c>
      <c r="I518" s="450"/>
      <c r="J518" s="450"/>
      <c r="K518" s="450"/>
      <c r="L518" s="450"/>
    </row>
    <row r="519" spans="2:12" x14ac:dyDescent="0.3">
      <c r="B519" s="59">
        <v>160</v>
      </c>
      <c r="C519" s="59">
        <v>190</v>
      </c>
      <c r="D519" s="59">
        <v>220</v>
      </c>
      <c r="E519" s="59">
        <v>250</v>
      </c>
      <c r="F519" s="59">
        <v>280</v>
      </c>
      <c r="G519" s="10" t="s">
        <v>321</v>
      </c>
      <c r="H519" s="450" t="s">
        <v>685</v>
      </c>
      <c r="I519" s="450"/>
      <c r="J519" s="450"/>
      <c r="K519" s="450"/>
      <c r="L519" s="450"/>
    </row>
    <row r="520" spans="2:12" x14ac:dyDescent="0.3">
      <c r="B520" s="59">
        <v>161</v>
      </c>
      <c r="C520" s="59">
        <v>191</v>
      </c>
      <c r="D520" s="59">
        <v>221</v>
      </c>
      <c r="E520" s="59">
        <v>251</v>
      </c>
      <c r="F520" s="59">
        <v>281</v>
      </c>
      <c r="G520" s="10" t="s">
        <v>321</v>
      </c>
      <c r="H520" s="450" t="s">
        <v>686</v>
      </c>
      <c r="I520" s="450"/>
      <c r="J520" s="450"/>
      <c r="K520" s="450"/>
      <c r="L520" s="450"/>
    </row>
    <row r="521" spans="2:12" x14ac:dyDescent="0.3">
      <c r="B521" s="59" t="s">
        <v>687</v>
      </c>
      <c r="C521" s="59" t="s">
        <v>688</v>
      </c>
      <c r="D521" s="59" t="s">
        <v>689</v>
      </c>
      <c r="E521" s="59" t="s">
        <v>690</v>
      </c>
      <c r="F521" s="59" t="s">
        <v>691</v>
      </c>
      <c r="G521" s="10" t="s">
        <v>692</v>
      </c>
      <c r="H521" s="450" t="s">
        <v>693</v>
      </c>
      <c r="I521" s="450"/>
      <c r="J521" s="450"/>
      <c r="K521" s="450"/>
      <c r="L521" s="450"/>
    </row>
    <row r="522" spans="2:12" x14ac:dyDescent="0.3">
      <c r="B522" s="59">
        <v>166</v>
      </c>
      <c r="C522" s="59">
        <v>196</v>
      </c>
      <c r="D522" s="59">
        <v>226</v>
      </c>
      <c r="E522" s="59">
        <v>256</v>
      </c>
      <c r="F522" s="59">
        <v>286</v>
      </c>
      <c r="G522" s="10" t="s">
        <v>321</v>
      </c>
      <c r="H522" s="450" t="s">
        <v>694</v>
      </c>
      <c r="I522" s="450"/>
      <c r="J522" s="450"/>
      <c r="K522" s="450"/>
      <c r="L522" s="450"/>
    </row>
    <row r="523" spans="2:12" x14ac:dyDescent="0.3">
      <c r="B523" s="59">
        <v>167</v>
      </c>
      <c r="C523" s="59">
        <v>197</v>
      </c>
      <c r="D523" s="59">
        <v>227</v>
      </c>
      <c r="E523" s="59">
        <v>257</v>
      </c>
      <c r="F523" s="59">
        <v>287</v>
      </c>
      <c r="G523" s="10" t="s">
        <v>321</v>
      </c>
      <c r="H523" s="450" t="s">
        <v>695</v>
      </c>
      <c r="I523" s="450"/>
      <c r="J523" s="450"/>
      <c r="K523" s="450"/>
      <c r="L523" s="450"/>
    </row>
    <row r="524" spans="2:12" x14ac:dyDescent="0.3">
      <c r="B524" s="59">
        <v>168</v>
      </c>
      <c r="C524" s="59">
        <v>198</v>
      </c>
      <c r="D524" s="59">
        <v>228</v>
      </c>
      <c r="E524" s="59">
        <v>258</v>
      </c>
      <c r="F524" s="59">
        <v>288</v>
      </c>
      <c r="G524" s="10" t="s">
        <v>321</v>
      </c>
      <c r="H524" s="450" t="s">
        <v>696</v>
      </c>
      <c r="I524" s="450"/>
      <c r="J524" s="450"/>
      <c r="K524" s="450"/>
      <c r="L524" s="450"/>
    </row>
    <row r="525" spans="2:12" x14ac:dyDescent="0.3">
      <c r="B525" s="59">
        <v>169</v>
      </c>
      <c r="C525" s="59">
        <v>199</v>
      </c>
      <c r="D525" s="59">
        <v>229</v>
      </c>
      <c r="E525" s="59">
        <v>259</v>
      </c>
      <c r="F525" s="59">
        <v>289</v>
      </c>
      <c r="G525" s="10" t="s">
        <v>321</v>
      </c>
      <c r="H525" s="450" t="s">
        <v>697</v>
      </c>
      <c r="I525" s="450"/>
      <c r="J525" s="450"/>
      <c r="K525" s="450"/>
      <c r="L525" s="450"/>
    </row>
    <row r="526" spans="2:12" x14ac:dyDescent="0.3">
      <c r="B526" s="59">
        <v>170</v>
      </c>
      <c r="C526" s="59">
        <v>200</v>
      </c>
      <c r="D526" s="59">
        <v>230</v>
      </c>
      <c r="E526" s="59">
        <v>260</v>
      </c>
      <c r="F526" s="59">
        <v>290</v>
      </c>
      <c r="G526" s="10" t="s">
        <v>321</v>
      </c>
      <c r="H526" s="450" t="s">
        <v>698</v>
      </c>
      <c r="I526" s="450"/>
      <c r="J526" s="450"/>
      <c r="K526" s="450"/>
      <c r="L526" s="450"/>
    </row>
    <row r="527" spans="2:12" x14ac:dyDescent="0.3">
      <c r="B527" s="59">
        <v>171</v>
      </c>
      <c r="C527" s="59">
        <v>201</v>
      </c>
      <c r="D527" s="59">
        <v>231</v>
      </c>
      <c r="E527" s="59">
        <v>261</v>
      </c>
      <c r="F527" s="59">
        <v>291</v>
      </c>
      <c r="G527" s="10" t="s">
        <v>321</v>
      </c>
      <c r="H527" s="450" t="s">
        <v>699</v>
      </c>
      <c r="I527" s="450"/>
      <c r="J527" s="450"/>
      <c r="K527" s="450"/>
      <c r="L527" s="450"/>
    </row>
    <row r="528" spans="2:12" x14ac:dyDescent="0.3">
      <c r="B528" s="59">
        <v>172</v>
      </c>
      <c r="C528" s="59">
        <v>202</v>
      </c>
      <c r="D528" s="59">
        <v>232</v>
      </c>
      <c r="E528" s="59">
        <v>262</v>
      </c>
      <c r="F528" s="59">
        <v>292</v>
      </c>
      <c r="G528" s="10" t="s">
        <v>321</v>
      </c>
      <c r="H528" s="450" t="s">
        <v>700</v>
      </c>
      <c r="I528" s="450"/>
      <c r="J528" s="450"/>
      <c r="K528" s="450"/>
      <c r="L528" s="450"/>
    </row>
    <row r="529" spans="2:12" x14ac:dyDescent="0.3">
      <c r="B529" s="59" t="s">
        <v>701</v>
      </c>
      <c r="C529" s="59" t="s">
        <v>702</v>
      </c>
      <c r="D529" s="59" t="s">
        <v>703</v>
      </c>
      <c r="E529" s="59" t="s">
        <v>704</v>
      </c>
      <c r="F529" s="59" t="s">
        <v>705</v>
      </c>
      <c r="G529" s="10" t="s">
        <v>321</v>
      </c>
      <c r="H529" s="450" t="s">
        <v>320</v>
      </c>
      <c r="I529" s="450"/>
      <c r="J529" s="450"/>
      <c r="K529" s="450"/>
      <c r="L529" s="450"/>
    </row>
    <row r="531" spans="2:12" x14ac:dyDescent="0.3">
      <c r="B531" s="380"/>
    </row>
    <row r="532" spans="2:12" x14ac:dyDescent="0.3">
      <c r="B532" s="158" t="s">
        <v>706</v>
      </c>
    </row>
    <row r="533" spans="2:12" ht="46.8" x14ac:dyDescent="0.3">
      <c r="B533" s="381" t="s">
        <v>707</v>
      </c>
      <c r="C533" s="381" t="s">
        <v>708</v>
      </c>
      <c r="D533" s="381" t="s">
        <v>709</v>
      </c>
      <c r="E533" s="381" t="s">
        <v>710</v>
      </c>
      <c r="F533" s="381" t="s">
        <v>711</v>
      </c>
      <c r="G533" s="379" t="s">
        <v>673</v>
      </c>
      <c r="H533" s="451" t="s">
        <v>674</v>
      </c>
      <c r="I533" s="451"/>
      <c r="J533" s="451"/>
      <c r="K533" s="451"/>
      <c r="L533" s="451"/>
    </row>
    <row r="534" spans="2:12" x14ac:dyDescent="0.3">
      <c r="B534" s="59" t="s">
        <v>712</v>
      </c>
      <c r="C534" s="59" t="s">
        <v>713</v>
      </c>
      <c r="D534" s="59" t="s">
        <v>714</v>
      </c>
      <c r="E534" s="59" t="s">
        <v>715</v>
      </c>
      <c r="F534" s="59" t="s">
        <v>716</v>
      </c>
      <c r="G534" s="10" t="s">
        <v>326</v>
      </c>
      <c r="H534" s="447" t="s">
        <v>717</v>
      </c>
      <c r="I534" s="448"/>
      <c r="J534" s="448"/>
      <c r="K534" s="448"/>
      <c r="L534" s="449"/>
    </row>
    <row r="535" spans="2:12" x14ac:dyDescent="0.3">
      <c r="B535" s="59" t="s">
        <v>718</v>
      </c>
      <c r="C535" s="59" t="s">
        <v>719</v>
      </c>
      <c r="D535" s="59" t="s">
        <v>720</v>
      </c>
      <c r="E535" s="59" t="s">
        <v>721</v>
      </c>
      <c r="F535" s="59" t="s">
        <v>722</v>
      </c>
      <c r="G535" s="10" t="s">
        <v>326</v>
      </c>
      <c r="H535" s="447" t="s">
        <v>723</v>
      </c>
      <c r="I535" s="448"/>
      <c r="J535" s="448"/>
      <c r="K535" s="448"/>
      <c r="L535" s="449"/>
    </row>
    <row r="536" spans="2:12" x14ac:dyDescent="0.3">
      <c r="B536" s="59" t="s">
        <v>724</v>
      </c>
      <c r="C536" s="59" t="s">
        <v>725</v>
      </c>
      <c r="D536" s="59" t="s">
        <v>726</v>
      </c>
      <c r="E536" s="59" t="s">
        <v>727</v>
      </c>
      <c r="F536" s="59" t="s">
        <v>728</v>
      </c>
      <c r="G536" s="10" t="s">
        <v>326</v>
      </c>
      <c r="H536" s="447" t="s">
        <v>729</v>
      </c>
      <c r="I536" s="448"/>
      <c r="J536" s="448"/>
      <c r="K536" s="448"/>
      <c r="L536" s="449"/>
    </row>
    <row r="537" spans="2:12" x14ac:dyDescent="0.3">
      <c r="B537" s="59" t="s">
        <v>730</v>
      </c>
      <c r="C537" s="59" t="s">
        <v>731</v>
      </c>
      <c r="D537" s="59" t="s">
        <v>732</v>
      </c>
      <c r="E537" s="59" t="s">
        <v>733</v>
      </c>
      <c r="F537" s="59" t="s">
        <v>734</v>
      </c>
      <c r="G537" s="10" t="s">
        <v>326</v>
      </c>
      <c r="H537" s="447" t="s">
        <v>735</v>
      </c>
      <c r="I537" s="448"/>
      <c r="J537" s="448"/>
      <c r="K537" s="448"/>
      <c r="L537" s="449"/>
    </row>
    <row r="538" spans="2:12" x14ac:dyDescent="0.3">
      <c r="B538" s="59" t="s">
        <v>736</v>
      </c>
      <c r="C538" s="59" t="s">
        <v>737</v>
      </c>
      <c r="D538" s="59" t="s">
        <v>738</v>
      </c>
      <c r="E538" s="59" t="s">
        <v>739</v>
      </c>
      <c r="F538" s="59" t="s">
        <v>740</v>
      </c>
      <c r="G538" s="10" t="s">
        <v>326</v>
      </c>
      <c r="H538" s="447" t="s">
        <v>741</v>
      </c>
      <c r="I538" s="448"/>
      <c r="J538" s="448"/>
      <c r="K538" s="448"/>
      <c r="L538" s="449"/>
    </row>
    <row r="539" spans="2:12" x14ac:dyDescent="0.3">
      <c r="B539" s="59">
        <v>310</v>
      </c>
      <c r="C539" s="59">
        <v>340</v>
      </c>
      <c r="D539" s="59">
        <v>370</v>
      </c>
      <c r="E539" s="59">
        <v>400</v>
      </c>
      <c r="F539" s="59">
        <v>430</v>
      </c>
      <c r="G539" s="10" t="s">
        <v>321</v>
      </c>
      <c r="H539" s="447" t="s">
        <v>742</v>
      </c>
      <c r="I539" s="448"/>
      <c r="J539" s="448"/>
      <c r="K539" s="448"/>
      <c r="L539" s="449"/>
    </row>
  </sheetData>
  <autoFilter ref="D1:D489" xr:uid="{55A9BDFB-540E-4AEB-BD4F-2C118A902740}"/>
  <mergeCells count="43">
    <mergeCell ref="B125:Q125"/>
    <mergeCell ref="B3:Q3"/>
    <mergeCell ref="B24:Q24"/>
    <mergeCell ref="B49:Q49"/>
    <mergeCell ref="B55:Q55"/>
    <mergeCell ref="B61:Q61"/>
    <mergeCell ref="B492:U492"/>
    <mergeCell ref="B493:U493"/>
    <mergeCell ref="B149:Q149"/>
    <mergeCell ref="B161:Q161"/>
    <mergeCell ref="B169:Q169"/>
    <mergeCell ref="B270:Q270"/>
    <mergeCell ref="B371:Q371"/>
    <mergeCell ref="B375:Q375"/>
    <mergeCell ref="H508:L508"/>
    <mergeCell ref="H509:L509"/>
    <mergeCell ref="H510:L510"/>
    <mergeCell ref="H511:L511"/>
    <mergeCell ref="H512:L512"/>
    <mergeCell ref="H513:L513"/>
    <mergeCell ref="H514:L514"/>
    <mergeCell ref="H515:L515"/>
    <mergeCell ref="H516:L516"/>
    <mergeCell ref="H517:L517"/>
    <mergeCell ref="H518:L518"/>
    <mergeCell ref="H519:L519"/>
    <mergeCell ref="H520:L520"/>
    <mergeCell ref="H521:L521"/>
    <mergeCell ref="H522:L522"/>
    <mergeCell ref="H523:L523"/>
    <mergeCell ref="H524:L524"/>
    <mergeCell ref="H525:L525"/>
    <mergeCell ref="H526:L526"/>
    <mergeCell ref="H527:L527"/>
    <mergeCell ref="H536:L536"/>
    <mergeCell ref="H537:L537"/>
    <mergeCell ref="H538:L538"/>
    <mergeCell ref="H539:L539"/>
    <mergeCell ref="H528:L528"/>
    <mergeCell ref="H529:L529"/>
    <mergeCell ref="H533:L533"/>
    <mergeCell ref="H534:L534"/>
    <mergeCell ref="H535:L535"/>
  </mergeCells>
  <conditionalFormatting sqref="A170:A176 R170:XFD176">
    <cfRule type="cellIs" dxfId="741" priority="1323" stopIfTrue="1" operator="notEqual">
      <formula>INDIRECT("Dummy_for_Comparison8!"&amp;ADDRESS(ROW(),COLUMN()))</formula>
    </cfRule>
  </conditionalFormatting>
  <conditionalFormatting sqref="A179:A269 R179:XFD269">
    <cfRule type="cellIs" dxfId="740" priority="451" stopIfTrue="1" operator="notEqual">
      <formula>INDIRECT("Dummy_for_Comparison8!"&amp;ADDRESS(ROW(),COLUMN()))</formula>
    </cfRule>
  </conditionalFormatting>
  <conditionalFormatting sqref="A271:A277 R271:XFD277">
    <cfRule type="cellIs" dxfId="739" priority="1315" stopIfTrue="1" operator="notEqual">
      <formula>INDIRECT("Dummy_for_Comparison8!"&amp;ADDRESS(ROW(),COLUMN()))</formula>
    </cfRule>
  </conditionalFormatting>
  <conditionalFormatting sqref="A280:A370 R280:XFD370">
    <cfRule type="cellIs" dxfId="738" priority="438" stopIfTrue="1" operator="notEqual">
      <formula>INDIRECT("Dummy_for_Comparison8!"&amp;ADDRESS(ROW(),COLUMN()))</formula>
    </cfRule>
  </conditionalFormatting>
  <conditionalFormatting sqref="A372:A374 R372:XFD374">
    <cfRule type="cellIs" dxfId="737" priority="152" stopIfTrue="1" operator="notEqual">
      <formula>INDIRECT("Dummy_for_Comparison8!"&amp;ADDRESS(ROW(),COLUMN()))</formula>
    </cfRule>
  </conditionalFormatting>
  <conditionalFormatting sqref="A376:A489 R376:XFD489">
    <cfRule type="cellIs" dxfId="736" priority="264" stopIfTrue="1" operator="notEqual">
      <formula>INDIRECT("Dummy_for_Comparison8!"&amp;ADDRESS(ROW(),COLUMN()))</formula>
    </cfRule>
  </conditionalFormatting>
  <conditionalFormatting sqref="B24">
    <cfRule type="cellIs" dxfId="735" priority="1071" stopIfTrue="1" operator="notEqual">
      <formula>INDIRECT("Dummy_for_Comparison8!"&amp;ADDRESS(ROW(),COLUMN()))</formula>
    </cfRule>
  </conditionalFormatting>
  <conditionalFormatting sqref="B29:B43">
    <cfRule type="cellIs" dxfId="734" priority="182" stopIfTrue="1" operator="notEqual">
      <formula>INDIRECT("Dummy_for_Comparison2!"&amp;ADDRESS(ROW(),COLUMN()))</formula>
    </cfRule>
  </conditionalFormatting>
  <conditionalFormatting sqref="B49">
    <cfRule type="cellIs" dxfId="733" priority="1068" stopIfTrue="1" operator="notEqual">
      <formula>INDIRECT("Dummy_for_Comparison8!"&amp;ADDRESS(ROW(),COLUMN()))</formula>
    </cfRule>
  </conditionalFormatting>
  <conditionalFormatting sqref="B55">
    <cfRule type="cellIs" dxfId="732" priority="1065" stopIfTrue="1" operator="notEqual">
      <formula>INDIRECT("Dummy_for_Comparison8!"&amp;ADDRESS(ROW(),COLUMN()))</formula>
    </cfRule>
  </conditionalFormatting>
  <conditionalFormatting sqref="B61">
    <cfRule type="cellIs" dxfId="731" priority="862" stopIfTrue="1" operator="notEqual">
      <formula>INDIRECT("Dummy_for_Comparison8!"&amp;ADDRESS(ROW(),COLUMN()))</formula>
    </cfRule>
  </conditionalFormatting>
  <conditionalFormatting sqref="B125">
    <cfRule type="cellIs" dxfId="730" priority="709" stopIfTrue="1" operator="notEqual">
      <formula>INDIRECT("Dummy_for_Comparison8!"&amp;ADDRESS(ROW(),COLUMN()))</formula>
    </cfRule>
  </conditionalFormatting>
  <conditionalFormatting sqref="B149">
    <cfRule type="cellIs" dxfId="729" priority="565" stopIfTrue="1" operator="notEqual">
      <formula>INDIRECT("Dummy_for_Comparison8!"&amp;ADDRESS(ROW(),COLUMN()))</formula>
    </cfRule>
  </conditionalFormatting>
  <conditionalFormatting sqref="B161">
    <cfRule type="cellIs" dxfId="728" priority="541" stopIfTrue="1" operator="notEqual">
      <formula>INDIRECT("Dummy_for_Comparison8!"&amp;ADDRESS(ROW(),COLUMN()))</formula>
    </cfRule>
  </conditionalFormatting>
  <conditionalFormatting sqref="B169">
    <cfRule type="cellIs" dxfId="727" priority="475" stopIfTrue="1" operator="notEqual">
      <formula>INDIRECT("Dummy_for_Comparison8!"&amp;ADDRESS(ROW(),COLUMN()))</formula>
    </cfRule>
  </conditionalFormatting>
  <conditionalFormatting sqref="B270">
    <cfRule type="cellIs" dxfId="726" priority="460" stopIfTrue="1" operator="notEqual">
      <formula>INDIRECT("Dummy_for_Comparison8!"&amp;ADDRESS(ROW(),COLUMN()))</formula>
    </cfRule>
  </conditionalFormatting>
  <conditionalFormatting sqref="B371">
    <cfRule type="cellIs" dxfId="725" priority="414" stopIfTrue="1" operator="notEqual">
      <formula>INDIRECT("Dummy_for_Comparison8!"&amp;ADDRESS(ROW(),COLUMN()))</formula>
    </cfRule>
  </conditionalFormatting>
  <conditionalFormatting sqref="B375">
    <cfRule type="cellIs" dxfId="724" priority="342" stopIfTrue="1" operator="notEqual">
      <formula>INDIRECT("Dummy_for_Comparison8!"&amp;ADDRESS(ROW(),COLUMN()))</formula>
    </cfRule>
  </conditionalFormatting>
  <conditionalFormatting sqref="B492:B494">
    <cfRule type="cellIs" dxfId="723" priority="70" stopIfTrue="1" operator="notEqual">
      <formula>INDIRECT("Dummy_for_Comparison8!"&amp;ADDRESS(ROW(),COLUMN()))</formula>
    </cfRule>
  </conditionalFormatting>
  <conditionalFormatting sqref="B56:C60">
    <cfRule type="cellIs" dxfId="722" priority="865" stopIfTrue="1" operator="notEqual">
      <formula>INDIRECT("Dummy_for_Comparison2!"&amp;ADDRESS(ROW(),COLUMN()))</formula>
    </cfRule>
  </conditionalFormatting>
  <conditionalFormatting sqref="B383:C489">
    <cfRule type="cellIs" dxfId="721" priority="241" stopIfTrue="1" operator="notEqual">
      <formula>INDIRECT("Dummy_for_Comparison2!"&amp;ADDRESS(ROW(),COLUMN()))</formula>
    </cfRule>
  </conditionalFormatting>
  <conditionalFormatting sqref="B533:F533">
    <cfRule type="cellIs" dxfId="720" priority="7" stopIfTrue="1" operator="notEqual">
      <formula>INDIRECT("Dummy_for_Comparison2!"&amp;ADDRESS(ROW(),COLUMN()))</formula>
    </cfRule>
  </conditionalFormatting>
  <conditionalFormatting sqref="B44:I45">
    <cfRule type="cellIs" dxfId="719" priority="118" stopIfTrue="1" operator="notEqual">
      <formula>INDIRECT("Dummy_for_Comparison2!"&amp;ADDRESS(ROW(),COLUMN()))</formula>
    </cfRule>
  </conditionalFormatting>
  <conditionalFormatting sqref="B2:L2">
    <cfRule type="cellIs" dxfId="718" priority="1243" stopIfTrue="1" operator="notEqual">
      <formula>INDIRECT("Dummy_for_Comparison2!"&amp;ADDRESS(ROW(),COLUMN()))</formula>
    </cfRule>
  </conditionalFormatting>
  <conditionalFormatting sqref="B4:L4 M4:N22 B5:B20 J5:L23 C19:C20 B21:C22 M23:Q23">
    <cfRule type="cellIs" dxfId="717" priority="1322" stopIfTrue="1" operator="notEqual">
      <formula>INDIRECT("Dummy_for_Comparison2!"&amp;ADDRESS(ROW(),COLUMN()))</formula>
    </cfRule>
  </conditionalFormatting>
  <conditionalFormatting sqref="B507:L507">
    <cfRule type="cellIs" dxfId="716" priority="38" stopIfTrue="1" operator="notEqual">
      <formula>INDIRECT("Dummy_for_Comparison8!"&amp;ADDRESS(ROW(),COLUMN()))</formula>
    </cfRule>
  </conditionalFormatting>
  <conditionalFormatting sqref="B530:L532">
    <cfRule type="cellIs" dxfId="715" priority="36" stopIfTrue="1" operator="notEqual">
      <formula>INDIRECT("Dummy_for_Comparison8!"&amp;ADDRESS(ROW(),COLUMN()))</formula>
    </cfRule>
  </conditionalFormatting>
  <conditionalFormatting sqref="B495:N503">
    <cfRule type="cellIs" dxfId="714" priority="45" stopIfTrue="1" operator="notEqual">
      <formula>INDIRECT("Dummy_for_Comparison2!"&amp;ADDRESS(ROW(),COLUMN()))</formula>
    </cfRule>
  </conditionalFormatting>
  <conditionalFormatting sqref="B50:P54">
    <cfRule type="cellIs" dxfId="713" priority="429" stopIfTrue="1" operator="notEqual">
      <formula>INDIRECT("Dummy_for_Comparison2!"&amp;ADDRESS(ROW(),COLUMN()))</formula>
    </cfRule>
  </conditionalFormatting>
  <conditionalFormatting sqref="B62:P84">
    <cfRule type="cellIs" dxfId="712" priority="96" stopIfTrue="1" operator="notEqual">
      <formula>INDIRECT("Dummy_for_Comparison2!"&amp;ADDRESS(ROW(),COLUMN()))</formula>
    </cfRule>
  </conditionalFormatting>
  <conditionalFormatting sqref="B25:Q28">
    <cfRule type="cellIs" dxfId="711" priority="121" stopIfTrue="1" operator="notEqual">
      <formula>INDIRECT("Dummy_for_Comparison2!"&amp;ADDRESS(ROW(),COLUMN()))</formula>
    </cfRule>
  </conditionalFormatting>
  <conditionalFormatting sqref="B85:Q85">
    <cfRule type="cellIs" dxfId="710" priority="94" stopIfTrue="1" operator="notEqual">
      <formula>INDIRECT("Dummy_for_Comparison2!"&amp;ADDRESS(ROW(),COLUMN()))</formula>
    </cfRule>
  </conditionalFormatting>
  <conditionalFormatting sqref="B98:Q111">
    <cfRule type="cellIs" dxfId="709" priority="178" stopIfTrue="1" operator="notEqual">
      <formula>INDIRECT("Dummy_for_Comparison2!"&amp;ADDRESS(ROW(),COLUMN()))</formula>
    </cfRule>
  </conditionalFormatting>
  <conditionalFormatting sqref="B117:Q124">
    <cfRule type="cellIs" dxfId="708" priority="177" stopIfTrue="1" operator="notEqual">
      <formula>INDIRECT("Dummy_for_Comparison2!"&amp;ADDRESS(ROW(),COLUMN()))</formula>
    </cfRule>
  </conditionalFormatting>
  <conditionalFormatting sqref="B126:Q148">
    <cfRule type="cellIs" dxfId="707" priority="164" stopIfTrue="1" operator="notEqual">
      <formula>INDIRECT("Dummy_for_Comparison2!"&amp;ADDRESS(ROW(),COLUMN()))</formula>
    </cfRule>
  </conditionalFormatting>
  <conditionalFormatting sqref="B150:Q160">
    <cfRule type="cellIs" dxfId="706" priority="173" stopIfTrue="1" operator="notEqual">
      <formula>INDIRECT("Dummy_for_Comparison2!"&amp;ADDRESS(ROW(),COLUMN()))</formula>
    </cfRule>
  </conditionalFormatting>
  <conditionalFormatting sqref="B162:Q168">
    <cfRule type="cellIs" dxfId="705" priority="172" stopIfTrue="1" operator="notEqual">
      <formula>INDIRECT("Dummy_for_Comparison2!"&amp;ADDRESS(ROW(),COLUMN()))</formula>
    </cfRule>
  </conditionalFormatting>
  <conditionalFormatting sqref="B170:Q269">
    <cfRule type="cellIs" dxfId="704" priority="378" stopIfTrue="1" operator="notEqual">
      <formula>INDIRECT("Dummy_for_Comparison2!"&amp;ADDRESS(ROW(),COLUMN()))</formula>
    </cfRule>
  </conditionalFormatting>
  <conditionalFormatting sqref="B271:Q370">
    <cfRule type="cellIs" dxfId="703" priority="346" stopIfTrue="1" operator="notEqual">
      <formula>INDIRECT("Dummy_for_Comparison2!"&amp;ADDRESS(ROW(),COLUMN()))</formula>
    </cfRule>
  </conditionalFormatting>
  <conditionalFormatting sqref="B372:Q374">
    <cfRule type="cellIs" dxfId="702" priority="141" stopIfTrue="1" operator="notEqual">
      <formula>INDIRECT("Dummy_for_Comparison2!"&amp;ADDRESS(ROW(),COLUMN()))</formula>
    </cfRule>
  </conditionalFormatting>
  <conditionalFormatting sqref="B376:Q382">
    <cfRule type="cellIs" dxfId="701" priority="323" stopIfTrue="1" operator="notEqual">
      <formula>INDIRECT("Dummy_for_Comparison2!"&amp;ADDRESS(ROW(),COLUMN()))</formula>
    </cfRule>
  </conditionalFormatting>
  <conditionalFormatting sqref="B46:S48">
    <cfRule type="cellIs" dxfId="700" priority="181" stopIfTrue="1" operator="notEqual">
      <formula>INDIRECT("Dummy_for_Comparison2!"&amp;ADDRESS(ROW(),COLUMN()))</formula>
    </cfRule>
  </conditionalFormatting>
  <conditionalFormatting sqref="B86:S97">
    <cfRule type="cellIs" dxfId="699" priority="79" stopIfTrue="1" operator="notEqual">
      <formula>INDIRECT("Dummy_for_Comparison2!"&amp;ADDRESS(ROW(),COLUMN()))</formula>
    </cfRule>
  </conditionalFormatting>
  <conditionalFormatting sqref="B112:S116">
    <cfRule type="cellIs" dxfId="698" priority="74" stopIfTrue="1" operator="notEqual">
      <formula>INDIRECT("Dummy_for_Comparison2!"&amp;ADDRESS(ROW(),COLUMN()))</formula>
    </cfRule>
  </conditionalFormatting>
  <conditionalFormatting sqref="C18:I18">
    <cfRule type="cellIs" dxfId="697" priority="1241" stopIfTrue="1" operator="notEqual">
      <formula>INDIRECT("Dummy_for_Comparison2!"&amp;ADDRESS(ROW(),COLUMN()))</formula>
    </cfRule>
  </conditionalFormatting>
  <conditionalFormatting sqref="C23:I23">
    <cfRule type="cellIs" dxfId="696" priority="123" stopIfTrue="1" operator="notEqual">
      <formula>INDIRECT("Dummy_for_Comparison2!"&amp;ADDRESS(ROW(),COLUMN()))</formula>
    </cfRule>
  </conditionalFormatting>
  <conditionalFormatting sqref="C43:I43">
    <cfRule type="cellIs" dxfId="695" priority="1135" stopIfTrue="1" operator="notEqual">
      <formula>INDIRECT("Dummy_for_Comparison2!"&amp;ADDRESS(ROW(),COLUMN()))</formula>
    </cfRule>
  </conditionalFormatting>
  <conditionalFormatting sqref="D57:E60">
    <cfRule type="cellIs" dxfId="694" priority="1086" stopIfTrue="1" operator="notEqual">
      <formula>INDIRECT("Dummy_for_Comparison2!"&amp;ADDRESS(ROW(),COLUMN()))</formula>
    </cfRule>
  </conditionalFormatting>
  <conditionalFormatting sqref="D6:I13">
    <cfRule type="cellIs" dxfId="693" priority="1287" stopIfTrue="1" operator="notEqual">
      <formula>INDIRECT("Dummy_for_Comparison2!"&amp;ADDRESS(ROW(),COLUMN()))</formula>
    </cfRule>
  </conditionalFormatting>
  <conditionalFormatting sqref="D19:I22">
    <cfRule type="cellIs" dxfId="692" priority="139" stopIfTrue="1" operator="notEqual">
      <formula>INDIRECT("Dummy_for_Comparison2!"&amp;ADDRESS(ROW(),COLUMN()))</formula>
    </cfRule>
  </conditionalFormatting>
  <conditionalFormatting sqref="D31:I38">
    <cfRule type="cellIs" dxfId="691" priority="1185" stopIfTrue="1" operator="notEqual">
      <formula>INDIRECT("Dummy_for_Comparison2!"&amp;ADDRESS(ROW(),COLUMN()))</formula>
    </cfRule>
  </conditionalFormatting>
  <conditionalFormatting sqref="D56:I57">
    <cfRule type="cellIs" dxfId="690" priority="1112" stopIfTrue="1" operator="notEqual">
      <formula>INDIRECT("Dummy_for_Comparison2!"&amp;ADDRESS(ROW(),COLUMN()))</formula>
    </cfRule>
  </conditionalFormatting>
  <conditionalFormatting sqref="D383:N386">
    <cfRule type="cellIs" dxfId="689" priority="227" stopIfTrue="1" operator="notEqual">
      <formula>INDIRECT("Dummy_for_Comparison2!"&amp;ADDRESS(ROW(),COLUMN()))</formula>
    </cfRule>
  </conditionalFormatting>
  <conditionalFormatting sqref="D387:P489">
    <cfRule type="cellIs" dxfId="688" priority="187" stopIfTrue="1" operator="notEqual">
      <formula>INDIRECT("Dummy_for_Comparison2!"&amp;ADDRESS(ROW(),COLUMN()))</formula>
    </cfRule>
  </conditionalFormatting>
  <conditionalFormatting sqref="F16:F17 H16:I17">
    <cfRule type="cellIs" dxfId="687" priority="1257" stopIfTrue="1" operator="notEqual">
      <formula>INDIRECT("Dummy_for_Comparison2!"&amp;ADDRESS(ROW(),COLUMN()))</formula>
    </cfRule>
  </conditionalFormatting>
  <conditionalFormatting sqref="F41:F42 H41:I42">
    <cfRule type="cellIs" dxfId="686" priority="1149" stopIfTrue="1" operator="notEqual">
      <formula>INDIRECT("Dummy_for_Comparison2!"&amp;ADDRESS(ROW(),COLUMN()))</formula>
    </cfRule>
  </conditionalFormatting>
  <conditionalFormatting sqref="F60 H60:I60">
    <cfRule type="cellIs" dxfId="685" priority="1085" stopIfTrue="1" operator="notEqual">
      <formula>INDIRECT("Dummy_for_Comparison2!"&amp;ADDRESS(ROW(),COLUMN()))</formula>
    </cfRule>
  </conditionalFormatting>
  <conditionalFormatting sqref="F13:I15">
    <cfRule type="cellIs" dxfId="684" priority="1303" stopIfTrue="1" operator="notEqual">
      <formula>INDIRECT("Dummy_for_Comparison2!"&amp;ADDRESS(ROW(),COLUMN()))</formula>
    </cfRule>
  </conditionalFormatting>
  <conditionalFormatting sqref="F38:I40">
    <cfRule type="cellIs" dxfId="683" priority="1201" stopIfTrue="1" operator="notEqual">
      <formula>INDIRECT("Dummy_for_Comparison2!"&amp;ADDRESS(ROW(),COLUMN()))</formula>
    </cfRule>
  </conditionalFormatting>
  <conditionalFormatting sqref="F57:I59">
    <cfRule type="cellIs" dxfId="682" priority="1128" stopIfTrue="1" operator="notEqual">
      <formula>INDIRECT("Dummy_for_Comparison2!"&amp;ADDRESS(ROW(),COLUMN()))</formula>
    </cfRule>
  </conditionalFormatting>
  <conditionalFormatting sqref="G14:G17">
    <cfRule type="cellIs" dxfId="681" priority="1256" stopIfTrue="1" operator="notEqual">
      <formula>INDIRECT("Dummy_for_Comparison2!"&amp;ADDRESS(ROW(),COLUMN()))</formula>
    </cfRule>
  </conditionalFormatting>
  <conditionalFormatting sqref="G39:G42">
    <cfRule type="cellIs" dxfId="680" priority="1148" stopIfTrue="1" operator="notEqual">
      <formula>INDIRECT("Dummy_for_Comparison2!"&amp;ADDRESS(ROW(),COLUMN()))</formula>
    </cfRule>
  </conditionalFormatting>
  <conditionalFormatting sqref="G58:G60">
    <cfRule type="cellIs" dxfId="679" priority="1084" stopIfTrue="1" operator="notEqual">
      <formula>INDIRECT("Dummy_for_Comparison2!"&amp;ADDRESS(ROW(),COLUMN()))</formula>
    </cfRule>
  </conditionalFormatting>
  <conditionalFormatting sqref="G509:G529">
    <cfRule type="cellIs" dxfId="678" priority="37" stopIfTrue="1" operator="notEqual">
      <formula>INDIRECT("Dummy_for_Comparison2!"&amp;ADDRESS(ROW(),COLUMN()))</formula>
    </cfRule>
  </conditionalFormatting>
  <conditionalFormatting sqref="G534:G539">
    <cfRule type="cellIs" dxfId="677" priority="35" stopIfTrue="1" operator="notEqual">
      <formula>INDIRECT("Dummy_for_Comparison2!"&amp;ADDRESS(ROW(),COLUMN()))</formula>
    </cfRule>
  </conditionalFormatting>
  <conditionalFormatting sqref="I15:I17">
    <cfRule type="cellIs" dxfId="676" priority="1252" stopIfTrue="1" operator="notEqual">
      <formula>INDIRECT("Dummy_for_Comparison2!"&amp;ADDRESS(ROW(),COLUMN()))</formula>
    </cfRule>
  </conditionalFormatting>
  <conditionalFormatting sqref="I40:I42">
    <cfRule type="cellIs" dxfId="675" priority="1144" stopIfTrue="1" operator="notEqual">
      <formula>INDIRECT("Dummy_for_Comparison2!"&amp;ADDRESS(ROW(),COLUMN()))</formula>
    </cfRule>
  </conditionalFormatting>
  <conditionalFormatting sqref="I59:I60">
    <cfRule type="cellIs" dxfId="674" priority="1080" stopIfTrue="1" operator="notEqual">
      <formula>INDIRECT("Dummy_for_Comparison2!"&amp;ADDRESS(ROW(),COLUMN()))</formula>
    </cfRule>
  </conditionalFormatting>
  <conditionalFormatting sqref="J29:N45">
    <cfRule type="cellIs" dxfId="673" priority="120" stopIfTrue="1" operator="notEqual">
      <formula>INDIRECT("Dummy_for_Comparison2!"&amp;ADDRESS(ROW(),COLUMN()))</formula>
    </cfRule>
  </conditionalFormatting>
  <conditionalFormatting sqref="J56:P60">
    <cfRule type="cellIs" dxfId="672" priority="349" stopIfTrue="1" operator="notEqual">
      <formula>INDIRECT("Dummy_for_Comparison2!"&amp;ADDRESS(ROW(),COLUMN()))</formula>
    </cfRule>
  </conditionalFormatting>
  <conditionalFormatting sqref="L2:M2">
    <cfRule type="cellIs" dxfId="671" priority="1244" stopIfTrue="1" operator="notEqual">
      <formula>INDIRECT("Dummy_for_Comparison6!"&amp;ADDRESS(ROW(),COLUMN()))</formula>
    </cfRule>
  </conditionalFormatting>
  <conditionalFormatting sqref="M2:Q2">
    <cfRule type="cellIs" dxfId="670" priority="1318" stopIfTrue="1" operator="notEqual">
      <formula>INDIRECT("Dummy_for_Comparison2!"&amp;ADDRESS(ROW(),COLUMN()))</formula>
    </cfRule>
  </conditionalFormatting>
  <conditionalFormatting sqref="N29:Q29">
    <cfRule type="cellIs" dxfId="669" priority="1217" stopIfTrue="1" operator="notEqual">
      <formula>INDIRECT("Dummy_for_Comparison2!"&amp;ADDRESS(ROW(),COLUMN()))</formula>
    </cfRule>
  </conditionalFormatting>
  <conditionalFormatting sqref="O8:P17 D13:E17">
    <cfRule type="cellIs" dxfId="668" priority="1258" stopIfTrue="1" operator="notEqual">
      <formula>INDIRECT("Dummy_for_Comparison2!"&amp;ADDRESS(ROW(),COLUMN()))</formula>
    </cfRule>
  </conditionalFormatting>
  <conditionalFormatting sqref="O21:P23">
    <cfRule type="cellIs" dxfId="667" priority="1220" stopIfTrue="1" operator="notEqual">
      <formula>INDIRECT("Dummy_for_Comparison2!"&amp;ADDRESS(ROW(),COLUMN()))</formula>
    </cfRule>
  </conditionalFormatting>
  <conditionalFormatting sqref="O33:P42 D38:E42">
    <cfRule type="cellIs" dxfId="666" priority="1150" stopIfTrue="1" operator="notEqual">
      <formula>INDIRECT("Dummy_for_Comparison2!"&amp;ADDRESS(ROW(),COLUMN()))</formula>
    </cfRule>
  </conditionalFormatting>
  <conditionalFormatting sqref="O385:P386">
    <cfRule type="cellIs" dxfId="665" priority="261" stopIfTrue="1" operator="notEqual">
      <formula>INDIRECT("Dummy_for_Comparison2!"&amp;ADDRESS(ROW(),COLUMN()))</formula>
    </cfRule>
  </conditionalFormatting>
  <conditionalFormatting sqref="O4:Q12">
    <cfRule type="cellIs" dxfId="664" priority="1274" stopIfTrue="1" operator="notEqual">
      <formula>INDIRECT("Dummy_for_Comparison2!"&amp;ADDRESS(ROW(),COLUMN()))</formula>
    </cfRule>
  </conditionalFormatting>
  <conditionalFormatting sqref="O18:Q23">
    <cfRule type="cellIs" dxfId="663" priority="1222" stopIfTrue="1" operator="notEqual">
      <formula>INDIRECT("Dummy_for_Comparison2!"&amp;ADDRESS(ROW(),COLUMN()))</formula>
    </cfRule>
  </conditionalFormatting>
  <conditionalFormatting sqref="O30:Q37">
    <cfRule type="cellIs" dxfId="662" priority="1168" stopIfTrue="1" operator="notEqual">
      <formula>INDIRECT("Dummy_for_Comparison2!"&amp;ADDRESS(ROW(),COLUMN()))</formula>
    </cfRule>
  </conditionalFormatting>
  <conditionalFormatting sqref="O62:Q63">
    <cfRule type="cellIs" dxfId="661" priority="113" stopIfTrue="1" operator="notEqual">
      <formula>INDIRECT("Dummy_for_Comparison2!"&amp;ADDRESS(ROW(),COLUMN()))</formula>
    </cfRule>
  </conditionalFormatting>
  <conditionalFormatting sqref="O66:Q72">
    <cfRule type="cellIs" dxfId="660" priority="103" stopIfTrue="1" operator="notEqual">
      <formula>INDIRECT("Dummy_for_Comparison2!"&amp;ADDRESS(ROW(),COLUMN()))</formula>
    </cfRule>
  </conditionalFormatting>
  <conditionalFormatting sqref="O383:Q384">
    <cfRule type="cellIs" dxfId="659" priority="266" stopIfTrue="1" operator="notEqual">
      <formula>INDIRECT("Dummy_for_Comparison2!"&amp;ADDRESS(ROW(),COLUMN()))</formula>
    </cfRule>
  </conditionalFormatting>
  <conditionalFormatting sqref="O14:S14 R15:S15 Q16:S16">
    <cfRule type="cellIs" dxfId="658" priority="1308" stopIfTrue="1" operator="notEqual">
      <formula>INDIRECT("Dummy_for_Comparison2!"&amp;ADDRESS(ROW(),COLUMN()))</formula>
    </cfRule>
  </conditionalFormatting>
  <conditionalFormatting sqref="O39:S39 R40:S40 Q41:S41 R42:S42">
    <cfRule type="cellIs" dxfId="657" priority="1206" stopIfTrue="1" operator="notEqual">
      <formula>INDIRECT("Dummy_for_Comparison2!"&amp;ADDRESS(ROW(),COLUMN()))</formula>
    </cfRule>
  </conditionalFormatting>
  <conditionalFormatting sqref="O43:S45">
    <cfRule type="cellIs" dxfId="656" priority="116" stopIfTrue="1" operator="notEqual">
      <formula>INDIRECT("Dummy_for_Comparison2!"&amp;ADDRESS(ROW(),COLUMN()))</formula>
    </cfRule>
  </conditionalFormatting>
  <conditionalFormatting sqref="P2:XFD2 A1:XFD1 A2 A3:B3 R3:XFD3 R85:XFD85 A490:XFD491 A492:A503 V492:XFD503 A504:XFD506 A507:A539 M507:XFD539 A540:XFD1048576">
    <cfRule type="cellIs" dxfId="655" priority="1324" stopIfTrue="1" operator="notEqual">
      <formula>INDIRECT("Dummy_for_Comparison8!"&amp;ADDRESS(ROW(),COLUMN()))</formula>
    </cfRule>
  </conditionalFormatting>
  <conditionalFormatting sqref="Q13">
    <cfRule type="cellIs" dxfId="654" priority="1249" stopIfTrue="1" operator="notEqual">
      <formula>INDIRECT("Dummy_for_Comparison2!"&amp;ADDRESS(ROW(),COLUMN()))</formula>
    </cfRule>
  </conditionalFormatting>
  <conditionalFormatting sqref="Q15:Q17">
    <cfRule type="cellIs" dxfId="653" priority="1246" stopIfTrue="1" operator="notEqual">
      <formula>INDIRECT("Dummy_for_Comparison2!"&amp;ADDRESS(ROW(),COLUMN()))</formula>
    </cfRule>
  </conditionalFormatting>
  <conditionalFormatting sqref="Q38">
    <cfRule type="cellIs" dxfId="652" priority="1141" stopIfTrue="1" operator="notEqual">
      <formula>INDIRECT("Dummy_for_Comparison2!"&amp;ADDRESS(ROW(),COLUMN()))</formula>
    </cfRule>
  </conditionalFormatting>
  <conditionalFormatting sqref="Q40:Q42">
    <cfRule type="cellIs" dxfId="651" priority="1138" stopIfTrue="1" operator="notEqual">
      <formula>INDIRECT("Dummy_for_Comparison2!"&amp;ADDRESS(ROW(),COLUMN()))</formula>
    </cfRule>
  </conditionalFormatting>
  <conditionalFormatting sqref="Q50:Q54">
    <cfRule type="cellIs" dxfId="650" priority="4" stopIfTrue="1" operator="notEqual">
      <formula>INDIRECT("Dummy_for_Comparison8!"&amp;ADDRESS(ROW(),COLUMN()))</formula>
    </cfRule>
  </conditionalFormatting>
  <conditionalFormatting sqref="Q56:Q60">
    <cfRule type="cellIs" dxfId="649" priority="3" stopIfTrue="1" operator="notEqual">
      <formula>INDIRECT("Dummy_for_Comparison8!"&amp;ADDRESS(ROW(),COLUMN()))</formula>
    </cfRule>
  </conditionalFormatting>
  <conditionalFormatting sqref="Q64:Q65">
    <cfRule type="cellIs" dxfId="648" priority="5" stopIfTrue="1" operator="notEqual">
      <formula>INDIRECT("Dummy_for_Comparison2!"&amp;ADDRESS(ROW(),COLUMN()))</formula>
    </cfRule>
  </conditionalFormatting>
  <conditionalFormatting sqref="Q73:Q74">
    <cfRule type="cellIs" dxfId="647" priority="1" stopIfTrue="1" operator="notEqual">
      <formula>INDIRECT("Dummy_for_Comparison2!"&amp;ADDRESS(ROW(),COLUMN()))</formula>
    </cfRule>
  </conditionalFormatting>
  <conditionalFormatting sqref="Q385:Q489">
    <cfRule type="cellIs" dxfId="646" priority="257" stopIfTrue="1" operator="notEqual">
      <formula>INDIRECT("Dummy_for_Comparison2!"&amp;ADDRESS(ROW(),COLUMN()))</formula>
    </cfRule>
  </conditionalFormatting>
  <conditionalFormatting sqref="R177:R178 T177:XFD178">
    <cfRule type="cellIs" dxfId="645" priority="1320" stopIfTrue="1" operator="notEqual">
      <formula>INDIRECT("Dummy_for_Comparison2!"&amp;ADDRESS(ROW(),COLUMN()))</formula>
    </cfRule>
  </conditionalFormatting>
  <conditionalFormatting sqref="R278:R279 T278:XFD279">
    <cfRule type="cellIs" dxfId="644" priority="1313" stopIfTrue="1" operator="notEqual">
      <formula>INDIRECT("Dummy_for_Comparison2!"&amp;ADDRESS(ROW(),COLUMN()))</formula>
    </cfRule>
  </conditionalFormatting>
  <conditionalFormatting sqref="R4:S13 C5:I5 C6:C17">
    <cfRule type="cellIs" dxfId="643" priority="1310" stopIfTrue="1" operator="notEqual">
      <formula>INDIRECT("Dummy_for_Comparison2!"&amp;ADDRESS(ROW(),COLUMN()))</formula>
    </cfRule>
  </conditionalFormatting>
  <conditionalFormatting sqref="R17:S38 C29:I30 C31:C42">
    <cfRule type="cellIs" dxfId="642" priority="1208" stopIfTrue="1" operator="notEqual">
      <formula>INDIRECT("Dummy_for_Comparison2!"&amp;ADDRESS(ROW(),COLUMN()))</formula>
    </cfRule>
  </conditionalFormatting>
  <conditionalFormatting sqref="R49:S84">
    <cfRule type="cellIs" dxfId="641" priority="100" stopIfTrue="1" operator="notEqual">
      <formula>INDIRECT("Dummy_for_Comparison2!"&amp;ADDRESS(ROW(),COLUMN()))</formula>
    </cfRule>
  </conditionalFormatting>
  <conditionalFormatting sqref="R125:S125 U125:XFD125">
    <cfRule type="cellIs" dxfId="640" priority="710" stopIfTrue="1" operator="notEqual">
      <formula>INDIRECT("Dummy_for_Comparison2!"&amp;ADDRESS(ROW(),COLUMN()))</formula>
    </cfRule>
  </conditionalFormatting>
  <conditionalFormatting sqref="R149:S149 U149:XFD149">
    <cfRule type="cellIs" dxfId="639" priority="566" stopIfTrue="1" operator="notEqual">
      <formula>INDIRECT("Dummy_for_Comparison2!"&amp;ADDRESS(ROW(),COLUMN()))</formula>
    </cfRule>
  </conditionalFormatting>
  <conditionalFormatting sqref="R161:S161 U161:XFD161">
    <cfRule type="cellIs" dxfId="638" priority="542" stopIfTrue="1" operator="notEqual">
      <formula>INDIRECT("Dummy_for_Comparison2!"&amp;ADDRESS(ROW(),COLUMN()))</formula>
    </cfRule>
  </conditionalFormatting>
  <conditionalFormatting sqref="R169:S169 U169:XFD169">
    <cfRule type="cellIs" dxfId="637" priority="476" stopIfTrue="1" operator="notEqual">
      <formula>INDIRECT("Dummy_for_Comparison2!"&amp;ADDRESS(ROW(),COLUMN()))</formula>
    </cfRule>
  </conditionalFormatting>
  <conditionalFormatting sqref="R270:S270 U270:XFD270">
    <cfRule type="cellIs" dxfId="636" priority="461" stopIfTrue="1" operator="notEqual">
      <formula>INDIRECT("Dummy_for_Comparison2!"&amp;ADDRESS(ROW(),COLUMN()))</formula>
    </cfRule>
  </conditionalFormatting>
  <conditionalFormatting sqref="R371:S371 U371:XFD371">
    <cfRule type="cellIs" dxfId="635" priority="415" stopIfTrue="1" operator="notEqual">
      <formula>INDIRECT("Dummy_for_Comparison2!"&amp;ADDRESS(ROW(),COLUMN()))</formula>
    </cfRule>
  </conditionalFormatting>
  <conditionalFormatting sqref="R375:S375 U375:XFD375">
    <cfRule type="cellIs" dxfId="634" priority="407" stopIfTrue="1" operator="notEqual">
      <formula>INDIRECT("Dummy_for_Comparison2!"&amp;ADDRESS(ROW(),COLUMN()))</formula>
    </cfRule>
  </conditionalFormatting>
  <conditionalFormatting sqref="R98:XFD111">
    <cfRule type="cellIs" dxfId="633" priority="812" stopIfTrue="1" operator="notEqual">
      <formula>INDIRECT("Dummy_for_Comparison8!"&amp;ADDRESS(ROW(),COLUMN()))</formula>
    </cfRule>
  </conditionalFormatting>
  <conditionalFormatting sqref="R117:XFD124">
    <cfRule type="cellIs" dxfId="632" priority="737" stopIfTrue="1" operator="notEqual">
      <formula>INDIRECT("Dummy_for_Comparison8!"&amp;ADDRESS(ROW(),COLUMN()))</formula>
    </cfRule>
  </conditionalFormatting>
  <conditionalFormatting sqref="R126:XFD148">
    <cfRule type="cellIs" dxfId="631" priority="647" stopIfTrue="1" operator="notEqual">
      <formula>INDIRECT("Dummy_for_Comparison8!"&amp;ADDRESS(ROW(),COLUMN()))</formula>
    </cfRule>
  </conditionalFormatting>
  <conditionalFormatting sqref="R150:XFD160">
    <cfRule type="cellIs" dxfId="630" priority="592" stopIfTrue="1" operator="notEqual">
      <formula>INDIRECT("Dummy_for_Comparison8!"&amp;ADDRESS(ROW(),COLUMN()))</formula>
    </cfRule>
  </conditionalFormatting>
  <conditionalFormatting sqref="R162:XFD168">
    <cfRule type="cellIs" dxfId="629" priority="485" stopIfTrue="1" operator="notEqual">
      <formula>INDIRECT("Dummy_for_Comparison8!"&amp;ADDRESS(ROW(),COLUMN()))</formula>
    </cfRule>
  </conditionalFormatting>
  <conditionalFormatting sqref="S501 U496:U500">
    <cfRule type="cellIs" dxfId="628" priority="73" stopIfTrue="1" operator="notEqual">
      <formula>INDIRECT("Dummy_for_Comparison8!"&amp;ADDRESS(ROW(),COLUMN()))</formula>
    </cfRule>
  </conditionalFormatting>
  <conditionalFormatting sqref="S501:S502">
    <cfRule type="cellIs" dxfId="627" priority="51" stopIfTrue="1" operator="notEqual">
      <formula>INDIRECT("Dummy_for_Comparison2!"&amp;ADDRESS(ROW(),COLUMN()))</formula>
    </cfRule>
  </conditionalFormatting>
  <conditionalFormatting sqref="S495:T503">
    <cfRule type="cellIs" dxfId="626" priority="72" stopIfTrue="1" operator="notEqual">
      <formula>INDIRECT("Dummy_for_Comparison2!"&amp;ADDRESS(ROW(),COLUMN()))</formula>
    </cfRule>
  </conditionalFormatting>
  <conditionalFormatting sqref="U495">
    <cfRule type="cellIs" dxfId="625" priority="61" stopIfTrue="1" operator="notEqual">
      <formula>INDIRECT("Dummy_for_Comparison2!"&amp;ADDRESS(ROW(),COLUMN()))</formula>
    </cfRule>
  </conditionalFormatting>
  <conditionalFormatting sqref="U503">
    <cfRule type="cellIs" dxfId="624" priority="71" stopIfTrue="1" operator="notEqual">
      <formula>INDIRECT("Dummy_for_Comparison8!"&amp;ADDRESS(ROW(),COLUMN()))</formula>
    </cfRule>
  </conditionalFormatting>
  <conditionalFormatting sqref="U4:XFD84 O75:Q84">
    <cfRule type="cellIs" dxfId="623" priority="98" stopIfTrue="1" operator="notEqual">
      <formula>INDIRECT("Dummy_for_Comparison2!"&amp;ADDRESS(ROW(),COLUMN()))</formula>
    </cfRule>
  </conditionalFormatting>
  <conditionalFormatting sqref="U86:XFD97">
    <cfRule type="cellIs" dxfId="622" priority="81" stopIfTrue="1" operator="notEqual">
      <formula>INDIRECT("Dummy_for_Comparison2!"&amp;ADDRESS(ROW(),COLUMN()))</formula>
    </cfRule>
  </conditionalFormatting>
  <conditionalFormatting sqref="U112:XFD116">
    <cfRule type="cellIs" dxfId="621" priority="76" stopIfTrue="1" operator="notEqual">
      <formula>INDIRECT("Dummy_for_Comparison2!"&amp;ADDRESS(ROW(),COLUMN()))</formula>
    </cfRule>
  </conditionalFormatting>
  <hyperlinks>
    <hyperlink ref="Q50" location="'TeSys T Parameters'!B496" display="Table 1" xr:uid="{5BA4F499-6EE7-4C72-90DB-6775FF10AA38}"/>
    <hyperlink ref="Q51:Q54" location="'TeSys T Parameters'!B496" display="Table 1" xr:uid="{253FE1EA-0A2B-48AD-9698-D406C8AD77DE}"/>
    <hyperlink ref="Q56:Q60" location="'TeSys T Parameters'!B521" display="Refer Table 2" xr:uid="{19E96AA8-27BC-474A-B45D-CF1AD860708F}"/>
  </hyperlinks>
  <pageMargins left="0.7" right="0.7" top="0.75" bottom="0.75" header="0.3" footer="0.3"/>
  <pageSetup orientation="portrait" horizontalDpi="300" r:id="rId1"/>
  <headerFooter>
    <oddHeader>&amp;C&amp;G</oddHeader>
    <oddFooter>&amp;C_x000D_&amp;1#&amp;"Calibri"&amp;6&amp;K626469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AF26-B708-4F14-9F13-1C2A04EB90AB}">
  <sheetPr codeName="Sheet4"/>
  <dimension ref="A1:HR502"/>
  <sheetViews>
    <sheetView zoomScale="70" zoomScaleNormal="85" workbookViewId="0">
      <pane ySplit="2" topLeftCell="A485" activePane="bottomLeft" state="frozen"/>
      <selection pane="bottomLeft" activeCell="B491" sqref="B491:U502"/>
    </sheetView>
  </sheetViews>
  <sheetFormatPr defaultColWidth="9.44140625" defaultRowHeight="15.6" x14ac:dyDescent="0.3"/>
  <cols>
    <col min="1" max="1" width="9.44140625" style="6"/>
    <col min="2" max="2" width="39.5546875" style="46" bestFit="1" customWidth="1"/>
    <col min="3" max="3" width="11" style="47" customWidth="1"/>
    <col min="4" max="4" width="12" style="8" customWidth="1"/>
    <col min="5" max="5" width="10" style="8" customWidth="1"/>
    <col min="6" max="6" width="12.44140625" style="8" bestFit="1" customWidth="1"/>
    <col min="7" max="7" width="7.44140625" style="8" bestFit="1" customWidth="1"/>
    <col min="8" max="8" width="12.44140625" style="8" customWidth="1"/>
    <col min="9" max="9" width="11.5546875" style="8" customWidth="1"/>
    <col min="10" max="10" width="8.5546875" style="8" bestFit="1" customWidth="1"/>
    <col min="11" max="11" width="10.44140625" style="8" bestFit="1" customWidth="1"/>
    <col min="12" max="12" width="10.21875" style="53" bestFit="1" customWidth="1"/>
    <col min="13" max="13" width="16.44140625" style="53" bestFit="1" customWidth="1"/>
    <col min="14" max="14" width="5.44140625" style="8" bestFit="1" customWidth="1"/>
    <col min="15" max="15" width="16.44140625" style="8" bestFit="1" customWidth="1"/>
    <col min="16" max="16" width="6.5546875" style="6" bestFit="1" customWidth="1"/>
    <col min="17" max="17" width="52.44140625" style="6" customWidth="1"/>
    <col min="18" max="18" width="23.44140625" style="6" customWidth="1"/>
    <col min="19" max="19" width="68.44140625" style="6" customWidth="1"/>
    <col min="20" max="20" width="11.5546875" style="6" customWidth="1"/>
    <col min="21" max="21" width="11.44140625" style="6" customWidth="1"/>
    <col min="22" max="22" width="11.5546875" style="6" customWidth="1"/>
    <col min="23" max="23" width="12.5546875" style="6" customWidth="1"/>
    <col min="24" max="24" width="13.44140625" style="6" customWidth="1"/>
    <col min="25" max="25" width="11.5546875" style="6" customWidth="1"/>
    <col min="26" max="16384" width="9.44140625" style="6"/>
  </cols>
  <sheetData>
    <row r="1" spans="2:27" ht="16.8" thickBot="1" x14ac:dyDescent="0.35">
      <c r="B1" s="22"/>
      <c r="C1" s="58"/>
      <c r="D1" s="58"/>
      <c r="E1" s="63"/>
      <c r="F1" s="63"/>
      <c r="G1" s="63"/>
      <c r="H1" s="58"/>
      <c r="I1" s="58"/>
      <c r="J1" s="58"/>
      <c r="K1" s="63"/>
      <c r="L1" s="52"/>
      <c r="M1" s="52"/>
      <c r="N1" s="58"/>
      <c r="O1" s="58"/>
    </row>
    <row r="2" spans="2:27" ht="36" customHeight="1" thickBot="1" x14ac:dyDescent="0.35">
      <c r="B2" s="195" t="s">
        <v>303</v>
      </c>
      <c r="C2" s="65" t="s">
        <v>304</v>
      </c>
      <c r="D2" s="65" t="s">
        <v>305</v>
      </c>
      <c r="E2" s="65" t="s">
        <v>306</v>
      </c>
      <c r="F2" s="65" t="s">
        <v>307</v>
      </c>
      <c r="G2" s="65" t="s">
        <v>308</v>
      </c>
      <c r="H2" s="65" t="s">
        <v>309</v>
      </c>
      <c r="I2" s="65" t="s">
        <v>310</v>
      </c>
      <c r="J2" s="65" t="s">
        <v>311</v>
      </c>
      <c r="K2" s="65" t="s">
        <v>312</v>
      </c>
      <c r="L2" s="65" t="s">
        <v>313</v>
      </c>
      <c r="M2" s="71" t="s">
        <v>314</v>
      </c>
      <c r="N2" s="65" t="s">
        <v>315</v>
      </c>
      <c r="O2" s="65" t="s">
        <v>316</v>
      </c>
      <c r="P2" s="65" t="s">
        <v>317</v>
      </c>
      <c r="Q2" s="66" t="s">
        <v>318</v>
      </c>
    </row>
    <row r="3" spans="2:27" ht="16.2" x14ac:dyDescent="0.3">
      <c r="B3" s="456" t="s">
        <v>319</v>
      </c>
      <c r="C3" s="457"/>
      <c r="D3" s="457"/>
      <c r="E3" s="457"/>
      <c r="F3" s="457"/>
      <c r="G3" s="457"/>
      <c r="H3" s="457"/>
      <c r="I3" s="457"/>
      <c r="J3" s="457"/>
      <c r="K3" s="457"/>
      <c r="L3" s="457"/>
      <c r="M3" s="457"/>
      <c r="N3" s="457"/>
      <c r="O3" s="457"/>
      <c r="P3" s="457"/>
      <c r="Q3" s="457"/>
    </row>
    <row r="4" spans="2:27" s="26" customFormat="1" x14ac:dyDescent="0.3">
      <c r="B4" s="10" t="s">
        <v>320</v>
      </c>
      <c r="C4" s="10" t="s">
        <v>321</v>
      </c>
      <c r="D4" s="10">
        <v>2</v>
      </c>
      <c r="E4" s="10">
        <f t="shared" ref="E4:E17" si="0">D4/2</f>
        <v>1</v>
      </c>
      <c r="F4" s="10"/>
      <c r="G4" s="10"/>
      <c r="H4" s="10"/>
      <c r="I4" s="10"/>
      <c r="J4" s="10" t="s">
        <v>322</v>
      </c>
      <c r="K4" s="10">
        <f>L4+1</f>
        <v>101</v>
      </c>
      <c r="L4" s="10">
        <v>100</v>
      </c>
      <c r="M4" s="10" t="s">
        <v>323</v>
      </c>
      <c r="N4" s="10" t="s">
        <v>324</v>
      </c>
      <c r="O4" s="10"/>
      <c r="P4" s="10"/>
      <c r="Q4" s="110"/>
      <c r="R4" s="29"/>
      <c r="S4" s="56"/>
      <c r="T4" s="56"/>
      <c r="U4" s="16"/>
      <c r="V4" s="16"/>
      <c r="W4" s="16"/>
      <c r="X4" s="16"/>
      <c r="Y4" s="56"/>
      <c r="Z4" s="56"/>
      <c r="AA4" s="56"/>
    </row>
    <row r="5" spans="2:27" s="26" customFormat="1" x14ac:dyDescent="0.3">
      <c r="B5" s="10" t="s">
        <v>320</v>
      </c>
      <c r="C5" s="10" t="s">
        <v>321</v>
      </c>
      <c r="D5" s="10">
        <v>2</v>
      </c>
      <c r="E5" s="10">
        <f t="shared" si="0"/>
        <v>1</v>
      </c>
      <c r="F5" s="10"/>
      <c r="G5" s="10"/>
      <c r="H5" s="10"/>
      <c r="I5" s="10"/>
      <c r="J5" s="10" t="s">
        <v>322</v>
      </c>
      <c r="K5" s="10">
        <f t="shared" ref="K5:K66" si="1">L5+1</f>
        <v>102</v>
      </c>
      <c r="L5" s="10">
        <f>L4+E4</f>
        <v>101</v>
      </c>
      <c r="M5" s="10" t="s">
        <v>323</v>
      </c>
      <c r="N5" s="10" t="s">
        <v>324</v>
      </c>
      <c r="O5" s="10"/>
      <c r="P5" s="10"/>
      <c r="Q5" s="111"/>
      <c r="R5" s="29"/>
      <c r="S5" s="56"/>
      <c r="T5" s="56"/>
      <c r="U5" s="16"/>
      <c r="V5" s="16"/>
      <c r="W5" s="16"/>
      <c r="X5" s="16"/>
      <c r="Y5" s="56"/>
      <c r="Z5" s="56"/>
      <c r="AA5" s="56"/>
    </row>
    <row r="6" spans="2:27" s="26" customFormat="1" x14ac:dyDescent="0.3">
      <c r="B6" s="10" t="s">
        <v>320</v>
      </c>
      <c r="C6" s="10" t="s">
        <v>321</v>
      </c>
      <c r="D6" s="10">
        <v>2</v>
      </c>
      <c r="E6" s="10">
        <f t="shared" si="0"/>
        <v>1</v>
      </c>
      <c r="F6" s="10"/>
      <c r="G6" s="10"/>
      <c r="H6" s="10"/>
      <c r="I6" s="10"/>
      <c r="J6" s="10" t="s">
        <v>322</v>
      </c>
      <c r="K6" s="10">
        <f t="shared" si="1"/>
        <v>103</v>
      </c>
      <c r="L6" s="10">
        <f t="shared" ref="L6:L18" si="2">L5+E5</f>
        <v>102</v>
      </c>
      <c r="M6" s="10" t="s">
        <v>323</v>
      </c>
      <c r="N6" s="10" t="s">
        <v>324</v>
      </c>
      <c r="O6" s="10"/>
      <c r="P6" s="10"/>
      <c r="Q6" s="111"/>
      <c r="R6" s="29"/>
      <c r="S6" s="56"/>
      <c r="T6" s="56"/>
      <c r="U6" s="16"/>
      <c r="V6" s="16"/>
      <c r="W6" s="16"/>
      <c r="X6" s="16"/>
      <c r="Y6" s="56"/>
      <c r="Z6" s="56"/>
      <c r="AA6" s="56"/>
    </row>
    <row r="7" spans="2:27" s="26" customFormat="1" x14ac:dyDescent="0.3">
      <c r="B7" s="10" t="s">
        <v>320</v>
      </c>
      <c r="C7" s="10" t="s">
        <v>321</v>
      </c>
      <c r="D7" s="10">
        <v>2</v>
      </c>
      <c r="E7" s="10">
        <f t="shared" si="0"/>
        <v>1</v>
      </c>
      <c r="F7" s="10"/>
      <c r="G7" s="10"/>
      <c r="H7" s="10"/>
      <c r="I7" s="10"/>
      <c r="J7" s="10" t="s">
        <v>322</v>
      </c>
      <c r="K7" s="10">
        <f t="shared" si="1"/>
        <v>104</v>
      </c>
      <c r="L7" s="10">
        <f t="shared" si="2"/>
        <v>103</v>
      </c>
      <c r="M7" s="10" t="s">
        <v>323</v>
      </c>
      <c r="N7" s="10" t="s">
        <v>324</v>
      </c>
      <c r="O7" s="10"/>
      <c r="P7" s="10"/>
      <c r="Q7" s="111"/>
      <c r="R7" s="29"/>
      <c r="S7" s="56"/>
      <c r="T7" s="56"/>
      <c r="U7" s="16"/>
      <c r="V7" s="16"/>
      <c r="W7" s="16"/>
      <c r="X7" s="16"/>
      <c r="Y7" s="56"/>
      <c r="Z7" s="56"/>
      <c r="AA7" s="56"/>
    </row>
    <row r="8" spans="2:27" s="26" customFormat="1" x14ac:dyDescent="0.3">
      <c r="B8" s="10" t="s">
        <v>320</v>
      </c>
      <c r="C8" s="10" t="s">
        <v>321</v>
      </c>
      <c r="D8" s="10">
        <v>2</v>
      </c>
      <c r="E8" s="10">
        <f t="shared" si="0"/>
        <v>1</v>
      </c>
      <c r="F8" s="10"/>
      <c r="G8" s="10"/>
      <c r="H8" s="10"/>
      <c r="I8" s="10"/>
      <c r="J8" s="10" t="s">
        <v>322</v>
      </c>
      <c r="K8" s="10">
        <f t="shared" si="1"/>
        <v>105</v>
      </c>
      <c r="L8" s="10">
        <f t="shared" si="2"/>
        <v>104</v>
      </c>
      <c r="M8" s="10" t="s">
        <v>323</v>
      </c>
      <c r="N8" s="10" t="s">
        <v>324</v>
      </c>
      <c r="O8" s="10"/>
      <c r="P8" s="10"/>
      <c r="Q8" s="110"/>
      <c r="R8" s="29"/>
      <c r="S8" s="56"/>
      <c r="T8" s="56"/>
      <c r="U8" s="16"/>
      <c r="V8" s="16"/>
      <c r="W8" s="16"/>
      <c r="X8" s="16"/>
      <c r="Y8" s="56"/>
      <c r="Z8" s="56"/>
      <c r="AA8" s="56"/>
    </row>
    <row r="9" spans="2:27" s="26" customFormat="1" ht="15.75" customHeight="1" x14ac:dyDescent="0.3">
      <c r="B9" s="10" t="s">
        <v>320</v>
      </c>
      <c r="C9" s="10" t="s">
        <v>321</v>
      </c>
      <c r="D9" s="10">
        <v>2</v>
      </c>
      <c r="E9" s="10">
        <f t="shared" si="0"/>
        <v>1</v>
      </c>
      <c r="F9" s="10"/>
      <c r="G9" s="10"/>
      <c r="H9" s="10"/>
      <c r="I9" s="10"/>
      <c r="J9" s="10" t="s">
        <v>322</v>
      </c>
      <c r="K9" s="10">
        <f t="shared" si="1"/>
        <v>106</v>
      </c>
      <c r="L9" s="10">
        <f t="shared" si="2"/>
        <v>105</v>
      </c>
      <c r="M9" s="10" t="s">
        <v>323</v>
      </c>
      <c r="N9" s="10" t="s">
        <v>324</v>
      </c>
      <c r="O9" s="10"/>
      <c r="P9" s="10"/>
      <c r="Q9" s="111"/>
      <c r="R9" s="29"/>
      <c r="S9" s="56"/>
      <c r="T9" s="56"/>
      <c r="U9" s="16"/>
      <c r="V9" s="16"/>
      <c r="W9" s="16"/>
      <c r="X9" s="16"/>
      <c r="Y9" s="56"/>
      <c r="Z9" s="56"/>
      <c r="AA9" s="56"/>
    </row>
    <row r="10" spans="2:27" s="26" customFormat="1" x14ac:dyDescent="0.3">
      <c r="B10" s="10" t="s">
        <v>320</v>
      </c>
      <c r="C10" s="10" t="s">
        <v>321</v>
      </c>
      <c r="D10" s="10">
        <v>2</v>
      </c>
      <c r="E10" s="10">
        <f t="shared" si="0"/>
        <v>1</v>
      </c>
      <c r="F10" s="10"/>
      <c r="G10" s="10"/>
      <c r="H10" s="10"/>
      <c r="I10" s="10"/>
      <c r="J10" s="10" t="s">
        <v>322</v>
      </c>
      <c r="K10" s="10">
        <f t="shared" si="1"/>
        <v>107</v>
      </c>
      <c r="L10" s="10">
        <f t="shared" si="2"/>
        <v>106</v>
      </c>
      <c r="M10" s="10" t="s">
        <v>323</v>
      </c>
      <c r="N10" s="10" t="s">
        <v>324</v>
      </c>
      <c r="O10" s="10"/>
      <c r="P10" s="10"/>
      <c r="Q10" s="111"/>
      <c r="R10" s="29"/>
      <c r="S10" s="56"/>
      <c r="T10" s="56"/>
      <c r="U10" s="16"/>
      <c r="V10" s="16"/>
      <c r="W10" s="16"/>
      <c r="X10" s="16"/>
      <c r="Y10" s="56"/>
      <c r="Z10" s="56"/>
      <c r="AA10" s="56"/>
    </row>
    <row r="11" spans="2:27" s="26" customFormat="1" x14ac:dyDescent="0.3">
      <c r="B11" s="10" t="s">
        <v>320</v>
      </c>
      <c r="C11" s="10" t="s">
        <v>321</v>
      </c>
      <c r="D11" s="10">
        <v>2</v>
      </c>
      <c r="E11" s="10">
        <f t="shared" si="0"/>
        <v>1</v>
      </c>
      <c r="F11" s="10"/>
      <c r="G11" s="10"/>
      <c r="H11" s="10"/>
      <c r="I11" s="10"/>
      <c r="J11" s="10" t="s">
        <v>322</v>
      </c>
      <c r="K11" s="10">
        <f t="shared" si="1"/>
        <v>108</v>
      </c>
      <c r="L11" s="10">
        <f t="shared" si="2"/>
        <v>107</v>
      </c>
      <c r="M11" s="10" t="s">
        <v>323</v>
      </c>
      <c r="N11" s="10" t="s">
        <v>324</v>
      </c>
      <c r="O11" s="10"/>
      <c r="P11" s="10"/>
      <c r="Q11" s="110"/>
      <c r="R11" s="29"/>
      <c r="S11" s="56"/>
      <c r="T11" s="56"/>
      <c r="U11" s="16"/>
      <c r="V11" s="16"/>
      <c r="W11" s="16"/>
      <c r="X11" s="16"/>
      <c r="Y11" s="56"/>
      <c r="Z11" s="56"/>
      <c r="AA11" s="56"/>
    </row>
    <row r="12" spans="2:27" s="26" customFormat="1" x14ac:dyDescent="0.3">
      <c r="B12" s="10" t="s">
        <v>320</v>
      </c>
      <c r="C12" s="10" t="s">
        <v>321</v>
      </c>
      <c r="D12" s="10">
        <v>2</v>
      </c>
      <c r="E12" s="10">
        <f t="shared" si="0"/>
        <v>1</v>
      </c>
      <c r="F12" s="10"/>
      <c r="G12" s="10"/>
      <c r="H12" s="10"/>
      <c r="I12" s="64"/>
      <c r="J12" s="10" t="s">
        <v>322</v>
      </c>
      <c r="K12" s="10">
        <f t="shared" si="1"/>
        <v>109</v>
      </c>
      <c r="L12" s="10">
        <f t="shared" si="2"/>
        <v>108</v>
      </c>
      <c r="M12" s="10" t="s">
        <v>323</v>
      </c>
      <c r="N12" s="10" t="s">
        <v>324</v>
      </c>
      <c r="O12" s="10"/>
      <c r="P12" s="10"/>
      <c r="Q12" s="111"/>
      <c r="R12" s="29"/>
      <c r="S12" s="56"/>
      <c r="T12" s="56"/>
      <c r="U12" s="16"/>
      <c r="V12" s="16"/>
      <c r="W12" s="16"/>
      <c r="X12" s="16"/>
      <c r="Y12" s="56"/>
      <c r="Z12" s="56"/>
      <c r="AA12" s="56"/>
    </row>
    <row r="13" spans="2:27" s="26" customFormat="1" x14ac:dyDescent="0.3">
      <c r="B13" s="10" t="s">
        <v>320</v>
      </c>
      <c r="C13" s="10" t="s">
        <v>321</v>
      </c>
      <c r="D13" s="10">
        <v>2</v>
      </c>
      <c r="E13" s="10">
        <f t="shared" si="0"/>
        <v>1</v>
      </c>
      <c r="F13" s="10"/>
      <c r="G13" s="10"/>
      <c r="H13" s="10"/>
      <c r="I13" s="10"/>
      <c r="J13" s="10" t="s">
        <v>322</v>
      </c>
      <c r="K13" s="10">
        <f t="shared" si="1"/>
        <v>110</v>
      </c>
      <c r="L13" s="10">
        <f t="shared" si="2"/>
        <v>109</v>
      </c>
      <c r="M13" s="10" t="s">
        <v>323</v>
      </c>
      <c r="N13" s="10" t="s">
        <v>324</v>
      </c>
      <c r="O13" s="10"/>
      <c r="P13" s="10"/>
      <c r="Q13" s="110"/>
      <c r="R13" s="29"/>
      <c r="S13" s="56"/>
      <c r="T13" s="56"/>
      <c r="U13" s="16"/>
      <c r="V13" s="16"/>
      <c r="W13" s="16"/>
      <c r="X13" s="16"/>
      <c r="Y13" s="56"/>
      <c r="Z13" s="56"/>
      <c r="AA13" s="56"/>
    </row>
    <row r="14" spans="2:27" s="26" customFormat="1" x14ac:dyDescent="0.3">
      <c r="B14" s="10" t="s">
        <v>320</v>
      </c>
      <c r="C14" s="10" t="s">
        <v>321</v>
      </c>
      <c r="D14" s="10">
        <v>2</v>
      </c>
      <c r="E14" s="10">
        <f t="shared" si="0"/>
        <v>1</v>
      </c>
      <c r="F14" s="10"/>
      <c r="G14" s="10"/>
      <c r="H14" s="10"/>
      <c r="I14" s="64"/>
      <c r="J14" s="10" t="s">
        <v>322</v>
      </c>
      <c r="K14" s="10">
        <f t="shared" si="1"/>
        <v>111</v>
      </c>
      <c r="L14" s="10">
        <f t="shared" si="2"/>
        <v>110</v>
      </c>
      <c r="M14" s="10" t="s">
        <v>323</v>
      </c>
      <c r="N14" s="10" t="s">
        <v>324</v>
      </c>
      <c r="O14" s="10"/>
      <c r="P14" s="10"/>
      <c r="Q14" s="111"/>
      <c r="R14" s="29"/>
      <c r="S14" s="56"/>
      <c r="T14" s="56"/>
      <c r="U14" s="16"/>
      <c r="V14" s="16"/>
      <c r="W14" s="16"/>
      <c r="X14" s="16"/>
      <c r="Y14" s="56"/>
      <c r="Z14" s="56"/>
      <c r="AA14" s="56"/>
    </row>
    <row r="15" spans="2:27" s="26" customFormat="1" x14ac:dyDescent="0.3">
      <c r="B15" s="10" t="s">
        <v>320</v>
      </c>
      <c r="C15" s="10" t="s">
        <v>321</v>
      </c>
      <c r="D15" s="10">
        <v>2</v>
      </c>
      <c r="E15" s="10">
        <f t="shared" si="0"/>
        <v>1</v>
      </c>
      <c r="F15" s="10"/>
      <c r="G15" s="10"/>
      <c r="H15" s="10"/>
      <c r="I15" s="10"/>
      <c r="J15" s="10" t="s">
        <v>322</v>
      </c>
      <c r="K15" s="10">
        <f t="shared" si="1"/>
        <v>112</v>
      </c>
      <c r="L15" s="10">
        <f t="shared" si="2"/>
        <v>111</v>
      </c>
      <c r="M15" s="10" t="s">
        <v>323</v>
      </c>
      <c r="N15" s="10" t="s">
        <v>324</v>
      </c>
      <c r="O15" s="10"/>
      <c r="P15" s="10"/>
      <c r="Q15" s="110"/>
      <c r="R15" s="29"/>
      <c r="S15" s="56"/>
      <c r="T15" s="56"/>
      <c r="U15" s="16"/>
      <c r="V15" s="16"/>
      <c r="W15" s="16"/>
      <c r="X15" s="16"/>
      <c r="Y15" s="56"/>
      <c r="Z15" s="56"/>
      <c r="AA15" s="56"/>
    </row>
    <row r="16" spans="2:27" s="26" customFormat="1" x14ac:dyDescent="0.3">
      <c r="B16" s="10" t="s">
        <v>320</v>
      </c>
      <c r="C16" s="10" t="s">
        <v>321</v>
      </c>
      <c r="D16" s="10">
        <v>2</v>
      </c>
      <c r="E16" s="10">
        <f t="shared" si="0"/>
        <v>1</v>
      </c>
      <c r="F16" s="10"/>
      <c r="G16" s="10"/>
      <c r="H16" s="10"/>
      <c r="I16" s="10"/>
      <c r="J16" s="10" t="s">
        <v>322</v>
      </c>
      <c r="K16" s="10">
        <f t="shared" si="1"/>
        <v>113</v>
      </c>
      <c r="L16" s="10">
        <f t="shared" si="2"/>
        <v>112</v>
      </c>
      <c r="M16" s="10" t="s">
        <v>323</v>
      </c>
      <c r="N16" s="10" t="s">
        <v>324</v>
      </c>
      <c r="O16" s="10"/>
      <c r="P16" s="10"/>
      <c r="Q16" s="111"/>
      <c r="R16" s="29"/>
      <c r="S16" s="56"/>
      <c r="T16" s="56"/>
      <c r="U16" s="16"/>
      <c r="V16" s="16"/>
      <c r="W16" s="16"/>
      <c r="X16" s="16"/>
      <c r="Y16" s="56"/>
      <c r="Z16" s="56"/>
      <c r="AA16" s="56"/>
    </row>
    <row r="17" spans="2:27" s="26" customFormat="1" x14ac:dyDescent="0.3">
      <c r="B17" s="10" t="s">
        <v>320</v>
      </c>
      <c r="C17" s="10" t="s">
        <v>321</v>
      </c>
      <c r="D17" s="10">
        <v>2</v>
      </c>
      <c r="E17" s="10">
        <f t="shared" si="0"/>
        <v>1</v>
      </c>
      <c r="F17" s="10"/>
      <c r="G17" s="10"/>
      <c r="H17" s="10"/>
      <c r="I17" s="10"/>
      <c r="J17" s="10" t="s">
        <v>322</v>
      </c>
      <c r="K17" s="10">
        <f t="shared" si="1"/>
        <v>114</v>
      </c>
      <c r="L17" s="10">
        <f t="shared" si="2"/>
        <v>113</v>
      </c>
      <c r="M17" s="10" t="s">
        <v>323</v>
      </c>
      <c r="N17" s="10" t="s">
        <v>324</v>
      </c>
      <c r="O17" s="10"/>
      <c r="P17" s="10"/>
      <c r="Q17" s="111"/>
      <c r="R17" s="29"/>
      <c r="S17" s="56"/>
      <c r="T17" s="56"/>
      <c r="U17" s="16"/>
      <c r="V17" s="16"/>
      <c r="W17" s="16"/>
      <c r="X17" s="16"/>
      <c r="Y17" s="56"/>
      <c r="Z17" s="56"/>
      <c r="AA17" s="56"/>
    </row>
    <row r="18" spans="2:27" s="26" customFormat="1" x14ac:dyDescent="0.3">
      <c r="B18" s="10" t="s">
        <v>320</v>
      </c>
      <c r="C18" s="10" t="s">
        <v>321</v>
      </c>
      <c r="D18" s="10">
        <v>2</v>
      </c>
      <c r="E18" s="10">
        <f t="shared" ref="E18:E42" si="3">D18/2</f>
        <v>1</v>
      </c>
      <c r="F18" s="10"/>
      <c r="G18" s="10"/>
      <c r="H18" s="10"/>
      <c r="I18" s="10"/>
      <c r="J18" s="10" t="s">
        <v>322</v>
      </c>
      <c r="K18" s="10">
        <f t="shared" si="1"/>
        <v>115</v>
      </c>
      <c r="L18" s="10">
        <f t="shared" si="2"/>
        <v>114</v>
      </c>
      <c r="M18" s="10" t="s">
        <v>323</v>
      </c>
      <c r="N18" s="10" t="s">
        <v>324</v>
      </c>
      <c r="O18" s="10"/>
      <c r="P18" s="10"/>
      <c r="Q18" s="111"/>
      <c r="R18" s="29"/>
      <c r="S18" s="56"/>
      <c r="T18" s="56"/>
      <c r="U18" s="16"/>
      <c r="V18" s="16"/>
      <c r="W18" s="16"/>
      <c r="X18" s="16"/>
      <c r="Y18" s="56"/>
      <c r="Z18" s="56"/>
      <c r="AA18" s="56"/>
    </row>
    <row r="19" spans="2:27" s="26" customFormat="1" x14ac:dyDescent="0.3">
      <c r="B19" s="10" t="s">
        <v>320</v>
      </c>
      <c r="C19" s="10" t="s">
        <v>321</v>
      </c>
      <c r="D19" s="10">
        <v>2</v>
      </c>
      <c r="E19" s="10">
        <f t="shared" si="3"/>
        <v>1</v>
      </c>
      <c r="F19" s="10"/>
      <c r="G19" s="10"/>
      <c r="H19" s="10"/>
      <c r="I19" s="10"/>
      <c r="J19" s="10" t="s">
        <v>322</v>
      </c>
      <c r="K19" s="10">
        <f t="shared" si="1"/>
        <v>116</v>
      </c>
      <c r="L19" s="10">
        <f t="shared" ref="L19:L29" si="4">L18+E18</f>
        <v>115</v>
      </c>
      <c r="M19" s="10" t="s">
        <v>323</v>
      </c>
      <c r="N19" s="10" t="s">
        <v>324</v>
      </c>
      <c r="O19" s="10"/>
      <c r="P19" s="10"/>
      <c r="Q19" s="111"/>
      <c r="R19" s="29"/>
      <c r="S19" s="56"/>
      <c r="T19" s="56"/>
      <c r="U19" s="16"/>
      <c r="V19" s="16"/>
      <c r="W19" s="16"/>
      <c r="X19" s="16"/>
      <c r="Y19" s="56"/>
      <c r="Z19" s="56"/>
      <c r="AA19" s="56"/>
    </row>
    <row r="20" spans="2:27" s="26" customFormat="1" x14ac:dyDescent="0.3">
      <c r="B20" s="10" t="s">
        <v>320</v>
      </c>
      <c r="C20" s="10" t="s">
        <v>321</v>
      </c>
      <c r="D20" s="10">
        <v>2</v>
      </c>
      <c r="E20" s="10">
        <f t="shared" si="3"/>
        <v>1</v>
      </c>
      <c r="F20" s="10"/>
      <c r="G20" s="10"/>
      <c r="H20" s="10"/>
      <c r="I20" s="10"/>
      <c r="J20" s="10" t="s">
        <v>322</v>
      </c>
      <c r="K20" s="10">
        <f t="shared" si="1"/>
        <v>117</v>
      </c>
      <c r="L20" s="10">
        <f t="shared" si="4"/>
        <v>116</v>
      </c>
      <c r="M20" s="10" t="s">
        <v>323</v>
      </c>
      <c r="N20" s="10" t="s">
        <v>324</v>
      </c>
      <c r="O20" s="10"/>
      <c r="P20" s="10"/>
      <c r="Q20" s="111"/>
      <c r="R20" s="29"/>
      <c r="S20" s="56"/>
      <c r="T20" s="56"/>
      <c r="U20" s="16"/>
      <c r="V20" s="16"/>
      <c r="W20" s="16"/>
      <c r="X20" s="16"/>
      <c r="Y20" s="56"/>
      <c r="Z20" s="56"/>
      <c r="AA20" s="56"/>
    </row>
    <row r="21" spans="2:27" s="26" customFormat="1" x14ac:dyDescent="0.3">
      <c r="B21" s="10" t="s">
        <v>325</v>
      </c>
      <c r="C21" s="10" t="s">
        <v>326</v>
      </c>
      <c r="D21" s="10">
        <v>4</v>
      </c>
      <c r="E21" s="10">
        <f t="shared" si="3"/>
        <v>2</v>
      </c>
      <c r="F21" s="10"/>
      <c r="G21" s="10"/>
      <c r="H21" s="10"/>
      <c r="I21" s="10"/>
      <c r="J21" s="10" t="s">
        <v>322</v>
      </c>
      <c r="K21" s="10">
        <f t="shared" si="1"/>
        <v>118</v>
      </c>
      <c r="L21" s="10">
        <f t="shared" si="4"/>
        <v>117</v>
      </c>
      <c r="M21" s="10" t="s">
        <v>323</v>
      </c>
      <c r="N21" s="10" t="s">
        <v>324</v>
      </c>
      <c r="O21" s="10"/>
      <c r="P21" s="10"/>
      <c r="Q21" s="110"/>
      <c r="R21" s="29"/>
      <c r="S21" s="56"/>
      <c r="T21" s="56"/>
      <c r="U21" s="16"/>
      <c r="V21" s="16"/>
      <c r="W21" s="16"/>
      <c r="X21" s="16"/>
      <c r="Y21" s="56"/>
      <c r="Z21" s="56"/>
      <c r="AA21" s="56"/>
    </row>
    <row r="22" spans="2:27" s="26" customFormat="1" x14ac:dyDescent="0.3">
      <c r="B22" s="10" t="s">
        <v>328</v>
      </c>
      <c r="C22" s="10" t="s">
        <v>326</v>
      </c>
      <c r="D22" s="10">
        <v>4</v>
      </c>
      <c r="E22" s="10">
        <f t="shared" si="3"/>
        <v>2</v>
      </c>
      <c r="F22" s="10"/>
      <c r="G22" s="10"/>
      <c r="H22" s="10"/>
      <c r="I22" s="10"/>
      <c r="J22" s="10" t="s">
        <v>322</v>
      </c>
      <c r="K22" s="10">
        <f t="shared" si="1"/>
        <v>120</v>
      </c>
      <c r="L22" s="10">
        <f t="shared" si="4"/>
        <v>119</v>
      </c>
      <c r="M22" s="10" t="s">
        <v>323</v>
      </c>
      <c r="N22" s="10" t="s">
        <v>324</v>
      </c>
      <c r="O22" s="10"/>
      <c r="P22" s="10"/>
      <c r="Q22" s="111"/>
      <c r="R22" s="29"/>
      <c r="S22" s="56"/>
      <c r="T22" s="56"/>
      <c r="U22" s="16"/>
      <c r="V22" s="16"/>
      <c r="W22" s="16"/>
      <c r="X22" s="16"/>
      <c r="Y22" s="56"/>
      <c r="Z22" s="56"/>
      <c r="AA22" s="56"/>
    </row>
    <row r="23" spans="2:27" s="26" customFormat="1" ht="16.2" thickBot="1" x14ac:dyDescent="0.35">
      <c r="B23" s="177" t="s">
        <v>743</v>
      </c>
      <c r="C23" s="142" t="s">
        <v>321</v>
      </c>
      <c r="D23" s="142">
        <v>2</v>
      </c>
      <c r="E23" s="142">
        <f t="shared" si="3"/>
        <v>1</v>
      </c>
      <c r="F23" s="142"/>
      <c r="G23" s="142"/>
      <c r="H23" s="142"/>
      <c r="I23" s="279"/>
      <c r="J23" s="142" t="s">
        <v>322</v>
      </c>
      <c r="K23" s="142">
        <f t="shared" si="1"/>
        <v>122</v>
      </c>
      <c r="L23" s="142">
        <f t="shared" si="4"/>
        <v>121</v>
      </c>
      <c r="M23" s="142" t="s">
        <v>323</v>
      </c>
      <c r="N23" s="142" t="s">
        <v>324</v>
      </c>
      <c r="O23" s="221"/>
      <c r="P23" s="10"/>
      <c r="Q23" s="111"/>
      <c r="R23" s="29"/>
      <c r="S23" s="56"/>
      <c r="T23" s="56"/>
      <c r="U23" s="16"/>
      <c r="V23" s="16"/>
      <c r="W23" s="16"/>
      <c r="X23" s="16"/>
      <c r="Y23" s="56"/>
      <c r="Z23" s="56"/>
      <c r="AA23" s="56"/>
    </row>
    <row r="24" spans="2:27" s="26" customFormat="1" ht="16.2" x14ac:dyDescent="0.3">
      <c r="B24" s="458" t="s">
        <v>332</v>
      </c>
      <c r="C24" s="457"/>
      <c r="D24" s="457"/>
      <c r="E24" s="457"/>
      <c r="F24" s="457"/>
      <c r="G24" s="457"/>
      <c r="H24" s="457"/>
      <c r="I24" s="457"/>
      <c r="J24" s="457"/>
      <c r="K24" s="457"/>
      <c r="L24" s="457"/>
      <c r="M24" s="457"/>
      <c r="N24" s="457"/>
      <c r="O24" s="457"/>
      <c r="P24" s="457"/>
      <c r="Q24" s="457"/>
      <c r="R24" s="29"/>
      <c r="S24" s="56"/>
      <c r="T24" s="56"/>
      <c r="U24" s="16"/>
      <c r="V24" s="16"/>
      <c r="W24" s="16"/>
      <c r="X24" s="16"/>
      <c r="Y24" s="56"/>
      <c r="Z24" s="56"/>
      <c r="AA24" s="56"/>
    </row>
    <row r="25" spans="2:27" s="26" customFormat="1" x14ac:dyDescent="0.3">
      <c r="B25" s="10" t="s">
        <v>333</v>
      </c>
      <c r="C25" s="10" t="s">
        <v>321</v>
      </c>
      <c r="D25" s="10">
        <v>2</v>
      </c>
      <c r="E25" s="10">
        <f t="shared" si="3"/>
        <v>1</v>
      </c>
      <c r="F25" s="10"/>
      <c r="G25" s="10"/>
      <c r="H25" s="10"/>
      <c r="I25" s="10"/>
      <c r="J25" s="10" t="s">
        <v>322</v>
      </c>
      <c r="K25" s="10">
        <f t="shared" si="1"/>
        <v>123</v>
      </c>
      <c r="L25" s="10">
        <f>L23+E23</f>
        <v>122</v>
      </c>
      <c r="M25" s="10" t="s">
        <v>323</v>
      </c>
      <c r="N25" s="10" t="s">
        <v>324</v>
      </c>
      <c r="O25" s="10"/>
      <c r="P25" s="10"/>
      <c r="Q25" s="110"/>
      <c r="R25" s="29"/>
      <c r="S25" s="56"/>
      <c r="T25" s="56"/>
      <c r="U25" s="16"/>
      <c r="V25" s="16"/>
      <c r="W25" s="16"/>
      <c r="X25" s="16"/>
      <c r="Y25" s="56"/>
      <c r="Z25" s="56"/>
      <c r="AA25" s="56"/>
    </row>
    <row r="26" spans="2:27" s="26" customFormat="1" x14ac:dyDescent="0.3">
      <c r="B26" s="134" t="s">
        <v>334</v>
      </c>
      <c r="C26" s="10" t="s">
        <v>321</v>
      </c>
      <c r="D26" s="10">
        <v>2</v>
      </c>
      <c r="E26" s="10">
        <f t="shared" si="3"/>
        <v>1</v>
      </c>
      <c r="F26" s="10"/>
      <c r="G26" s="10"/>
      <c r="H26" s="10"/>
      <c r="I26" s="64"/>
      <c r="J26" s="10" t="s">
        <v>322</v>
      </c>
      <c r="K26" s="10">
        <f t="shared" si="1"/>
        <v>124</v>
      </c>
      <c r="L26" s="10">
        <f t="shared" si="4"/>
        <v>123</v>
      </c>
      <c r="M26" s="10" t="s">
        <v>323</v>
      </c>
      <c r="N26" s="10" t="s">
        <v>324</v>
      </c>
      <c r="O26" s="10"/>
      <c r="P26" s="10"/>
      <c r="Q26" s="111"/>
      <c r="R26" s="29"/>
      <c r="S26" s="56"/>
      <c r="T26" s="56"/>
      <c r="U26" s="16"/>
      <c r="V26" s="16"/>
      <c r="W26" s="16"/>
      <c r="X26" s="16"/>
      <c r="Y26" s="56"/>
      <c r="Z26" s="56"/>
      <c r="AA26" s="56"/>
    </row>
    <row r="27" spans="2:27" s="26" customFormat="1" x14ac:dyDescent="0.3">
      <c r="B27" s="134" t="s">
        <v>335</v>
      </c>
      <c r="C27" s="10" t="s">
        <v>326</v>
      </c>
      <c r="D27" s="10">
        <v>4</v>
      </c>
      <c r="E27" s="10">
        <f t="shared" si="3"/>
        <v>2</v>
      </c>
      <c r="F27" s="10"/>
      <c r="G27" s="10"/>
      <c r="H27" s="10"/>
      <c r="I27" s="10"/>
      <c r="J27" s="10" t="s">
        <v>322</v>
      </c>
      <c r="K27" s="10">
        <f t="shared" si="1"/>
        <v>125</v>
      </c>
      <c r="L27" s="10">
        <f t="shared" si="4"/>
        <v>124</v>
      </c>
      <c r="M27" s="10" t="s">
        <v>323</v>
      </c>
      <c r="N27" s="10" t="s">
        <v>324</v>
      </c>
      <c r="O27" s="10"/>
      <c r="P27" s="10"/>
      <c r="Q27" s="110"/>
      <c r="R27" s="29"/>
      <c r="S27" s="56"/>
      <c r="T27" s="56"/>
      <c r="U27" s="16"/>
      <c r="V27" s="16"/>
      <c r="W27" s="16"/>
      <c r="X27" s="16"/>
      <c r="Y27" s="56"/>
      <c r="Z27" s="56"/>
      <c r="AA27" s="56"/>
    </row>
    <row r="28" spans="2:27" s="26" customFormat="1" x14ac:dyDescent="0.3">
      <c r="B28" s="134" t="s">
        <v>336</v>
      </c>
      <c r="C28" s="10" t="s">
        <v>326</v>
      </c>
      <c r="D28" s="10">
        <v>4</v>
      </c>
      <c r="E28" s="10">
        <f t="shared" si="3"/>
        <v>2</v>
      </c>
      <c r="F28" s="10"/>
      <c r="G28" s="10"/>
      <c r="H28" s="10"/>
      <c r="I28" s="10"/>
      <c r="J28" s="10" t="s">
        <v>322</v>
      </c>
      <c r="K28" s="10">
        <f t="shared" si="1"/>
        <v>127</v>
      </c>
      <c r="L28" s="10">
        <f t="shared" si="4"/>
        <v>126</v>
      </c>
      <c r="M28" s="10" t="s">
        <v>323</v>
      </c>
      <c r="N28" s="10" t="s">
        <v>324</v>
      </c>
      <c r="O28" s="10"/>
      <c r="P28" s="10"/>
      <c r="Q28" s="111"/>
      <c r="R28" s="29"/>
      <c r="S28" s="56"/>
      <c r="T28" s="56"/>
      <c r="U28" s="16"/>
      <c r="V28" s="16"/>
      <c r="W28" s="16"/>
      <c r="X28" s="16"/>
      <c r="Y28" s="56"/>
      <c r="Z28" s="56"/>
      <c r="AA28" s="56"/>
    </row>
    <row r="29" spans="2:27" s="26" customFormat="1" x14ac:dyDescent="0.3">
      <c r="B29" s="10" t="s">
        <v>320</v>
      </c>
      <c r="C29" s="10" t="s">
        <v>321</v>
      </c>
      <c r="D29" s="10">
        <v>2</v>
      </c>
      <c r="E29" s="10">
        <f t="shared" si="3"/>
        <v>1</v>
      </c>
      <c r="F29" s="10"/>
      <c r="G29" s="10"/>
      <c r="H29" s="10"/>
      <c r="I29" s="10"/>
      <c r="J29" s="10" t="s">
        <v>322</v>
      </c>
      <c r="K29" s="10">
        <f t="shared" si="1"/>
        <v>129</v>
      </c>
      <c r="L29" s="10">
        <f t="shared" si="4"/>
        <v>128</v>
      </c>
      <c r="M29" s="10" t="s">
        <v>323</v>
      </c>
      <c r="N29" s="10" t="s">
        <v>324</v>
      </c>
      <c r="O29" s="10"/>
      <c r="P29" s="10"/>
      <c r="Q29" s="111"/>
      <c r="R29" s="29"/>
      <c r="S29" s="56"/>
      <c r="T29" s="56"/>
      <c r="U29" s="16"/>
      <c r="V29" s="16"/>
      <c r="W29" s="16"/>
      <c r="X29" s="16"/>
      <c r="Y29" s="56"/>
      <c r="Z29" s="56"/>
      <c r="AA29" s="56"/>
    </row>
    <row r="30" spans="2:27" s="26" customFormat="1" x14ac:dyDescent="0.3">
      <c r="B30" s="10" t="s">
        <v>320</v>
      </c>
      <c r="C30" s="10" t="s">
        <v>321</v>
      </c>
      <c r="D30" s="10">
        <v>2</v>
      </c>
      <c r="E30" s="10">
        <f t="shared" si="3"/>
        <v>1</v>
      </c>
      <c r="F30" s="10"/>
      <c r="G30" s="10"/>
      <c r="H30" s="10"/>
      <c r="I30" s="10"/>
      <c r="J30" s="10" t="s">
        <v>322</v>
      </c>
      <c r="K30" s="10">
        <f t="shared" si="1"/>
        <v>130</v>
      </c>
      <c r="L30" s="10">
        <f>L29+E29</f>
        <v>129</v>
      </c>
      <c r="M30" s="10" t="s">
        <v>323</v>
      </c>
      <c r="N30" s="10" t="s">
        <v>324</v>
      </c>
      <c r="O30" s="10"/>
      <c r="P30" s="10"/>
      <c r="Q30" s="111"/>
      <c r="R30" s="29"/>
      <c r="S30" s="56"/>
      <c r="T30" s="56"/>
      <c r="U30" s="16"/>
      <c r="V30" s="16"/>
      <c r="W30" s="16"/>
      <c r="X30" s="16"/>
      <c r="Y30" s="56"/>
      <c r="Z30" s="56"/>
      <c r="AA30" s="56"/>
    </row>
    <row r="31" spans="2:27" s="26" customFormat="1" x14ac:dyDescent="0.3">
      <c r="B31" s="10" t="s">
        <v>320</v>
      </c>
      <c r="C31" s="10" t="s">
        <v>321</v>
      </c>
      <c r="D31" s="10">
        <v>2</v>
      </c>
      <c r="E31" s="10">
        <f t="shared" si="3"/>
        <v>1</v>
      </c>
      <c r="F31" s="10"/>
      <c r="G31" s="10"/>
      <c r="H31" s="10"/>
      <c r="I31" s="10"/>
      <c r="J31" s="10" t="s">
        <v>322</v>
      </c>
      <c r="K31" s="10">
        <f t="shared" si="1"/>
        <v>131</v>
      </c>
      <c r="L31" s="10">
        <f t="shared" ref="L31:L60" si="5">L30+E30</f>
        <v>130</v>
      </c>
      <c r="M31" s="10" t="s">
        <v>323</v>
      </c>
      <c r="N31" s="10" t="s">
        <v>324</v>
      </c>
      <c r="O31" s="10"/>
      <c r="P31" s="10"/>
      <c r="Q31" s="111"/>
      <c r="R31" s="29"/>
      <c r="S31" s="56"/>
      <c r="T31" s="56"/>
      <c r="U31" s="16"/>
      <c r="V31" s="16"/>
      <c r="W31" s="16"/>
      <c r="X31" s="16"/>
      <c r="Y31" s="56"/>
      <c r="Z31" s="56"/>
      <c r="AA31" s="56"/>
    </row>
    <row r="32" spans="2:27" s="26" customFormat="1" x14ac:dyDescent="0.3">
      <c r="B32" s="10" t="s">
        <v>320</v>
      </c>
      <c r="C32" s="10" t="s">
        <v>321</v>
      </c>
      <c r="D32" s="10">
        <v>2</v>
      </c>
      <c r="E32" s="10">
        <f t="shared" si="3"/>
        <v>1</v>
      </c>
      <c r="F32" s="10"/>
      <c r="G32" s="10"/>
      <c r="H32" s="10"/>
      <c r="I32" s="10"/>
      <c r="J32" s="10" t="s">
        <v>322</v>
      </c>
      <c r="K32" s="10">
        <f t="shared" si="1"/>
        <v>132</v>
      </c>
      <c r="L32" s="10">
        <f t="shared" si="5"/>
        <v>131</v>
      </c>
      <c r="M32" s="10" t="s">
        <v>323</v>
      </c>
      <c r="N32" s="10" t="s">
        <v>324</v>
      </c>
      <c r="O32" s="10"/>
      <c r="P32" s="10"/>
      <c r="Q32" s="111"/>
      <c r="R32" s="29"/>
      <c r="S32" s="56"/>
      <c r="T32" s="56"/>
      <c r="U32" s="16"/>
      <c r="V32" s="16"/>
      <c r="W32" s="16"/>
      <c r="X32" s="16"/>
      <c r="Y32" s="56"/>
      <c r="Z32" s="56"/>
      <c r="AA32" s="56"/>
    </row>
    <row r="33" spans="2:27" s="26" customFormat="1" x14ac:dyDescent="0.3">
      <c r="B33" s="10" t="s">
        <v>320</v>
      </c>
      <c r="C33" s="10" t="s">
        <v>321</v>
      </c>
      <c r="D33" s="10">
        <v>2</v>
      </c>
      <c r="E33" s="10">
        <f t="shared" si="3"/>
        <v>1</v>
      </c>
      <c r="F33" s="10"/>
      <c r="G33" s="10"/>
      <c r="H33" s="10"/>
      <c r="I33" s="10"/>
      <c r="J33" s="10" t="s">
        <v>322</v>
      </c>
      <c r="K33" s="10">
        <f t="shared" si="1"/>
        <v>133</v>
      </c>
      <c r="L33" s="10">
        <f t="shared" si="5"/>
        <v>132</v>
      </c>
      <c r="M33" s="10" t="s">
        <v>323</v>
      </c>
      <c r="N33" s="10" t="s">
        <v>324</v>
      </c>
      <c r="O33" s="10"/>
      <c r="P33" s="10"/>
      <c r="Q33" s="110"/>
      <c r="R33" s="29"/>
      <c r="S33" s="56"/>
      <c r="T33" s="56"/>
      <c r="U33" s="16"/>
      <c r="V33" s="16"/>
      <c r="W33" s="16"/>
      <c r="X33" s="16"/>
      <c r="Y33" s="56"/>
      <c r="Z33" s="56"/>
      <c r="AA33" s="56"/>
    </row>
    <row r="34" spans="2:27" s="26" customFormat="1" ht="15.75" customHeight="1" x14ac:dyDescent="0.3">
      <c r="B34" s="10" t="s">
        <v>320</v>
      </c>
      <c r="C34" s="10" t="s">
        <v>321</v>
      </c>
      <c r="D34" s="10">
        <v>2</v>
      </c>
      <c r="E34" s="10">
        <f t="shared" si="3"/>
        <v>1</v>
      </c>
      <c r="F34" s="10"/>
      <c r="G34" s="10"/>
      <c r="H34" s="10"/>
      <c r="I34" s="10"/>
      <c r="J34" s="10" t="s">
        <v>322</v>
      </c>
      <c r="K34" s="10">
        <f t="shared" si="1"/>
        <v>134</v>
      </c>
      <c r="L34" s="10">
        <f t="shared" si="5"/>
        <v>133</v>
      </c>
      <c r="M34" s="10" t="s">
        <v>323</v>
      </c>
      <c r="N34" s="10" t="s">
        <v>324</v>
      </c>
      <c r="O34" s="10"/>
      <c r="P34" s="10"/>
      <c r="Q34" s="111"/>
      <c r="R34" s="29"/>
      <c r="S34" s="56"/>
      <c r="T34" s="56"/>
      <c r="U34" s="16"/>
      <c r="V34" s="16"/>
      <c r="W34" s="16"/>
      <c r="X34" s="16"/>
      <c r="Y34" s="56"/>
      <c r="Z34" s="56"/>
      <c r="AA34" s="56"/>
    </row>
    <row r="35" spans="2:27" s="26" customFormat="1" x14ac:dyDescent="0.3">
      <c r="B35" s="10" t="s">
        <v>320</v>
      </c>
      <c r="C35" s="10" t="s">
        <v>321</v>
      </c>
      <c r="D35" s="10">
        <v>2</v>
      </c>
      <c r="E35" s="10">
        <f t="shared" si="3"/>
        <v>1</v>
      </c>
      <c r="F35" s="10"/>
      <c r="G35" s="10"/>
      <c r="H35" s="10"/>
      <c r="I35" s="10"/>
      <c r="J35" s="10" t="s">
        <v>322</v>
      </c>
      <c r="K35" s="10">
        <f t="shared" si="1"/>
        <v>135</v>
      </c>
      <c r="L35" s="10">
        <f t="shared" si="5"/>
        <v>134</v>
      </c>
      <c r="M35" s="10" t="s">
        <v>323</v>
      </c>
      <c r="N35" s="10" t="s">
        <v>324</v>
      </c>
      <c r="O35" s="10"/>
      <c r="P35" s="10"/>
      <c r="Q35" s="111"/>
      <c r="R35" s="29"/>
      <c r="S35" s="56"/>
      <c r="T35" s="56"/>
      <c r="U35" s="16"/>
      <c r="V35" s="16"/>
      <c r="W35" s="16"/>
      <c r="X35" s="16"/>
      <c r="Y35" s="56"/>
      <c r="Z35" s="56"/>
      <c r="AA35" s="56"/>
    </row>
    <row r="36" spans="2:27" s="26" customFormat="1" x14ac:dyDescent="0.3">
      <c r="B36" s="10" t="s">
        <v>320</v>
      </c>
      <c r="C36" s="10" t="s">
        <v>321</v>
      </c>
      <c r="D36" s="10">
        <v>2</v>
      </c>
      <c r="E36" s="10">
        <f t="shared" si="3"/>
        <v>1</v>
      </c>
      <c r="F36" s="10"/>
      <c r="G36" s="10"/>
      <c r="H36" s="10"/>
      <c r="I36" s="10"/>
      <c r="J36" s="10" t="s">
        <v>322</v>
      </c>
      <c r="K36" s="10">
        <f t="shared" si="1"/>
        <v>136</v>
      </c>
      <c r="L36" s="10">
        <f t="shared" si="5"/>
        <v>135</v>
      </c>
      <c r="M36" s="10" t="s">
        <v>323</v>
      </c>
      <c r="N36" s="10" t="s">
        <v>324</v>
      </c>
      <c r="O36" s="10"/>
      <c r="P36" s="10"/>
      <c r="Q36" s="110"/>
      <c r="R36" s="29"/>
      <c r="S36" s="56"/>
      <c r="T36" s="56"/>
      <c r="U36" s="16"/>
      <c r="V36" s="16"/>
      <c r="W36" s="16"/>
      <c r="X36" s="16"/>
      <c r="Y36" s="56"/>
      <c r="Z36" s="56"/>
      <c r="AA36" s="56"/>
    </row>
    <row r="37" spans="2:27" s="26" customFormat="1" x14ac:dyDescent="0.3">
      <c r="B37" s="10" t="s">
        <v>320</v>
      </c>
      <c r="C37" s="10" t="s">
        <v>321</v>
      </c>
      <c r="D37" s="10">
        <v>2</v>
      </c>
      <c r="E37" s="10">
        <f t="shared" si="3"/>
        <v>1</v>
      </c>
      <c r="F37" s="10"/>
      <c r="G37" s="10"/>
      <c r="H37" s="10"/>
      <c r="I37" s="64"/>
      <c r="J37" s="10" t="s">
        <v>322</v>
      </c>
      <c r="K37" s="10">
        <f t="shared" si="1"/>
        <v>137</v>
      </c>
      <c r="L37" s="10">
        <f t="shared" si="5"/>
        <v>136</v>
      </c>
      <c r="M37" s="10" t="s">
        <v>323</v>
      </c>
      <c r="N37" s="10" t="s">
        <v>324</v>
      </c>
      <c r="O37" s="10"/>
      <c r="P37" s="10"/>
      <c r="Q37" s="111"/>
      <c r="R37" s="29"/>
      <c r="S37" s="56"/>
      <c r="T37" s="56"/>
      <c r="U37" s="16"/>
      <c r="V37" s="16"/>
      <c r="W37" s="16"/>
      <c r="X37" s="16"/>
      <c r="Y37" s="56"/>
      <c r="Z37" s="56"/>
      <c r="AA37" s="56"/>
    </row>
    <row r="38" spans="2:27" s="26" customFormat="1" x14ac:dyDescent="0.3">
      <c r="B38" s="10" t="s">
        <v>320</v>
      </c>
      <c r="C38" s="10" t="s">
        <v>321</v>
      </c>
      <c r="D38" s="10">
        <v>2</v>
      </c>
      <c r="E38" s="10">
        <f t="shared" si="3"/>
        <v>1</v>
      </c>
      <c r="F38" s="10"/>
      <c r="G38" s="10"/>
      <c r="H38" s="10"/>
      <c r="I38" s="10"/>
      <c r="J38" s="10" t="s">
        <v>322</v>
      </c>
      <c r="K38" s="10">
        <f t="shared" si="1"/>
        <v>138</v>
      </c>
      <c r="L38" s="10">
        <f t="shared" si="5"/>
        <v>137</v>
      </c>
      <c r="M38" s="10" t="s">
        <v>323</v>
      </c>
      <c r="N38" s="10" t="s">
        <v>324</v>
      </c>
      <c r="O38" s="10"/>
      <c r="P38" s="10"/>
      <c r="Q38" s="110"/>
      <c r="R38" s="29"/>
      <c r="S38" s="56"/>
      <c r="T38" s="56"/>
      <c r="U38" s="16"/>
      <c r="V38" s="16"/>
      <c r="W38" s="16"/>
      <c r="X38" s="16"/>
      <c r="Y38" s="56"/>
      <c r="Z38" s="56"/>
      <c r="AA38" s="56"/>
    </row>
    <row r="39" spans="2:27" s="26" customFormat="1" x14ac:dyDescent="0.3">
      <c r="B39" s="10" t="s">
        <v>320</v>
      </c>
      <c r="C39" s="10" t="s">
        <v>321</v>
      </c>
      <c r="D39" s="10">
        <v>2</v>
      </c>
      <c r="E39" s="10">
        <f t="shared" si="3"/>
        <v>1</v>
      </c>
      <c r="F39" s="10"/>
      <c r="G39" s="10"/>
      <c r="H39" s="10"/>
      <c r="I39" s="64"/>
      <c r="J39" s="10" t="s">
        <v>322</v>
      </c>
      <c r="K39" s="10">
        <f t="shared" si="1"/>
        <v>139</v>
      </c>
      <c r="L39" s="10">
        <f t="shared" si="5"/>
        <v>138</v>
      </c>
      <c r="M39" s="10" t="s">
        <v>323</v>
      </c>
      <c r="N39" s="10" t="s">
        <v>324</v>
      </c>
      <c r="O39" s="10"/>
      <c r="P39" s="10"/>
      <c r="Q39" s="111"/>
      <c r="R39" s="29"/>
      <c r="S39" s="56"/>
      <c r="T39" s="56"/>
      <c r="U39" s="16"/>
      <c r="V39" s="16"/>
      <c r="W39" s="16"/>
      <c r="X39" s="16"/>
      <c r="Y39" s="56"/>
      <c r="Z39" s="56"/>
      <c r="AA39" s="56"/>
    </row>
    <row r="40" spans="2:27" s="26" customFormat="1" x14ac:dyDescent="0.3">
      <c r="B40" s="10" t="s">
        <v>320</v>
      </c>
      <c r="C40" s="10" t="s">
        <v>321</v>
      </c>
      <c r="D40" s="10">
        <v>2</v>
      </c>
      <c r="E40" s="10">
        <f t="shared" si="3"/>
        <v>1</v>
      </c>
      <c r="F40" s="10"/>
      <c r="G40" s="10"/>
      <c r="H40" s="10"/>
      <c r="I40" s="10"/>
      <c r="J40" s="10" t="s">
        <v>322</v>
      </c>
      <c r="K40" s="10">
        <f t="shared" si="1"/>
        <v>140</v>
      </c>
      <c r="L40" s="10">
        <f t="shared" si="5"/>
        <v>139</v>
      </c>
      <c r="M40" s="10" t="s">
        <v>323</v>
      </c>
      <c r="N40" s="10" t="s">
        <v>324</v>
      </c>
      <c r="O40" s="10"/>
      <c r="P40" s="10"/>
      <c r="Q40" s="110"/>
      <c r="R40" s="29"/>
      <c r="S40" s="56"/>
      <c r="T40" s="56"/>
      <c r="U40" s="16"/>
      <c r="V40" s="16"/>
      <c r="W40" s="16"/>
      <c r="X40" s="16"/>
      <c r="Y40" s="56"/>
      <c r="Z40" s="56"/>
      <c r="AA40" s="56"/>
    </row>
    <row r="41" spans="2:27" s="26" customFormat="1" x14ac:dyDescent="0.3">
      <c r="B41" s="10" t="s">
        <v>320</v>
      </c>
      <c r="C41" s="10" t="s">
        <v>321</v>
      </c>
      <c r="D41" s="10">
        <v>2</v>
      </c>
      <c r="E41" s="10">
        <f t="shared" si="3"/>
        <v>1</v>
      </c>
      <c r="F41" s="10"/>
      <c r="G41" s="10"/>
      <c r="H41" s="10"/>
      <c r="I41" s="10"/>
      <c r="J41" s="10" t="s">
        <v>322</v>
      </c>
      <c r="K41" s="10">
        <f t="shared" si="1"/>
        <v>141</v>
      </c>
      <c r="L41" s="10">
        <f t="shared" si="5"/>
        <v>140</v>
      </c>
      <c r="M41" s="10" t="s">
        <v>323</v>
      </c>
      <c r="N41" s="10" t="s">
        <v>324</v>
      </c>
      <c r="O41" s="10"/>
      <c r="P41" s="10"/>
      <c r="Q41" s="111"/>
      <c r="R41" s="29"/>
      <c r="S41" s="56"/>
      <c r="T41" s="56"/>
      <c r="U41" s="16"/>
      <c r="V41" s="16"/>
      <c r="W41" s="16"/>
      <c r="X41" s="16"/>
      <c r="Y41" s="56"/>
      <c r="Z41" s="56"/>
      <c r="AA41" s="56"/>
    </row>
    <row r="42" spans="2:27" s="26" customFormat="1" x14ac:dyDescent="0.3">
      <c r="B42" s="10" t="s">
        <v>320</v>
      </c>
      <c r="C42" s="10" t="s">
        <v>321</v>
      </c>
      <c r="D42" s="10">
        <v>2</v>
      </c>
      <c r="E42" s="10">
        <f t="shared" si="3"/>
        <v>1</v>
      </c>
      <c r="F42" s="10"/>
      <c r="G42" s="10"/>
      <c r="H42" s="10"/>
      <c r="I42" s="10"/>
      <c r="J42" s="10" t="s">
        <v>322</v>
      </c>
      <c r="K42" s="10">
        <f t="shared" si="1"/>
        <v>142</v>
      </c>
      <c r="L42" s="10">
        <f t="shared" si="5"/>
        <v>141</v>
      </c>
      <c r="M42" s="10" t="s">
        <v>323</v>
      </c>
      <c r="N42" s="10" t="s">
        <v>324</v>
      </c>
      <c r="O42" s="10"/>
      <c r="P42" s="10"/>
      <c r="Q42" s="111"/>
      <c r="R42" s="29"/>
      <c r="S42" s="56"/>
      <c r="T42" s="56"/>
      <c r="U42" s="16"/>
      <c r="V42" s="16"/>
      <c r="W42" s="16"/>
      <c r="X42" s="16"/>
      <c r="Y42" s="56"/>
      <c r="Z42" s="56"/>
      <c r="AA42" s="56"/>
    </row>
    <row r="43" spans="2:27" s="26" customFormat="1" x14ac:dyDescent="0.3">
      <c r="B43" s="10" t="s">
        <v>320</v>
      </c>
      <c r="C43" s="10" t="s">
        <v>321</v>
      </c>
      <c r="D43" s="10">
        <v>2</v>
      </c>
      <c r="E43" s="10">
        <f t="shared" ref="E43:E62" si="6">D43/2</f>
        <v>1</v>
      </c>
      <c r="F43" s="10"/>
      <c r="G43" s="10"/>
      <c r="H43" s="10"/>
      <c r="I43" s="10"/>
      <c r="J43" s="10" t="s">
        <v>322</v>
      </c>
      <c r="K43" s="10">
        <f t="shared" si="1"/>
        <v>143</v>
      </c>
      <c r="L43" s="10">
        <f t="shared" si="5"/>
        <v>142</v>
      </c>
      <c r="M43" s="10" t="s">
        <v>323</v>
      </c>
      <c r="N43" s="10" t="s">
        <v>324</v>
      </c>
      <c r="O43" s="10"/>
      <c r="P43" s="10"/>
      <c r="Q43" s="111"/>
      <c r="R43" s="29"/>
      <c r="S43" s="56"/>
      <c r="T43" s="56"/>
      <c r="U43" s="16"/>
      <c r="V43" s="16"/>
      <c r="W43" s="16"/>
      <c r="X43" s="16"/>
      <c r="Y43" s="56"/>
      <c r="Z43" s="56"/>
      <c r="AA43" s="56"/>
    </row>
    <row r="44" spans="2:27" s="26" customFormat="1" x14ac:dyDescent="0.3">
      <c r="B44" s="134" t="s">
        <v>337</v>
      </c>
      <c r="C44" s="10" t="s">
        <v>326</v>
      </c>
      <c r="D44" s="10">
        <v>4</v>
      </c>
      <c r="E44" s="10">
        <f t="shared" si="6"/>
        <v>2</v>
      </c>
      <c r="F44" s="10"/>
      <c r="G44" s="10"/>
      <c r="H44" s="10"/>
      <c r="I44" s="10"/>
      <c r="J44" s="10" t="s">
        <v>322</v>
      </c>
      <c r="K44" s="10">
        <f t="shared" si="1"/>
        <v>144</v>
      </c>
      <c r="L44" s="10">
        <f t="shared" si="5"/>
        <v>143</v>
      </c>
      <c r="M44" s="10" t="s">
        <v>323</v>
      </c>
      <c r="N44" s="10" t="s">
        <v>324</v>
      </c>
      <c r="O44" s="10"/>
      <c r="P44" s="10"/>
      <c r="Q44" s="111"/>
      <c r="R44" s="29"/>
      <c r="S44" s="56"/>
      <c r="T44" s="56"/>
      <c r="U44" s="16"/>
      <c r="V44" s="16"/>
      <c r="W44" s="16"/>
      <c r="X44" s="16"/>
      <c r="Y44" s="56"/>
      <c r="Z44" s="56"/>
      <c r="AA44" s="56"/>
    </row>
    <row r="45" spans="2:27" s="26" customFormat="1" x14ac:dyDescent="0.3">
      <c r="B45" s="134" t="s">
        <v>339</v>
      </c>
      <c r="C45" s="10" t="s">
        <v>326</v>
      </c>
      <c r="D45" s="10">
        <v>4</v>
      </c>
      <c r="E45" s="10">
        <f t="shared" si="6"/>
        <v>2</v>
      </c>
      <c r="F45" s="10"/>
      <c r="G45" s="10"/>
      <c r="H45" s="10"/>
      <c r="I45" s="10"/>
      <c r="J45" s="10" t="s">
        <v>322</v>
      </c>
      <c r="K45" s="10">
        <f t="shared" si="1"/>
        <v>146</v>
      </c>
      <c r="L45" s="10">
        <f t="shared" si="5"/>
        <v>145</v>
      </c>
      <c r="M45" s="10" t="s">
        <v>323</v>
      </c>
      <c r="N45" s="10" t="s">
        <v>324</v>
      </c>
      <c r="O45" s="10"/>
      <c r="P45" s="10"/>
      <c r="Q45" s="111"/>
      <c r="R45" s="29"/>
      <c r="S45" s="56"/>
      <c r="T45" s="56"/>
      <c r="U45" s="16"/>
      <c r="V45" s="16"/>
      <c r="W45" s="16"/>
      <c r="X45" s="16"/>
      <c r="Y45" s="56"/>
      <c r="Z45" s="56"/>
      <c r="AA45" s="56"/>
    </row>
    <row r="46" spans="2:27" s="26" customFormat="1" x14ac:dyDescent="0.3">
      <c r="B46" s="10" t="s">
        <v>320</v>
      </c>
      <c r="C46" s="10" t="s">
        <v>321</v>
      </c>
      <c r="D46" s="10">
        <v>2</v>
      </c>
      <c r="E46" s="10">
        <f t="shared" si="6"/>
        <v>1</v>
      </c>
      <c r="F46" s="10"/>
      <c r="G46" s="10"/>
      <c r="H46" s="10"/>
      <c r="I46" s="10"/>
      <c r="J46" s="10" t="s">
        <v>322</v>
      </c>
      <c r="K46" s="10">
        <f t="shared" si="1"/>
        <v>148</v>
      </c>
      <c r="L46" s="10">
        <f t="shared" si="5"/>
        <v>147</v>
      </c>
      <c r="M46" s="10" t="s">
        <v>323</v>
      </c>
      <c r="N46" s="10" t="s">
        <v>324</v>
      </c>
      <c r="O46" s="10"/>
      <c r="P46" s="10"/>
      <c r="Q46" s="110"/>
      <c r="R46" s="29"/>
      <c r="S46" s="56"/>
      <c r="T46" s="56"/>
      <c r="U46" s="16"/>
      <c r="V46" s="16"/>
      <c r="W46" s="16"/>
      <c r="X46" s="16"/>
      <c r="Y46" s="56"/>
      <c r="Z46" s="56"/>
      <c r="AA46" s="56"/>
    </row>
    <row r="47" spans="2:27" s="26" customFormat="1" ht="15.75" customHeight="1" x14ac:dyDescent="0.3">
      <c r="B47" s="10" t="s">
        <v>320</v>
      </c>
      <c r="C47" s="10" t="s">
        <v>321</v>
      </c>
      <c r="D47" s="10">
        <v>2</v>
      </c>
      <c r="E47" s="10">
        <f t="shared" si="6"/>
        <v>1</v>
      </c>
      <c r="F47" s="10"/>
      <c r="G47" s="10"/>
      <c r="H47" s="10"/>
      <c r="I47" s="10"/>
      <c r="J47" s="10" t="s">
        <v>322</v>
      </c>
      <c r="K47" s="10">
        <f t="shared" si="1"/>
        <v>149</v>
      </c>
      <c r="L47" s="10">
        <f t="shared" si="5"/>
        <v>148</v>
      </c>
      <c r="M47" s="10" t="s">
        <v>323</v>
      </c>
      <c r="N47" s="10" t="s">
        <v>324</v>
      </c>
      <c r="O47" s="10"/>
      <c r="P47" s="10"/>
      <c r="Q47" s="111"/>
      <c r="R47" s="29"/>
      <c r="S47" s="56"/>
      <c r="T47" s="56"/>
      <c r="U47" s="16"/>
      <c r="V47" s="16"/>
      <c r="W47" s="16"/>
      <c r="X47" s="16"/>
      <c r="Y47" s="56"/>
      <c r="Z47" s="56"/>
      <c r="AA47" s="56"/>
    </row>
    <row r="48" spans="2:27" s="26" customFormat="1" ht="16.2" thickBot="1" x14ac:dyDescent="0.35">
      <c r="B48" s="10" t="s">
        <v>320</v>
      </c>
      <c r="C48" s="10" t="s">
        <v>321</v>
      </c>
      <c r="D48" s="10">
        <v>2</v>
      </c>
      <c r="E48" s="10">
        <f t="shared" si="6"/>
        <v>1</v>
      </c>
      <c r="F48" s="10"/>
      <c r="G48" s="10"/>
      <c r="H48" s="10"/>
      <c r="I48" s="10"/>
      <c r="J48" s="10" t="s">
        <v>322</v>
      </c>
      <c r="K48" s="10">
        <f t="shared" si="1"/>
        <v>150</v>
      </c>
      <c r="L48" s="10">
        <f t="shared" si="5"/>
        <v>149</v>
      </c>
      <c r="M48" s="10" t="s">
        <v>323</v>
      </c>
      <c r="N48" s="10" t="s">
        <v>324</v>
      </c>
      <c r="O48" s="10"/>
      <c r="P48" s="10"/>
      <c r="Q48" s="111"/>
      <c r="R48" s="29"/>
      <c r="S48" s="56"/>
      <c r="T48" s="56"/>
      <c r="U48" s="16"/>
      <c r="V48" s="16"/>
      <c r="W48" s="16"/>
      <c r="X48" s="16"/>
      <c r="Y48" s="56"/>
      <c r="Z48" s="56"/>
      <c r="AA48" s="56"/>
    </row>
    <row r="49" spans="1:27" s="26" customFormat="1" ht="16.2" x14ac:dyDescent="0.3">
      <c r="B49" s="456" t="s">
        <v>341</v>
      </c>
      <c r="C49" s="457"/>
      <c r="D49" s="457"/>
      <c r="E49" s="457"/>
      <c r="F49" s="457"/>
      <c r="G49" s="457"/>
      <c r="H49" s="457"/>
      <c r="I49" s="457"/>
      <c r="J49" s="457"/>
      <c r="K49" s="457"/>
      <c r="L49" s="457"/>
      <c r="M49" s="457"/>
      <c r="N49" s="457"/>
      <c r="O49" s="457"/>
      <c r="P49" s="457"/>
      <c r="Q49" s="457"/>
      <c r="R49" s="29"/>
      <c r="S49" s="56"/>
      <c r="T49" s="56"/>
      <c r="U49" s="16"/>
      <c r="V49" s="16"/>
      <c r="W49" s="16"/>
      <c r="X49" s="16"/>
      <c r="Y49" s="56"/>
      <c r="Z49" s="56"/>
      <c r="AA49" s="56"/>
    </row>
    <row r="50" spans="1:27" s="26" customFormat="1" x14ac:dyDescent="0.3">
      <c r="B50" s="10" t="s">
        <v>342</v>
      </c>
      <c r="C50" s="10" t="s">
        <v>321</v>
      </c>
      <c r="D50" s="10">
        <v>60</v>
      </c>
      <c r="E50" s="10">
        <f t="shared" si="6"/>
        <v>30</v>
      </c>
      <c r="F50" s="10"/>
      <c r="G50" s="10"/>
      <c r="H50" s="10"/>
      <c r="I50" s="10"/>
      <c r="J50" s="10" t="s">
        <v>322</v>
      </c>
      <c r="K50" s="10">
        <f t="shared" si="1"/>
        <v>151</v>
      </c>
      <c r="L50" s="10">
        <f>L48+E48</f>
        <v>150</v>
      </c>
      <c r="M50" s="10" t="s">
        <v>323</v>
      </c>
      <c r="N50" s="10" t="s">
        <v>324</v>
      </c>
      <c r="O50" s="10"/>
      <c r="P50" s="10"/>
      <c r="Q50" s="110"/>
      <c r="R50" s="29"/>
      <c r="S50" s="56"/>
      <c r="T50" s="56"/>
      <c r="U50" s="16"/>
      <c r="V50" s="16"/>
      <c r="W50" s="16"/>
      <c r="X50" s="16"/>
      <c r="Y50" s="56"/>
      <c r="Z50" s="56"/>
      <c r="AA50" s="56"/>
    </row>
    <row r="51" spans="1:27" s="26" customFormat="1" x14ac:dyDescent="0.3">
      <c r="B51" s="10" t="s">
        <v>344</v>
      </c>
      <c r="C51" s="10" t="s">
        <v>321</v>
      </c>
      <c r="D51" s="10">
        <v>60</v>
      </c>
      <c r="E51" s="10">
        <f t="shared" ref="E51" si="7">D51/2</f>
        <v>30</v>
      </c>
      <c r="F51" s="10"/>
      <c r="G51" s="10"/>
      <c r="H51" s="10"/>
      <c r="I51" s="10"/>
      <c r="J51" s="10" t="s">
        <v>322</v>
      </c>
      <c r="K51" s="10">
        <f t="shared" si="1"/>
        <v>181</v>
      </c>
      <c r="L51" s="10">
        <f>L50+E50</f>
        <v>180</v>
      </c>
      <c r="M51" s="10" t="s">
        <v>323</v>
      </c>
      <c r="N51" s="10" t="s">
        <v>324</v>
      </c>
      <c r="O51" s="10"/>
      <c r="P51" s="10"/>
      <c r="Q51" s="110"/>
      <c r="R51" s="29"/>
      <c r="S51" s="56"/>
      <c r="T51" s="56"/>
      <c r="U51" s="16"/>
      <c r="V51" s="16"/>
      <c r="W51" s="16"/>
      <c r="X51" s="16"/>
      <c r="Y51" s="56"/>
      <c r="Z51" s="56"/>
      <c r="AA51" s="56"/>
    </row>
    <row r="52" spans="1:27" s="26" customFormat="1" x14ac:dyDescent="0.3">
      <c r="B52" s="10" t="s">
        <v>345</v>
      </c>
      <c r="C52" s="10" t="s">
        <v>321</v>
      </c>
      <c r="D52" s="10">
        <v>60</v>
      </c>
      <c r="E52" s="10">
        <f t="shared" ref="E52" si="8">D52/2</f>
        <v>30</v>
      </c>
      <c r="F52" s="10"/>
      <c r="G52" s="10"/>
      <c r="H52" s="10"/>
      <c r="I52" s="10"/>
      <c r="J52" s="10" t="s">
        <v>322</v>
      </c>
      <c r="K52" s="10">
        <f t="shared" si="1"/>
        <v>211</v>
      </c>
      <c r="L52" s="10">
        <f>L51+E51</f>
        <v>210</v>
      </c>
      <c r="M52" s="10" t="s">
        <v>323</v>
      </c>
      <c r="N52" s="10" t="s">
        <v>324</v>
      </c>
      <c r="O52" s="10"/>
      <c r="P52" s="10"/>
      <c r="Q52" s="110"/>
      <c r="R52" s="29"/>
      <c r="S52" s="56"/>
      <c r="T52" s="56"/>
      <c r="U52" s="16"/>
      <c r="V52" s="16"/>
      <c r="W52" s="16"/>
      <c r="X52" s="16"/>
      <c r="Y52" s="56"/>
      <c r="Z52" s="56"/>
      <c r="AA52" s="56"/>
    </row>
    <row r="53" spans="1:27" s="26" customFormat="1" x14ac:dyDescent="0.3">
      <c r="B53" s="10" t="s">
        <v>346</v>
      </c>
      <c r="C53" s="10" t="s">
        <v>321</v>
      </c>
      <c r="D53" s="10">
        <v>60</v>
      </c>
      <c r="E53" s="10">
        <f t="shared" ref="E53" si="9">D53/2</f>
        <v>30</v>
      </c>
      <c r="F53" s="10"/>
      <c r="G53" s="10"/>
      <c r="H53" s="10"/>
      <c r="I53" s="10"/>
      <c r="J53" s="10" t="s">
        <v>322</v>
      </c>
      <c r="K53" s="10">
        <f t="shared" si="1"/>
        <v>241</v>
      </c>
      <c r="L53" s="10">
        <f>L52+E52</f>
        <v>240</v>
      </c>
      <c r="M53" s="10" t="s">
        <v>323</v>
      </c>
      <c r="N53" s="10" t="s">
        <v>324</v>
      </c>
      <c r="O53" s="10"/>
      <c r="P53" s="10"/>
      <c r="Q53" s="110"/>
      <c r="R53" s="29"/>
      <c r="S53" s="56"/>
      <c r="T53" s="56"/>
      <c r="U53" s="16"/>
      <c r="V53" s="16"/>
      <c r="W53" s="16"/>
      <c r="X53" s="16"/>
      <c r="Y53" s="56"/>
      <c r="Z53" s="56"/>
      <c r="AA53" s="56"/>
    </row>
    <row r="54" spans="1:27" s="26" customFormat="1" ht="16.2" thickBot="1" x14ac:dyDescent="0.35">
      <c r="B54" s="10" t="s">
        <v>347</v>
      </c>
      <c r="C54" s="10" t="s">
        <v>321</v>
      </c>
      <c r="D54" s="10">
        <v>60</v>
      </c>
      <c r="E54" s="10">
        <f t="shared" ref="E54" si="10">D54/2</f>
        <v>30</v>
      </c>
      <c r="F54" s="10"/>
      <c r="G54" s="10"/>
      <c r="H54" s="10"/>
      <c r="I54" s="10"/>
      <c r="J54" s="10" t="s">
        <v>322</v>
      </c>
      <c r="K54" s="10">
        <f t="shared" si="1"/>
        <v>271</v>
      </c>
      <c r="L54" s="10">
        <f>L53+E53</f>
        <v>270</v>
      </c>
      <c r="M54" s="10" t="s">
        <v>323</v>
      </c>
      <c r="N54" s="10" t="s">
        <v>324</v>
      </c>
      <c r="O54" s="10"/>
      <c r="P54" s="10"/>
      <c r="Q54" s="110"/>
      <c r="R54" s="29"/>
      <c r="S54" s="56"/>
      <c r="T54" s="56"/>
      <c r="U54" s="16"/>
      <c r="V54" s="16"/>
      <c r="W54" s="16"/>
      <c r="X54" s="16"/>
      <c r="Y54" s="56"/>
      <c r="Z54" s="56"/>
      <c r="AA54" s="56"/>
    </row>
    <row r="55" spans="1:27" s="26" customFormat="1" ht="16.2" x14ac:dyDescent="0.3">
      <c r="B55" s="456" t="s">
        <v>348</v>
      </c>
      <c r="C55" s="457"/>
      <c r="D55" s="457"/>
      <c r="E55" s="457"/>
      <c r="F55" s="457"/>
      <c r="G55" s="457"/>
      <c r="H55" s="457"/>
      <c r="I55" s="457"/>
      <c r="J55" s="457"/>
      <c r="K55" s="457"/>
      <c r="L55" s="457"/>
      <c r="M55" s="457"/>
      <c r="N55" s="457"/>
      <c r="O55" s="457"/>
      <c r="P55" s="457"/>
      <c r="Q55" s="457"/>
      <c r="R55" s="29"/>
      <c r="S55" s="56"/>
      <c r="T55" s="56"/>
      <c r="U55" s="16"/>
      <c r="V55" s="16"/>
      <c r="W55" s="16"/>
      <c r="X55" s="16"/>
      <c r="Y55" s="56"/>
      <c r="Z55" s="56"/>
      <c r="AA55" s="56"/>
    </row>
    <row r="56" spans="1:27" s="26" customFormat="1" x14ac:dyDescent="0.3">
      <c r="B56" s="10" t="s">
        <v>349</v>
      </c>
      <c r="C56" s="10" t="s">
        <v>321</v>
      </c>
      <c r="D56" s="10">
        <v>60</v>
      </c>
      <c r="E56" s="10">
        <f t="shared" si="6"/>
        <v>30</v>
      </c>
      <c r="F56" s="10"/>
      <c r="G56" s="10"/>
      <c r="H56" s="10"/>
      <c r="I56" s="64"/>
      <c r="J56" s="10" t="s">
        <v>322</v>
      </c>
      <c r="K56" s="10">
        <f t="shared" si="1"/>
        <v>301</v>
      </c>
      <c r="L56" s="10">
        <f>L54+E54</f>
        <v>300</v>
      </c>
      <c r="M56" s="10" t="s">
        <v>323</v>
      </c>
      <c r="N56" s="10" t="s">
        <v>324</v>
      </c>
      <c r="O56" s="10"/>
      <c r="P56" s="10"/>
      <c r="Q56" s="111"/>
      <c r="R56" s="29"/>
      <c r="S56" s="56"/>
      <c r="T56" s="56"/>
      <c r="U56" s="16"/>
      <c r="V56" s="16"/>
      <c r="W56" s="16"/>
      <c r="X56" s="16"/>
      <c r="Y56" s="56"/>
      <c r="Z56" s="56"/>
      <c r="AA56" s="56"/>
    </row>
    <row r="57" spans="1:27" s="26" customFormat="1" x14ac:dyDescent="0.3">
      <c r="B57" s="10" t="s">
        <v>351</v>
      </c>
      <c r="C57" s="10" t="s">
        <v>321</v>
      </c>
      <c r="D57" s="10">
        <v>60</v>
      </c>
      <c r="E57" s="10">
        <f t="shared" si="6"/>
        <v>30</v>
      </c>
      <c r="F57" s="10"/>
      <c r="G57" s="10"/>
      <c r="H57" s="10"/>
      <c r="I57" s="10"/>
      <c r="J57" s="10" t="s">
        <v>322</v>
      </c>
      <c r="K57" s="10">
        <f t="shared" si="1"/>
        <v>331</v>
      </c>
      <c r="L57" s="10">
        <f t="shared" si="5"/>
        <v>330</v>
      </c>
      <c r="M57" s="10" t="s">
        <v>323</v>
      </c>
      <c r="N57" s="10" t="s">
        <v>324</v>
      </c>
      <c r="O57" s="10"/>
      <c r="P57" s="10"/>
      <c r="Q57" s="110"/>
      <c r="R57" s="29"/>
      <c r="S57" s="56"/>
      <c r="T57" s="56"/>
      <c r="U57" s="16"/>
      <c r="V57" s="16"/>
      <c r="W57" s="16"/>
      <c r="X57" s="16"/>
      <c r="Y57" s="56"/>
      <c r="Z57" s="56"/>
      <c r="AA57" s="56"/>
    </row>
    <row r="58" spans="1:27" s="26" customFormat="1" x14ac:dyDescent="0.3">
      <c r="B58" s="10" t="s">
        <v>352</v>
      </c>
      <c r="C58" s="10" t="s">
        <v>321</v>
      </c>
      <c r="D58" s="10">
        <v>60</v>
      </c>
      <c r="E58" s="10">
        <f t="shared" si="6"/>
        <v>30</v>
      </c>
      <c r="F58" s="10"/>
      <c r="G58" s="10"/>
      <c r="H58" s="10"/>
      <c r="I58" s="64"/>
      <c r="J58" s="10" t="s">
        <v>322</v>
      </c>
      <c r="K58" s="10">
        <f t="shared" si="1"/>
        <v>361</v>
      </c>
      <c r="L58" s="10">
        <f t="shared" si="5"/>
        <v>360</v>
      </c>
      <c r="M58" s="10" t="s">
        <v>323</v>
      </c>
      <c r="N58" s="10" t="s">
        <v>324</v>
      </c>
      <c r="O58" s="10"/>
      <c r="P58" s="10"/>
      <c r="Q58" s="111"/>
      <c r="R58" s="29"/>
      <c r="S58" s="56"/>
      <c r="T58" s="56"/>
      <c r="U58" s="16"/>
      <c r="V58" s="16"/>
      <c r="W58" s="16"/>
      <c r="X58" s="16"/>
      <c r="Y58" s="56"/>
      <c r="Z58" s="56"/>
      <c r="AA58" s="56"/>
    </row>
    <row r="59" spans="1:27" s="26" customFormat="1" x14ac:dyDescent="0.3">
      <c r="B59" s="10" t="s">
        <v>353</v>
      </c>
      <c r="C59" s="10" t="s">
        <v>321</v>
      </c>
      <c r="D59" s="10">
        <v>60</v>
      </c>
      <c r="E59" s="10">
        <f t="shared" si="6"/>
        <v>30</v>
      </c>
      <c r="F59" s="10"/>
      <c r="G59" s="10"/>
      <c r="H59" s="10"/>
      <c r="I59" s="10"/>
      <c r="J59" s="10" t="s">
        <v>322</v>
      </c>
      <c r="K59" s="10">
        <f t="shared" si="1"/>
        <v>391</v>
      </c>
      <c r="L59" s="10">
        <f t="shared" si="5"/>
        <v>390</v>
      </c>
      <c r="M59" s="10" t="s">
        <v>323</v>
      </c>
      <c r="N59" s="10" t="s">
        <v>324</v>
      </c>
      <c r="O59" s="10"/>
      <c r="P59" s="10"/>
      <c r="Q59" s="110"/>
      <c r="R59" s="29"/>
      <c r="S59" s="56"/>
      <c r="T59" s="56"/>
      <c r="U59" s="16"/>
      <c r="V59" s="16"/>
      <c r="W59" s="16"/>
      <c r="X59" s="16"/>
      <c r="Y59" s="56"/>
      <c r="Z59" s="56"/>
      <c r="AA59" s="56"/>
    </row>
    <row r="60" spans="1:27" s="26" customFormat="1" ht="16.2" thickBot="1" x14ac:dyDescent="0.35">
      <c r="B60" s="10" t="s">
        <v>354</v>
      </c>
      <c r="C60" s="10" t="s">
        <v>321</v>
      </c>
      <c r="D60" s="10">
        <v>60</v>
      </c>
      <c r="E60" s="10">
        <f t="shared" si="6"/>
        <v>30</v>
      </c>
      <c r="F60" s="10"/>
      <c r="G60" s="10"/>
      <c r="H60" s="10"/>
      <c r="I60" s="10"/>
      <c r="J60" s="10" t="s">
        <v>322</v>
      </c>
      <c r="K60" s="10">
        <f t="shared" si="1"/>
        <v>421</v>
      </c>
      <c r="L60" s="10">
        <f t="shared" si="5"/>
        <v>420</v>
      </c>
      <c r="M60" s="10" t="s">
        <v>323</v>
      </c>
      <c r="N60" s="10" t="s">
        <v>324</v>
      </c>
      <c r="O60" s="10"/>
      <c r="P60" s="10"/>
      <c r="Q60" s="111"/>
      <c r="R60" s="29"/>
      <c r="S60" s="56"/>
      <c r="T60" s="56"/>
      <c r="U60" s="16"/>
      <c r="V60" s="16"/>
      <c r="W60" s="16"/>
      <c r="X60" s="16"/>
      <c r="Y60" s="56"/>
      <c r="Z60" s="56"/>
      <c r="AA60" s="56"/>
    </row>
    <row r="61" spans="1:27" s="26" customFormat="1" ht="16.2" x14ac:dyDescent="0.3">
      <c r="B61" s="456" t="s">
        <v>355</v>
      </c>
      <c r="C61" s="457"/>
      <c r="D61" s="457"/>
      <c r="E61" s="457"/>
      <c r="F61" s="457"/>
      <c r="G61" s="457"/>
      <c r="H61" s="457"/>
      <c r="I61" s="457"/>
      <c r="J61" s="457"/>
      <c r="K61" s="457"/>
      <c r="L61" s="457"/>
      <c r="M61" s="457"/>
      <c r="N61" s="457"/>
      <c r="O61" s="457"/>
      <c r="P61" s="457"/>
      <c r="Q61" s="457"/>
      <c r="R61" s="29"/>
      <c r="S61" s="56"/>
      <c r="T61" s="56"/>
      <c r="U61" s="16"/>
      <c r="V61" s="16"/>
      <c r="W61" s="16"/>
      <c r="X61" s="16"/>
      <c r="Y61" s="56"/>
      <c r="Z61" s="56"/>
      <c r="AA61" s="56"/>
    </row>
    <row r="62" spans="1:27" s="26" customFormat="1" x14ac:dyDescent="0.3">
      <c r="B62" s="134" t="s">
        <v>356</v>
      </c>
      <c r="C62" s="10" t="s">
        <v>321</v>
      </c>
      <c r="D62" s="10">
        <v>2</v>
      </c>
      <c r="E62" s="10">
        <f t="shared" si="6"/>
        <v>1</v>
      </c>
      <c r="F62" s="10"/>
      <c r="G62" s="10"/>
      <c r="H62" s="10"/>
      <c r="I62" s="10"/>
      <c r="J62" s="10" t="s">
        <v>322</v>
      </c>
      <c r="K62" s="10">
        <f t="shared" si="1"/>
        <v>451</v>
      </c>
      <c r="L62" s="10">
        <f>L60+E60</f>
        <v>450</v>
      </c>
      <c r="M62" s="10" t="s">
        <v>323</v>
      </c>
      <c r="N62" s="10" t="s">
        <v>324</v>
      </c>
      <c r="O62" s="10"/>
      <c r="P62" s="10"/>
      <c r="Q62" s="111"/>
      <c r="R62" s="29"/>
      <c r="S62" s="56"/>
      <c r="T62" s="56"/>
      <c r="U62" s="16"/>
      <c r="V62" s="16"/>
      <c r="W62" s="16"/>
      <c r="X62" s="16"/>
      <c r="Y62" s="56"/>
      <c r="Z62" s="56"/>
      <c r="AA62" s="56"/>
    </row>
    <row r="63" spans="1:27" s="26" customFormat="1" x14ac:dyDescent="0.3">
      <c r="B63" s="134" t="s">
        <v>357</v>
      </c>
      <c r="C63" s="10" t="s">
        <v>321</v>
      </c>
      <c r="D63" s="10">
        <v>2</v>
      </c>
      <c r="E63" s="10">
        <f t="shared" ref="E63" si="11">D63/2</f>
        <v>1</v>
      </c>
      <c r="F63" s="10"/>
      <c r="G63" s="10"/>
      <c r="H63" s="10"/>
      <c r="I63" s="10"/>
      <c r="J63" s="10" t="s">
        <v>322</v>
      </c>
      <c r="K63" s="10">
        <f t="shared" si="1"/>
        <v>452</v>
      </c>
      <c r="L63" s="10">
        <f>L62+E62</f>
        <v>451</v>
      </c>
      <c r="M63" s="10" t="s">
        <v>323</v>
      </c>
      <c r="N63" s="10" t="s">
        <v>324</v>
      </c>
      <c r="O63" s="10"/>
      <c r="P63" s="10"/>
      <c r="Q63" s="111"/>
      <c r="R63" s="29"/>
      <c r="S63" s="56"/>
      <c r="T63" s="56"/>
      <c r="U63" s="16"/>
      <c r="V63" s="16"/>
      <c r="W63" s="16"/>
      <c r="X63" s="16"/>
      <c r="Y63" s="56"/>
      <c r="Z63" s="56"/>
      <c r="AA63" s="56"/>
    </row>
    <row r="64" spans="1:27" customFormat="1" x14ac:dyDescent="0.3">
      <c r="A64" s="26"/>
      <c r="B64" s="134" t="s">
        <v>358</v>
      </c>
      <c r="C64" s="10" t="s">
        <v>359</v>
      </c>
      <c r="D64" s="10">
        <v>2</v>
      </c>
      <c r="E64" s="10">
        <f t="shared" ref="E64:E102" si="12">D64/2</f>
        <v>1</v>
      </c>
      <c r="F64" s="10"/>
      <c r="G64" s="10"/>
      <c r="H64" s="10"/>
      <c r="I64" s="10"/>
      <c r="J64" s="10" t="s">
        <v>322</v>
      </c>
      <c r="K64" s="10">
        <f t="shared" si="1"/>
        <v>453</v>
      </c>
      <c r="L64" s="10">
        <f t="shared" ref="L64:L102" si="13">L63+E63</f>
        <v>452</v>
      </c>
      <c r="M64" s="10" t="s">
        <v>323</v>
      </c>
      <c r="N64" s="10" t="s">
        <v>324</v>
      </c>
      <c r="O64" s="10"/>
      <c r="P64" s="10"/>
      <c r="Q64" s="111"/>
    </row>
    <row r="65" spans="1:17" customFormat="1" x14ac:dyDescent="0.3">
      <c r="A65" s="26"/>
      <c r="B65" s="134" t="s">
        <v>361</v>
      </c>
      <c r="C65" s="10" t="s">
        <v>359</v>
      </c>
      <c r="D65" s="10">
        <v>2</v>
      </c>
      <c r="E65" s="10">
        <f t="shared" si="12"/>
        <v>1</v>
      </c>
      <c r="F65" s="10"/>
      <c r="G65" s="10"/>
      <c r="H65" s="10"/>
      <c r="I65" s="10"/>
      <c r="J65" s="10" t="s">
        <v>322</v>
      </c>
      <c r="K65" s="10">
        <f t="shared" si="1"/>
        <v>454</v>
      </c>
      <c r="L65" s="10">
        <f t="shared" si="13"/>
        <v>453</v>
      </c>
      <c r="M65" s="10" t="s">
        <v>323</v>
      </c>
      <c r="N65" s="10" t="s">
        <v>324</v>
      </c>
      <c r="O65" s="10"/>
      <c r="P65" s="10"/>
      <c r="Q65" s="111"/>
    </row>
    <row r="66" spans="1:17" customFormat="1" x14ac:dyDescent="0.3">
      <c r="A66" s="26"/>
      <c r="B66" s="134" t="s">
        <v>363</v>
      </c>
      <c r="C66" s="10" t="s">
        <v>359</v>
      </c>
      <c r="D66" s="10">
        <v>2</v>
      </c>
      <c r="E66" s="10">
        <f t="shared" si="12"/>
        <v>1</v>
      </c>
      <c r="F66" s="10"/>
      <c r="G66" s="10"/>
      <c r="H66" s="10"/>
      <c r="I66" s="10"/>
      <c r="J66" s="10" t="s">
        <v>322</v>
      </c>
      <c r="K66" s="10">
        <f t="shared" si="1"/>
        <v>455</v>
      </c>
      <c r="L66" s="10">
        <f t="shared" si="13"/>
        <v>454</v>
      </c>
      <c r="M66" s="10" t="s">
        <v>323</v>
      </c>
      <c r="N66" s="10" t="s">
        <v>324</v>
      </c>
      <c r="O66" s="10"/>
      <c r="P66" s="10"/>
      <c r="Q66" s="111"/>
    </row>
    <row r="67" spans="1:17" customFormat="1" ht="253.5" customHeight="1" x14ac:dyDescent="0.3">
      <c r="A67" s="26"/>
      <c r="B67" s="134" t="s">
        <v>364</v>
      </c>
      <c r="C67" s="10" t="s">
        <v>359</v>
      </c>
      <c r="D67" s="10">
        <v>2</v>
      </c>
      <c r="E67" s="10">
        <f t="shared" si="12"/>
        <v>1</v>
      </c>
      <c r="F67" s="10"/>
      <c r="G67" s="10"/>
      <c r="H67" s="10"/>
      <c r="I67" s="10"/>
      <c r="J67" s="10" t="s">
        <v>322</v>
      </c>
      <c r="K67" s="10">
        <f t="shared" ref="K67:K132" si="14">L67+1</f>
        <v>456</v>
      </c>
      <c r="L67" s="10">
        <f t="shared" si="13"/>
        <v>455</v>
      </c>
      <c r="M67" s="10" t="s">
        <v>323</v>
      </c>
      <c r="N67" s="10" t="s">
        <v>324</v>
      </c>
      <c r="O67" s="10"/>
      <c r="P67" s="10"/>
      <c r="Q67" s="110" t="s">
        <v>365</v>
      </c>
    </row>
    <row r="68" spans="1:17" customFormat="1" ht="216.6" customHeight="1" x14ac:dyDescent="0.3">
      <c r="A68" s="26"/>
      <c r="B68" s="134" t="s">
        <v>366</v>
      </c>
      <c r="C68" s="10" t="s">
        <v>359</v>
      </c>
      <c r="D68" s="10">
        <v>2</v>
      </c>
      <c r="E68" s="10">
        <f t="shared" si="12"/>
        <v>1</v>
      </c>
      <c r="F68" s="10"/>
      <c r="G68" s="10"/>
      <c r="H68" s="10"/>
      <c r="I68" s="10"/>
      <c r="J68" s="10" t="s">
        <v>322</v>
      </c>
      <c r="K68" s="10">
        <f t="shared" si="14"/>
        <v>457</v>
      </c>
      <c r="L68" s="10">
        <f t="shared" si="13"/>
        <v>456</v>
      </c>
      <c r="M68" s="10" t="s">
        <v>323</v>
      </c>
      <c r="N68" s="10" t="s">
        <v>324</v>
      </c>
      <c r="O68" s="10"/>
      <c r="P68" s="10"/>
      <c r="Q68" s="110" t="s">
        <v>367</v>
      </c>
    </row>
    <row r="69" spans="1:17" customFormat="1" x14ac:dyDescent="0.3">
      <c r="A69" s="26"/>
      <c r="B69" s="134" t="s">
        <v>368</v>
      </c>
      <c r="C69" s="10" t="s">
        <v>359</v>
      </c>
      <c r="D69" s="10">
        <v>2</v>
      </c>
      <c r="E69" s="10">
        <f t="shared" si="12"/>
        <v>1</v>
      </c>
      <c r="F69" s="10"/>
      <c r="G69" s="10"/>
      <c r="H69" s="10"/>
      <c r="I69" s="10"/>
      <c r="J69" s="10" t="s">
        <v>322</v>
      </c>
      <c r="K69" s="10">
        <f t="shared" si="14"/>
        <v>458</v>
      </c>
      <c r="L69" s="10">
        <f t="shared" si="13"/>
        <v>457</v>
      </c>
      <c r="M69" s="10" t="s">
        <v>323</v>
      </c>
      <c r="N69" s="10" t="s">
        <v>324</v>
      </c>
      <c r="O69" s="10"/>
      <c r="P69" s="10"/>
      <c r="Q69" s="111"/>
    </row>
    <row r="70" spans="1:17" customFormat="1" x14ac:dyDescent="0.3">
      <c r="A70" s="26"/>
      <c r="B70" s="134" t="s">
        <v>369</v>
      </c>
      <c r="C70" s="10" t="s">
        <v>359</v>
      </c>
      <c r="D70" s="10">
        <v>2</v>
      </c>
      <c r="E70" s="10">
        <f t="shared" si="12"/>
        <v>1</v>
      </c>
      <c r="F70" s="10"/>
      <c r="G70" s="10"/>
      <c r="H70" s="10"/>
      <c r="I70" s="10"/>
      <c r="J70" s="10" t="s">
        <v>322</v>
      </c>
      <c r="K70" s="10">
        <f t="shared" si="14"/>
        <v>459</v>
      </c>
      <c r="L70" s="10">
        <f t="shared" si="13"/>
        <v>458</v>
      </c>
      <c r="M70" s="10" t="s">
        <v>323</v>
      </c>
      <c r="N70" s="10" t="s">
        <v>324</v>
      </c>
      <c r="O70" s="10"/>
      <c r="P70" s="10"/>
      <c r="Q70" s="111"/>
    </row>
    <row r="71" spans="1:17" customFormat="1" x14ac:dyDescent="0.3">
      <c r="A71" s="26"/>
      <c r="B71" s="10" t="s">
        <v>320</v>
      </c>
      <c r="C71" s="10" t="s">
        <v>321</v>
      </c>
      <c r="D71" s="10">
        <v>2</v>
      </c>
      <c r="E71" s="10">
        <f t="shared" si="12"/>
        <v>1</v>
      </c>
      <c r="F71" s="10"/>
      <c r="G71" s="10"/>
      <c r="H71" s="10"/>
      <c r="I71" s="10"/>
      <c r="J71" s="10" t="s">
        <v>322</v>
      </c>
      <c r="K71" s="10">
        <f t="shared" si="14"/>
        <v>460</v>
      </c>
      <c r="L71" s="10">
        <f t="shared" si="13"/>
        <v>459</v>
      </c>
      <c r="M71" s="10" t="s">
        <v>323</v>
      </c>
      <c r="N71" s="10" t="s">
        <v>324</v>
      </c>
      <c r="O71" s="10"/>
      <c r="P71" s="10"/>
      <c r="Q71" s="111"/>
    </row>
    <row r="72" spans="1:17" customFormat="1" x14ac:dyDescent="0.3">
      <c r="A72" s="26"/>
      <c r="B72" s="134" t="s">
        <v>370</v>
      </c>
      <c r="C72" s="10" t="s">
        <v>321</v>
      </c>
      <c r="D72" s="10">
        <v>2</v>
      </c>
      <c r="E72" s="10">
        <f t="shared" si="12"/>
        <v>1</v>
      </c>
      <c r="F72" s="10"/>
      <c r="G72" s="10"/>
      <c r="H72" s="10"/>
      <c r="I72" s="10"/>
      <c r="J72" s="10" t="s">
        <v>322</v>
      </c>
      <c r="K72" s="10">
        <f t="shared" si="14"/>
        <v>461</v>
      </c>
      <c r="L72" s="10">
        <f t="shared" si="13"/>
        <v>460</v>
      </c>
      <c r="M72" s="10" t="s">
        <v>323</v>
      </c>
      <c r="N72" s="10" t="s">
        <v>324</v>
      </c>
      <c r="O72" s="10"/>
      <c r="P72" s="10"/>
      <c r="Q72" s="111"/>
    </row>
    <row r="73" spans="1:17" customFormat="1" x14ac:dyDescent="0.3">
      <c r="A73" s="26"/>
      <c r="B73" s="134" t="s">
        <v>371</v>
      </c>
      <c r="C73" s="10" t="s">
        <v>359</v>
      </c>
      <c r="D73" s="10">
        <v>2</v>
      </c>
      <c r="E73" s="10">
        <f t="shared" si="12"/>
        <v>1</v>
      </c>
      <c r="F73" s="10"/>
      <c r="G73" s="10"/>
      <c r="H73" s="10"/>
      <c r="I73" s="10"/>
      <c r="J73" s="10" t="s">
        <v>322</v>
      </c>
      <c r="K73" s="10">
        <f t="shared" si="14"/>
        <v>462</v>
      </c>
      <c r="L73" s="10">
        <f t="shared" si="13"/>
        <v>461</v>
      </c>
      <c r="M73" s="10" t="s">
        <v>323</v>
      </c>
      <c r="N73" s="10" t="s">
        <v>324</v>
      </c>
      <c r="O73" s="10"/>
      <c r="P73" s="10"/>
      <c r="Q73" s="111"/>
    </row>
    <row r="74" spans="1:17" customFormat="1" x14ac:dyDescent="0.3">
      <c r="A74" s="26"/>
      <c r="B74" s="134" t="s">
        <v>373</v>
      </c>
      <c r="C74" s="10" t="s">
        <v>359</v>
      </c>
      <c r="D74" s="10">
        <v>2</v>
      </c>
      <c r="E74" s="10">
        <f t="shared" si="12"/>
        <v>1</v>
      </c>
      <c r="F74" s="10"/>
      <c r="G74" s="10"/>
      <c r="H74" s="10"/>
      <c r="I74" s="10"/>
      <c r="J74" s="10" t="s">
        <v>322</v>
      </c>
      <c r="K74" s="10">
        <f t="shared" si="14"/>
        <v>463</v>
      </c>
      <c r="L74" s="10">
        <f t="shared" si="13"/>
        <v>462</v>
      </c>
      <c r="M74" s="10" t="s">
        <v>323</v>
      </c>
      <c r="N74" s="10" t="s">
        <v>324</v>
      </c>
      <c r="O74" s="10"/>
      <c r="P74" s="10"/>
      <c r="Q74" s="111"/>
    </row>
    <row r="75" spans="1:17" customFormat="1" x14ac:dyDescent="0.3">
      <c r="A75" s="26"/>
      <c r="B75" s="134" t="s">
        <v>375</v>
      </c>
      <c r="C75" s="10" t="s">
        <v>359</v>
      </c>
      <c r="D75" s="10">
        <v>2</v>
      </c>
      <c r="E75" s="10">
        <f t="shared" si="12"/>
        <v>1</v>
      </c>
      <c r="F75" s="10"/>
      <c r="G75" s="10"/>
      <c r="H75" s="10"/>
      <c r="I75" s="10"/>
      <c r="J75" s="10" t="s">
        <v>322</v>
      </c>
      <c r="K75" s="10">
        <f t="shared" si="14"/>
        <v>464</v>
      </c>
      <c r="L75" s="10">
        <f t="shared" si="13"/>
        <v>463</v>
      </c>
      <c r="M75" s="10" t="s">
        <v>323</v>
      </c>
      <c r="N75" s="10" t="s">
        <v>324</v>
      </c>
      <c r="O75" s="10"/>
      <c r="P75" s="10"/>
      <c r="Q75" s="111"/>
    </row>
    <row r="76" spans="1:17" customFormat="1" x14ac:dyDescent="0.3">
      <c r="A76" s="26"/>
      <c r="B76" s="134" t="s">
        <v>376</v>
      </c>
      <c r="C76" s="10" t="s">
        <v>321</v>
      </c>
      <c r="D76" s="10">
        <v>2</v>
      </c>
      <c r="E76" s="10">
        <f t="shared" si="12"/>
        <v>1</v>
      </c>
      <c r="F76" s="10"/>
      <c r="G76" s="10"/>
      <c r="H76" s="10"/>
      <c r="I76" s="10"/>
      <c r="J76" s="10" t="s">
        <v>322</v>
      </c>
      <c r="K76" s="10">
        <f t="shared" si="14"/>
        <v>465</v>
      </c>
      <c r="L76" s="10">
        <f t="shared" si="13"/>
        <v>464</v>
      </c>
      <c r="M76" s="10" t="s">
        <v>323</v>
      </c>
      <c r="N76" s="10" t="s">
        <v>324</v>
      </c>
      <c r="O76" s="10"/>
      <c r="P76" s="10"/>
      <c r="Q76" s="111"/>
    </row>
    <row r="77" spans="1:17" customFormat="1" x14ac:dyDescent="0.3">
      <c r="A77" s="26"/>
      <c r="B77" s="10" t="s">
        <v>378</v>
      </c>
      <c r="C77" s="10" t="s">
        <v>321</v>
      </c>
      <c r="D77" s="10">
        <v>2</v>
      </c>
      <c r="E77" s="10">
        <f t="shared" si="12"/>
        <v>1</v>
      </c>
      <c r="F77" s="10"/>
      <c r="G77" s="10"/>
      <c r="H77" s="10"/>
      <c r="I77" s="10"/>
      <c r="J77" s="10" t="s">
        <v>322</v>
      </c>
      <c r="K77" s="10">
        <f t="shared" si="14"/>
        <v>466</v>
      </c>
      <c r="L77" s="10">
        <f t="shared" si="13"/>
        <v>465</v>
      </c>
      <c r="M77" s="10" t="s">
        <v>323</v>
      </c>
      <c r="N77" s="10" t="s">
        <v>324</v>
      </c>
      <c r="O77" s="10"/>
      <c r="P77" s="10"/>
      <c r="Q77" s="111"/>
    </row>
    <row r="78" spans="1:17" customFormat="1" x14ac:dyDescent="0.3">
      <c r="A78" s="26"/>
      <c r="B78" s="134" t="s">
        <v>380</v>
      </c>
      <c r="C78" s="10" t="s">
        <v>321</v>
      </c>
      <c r="D78" s="10">
        <v>2</v>
      </c>
      <c r="E78" s="10">
        <f t="shared" si="12"/>
        <v>1</v>
      </c>
      <c r="F78" s="10"/>
      <c r="G78" s="10"/>
      <c r="H78" s="10"/>
      <c r="I78" s="10"/>
      <c r="J78" s="10" t="s">
        <v>322</v>
      </c>
      <c r="K78" s="10">
        <f t="shared" si="14"/>
        <v>467</v>
      </c>
      <c r="L78" s="10">
        <f t="shared" si="13"/>
        <v>466</v>
      </c>
      <c r="M78" s="10" t="s">
        <v>323</v>
      </c>
      <c r="N78" s="10" t="s">
        <v>324</v>
      </c>
      <c r="O78" s="10"/>
      <c r="P78" s="10"/>
      <c r="Q78" s="111"/>
    </row>
    <row r="79" spans="1:17" customFormat="1" x14ac:dyDescent="0.3">
      <c r="A79" s="26"/>
      <c r="B79" s="134" t="s">
        <v>382</v>
      </c>
      <c r="C79" s="10" t="s">
        <v>321</v>
      </c>
      <c r="D79" s="10">
        <v>2</v>
      </c>
      <c r="E79" s="10">
        <f t="shared" si="12"/>
        <v>1</v>
      </c>
      <c r="F79" s="10"/>
      <c r="G79" s="10"/>
      <c r="H79" s="10"/>
      <c r="I79" s="10"/>
      <c r="J79" s="10" t="s">
        <v>322</v>
      </c>
      <c r="K79" s="10">
        <f t="shared" si="14"/>
        <v>468</v>
      </c>
      <c r="L79" s="10">
        <f t="shared" si="13"/>
        <v>467</v>
      </c>
      <c r="M79" s="10" t="s">
        <v>323</v>
      </c>
      <c r="N79" s="10" t="s">
        <v>324</v>
      </c>
      <c r="O79" s="10"/>
      <c r="P79" s="10"/>
      <c r="Q79" s="111"/>
    </row>
    <row r="80" spans="1:17" customFormat="1" x14ac:dyDescent="0.3">
      <c r="A80" s="26"/>
      <c r="B80" s="134" t="s">
        <v>383</v>
      </c>
      <c r="C80" s="10" t="s">
        <v>321</v>
      </c>
      <c r="D80" s="10">
        <v>2</v>
      </c>
      <c r="E80" s="10">
        <f t="shared" si="12"/>
        <v>1</v>
      </c>
      <c r="F80" s="10"/>
      <c r="G80" s="10"/>
      <c r="H80" s="10"/>
      <c r="I80" s="10"/>
      <c r="J80" s="10" t="s">
        <v>322</v>
      </c>
      <c r="K80" s="10">
        <f t="shared" si="14"/>
        <v>469</v>
      </c>
      <c r="L80" s="10">
        <f t="shared" si="13"/>
        <v>468</v>
      </c>
      <c r="M80" s="10" t="s">
        <v>323</v>
      </c>
      <c r="N80" s="10" t="s">
        <v>324</v>
      </c>
      <c r="O80" s="10"/>
      <c r="P80" s="10"/>
      <c r="Q80" s="111"/>
    </row>
    <row r="81" spans="1:17" customFormat="1" x14ac:dyDescent="0.3">
      <c r="A81" s="26"/>
      <c r="B81" s="134" t="s">
        <v>384</v>
      </c>
      <c r="C81" s="10" t="s">
        <v>321</v>
      </c>
      <c r="D81" s="10">
        <v>2</v>
      </c>
      <c r="E81" s="10">
        <f t="shared" si="12"/>
        <v>1</v>
      </c>
      <c r="F81" s="10"/>
      <c r="G81" s="10"/>
      <c r="H81" s="10"/>
      <c r="I81" s="10"/>
      <c r="J81" s="10" t="s">
        <v>322</v>
      </c>
      <c r="K81" s="10">
        <f t="shared" si="14"/>
        <v>470</v>
      </c>
      <c r="L81" s="10">
        <f t="shared" si="13"/>
        <v>469</v>
      </c>
      <c r="M81" s="10" t="s">
        <v>323</v>
      </c>
      <c r="N81" s="10" t="s">
        <v>324</v>
      </c>
      <c r="O81" s="10"/>
      <c r="P81" s="10"/>
      <c r="Q81" s="111"/>
    </row>
    <row r="82" spans="1:17" customFormat="1" x14ac:dyDescent="0.3">
      <c r="A82" s="26"/>
      <c r="B82" s="134" t="s">
        <v>385</v>
      </c>
      <c r="C82" s="10" t="s">
        <v>321</v>
      </c>
      <c r="D82" s="10">
        <v>2</v>
      </c>
      <c r="E82" s="10">
        <f t="shared" si="12"/>
        <v>1</v>
      </c>
      <c r="F82" s="10"/>
      <c r="G82" s="10"/>
      <c r="H82" s="10"/>
      <c r="I82" s="10"/>
      <c r="J82" s="10" t="s">
        <v>322</v>
      </c>
      <c r="K82" s="10">
        <f t="shared" si="14"/>
        <v>471</v>
      </c>
      <c r="L82" s="10">
        <f t="shared" si="13"/>
        <v>470</v>
      </c>
      <c r="M82" s="10" t="s">
        <v>323</v>
      </c>
      <c r="N82" s="10" t="s">
        <v>324</v>
      </c>
      <c r="O82" s="10"/>
      <c r="P82" s="10"/>
      <c r="Q82" s="111"/>
    </row>
    <row r="83" spans="1:17" customFormat="1" x14ac:dyDescent="0.3">
      <c r="A83" s="26"/>
      <c r="B83" s="10" t="s">
        <v>388</v>
      </c>
      <c r="C83" s="10" t="s">
        <v>321</v>
      </c>
      <c r="D83" s="10">
        <v>2</v>
      </c>
      <c r="E83" s="10">
        <f t="shared" si="12"/>
        <v>1</v>
      </c>
      <c r="F83" s="10"/>
      <c r="G83" s="10"/>
      <c r="H83" s="10"/>
      <c r="I83" s="10"/>
      <c r="J83" s="10" t="s">
        <v>322</v>
      </c>
      <c r="K83" s="10">
        <f t="shared" si="14"/>
        <v>472</v>
      </c>
      <c r="L83" s="10">
        <f t="shared" si="13"/>
        <v>471</v>
      </c>
      <c r="M83" s="10" t="s">
        <v>323</v>
      </c>
      <c r="N83" s="10" t="s">
        <v>324</v>
      </c>
      <c r="O83" s="10"/>
      <c r="P83" s="10"/>
      <c r="Q83" s="111"/>
    </row>
    <row r="84" spans="1:17" customFormat="1" x14ac:dyDescent="0.3">
      <c r="A84" s="26"/>
      <c r="B84" s="177" t="s">
        <v>320</v>
      </c>
      <c r="C84" s="142" t="s">
        <v>321</v>
      </c>
      <c r="D84" s="142">
        <v>2</v>
      </c>
      <c r="E84" s="142">
        <f t="shared" si="12"/>
        <v>1</v>
      </c>
      <c r="F84" s="142"/>
      <c r="G84" s="142"/>
      <c r="H84" s="142"/>
      <c r="I84" s="142"/>
      <c r="J84" s="142" t="s">
        <v>322</v>
      </c>
      <c r="K84" s="142">
        <f t="shared" si="14"/>
        <v>473</v>
      </c>
      <c r="L84" s="142">
        <f t="shared" si="13"/>
        <v>472</v>
      </c>
      <c r="M84" s="142" t="s">
        <v>323</v>
      </c>
      <c r="N84" s="142" t="s">
        <v>324</v>
      </c>
      <c r="O84" s="221"/>
      <c r="P84" s="10"/>
      <c r="Q84" s="111"/>
    </row>
    <row r="85" spans="1:17" customFormat="1" x14ac:dyDescent="0.3">
      <c r="A85" s="26"/>
      <c r="B85" s="10" t="s">
        <v>320</v>
      </c>
      <c r="C85" s="10" t="s">
        <v>321</v>
      </c>
      <c r="D85" s="10">
        <v>2</v>
      </c>
      <c r="E85" s="10">
        <f t="shared" si="12"/>
        <v>1</v>
      </c>
      <c r="F85" s="10"/>
      <c r="G85" s="10"/>
      <c r="H85" s="10"/>
      <c r="I85" s="10"/>
      <c r="J85" s="10" t="s">
        <v>322</v>
      </c>
      <c r="K85" s="10">
        <f t="shared" si="14"/>
        <v>474</v>
      </c>
      <c r="L85" s="10">
        <f t="shared" si="13"/>
        <v>473</v>
      </c>
      <c r="M85" s="10" t="s">
        <v>323</v>
      </c>
      <c r="N85" s="10" t="s">
        <v>324</v>
      </c>
      <c r="O85" s="10"/>
      <c r="P85" s="10"/>
      <c r="Q85" s="111"/>
    </row>
    <row r="86" spans="1:17" customFormat="1" x14ac:dyDescent="0.3">
      <c r="A86" s="26"/>
      <c r="B86" s="10" t="s">
        <v>392</v>
      </c>
      <c r="C86" s="10" t="s">
        <v>321</v>
      </c>
      <c r="D86" s="10">
        <v>2</v>
      </c>
      <c r="E86" s="10">
        <f t="shared" si="12"/>
        <v>1</v>
      </c>
      <c r="F86" s="10"/>
      <c r="G86" s="10"/>
      <c r="H86" s="10"/>
      <c r="I86" s="10"/>
      <c r="J86" s="10" t="s">
        <v>322</v>
      </c>
      <c r="K86" s="10">
        <f t="shared" si="14"/>
        <v>475</v>
      </c>
      <c r="L86" s="10">
        <f t="shared" si="13"/>
        <v>474</v>
      </c>
      <c r="M86" s="10" t="s">
        <v>323</v>
      </c>
      <c r="N86" s="10" t="s">
        <v>324</v>
      </c>
      <c r="O86" s="10"/>
      <c r="P86" s="10"/>
      <c r="Q86" s="111"/>
    </row>
    <row r="87" spans="1:17" customFormat="1" x14ac:dyDescent="0.3">
      <c r="A87" s="26"/>
      <c r="B87" s="134" t="s">
        <v>394</v>
      </c>
      <c r="C87" s="10" t="s">
        <v>321</v>
      </c>
      <c r="D87" s="10">
        <v>2</v>
      </c>
      <c r="E87" s="10">
        <f t="shared" si="12"/>
        <v>1</v>
      </c>
      <c r="F87" s="10"/>
      <c r="G87" s="10"/>
      <c r="H87" s="10"/>
      <c r="I87" s="10"/>
      <c r="J87" s="10" t="s">
        <v>322</v>
      </c>
      <c r="K87" s="10">
        <f t="shared" si="14"/>
        <v>476</v>
      </c>
      <c r="L87" s="10">
        <f t="shared" si="13"/>
        <v>475</v>
      </c>
      <c r="M87" s="10" t="s">
        <v>323</v>
      </c>
      <c r="N87" s="10" t="s">
        <v>324</v>
      </c>
      <c r="O87" s="10"/>
      <c r="P87" s="10"/>
      <c r="Q87" s="111"/>
    </row>
    <row r="88" spans="1:17" customFormat="1" x14ac:dyDescent="0.3">
      <c r="A88" s="26"/>
      <c r="B88" s="10" t="s">
        <v>396</v>
      </c>
      <c r="C88" s="10" t="s">
        <v>321</v>
      </c>
      <c r="D88" s="10">
        <v>2</v>
      </c>
      <c r="E88" s="10">
        <f t="shared" si="12"/>
        <v>1</v>
      </c>
      <c r="F88" s="10"/>
      <c r="G88" s="10"/>
      <c r="H88" s="10"/>
      <c r="I88" s="10"/>
      <c r="J88" s="10" t="s">
        <v>322</v>
      </c>
      <c r="K88" s="10">
        <f t="shared" si="14"/>
        <v>477</v>
      </c>
      <c r="L88" s="10">
        <f t="shared" si="13"/>
        <v>476</v>
      </c>
      <c r="M88" s="10" t="s">
        <v>323</v>
      </c>
      <c r="N88" s="10" t="s">
        <v>324</v>
      </c>
      <c r="O88" s="10"/>
      <c r="P88" s="10"/>
      <c r="Q88" s="111"/>
    </row>
    <row r="89" spans="1:17" customFormat="1" x14ac:dyDescent="0.3">
      <c r="A89" s="26"/>
      <c r="B89" s="10" t="s">
        <v>398</v>
      </c>
      <c r="C89" s="10" t="s">
        <v>321</v>
      </c>
      <c r="D89" s="10">
        <v>2</v>
      </c>
      <c r="E89" s="10">
        <f t="shared" si="12"/>
        <v>1</v>
      </c>
      <c r="F89" s="10"/>
      <c r="G89" s="10"/>
      <c r="H89" s="10"/>
      <c r="I89" s="10"/>
      <c r="J89" s="10" t="s">
        <v>322</v>
      </c>
      <c r="K89" s="10">
        <f t="shared" si="14"/>
        <v>478</v>
      </c>
      <c r="L89" s="10">
        <f t="shared" si="13"/>
        <v>477</v>
      </c>
      <c r="M89" s="10" t="s">
        <v>323</v>
      </c>
      <c r="N89" s="10" t="s">
        <v>324</v>
      </c>
      <c r="O89" s="10"/>
      <c r="P89" s="10"/>
      <c r="Q89" s="111"/>
    </row>
    <row r="90" spans="1:17" customFormat="1" x14ac:dyDescent="0.3">
      <c r="A90" s="26"/>
      <c r="B90" s="10" t="s">
        <v>399</v>
      </c>
      <c r="C90" s="10" t="s">
        <v>321</v>
      </c>
      <c r="D90" s="10">
        <v>2</v>
      </c>
      <c r="E90" s="10">
        <f t="shared" si="12"/>
        <v>1</v>
      </c>
      <c r="F90" s="10"/>
      <c r="G90" s="10"/>
      <c r="H90" s="10"/>
      <c r="I90" s="10"/>
      <c r="J90" s="10" t="s">
        <v>322</v>
      </c>
      <c r="K90" s="10">
        <f t="shared" si="14"/>
        <v>479</v>
      </c>
      <c r="L90" s="10">
        <f t="shared" si="13"/>
        <v>478</v>
      </c>
      <c r="M90" s="10" t="s">
        <v>323</v>
      </c>
      <c r="N90" s="10" t="s">
        <v>324</v>
      </c>
      <c r="O90" s="10"/>
      <c r="P90" s="10"/>
      <c r="Q90" s="111"/>
    </row>
    <row r="91" spans="1:17" customFormat="1" x14ac:dyDescent="0.3">
      <c r="A91" s="26"/>
      <c r="B91" s="10" t="s">
        <v>400</v>
      </c>
      <c r="C91" s="10" t="s">
        <v>321</v>
      </c>
      <c r="D91" s="10">
        <v>2</v>
      </c>
      <c r="E91" s="10">
        <f t="shared" si="12"/>
        <v>1</v>
      </c>
      <c r="F91" s="10"/>
      <c r="G91" s="10"/>
      <c r="H91" s="10"/>
      <c r="I91" s="10"/>
      <c r="J91" s="10" t="s">
        <v>322</v>
      </c>
      <c r="K91" s="10">
        <f t="shared" si="14"/>
        <v>480</v>
      </c>
      <c r="L91" s="10">
        <f t="shared" si="13"/>
        <v>479</v>
      </c>
      <c r="M91" s="10" t="s">
        <v>323</v>
      </c>
      <c r="N91" s="10" t="s">
        <v>324</v>
      </c>
      <c r="O91" s="10"/>
      <c r="P91" s="10"/>
      <c r="Q91" s="111"/>
    </row>
    <row r="92" spans="1:17" customFormat="1" x14ac:dyDescent="0.3">
      <c r="A92" s="26"/>
      <c r="B92" s="10" t="s">
        <v>401</v>
      </c>
      <c r="C92" s="10" t="s">
        <v>321</v>
      </c>
      <c r="D92" s="10">
        <v>2</v>
      </c>
      <c r="E92" s="10">
        <f t="shared" si="12"/>
        <v>1</v>
      </c>
      <c r="F92" s="10"/>
      <c r="G92" s="10"/>
      <c r="H92" s="10"/>
      <c r="I92" s="10"/>
      <c r="J92" s="10" t="s">
        <v>322</v>
      </c>
      <c r="K92" s="10">
        <f t="shared" si="14"/>
        <v>481</v>
      </c>
      <c r="L92" s="10">
        <f t="shared" si="13"/>
        <v>480</v>
      </c>
      <c r="M92" s="10" t="s">
        <v>323</v>
      </c>
      <c r="N92" s="10" t="s">
        <v>324</v>
      </c>
      <c r="O92" s="10"/>
      <c r="P92" s="10"/>
      <c r="Q92" s="111"/>
    </row>
    <row r="93" spans="1:17" customFormat="1" x14ac:dyDescent="0.3">
      <c r="A93" s="26"/>
      <c r="B93" s="10" t="s">
        <v>402</v>
      </c>
      <c r="C93" s="10" t="s">
        <v>321</v>
      </c>
      <c r="D93" s="10">
        <v>2</v>
      </c>
      <c r="E93" s="10">
        <f t="shared" si="12"/>
        <v>1</v>
      </c>
      <c r="F93" s="10"/>
      <c r="G93" s="10"/>
      <c r="H93" s="10"/>
      <c r="I93" s="10"/>
      <c r="J93" s="10" t="s">
        <v>322</v>
      </c>
      <c r="K93" s="10">
        <f t="shared" si="14"/>
        <v>482</v>
      </c>
      <c r="L93" s="10">
        <f t="shared" si="13"/>
        <v>481</v>
      </c>
      <c r="M93" s="10" t="s">
        <v>323</v>
      </c>
      <c r="N93" s="10" t="s">
        <v>324</v>
      </c>
      <c r="O93" s="10"/>
      <c r="P93" s="10"/>
      <c r="Q93" s="111"/>
    </row>
    <row r="94" spans="1:17" customFormat="1" x14ac:dyDescent="0.3">
      <c r="A94" s="26"/>
      <c r="B94" s="134" t="s">
        <v>404</v>
      </c>
      <c r="C94" s="10" t="s">
        <v>321</v>
      </c>
      <c r="D94" s="10">
        <v>2</v>
      </c>
      <c r="E94" s="10">
        <f t="shared" si="12"/>
        <v>1</v>
      </c>
      <c r="F94" s="10"/>
      <c r="G94" s="10"/>
      <c r="H94" s="10"/>
      <c r="I94" s="10"/>
      <c r="J94" s="10" t="s">
        <v>322</v>
      </c>
      <c r="K94" s="10">
        <f t="shared" si="14"/>
        <v>483</v>
      </c>
      <c r="L94" s="10">
        <f t="shared" si="13"/>
        <v>482</v>
      </c>
      <c r="M94" s="10" t="s">
        <v>323</v>
      </c>
      <c r="N94" s="10" t="s">
        <v>324</v>
      </c>
      <c r="O94" s="10"/>
      <c r="P94" s="10"/>
      <c r="Q94" s="111"/>
    </row>
    <row r="95" spans="1:17" customFormat="1" x14ac:dyDescent="0.3">
      <c r="A95" s="26"/>
      <c r="B95" s="134" t="s">
        <v>406</v>
      </c>
      <c r="C95" s="10" t="s">
        <v>321</v>
      </c>
      <c r="D95" s="10">
        <v>2</v>
      </c>
      <c r="E95" s="10">
        <f t="shared" si="12"/>
        <v>1</v>
      </c>
      <c r="F95" s="10"/>
      <c r="G95" s="10"/>
      <c r="H95" s="10"/>
      <c r="I95" s="10"/>
      <c r="J95" s="10" t="s">
        <v>322</v>
      </c>
      <c r="K95" s="10">
        <f t="shared" si="14"/>
        <v>484</v>
      </c>
      <c r="L95" s="10">
        <f t="shared" si="13"/>
        <v>483</v>
      </c>
      <c r="M95" s="10" t="s">
        <v>323</v>
      </c>
      <c r="N95" s="10" t="s">
        <v>324</v>
      </c>
      <c r="O95" s="10"/>
      <c r="P95" s="10"/>
      <c r="Q95" s="111"/>
    </row>
    <row r="96" spans="1:17" customFormat="1" x14ac:dyDescent="0.3">
      <c r="A96" s="26"/>
      <c r="B96" s="134" t="s">
        <v>408</v>
      </c>
      <c r="C96" s="10" t="s">
        <v>359</v>
      </c>
      <c r="D96" s="10">
        <v>2</v>
      </c>
      <c r="E96" s="10">
        <f t="shared" si="12"/>
        <v>1</v>
      </c>
      <c r="F96" s="10"/>
      <c r="G96" s="10"/>
      <c r="H96" s="10"/>
      <c r="I96" s="10"/>
      <c r="J96" s="10" t="s">
        <v>322</v>
      </c>
      <c r="K96" s="10">
        <f t="shared" si="14"/>
        <v>485</v>
      </c>
      <c r="L96" s="10">
        <f t="shared" si="13"/>
        <v>484</v>
      </c>
      <c r="M96" s="10" t="s">
        <v>323</v>
      </c>
      <c r="N96" s="10" t="s">
        <v>324</v>
      </c>
      <c r="O96" s="10"/>
      <c r="P96" s="10"/>
      <c r="Q96" s="111"/>
    </row>
    <row r="97" spans="1:17" customFormat="1" x14ac:dyDescent="0.3">
      <c r="A97" s="26"/>
      <c r="B97" s="134" t="s">
        <v>409</v>
      </c>
      <c r="C97" s="10" t="s">
        <v>321</v>
      </c>
      <c r="D97" s="10">
        <v>2</v>
      </c>
      <c r="E97" s="10">
        <f t="shared" si="12"/>
        <v>1</v>
      </c>
      <c r="F97" s="10"/>
      <c r="G97" s="10"/>
      <c r="H97" s="10"/>
      <c r="I97" s="10"/>
      <c r="J97" s="10" t="s">
        <v>322</v>
      </c>
      <c r="K97" s="10">
        <f t="shared" si="14"/>
        <v>486</v>
      </c>
      <c r="L97" s="10">
        <f t="shared" si="13"/>
        <v>485</v>
      </c>
      <c r="M97" s="10" t="s">
        <v>323</v>
      </c>
      <c r="N97" s="10" t="s">
        <v>324</v>
      </c>
      <c r="O97" s="10"/>
      <c r="P97" s="10"/>
      <c r="Q97" s="111"/>
    </row>
    <row r="98" spans="1:17" customFormat="1" x14ac:dyDescent="0.3">
      <c r="A98" s="26"/>
      <c r="B98" s="10" t="s">
        <v>320</v>
      </c>
      <c r="C98" s="10" t="s">
        <v>321</v>
      </c>
      <c r="D98" s="10">
        <v>2</v>
      </c>
      <c r="E98" s="10">
        <f t="shared" si="12"/>
        <v>1</v>
      </c>
      <c r="F98" s="10"/>
      <c r="G98" s="10"/>
      <c r="H98" s="10"/>
      <c r="I98" s="10"/>
      <c r="J98" s="10" t="s">
        <v>322</v>
      </c>
      <c r="K98" s="10">
        <f t="shared" si="14"/>
        <v>487</v>
      </c>
      <c r="L98" s="10">
        <f t="shared" si="13"/>
        <v>486</v>
      </c>
      <c r="M98" s="10" t="s">
        <v>323</v>
      </c>
      <c r="N98" s="10" t="s">
        <v>324</v>
      </c>
      <c r="O98" s="10"/>
      <c r="P98" s="10"/>
      <c r="Q98" s="111"/>
    </row>
    <row r="99" spans="1:17" customFormat="1" x14ac:dyDescent="0.3">
      <c r="A99" s="26"/>
      <c r="B99" s="10" t="s">
        <v>320</v>
      </c>
      <c r="C99" s="10" t="s">
        <v>321</v>
      </c>
      <c r="D99" s="10">
        <v>2</v>
      </c>
      <c r="E99" s="10">
        <f t="shared" si="12"/>
        <v>1</v>
      </c>
      <c r="F99" s="10"/>
      <c r="G99" s="10"/>
      <c r="H99" s="10"/>
      <c r="I99" s="10"/>
      <c r="J99" s="10" t="s">
        <v>322</v>
      </c>
      <c r="K99" s="10">
        <f t="shared" si="14"/>
        <v>488</v>
      </c>
      <c r="L99" s="10">
        <f t="shared" si="13"/>
        <v>487</v>
      </c>
      <c r="M99" s="10" t="s">
        <v>323</v>
      </c>
      <c r="N99" s="10" t="s">
        <v>324</v>
      </c>
      <c r="O99" s="10"/>
      <c r="P99" s="10"/>
      <c r="Q99" s="111"/>
    </row>
    <row r="100" spans="1:17" customFormat="1" x14ac:dyDescent="0.3">
      <c r="A100" s="26"/>
      <c r="B100" s="10" t="s">
        <v>320</v>
      </c>
      <c r="C100" s="10" t="s">
        <v>321</v>
      </c>
      <c r="D100" s="10">
        <v>2</v>
      </c>
      <c r="E100" s="10">
        <f t="shared" si="12"/>
        <v>1</v>
      </c>
      <c r="F100" s="10"/>
      <c r="G100" s="10"/>
      <c r="H100" s="10"/>
      <c r="I100" s="10"/>
      <c r="J100" s="10" t="s">
        <v>322</v>
      </c>
      <c r="K100" s="10">
        <f t="shared" si="14"/>
        <v>489</v>
      </c>
      <c r="L100" s="10">
        <f t="shared" si="13"/>
        <v>488</v>
      </c>
      <c r="M100" s="10" t="s">
        <v>323</v>
      </c>
      <c r="N100" s="10" t="s">
        <v>324</v>
      </c>
      <c r="O100" s="10"/>
      <c r="P100" s="10"/>
      <c r="Q100" s="111"/>
    </row>
    <row r="101" spans="1:17" customFormat="1" x14ac:dyDescent="0.3">
      <c r="A101" s="26"/>
      <c r="B101" s="10" t="s">
        <v>320</v>
      </c>
      <c r="C101" s="10" t="s">
        <v>321</v>
      </c>
      <c r="D101" s="10">
        <v>2</v>
      </c>
      <c r="E101" s="10">
        <f t="shared" si="12"/>
        <v>1</v>
      </c>
      <c r="F101" s="10"/>
      <c r="G101" s="10"/>
      <c r="H101" s="10"/>
      <c r="I101" s="10"/>
      <c r="J101" s="10" t="s">
        <v>322</v>
      </c>
      <c r="K101" s="10">
        <f t="shared" si="14"/>
        <v>490</v>
      </c>
      <c r="L101" s="10">
        <f t="shared" si="13"/>
        <v>489</v>
      </c>
      <c r="M101" s="10" t="s">
        <v>323</v>
      </c>
      <c r="N101" s="10" t="s">
        <v>324</v>
      </c>
      <c r="O101" s="10"/>
      <c r="P101" s="10"/>
      <c r="Q101" s="111"/>
    </row>
    <row r="102" spans="1:17" customFormat="1" x14ac:dyDescent="0.3">
      <c r="A102" s="26"/>
      <c r="B102" s="10" t="s">
        <v>320</v>
      </c>
      <c r="C102" s="10" t="s">
        <v>321</v>
      </c>
      <c r="D102" s="10">
        <v>2</v>
      </c>
      <c r="E102" s="10">
        <f t="shared" si="12"/>
        <v>1</v>
      </c>
      <c r="F102" s="10"/>
      <c r="G102" s="10"/>
      <c r="H102" s="10"/>
      <c r="I102" s="10"/>
      <c r="J102" s="10" t="s">
        <v>322</v>
      </c>
      <c r="K102" s="10">
        <f t="shared" si="14"/>
        <v>491</v>
      </c>
      <c r="L102" s="10">
        <f t="shared" si="13"/>
        <v>490</v>
      </c>
      <c r="M102" s="10" t="s">
        <v>323</v>
      </c>
      <c r="N102" s="10" t="s">
        <v>324</v>
      </c>
      <c r="O102" s="10"/>
      <c r="P102" s="10"/>
      <c r="Q102" s="111"/>
    </row>
    <row r="103" spans="1:17" customFormat="1" x14ac:dyDescent="0.3">
      <c r="A103" s="26"/>
      <c r="B103" s="10" t="s">
        <v>320</v>
      </c>
      <c r="C103" s="10" t="s">
        <v>321</v>
      </c>
      <c r="D103" s="10">
        <v>2</v>
      </c>
      <c r="E103" s="10">
        <f t="shared" ref="E103:E117" si="15">D103/2</f>
        <v>1</v>
      </c>
      <c r="F103" s="10"/>
      <c r="G103" s="10"/>
      <c r="H103" s="10"/>
      <c r="I103" s="10"/>
      <c r="J103" s="10" t="s">
        <v>322</v>
      </c>
      <c r="K103" s="10">
        <f t="shared" si="14"/>
        <v>492</v>
      </c>
      <c r="L103" s="10">
        <f t="shared" ref="L103:L117" si="16">L102+E102</f>
        <v>491</v>
      </c>
      <c r="M103" s="10" t="s">
        <v>323</v>
      </c>
      <c r="N103" s="10" t="s">
        <v>324</v>
      </c>
      <c r="O103" s="10"/>
      <c r="P103" s="10"/>
      <c r="Q103" s="111"/>
    </row>
    <row r="104" spans="1:17" customFormat="1" x14ac:dyDescent="0.3">
      <c r="A104" s="26"/>
      <c r="B104" s="10" t="s">
        <v>320</v>
      </c>
      <c r="C104" s="10" t="s">
        <v>321</v>
      </c>
      <c r="D104" s="10">
        <v>2</v>
      </c>
      <c r="E104" s="10">
        <f t="shared" si="15"/>
        <v>1</v>
      </c>
      <c r="F104" s="10"/>
      <c r="G104" s="10"/>
      <c r="H104" s="10"/>
      <c r="I104" s="10"/>
      <c r="J104" s="10" t="s">
        <v>322</v>
      </c>
      <c r="K104" s="10">
        <f t="shared" si="14"/>
        <v>493</v>
      </c>
      <c r="L104" s="10">
        <f t="shared" si="16"/>
        <v>492</v>
      </c>
      <c r="M104" s="10" t="s">
        <v>323</v>
      </c>
      <c r="N104" s="10" t="s">
        <v>324</v>
      </c>
      <c r="O104" s="10"/>
      <c r="P104" s="10"/>
      <c r="Q104" s="111"/>
    </row>
    <row r="105" spans="1:17" customFormat="1" x14ac:dyDescent="0.3">
      <c r="A105" s="26"/>
      <c r="B105" s="10" t="s">
        <v>320</v>
      </c>
      <c r="C105" s="10" t="s">
        <v>321</v>
      </c>
      <c r="D105" s="10">
        <v>2</v>
      </c>
      <c r="E105" s="10">
        <f t="shared" si="15"/>
        <v>1</v>
      </c>
      <c r="F105" s="10"/>
      <c r="G105" s="10"/>
      <c r="H105" s="10"/>
      <c r="I105" s="10"/>
      <c r="J105" s="10" t="s">
        <v>322</v>
      </c>
      <c r="K105" s="10">
        <f t="shared" si="14"/>
        <v>494</v>
      </c>
      <c r="L105" s="10">
        <f t="shared" si="16"/>
        <v>493</v>
      </c>
      <c r="M105" s="10" t="s">
        <v>323</v>
      </c>
      <c r="N105" s="10" t="s">
        <v>324</v>
      </c>
      <c r="O105" s="10"/>
      <c r="P105" s="10"/>
      <c r="Q105" s="111"/>
    </row>
    <row r="106" spans="1:17" customFormat="1" x14ac:dyDescent="0.3">
      <c r="A106" s="26"/>
      <c r="B106" s="10" t="s">
        <v>320</v>
      </c>
      <c r="C106" s="10" t="s">
        <v>321</v>
      </c>
      <c r="D106" s="10">
        <v>2</v>
      </c>
      <c r="E106" s="10">
        <f t="shared" si="15"/>
        <v>1</v>
      </c>
      <c r="F106" s="10"/>
      <c r="G106" s="10"/>
      <c r="H106" s="10"/>
      <c r="I106" s="10"/>
      <c r="J106" s="10" t="s">
        <v>322</v>
      </c>
      <c r="K106" s="10">
        <f t="shared" si="14"/>
        <v>495</v>
      </c>
      <c r="L106" s="10">
        <f t="shared" si="16"/>
        <v>494</v>
      </c>
      <c r="M106" s="10" t="s">
        <v>323</v>
      </c>
      <c r="N106" s="10" t="s">
        <v>324</v>
      </c>
      <c r="O106" s="10"/>
      <c r="P106" s="10"/>
      <c r="Q106" s="111"/>
    </row>
    <row r="107" spans="1:17" customFormat="1" x14ac:dyDescent="0.3">
      <c r="A107" s="26"/>
      <c r="B107" s="10" t="s">
        <v>320</v>
      </c>
      <c r="C107" s="10" t="s">
        <v>321</v>
      </c>
      <c r="D107" s="10">
        <v>2</v>
      </c>
      <c r="E107" s="10">
        <f t="shared" si="15"/>
        <v>1</v>
      </c>
      <c r="F107" s="10"/>
      <c r="G107" s="10"/>
      <c r="H107" s="10"/>
      <c r="I107" s="10"/>
      <c r="J107" s="10" t="s">
        <v>322</v>
      </c>
      <c r="K107" s="10">
        <f t="shared" si="14"/>
        <v>496</v>
      </c>
      <c r="L107" s="10">
        <f t="shared" si="16"/>
        <v>495</v>
      </c>
      <c r="M107" s="10" t="s">
        <v>323</v>
      </c>
      <c r="N107" s="10" t="s">
        <v>324</v>
      </c>
      <c r="O107" s="10"/>
      <c r="P107" s="10"/>
      <c r="Q107" s="111"/>
    </row>
    <row r="108" spans="1:17" customFormat="1" x14ac:dyDescent="0.3">
      <c r="A108" s="26"/>
      <c r="B108" s="10" t="s">
        <v>320</v>
      </c>
      <c r="C108" s="10" t="s">
        <v>321</v>
      </c>
      <c r="D108" s="10">
        <v>2</v>
      </c>
      <c r="E108" s="10">
        <f t="shared" si="15"/>
        <v>1</v>
      </c>
      <c r="F108" s="10"/>
      <c r="G108" s="10"/>
      <c r="H108" s="10"/>
      <c r="I108" s="10"/>
      <c r="J108" s="10" t="s">
        <v>322</v>
      </c>
      <c r="K108" s="10">
        <f t="shared" si="14"/>
        <v>497</v>
      </c>
      <c r="L108" s="10">
        <f t="shared" si="16"/>
        <v>496</v>
      </c>
      <c r="M108" s="10" t="s">
        <v>323</v>
      </c>
      <c r="N108" s="10" t="s">
        <v>324</v>
      </c>
      <c r="O108" s="10"/>
      <c r="P108" s="10"/>
      <c r="Q108" s="111"/>
    </row>
    <row r="109" spans="1:17" customFormat="1" x14ac:dyDescent="0.3">
      <c r="A109" s="26"/>
      <c r="B109" s="10" t="s">
        <v>320</v>
      </c>
      <c r="C109" s="10" t="s">
        <v>321</v>
      </c>
      <c r="D109" s="10">
        <v>2</v>
      </c>
      <c r="E109" s="10">
        <f t="shared" si="15"/>
        <v>1</v>
      </c>
      <c r="F109" s="10"/>
      <c r="G109" s="10"/>
      <c r="H109" s="10"/>
      <c r="I109" s="10"/>
      <c r="J109" s="10" t="s">
        <v>322</v>
      </c>
      <c r="K109" s="10">
        <f t="shared" si="14"/>
        <v>498</v>
      </c>
      <c r="L109" s="10">
        <f t="shared" si="16"/>
        <v>497</v>
      </c>
      <c r="M109" s="10" t="s">
        <v>323</v>
      </c>
      <c r="N109" s="10" t="s">
        <v>324</v>
      </c>
      <c r="O109" s="10"/>
      <c r="P109" s="10"/>
      <c r="Q109" s="111"/>
    </row>
    <row r="110" spans="1:17" customFormat="1" x14ac:dyDescent="0.3">
      <c r="A110" s="26"/>
      <c r="B110" s="10" t="s">
        <v>320</v>
      </c>
      <c r="C110" s="10" t="s">
        <v>321</v>
      </c>
      <c r="D110" s="10">
        <v>2</v>
      </c>
      <c r="E110" s="10">
        <f t="shared" si="15"/>
        <v>1</v>
      </c>
      <c r="F110" s="10"/>
      <c r="G110" s="10"/>
      <c r="H110" s="10"/>
      <c r="I110" s="10"/>
      <c r="J110" s="10" t="s">
        <v>322</v>
      </c>
      <c r="K110" s="10">
        <f t="shared" si="14"/>
        <v>499</v>
      </c>
      <c r="L110" s="10">
        <f t="shared" si="16"/>
        <v>498</v>
      </c>
      <c r="M110" s="10" t="s">
        <v>323</v>
      </c>
      <c r="N110" s="10" t="s">
        <v>324</v>
      </c>
      <c r="O110" s="10"/>
      <c r="P110" s="10"/>
      <c r="Q110" s="111"/>
    </row>
    <row r="111" spans="1:17" customFormat="1" x14ac:dyDescent="0.3">
      <c r="A111" s="26"/>
      <c r="B111" s="10" t="s">
        <v>320</v>
      </c>
      <c r="C111" s="10" t="s">
        <v>321</v>
      </c>
      <c r="D111" s="10">
        <v>2</v>
      </c>
      <c r="E111" s="10">
        <f t="shared" si="15"/>
        <v>1</v>
      </c>
      <c r="F111" s="10"/>
      <c r="G111" s="10"/>
      <c r="H111" s="10"/>
      <c r="I111" s="10"/>
      <c r="J111" s="10" t="s">
        <v>322</v>
      </c>
      <c r="K111" s="10">
        <f t="shared" si="14"/>
        <v>500</v>
      </c>
      <c r="L111" s="10">
        <f t="shared" si="16"/>
        <v>499</v>
      </c>
      <c r="M111" s="10" t="s">
        <v>323</v>
      </c>
      <c r="N111" s="10" t="s">
        <v>324</v>
      </c>
      <c r="O111" s="10"/>
      <c r="P111" s="10"/>
      <c r="Q111" s="111"/>
    </row>
    <row r="112" spans="1:17" customFormat="1" x14ac:dyDescent="0.3">
      <c r="A112" s="26"/>
      <c r="B112" s="10" t="s">
        <v>411</v>
      </c>
      <c r="C112" s="10" t="s">
        <v>326</v>
      </c>
      <c r="D112" s="10">
        <v>4</v>
      </c>
      <c r="E112" s="10">
        <f t="shared" si="15"/>
        <v>2</v>
      </c>
      <c r="F112" s="10"/>
      <c r="G112" s="10"/>
      <c r="H112" s="10"/>
      <c r="I112" s="10"/>
      <c r="J112" s="10" t="s">
        <v>322</v>
      </c>
      <c r="K112" s="10">
        <f t="shared" si="14"/>
        <v>501</v>
      </c>
      <c r="L112" s="10">
        <f t="shared" si="16"/>
        <v>500</v>
      </c>
      <c r="M112" s="10" t="s">
        <v>323</v>
      </c>
      <c r="N112" s="10" t="s">
        <v>324</v>
      </c>
      <c r="O112" s="10"/>
      <c r="P112" s="10"/>
      <c r="Q112" s="111"/>
    </row>
    <row r="113" spans="1:27" customFormat="1" x14ac:dyDescent="0.3">
      <c r="A113" s="26"/>
      <c r="B113" s="10" t="s">
        <v>413</v>
      </c>
      <c r="C113" s="10" t="s">
        <v>326</v>
      </c>
      <c r="D113" s="10">
        <v>4</v>
      </c>
      <c r="E113" s="10">
        <f t="shared" si="15"/>
        <v>2</v>
      </c>
      <c r="F113" s="10"/>
      <c r="G113" s="10"/>
      <c r="H113" s="10"/>
      <c r="I113" s="10"/>
      <c r="J113" s="10" t="s">
        <v>322</v>
      </c>
      <c r="K113" s="10">
        <f t="shared" si="14"/>
        <v>503</v>
      </c>
      <c r="L113" s="10">
        <f t="shared" si="16"/>
        <v>502</v>
      </c>
      <c r="M113" s="10" t="s">
        <v>323</v>
      </c>
      <c r="N113" s="10" t="s">
        <v>324</v>
      </c>
      <c r="O113" s="10"/>
      <c r="P113" s="10"/>
      <c r="Q113" s="111"/>
    </row>
    <row r="114" spans="1:27" customFormat="1" x14ac:dyDescent="0.3">
      <c r="A114" s="26"/>
      <c r="B114" s="10" t="s">
        <v>414</v>
      </c>
      <c r="C114" s="10" t="s">
        <v>326</v>
      </c>
      <c r="D114" s="10">
        <v>4</v>
      </c>
      <c r="E114" s="10">
        <f t="shared" si="15"/>
        <v>2</v>
      </c>
      <c r="F114" s="10"/>
      <c r="G114" s="10"/>
      <c r="H114" s="10"/>
      <c r="I114" s="10"/>
      <c r="J114" s="10" t="s">
        <v>322</v>
      </c>
      <c r="K114" s="10">
        <f t="shared" si="14"/>
        <v>505</v>
      </c>
      <c r="L114" s="10">
        <f t="shared" si="16"/>
        <v>504</v>
      </c>
      <c r="M114" s="10" t="s">
        <v>323</v>
      </c>
      <c r="N114" s="10" t="s">
        <v>324</v>
      </c>
      <c r="O114" s="10"/>
      <c r="P114" s="10"/>
      <c r="Q114" s="111"/>
    </row>
    <row r="115" spans="1:27" customFormat="1" x14ac:dyDescent="0.3">
      <c r="A115" s="26"/>
      <c r="B115" s="10" t="s">
        <v>415</v>
      </c>
      <c r="C115" s="10" t="s">
        <v>326</v>
      </c>
      <c r="D115" s="10">
        <v>4</v>
      </c>
      <c r="E115" s="10">
        <f t="shared" si="15"/>
        <v>2</v>
      </c>
      <c r="F115" s="10"/>
      <c r="G115" s="10"/>
      <c r="H115" s="10"/>
      <c r="I115" s="10"/>
      <c r="J115" s="10" t="s">
        <v>322</v>
      </c>
      <c r="K115" s="10">
        <f t="shared" si="14"/>
        <v>507</v>
      </c>
      <c r="L115" s="10">
        <f t="shared" si="16"/>
        <v>506</v>
      </c>
      <c r="M115" s="10" t="s">
        <v>323</v>
      </c>
      <c r="N115" s="10" t="s">
        <v>324</v>
      </c>
      <c r="O115" s="10"/>
      <c r="P115" s="10"/>
      <c r="Q115" s="111"/>
    </row>
    <row r="116" spans="1:27" customFormat="1" x14ac:dyDescent="0.3">
      <c r="A116" s="26"/>
      <c r="B116" s="10" t="s">
        <v>416</v>
      </c>
      <c r="C116" s="10" t="s">
        <v>326</v>
      </c>
      <c r="D116" s="10">
        <v>4</v>
      </c>
      <c r="E116" s="10">
        <f t="shared" si="15"/>
        <v>2</v>
      </c>
      <c r="F116" s="10"/>
      <c r="G116" s="10"/>
      <c r="H116" s="10"/>
      <c r="I116" s="10"/>
      <c r="J116" s="10" t="s">
        <v>322</v>
      </c>
      <c r="K116" s="10">
        <f t="shared" si="14"/>
        <v>509</v>
      </c>
      <c r="L116" s="10">
        <f t="shared" si="16"/>
        <v>508</v>
      </c>
      <c r="M116" s="10" t="s">
        <v>323</v>
      </c>
      <c r="N116" s="10" t="s">
        <v>324</v>
      </c>
      <c r="O116" s="10"/>
      <c r="P116" s="10"/>
      <c r="Q116" s="111"/>
    </row>
    <row r="117" spans="1:27" customFormat="1" x14ac:dyDescent="0.3">
      <c r="A117" s="26"/>
      <c r="B117" s="10" t="s">
        <v>320</v>
      </c>
      <c r="C117" s="10" t="s">
        <v>321</v>
      </c>
      <c r="D117" s="10">
        <v>2</v>
      </c>
      <c r="E117" s="10">
        <f t="shared" si="15"/>
        <v>1</v>
      </c>
      <c r="F117" s="10"/>
      <c r="G117" s="10"/>
      <c r="H117" s="10"/>
      <c r="I117" s="10"/>
      <c r="J117" s="10" t="s">
        <v>322</v>
      </c>
      <c r="K117" s="10">
        <f t="shared" si="14"/>
        <v>511</v>
      </c>
      <c r="L117" s="10">
        <f t="shared" si="16"/>
        <v>510</v>
      </c>
      <c r="M117" s="10" t="s">
        <v>323</v>
      </c>
      <c r="N117" s="10" t="s">
        <v>324</v>
      </c>
      <c r="O117" s="10"/>
      <c r="P117" s="10"/>
      <c r="Q117" s="111"/>
    </row>
    <row r="118" spans="1:27" customFormat="1" x14ac:dyDescent="0.3">
      <c r="A118" s="26"/>
      <c r="B118" s="10" t="s">
        <v>320</v>
      </c>
      <c r="C118" s="10" t="s">
        <v>321</v>
      </c>
      <c r="D118" s="10">
        <v>2</v>
      </c>
      <c r="E118" s="10">
        <f t="shared" ref="E118:E144" si="17">D118/2</f>
        <v>1</v>
      </c>
      <c r="F118" s="10"/>
      <c r="G118" s="10"/>
      <c r="H118" s="10"/>
      <c r="I118" s="10"/>
      <c r="J118" s="10" t="s">
        <v>322</v>
      </c>
      <c r="K118" s="10">
        <f t="shared" si="14"/>
        <v>512</v>
      </c>
      <c r="L118" s="10">
        <f t="shared" ref="L118:L144" si="18">L117+E117</f>
        <v>511</v>
      </c>
      <c r="M118" s="10" t="s">
        <v>323</v>
      </c>
      <c r="N118" s="10" t="s">
        <v>324</v>
      </c>
      <c r="O118" s="10"/>
      <c r="P118" s="10"/>
      <c r="Q118" s="111"/>
    </row>
    <row r="119" spans="1:27" customFormat="1" x14ac:dyDescent="0.3">
      <c r="A119" s="26"/>
      <c r="B119" s="10" t="s">
        <v>320</v>
      </c>
      <c r="C119" s="10" t="s">
        <v>321</v>
      </c>
      <c r="D119" s="10">
        <v>2</v>
      </c>
      <c r="E119" s="10">
        <f t="shared" si="17"/>
        <v>1</v>
      </c>
      <c r="F119" s="10"/>
      <c r="G119" s="10"/>
      <c r="H119" s="10"/>
      <c r="I119" s="10"/>
      <c r="J119" s="10" t="s">
        <v>322</v>
      </c>
      <c r="K119" s="10">
        <f t="shared" si="14"/>
        <v>513</v>
      </c>
      <c r="L119" s="10">
        <f t="shared" si="18"/>
        <v>512</v>
      </c>
      <c r="M119" s="10" t="s">
        <v>323</v>
      </c>
      <c r="N119" s="10" t="s">
        <v>324</v>
      </c>
      <c r="O119" s="10"/>
      <c r="P119" s="10"/>
      <c r="Q119" s="111"/>
    </row>
    <row r="120" spans="1:27" customFormat="1" x14ac:dyDescent="0.3">
      <c r="A120" s="26"/>
      <c r="B120" s="10" t="s">
        <v>320</v>
      </c>
      <c r="C120" s="10" t="s">
        <v>321</v>
      </c>
      <c r="D120" s="10">
        <v>2</v>
      </c>
      <c r="E120" s="10">
        <f t="shared" si="17"/>
        <v>1</v>
      </c>
      <c r="F120" s="10"/>
      <c r="G120" s="10"/>
      <c r="H120" s="10"/>
      <c r="I120" s="10"/>
      <c r="J120" s="10" t="s">
        <v>322</v>
      </c>
      <c r="K120" s="10">
        <f t="shared" si="14"/>
        <v>514</v>
      </c>
      <c r="L120" s="10">
        <f t="shared" si="18"/>
        <v>513</v>
      </c>
      <c r="M120" s="10" t="s">
        <v>323</v>
      </c>
      <c r="N120" s="10" t="s">
        <v>324</v>
      </c>
      <c r="O120" s="10"/>
      <c r="P120" s="10"/>
      <c r="Q120" s="111"/>
    </row>
    <row r="121" spans="1:27" customFormat="1" x14ac:dyDescent="0.3">
      <c r="A121" s="26"/>
      <c r="B121" s="10" t="s">
        <v>320</v>
      </c>
      <c r="C121" s="10" t="s">
        <v>321</v>
      </c>
      <c r="D121" s="10">
        <v>2</v>
      </c>
      <c r="E121" s="10">
        <f t="shared" si="17"/>
        <v>1</v>
      </c>
      <c r="F121" s="10"/>
      <c r="G121" s="10"/>
      <c r="H121" s="10"/>
      <c r="I121" s="10"/>
      <c r="J121" s="10" t="s">
        <v>322</v>
      </c>
      <c r="K121" s="10">
        <f t="shared" si="14"/>
        <v>515</v>
      </c>
      <c r="L121" s="10">
        <f t="shared" si="18"/>
        <v>514</v>
      </c>
      <c r="M121" s="10" t="s">
        <v>323</v>
      </c>
      <c r="N121" s="10" t="s">
        <v>324</v>
      </c>
      <c r="O121" s="10"/>
      <c r="P121" s="10"/>
      <c r="Q121" s="111"/>
    </row>
    <row r="122" spans="1:27" customFormat="1" x14ac:dyDescent="0.3">
      <c r="A122" s="26"/>
      <c r="B122" s="10" t="s">
        <v>320</v>
      </c>
      <c r="C122" s="10" t="s">
        <v>321</v>
      </c>
      <c r="D122" s="10">
        <v>2</v>
      </c>
      <c r="E122" s="10">
        <f t="shared" si="17"/>
        <v>1</v>
      </c>
      <c r="F122" s="10"/>
      <c r="G122" s="10"/>
      <c r="H122" s="10"/>
      <c r="I122" s="10"/>
      <c r="J122" s="10" t="s">
        <v>322</v>
      </c>
      <c r="K122" s="10">
        <f t="shared" si="14"/>
        <v>516</v>
      </c>
      <c r="L122" s="10">
        <f t="shared" si="18"/>
        <v>515</v>
      </c>
      <c r="M122" s="10" t="s">
        <v>323</v>
      </c>
      <c r="N122" s="10" t="s">
        <v>324</v>
      </c>
      <c r="O122" s="10"/>
      <c r="P122" s="10"/>
      <c r="Q122" s="111"/>
    </row>
    <row r="123" spans="1:27" customFormat="1" x14ac:dyDescent="0.3">
      <c r="A123" s="26"/>
      <c r="B123" s="10" t="s">
        <v>320</v>
      </c>
      <c r="C123" s="10" t="s">
        <v>321</v>
      </c>
      <c r="D123" s="10">
        <v>2</v>
      </c>
      <c r="E123" s="10">
        <f t="shared" si="17"/>
        <v>1</v>
      </c>
      <c r="F123" s="10"/>
      <c r="G123" s="10"/>
      <c r="H123" s="10"/>
      <c r="I123" s="10"/>
      <c r="J123" s="10" t="s">
        <v>322</v>
      </c>
      <c r="K123" s="10">
        <f t="shared" si="14"/>
        <v>517</v>
      </c>
      <c r="L123" s="10">
        <f t="shared" si="18"/>
        <v>516</v>
      </c>
      <c r="M123" s="10" t="s">
        <v>323</v>
      </c>
      <c r="N123" s="10" t="s">
        <v>324</v>
      </c>
      <c r="O123" s="10"/>
      <c r="P123" s="10"/>
      <c r="Q123" s="111"/>
    </row>
    <row r="124" spans="1:27" customFormat="1" ht="16.2" thickBot="1" x14ac:dyDescent="0.35">
      <c r="A124" s="26"/>
      <c r="B124" s="10" t="s">
        <v>320</v>
      </c>
      <c r="C124" s="10" t="s">
        <v>321</v>
      </c>
      <c r="D124" s="10">
        <v>46</v>
      </c>
      <c r="E124" s="10">
        <f t="shared" si="17"/>
        <v>23</v>
      </c>
      <c r="F124" s="10"/>
      <c r="G124" s="10"/>
      <c r="H124" s="10"/>
      <c r="I124" s="10"/>
      <c r="J124" s="10" t="s">
        <v>322</v>
      </c>
      <c r="K124" s="10">
        <f t="shared" si="14"/>
        <v>518</v>
      </c>
      <c r="L124" s="10">
        <f t="shared" si="18"/>
        <v>517</v>
      </c>
      <c r="M124" s="10" t="s">
        <v>323</v>
      </c>
      <c r="N124" s="10" t="s">
        <v>324</v>
      </c>
      <c r="O124" s="10"/>
      <c r="P124" s="10"/>
      <c r="Q124" s="111"/>
    </row>
    <row r="125" spans="1:27" s="26" customFormat="1" ht="16.2" x14ac:dyDescent="0.3">
      <c r="B125" s="456" t="s">
        <v>95</v>
      </c>
      <c r="C125" s="457"/>
      <c r="D125" s="457"/>
      <c r="E125" s="457"/>
      <c r="F125" s="457"/>
      <c r="G125" s="457"/>
      <c r="H125" s="457"/>
      <c r="I125" s="457"/>
      <c r="J125" s="457"/>
      <c r="K125" s="457"/>
      <c r="L125" s="457"/>
      <c r="M125" s="457"/>
      <c r="N125" s="457"/>
      <c r="O125" s="457"/>
      <c r="P125" s="457"/>
      <c r="Q125" s="457"/>
      <c r="R125" s="29"/>
      <c r="S125" s="56"/>
      <c r="T125" s="56"/>
      <c r="U125" s="16"/>
      <c r="V125" s="16"/>
      <c r="W125" s="16"/>
      <c r="X125" s="16"/>
      <c r="Y125" s="56"/>
      <c r="Z125" s="56"/>
      <c r="AA125" s="56"/>
    </row>
    <row r="126" spans="1:27" customFormat="1" x14ac:dyDescent="0.3">
      <c r="A126" s="26"/>
      <c r="B126" s="10" t="s">
        <v>320</v>
      </c>
      <c r="C126" s="10" t="s">
        <v>321</v>
      </c>
      <c r="D126" s="10">
        <v>122</v>
      </c>
      <c r="E126" s="10">
        <f t="shared" si="17"/>
        <v>61</v>
      </c>
      <c r="F126" s="10">
        <v>0</v>
      </c>
      <c r="G126" s="10">
        <v>0</v>
      </c>
      <c r="H126" s="10">
        <v>0</v>
      </c>
      <c r="I126" s="10">
        <v>0</v>
      </c>
      <c r="J126" s="10" t="s">
        <v>418</v>
      </c>
      <c r="K126" s="10">
        <f t="shared" si="14"/>
        <v>541</v>
      </c>
      <c r="L126" s="10">
        <f>L124+E124</f>
        <v>540</v>
      </c>
      <c r="M126" s="10" t="s">
        <v>419</v>
      </c>
      <c r="N126" s="10" t="s">
        <v>324</v>
      </c>
      <c r="O126" s="10"/>
      <c r="P126" s="10"/>
      <c r="Q126" s="111"/>
    </row>
    <row r="127" spans="1:27" customFormat="1" ht="46.8" x14ac:dyDescent="0.3">
      <c r="A127" s="26"/>
      <c r="B127" s="134" t="s">
        <v>420</v>
      </c>
      <c r="C127" s="10" t="s">
        <v>359</v>
      </c>
      <c r="D127" s="10">
        <v>2</v>
      </c>
      <c r="E127" s="10">
        <f t="shared" si="17"/>
        <v>1</v>
      </c>
      <c r="F127" s="10">
        <v>0</v>
      </c>
      <c r="G127" s="10">
        <v>1</v>
      </c>
      <c r="H127" s="10">
        <v>1</v>
      </c>
      <c r="I127" s="10">
        <v>1</v>
      </c>
      <c r="J127" s="10" t="s">
        <v>418</v>
      </c>
      <c r="K127" s="10">
        <f t="shared" si="14"/>
        <v>602</v>
      </c>
      <c r="L127" s="10">
        <f t="shared" si="18"/>
        <v>601</v>
      </c>
      <c r="M127" s="10" t="s">
        <v>419</v>
      </c>
      <c r="N127" s="10" t="s">
        <v>327</v>
      </c>
      <c r="O127" s="10">
        <v>0</v>
      </c>
      <c r="P127" s="10"/>
      <c r="Q127" s="110" t="s">
        <v>421</v>
      </c>
    </row>
    <row r="128" spans="1:27" customFormat="1" ht="78" x14ac:dyDescent="0.3">
      <c r="A128" s="26"/>
      <c r="B128" s="134" t="s">
        <v>422</v>
      </c>
      <c r="C128" s="10" t="s">
        <v>359</v>
      </c>
      <c r="D128" s="10">
        <v>2</v>
      </c>
      <c r="E128" s="10">
        <f t="shared" si="17"/>
        <v>1</v>
      </c>
      <c r="F128" s="10">
        <v>0</v>
      </c>
      <c r="G128" s="10">
        <v>2048</v>
      </c>
      <c r="H128" s="10">
        <v>2048</v>
      </c>
      <c r="I128" s="10">
        <v>1</v>
      </c>
      <c r="J128" s="10" t="s">
        <v>418</v>
      </c>
      <c r="K128" s="10">
        <f t="shared" si="14"/>
        <v>603</v>
      </c>
      <c r="L128" s="10">
        <f t="shared" si="18"/>
        <v>602</v>
      </c>
      <c r="M128" s="10" t="s">
        <v>419</v>
      </c>
      <c r="N128" s="10" t="s">
        <v>327</v>
      </c>
      <c r="O128" s="10">
        <v>0</v>
      </c>
      <c r="P128" s="10"/>
      <c r="Q128" s="110" t="s">
        <v>423</v>
      </c>
    </row>
    <row r="129" spans="1:17" customFormat="1" ht="32.1" customHeight="1" x14ac:dyDescent="0.3">
      <c r="A129" s="26"/>
      <c r="B129" s="134" t="s">
        <v>320</v>
      </c>
      <c r="C129" s="10" t="s">
        <v>321</v>
      </c>
      <c r="D129" s="10">
        <v>56</v>
      </c>
      <c r="E129" s="10">
        <f t="shared" si="17"/>
        <v>28</v>
      </c>
      <c r="F129" s="10">
        <v>0</v>
      </c>
      <c r="G129" s="10">
        <v>0</v>
      </c>
      <c r="H129" s="10">
        <v>0</v>
      </c>
      <c r="I129" s="10">
        <v>0</v>
      </c>
      <c r="J129" s="10" t="s">
        <v>418</v>
      </c>
      <c r="K129" s="10">
        <f t="shared" si="14"/>
        <v>604</v>
      </c>
      <c r="L129" s="10">
        <f t="shared" si="18"/>
        <v>603</v>
      </c>
      <c r="M129" s="10" t="s">
        <v>419</v>
      </c>
      <c r="N129" s="10"/>
      <c r="O129" s="10"/>
      <c r="P129" s="10"/>
      <c r="Q129" s="111"/>
    </row>
    <row r="130" spans="1:17" customFormat="1" ht="244.35" customHeight="1" x14ac:dyDescent="0.3">
      <c r="A130" s="26"/>
      <c r="B130" s="134" t="s">
        <v>424</v>
      </c>
      <c r="C130" s="10" t="s">
        <v>359</v>
      </c>
      <c r="D130" s="10">
        <v>2</v>
      </c>
      <c r="E130" s="10">
        <f t="shared" si="17"/>
        <v>1</v>
      </c>
      <c r="F130" s="10">
        <v>0</v>
      </c>
      <c r="G130" s="10">
        <v>65535</v>
      </c>
      <c r="H130" s="10">
        <v>1</v>
      </c>
      <c r="I130" s="10">
        <v>1</v>
      </c>
      <c r="J130" s="10" t="s">
        <v>418</v>
      </c>
      <c r="K130" s="10">
        <f t="shared" si="14"/>
        <v>632</v>
      </c>
      <c r="L130" s="10">
        <f t="shared" si="18"/>
        <v>631</v>
      </c>
      <c r="M130" s="10" t="s">
        <v>419</v>
      </c>
      <c r="N130" s="10" t="s">
        <v>327</v>
      </c>
      <c r="O130" s="10"/>
      <c r="P130" s="10"/>
      <c r="Q130" s="192" t="s">
        <v>744</v>
      </c>
    </row>
    <row r="131" spans="1:17" customFormat="1" ht="243.6" customHeight="1" x14ac:dyDescent="0.3">
      <c r="A131" s="26"/>
      <c r="B131" s="134" t="s">
        <v>426</v>
      </c>
      <c r="C131" s="10" t="s">
        <v>359</v>
      </c>
      <c r="D131" s="10">
        <v>2</v>
      </c>
      <c r="E131" s="10">
        <f t="shared" si="17"/>
        <v>1</v>
      </c>
      <c r="F131" s="10">
        <v>0</v>
      </c>
      <c r="G131" s="10">
        <v>65535</v>
      </c>
      <c r="H131" s="10">
        <v>1</v>
      </c>
      <c r="I131" s="10">
        <v>1</v>
      </c>
      <c r="J131" s="10" t="s">
        <v>418</v>
      </c>
      <c r="K131" s="10">
        <f t="shared" si="14"/>
        <v>633</v>
      </c>
      <c r="L131" s="10">
        <f t="shared" si="18"/>
        <v>632</v>
      </c>
      <c r="M131" s="10" t="s">
        <v>419</v>
      </c>
      <c r="N131" s="10" t="s">
        <v>327</v>
      </c>
      <c r="O131" s="10"/>
      <c r="P131" s="10"/>
      <c r="Q131" s="192" t="s">
        <v>427</v>
      </c>
    </row>
    <row r="132" spans="1:17" customFormat="1" ht="263.10000000000002" customHeight="1" x14ac:dyDescent="0.3">
      <c r="A132" s="26"/>
      <c r="B132" s="201" t="s">
        <v>428</v>
      </c>
      <c r="C132" s="10" t="s">
        <v>359</v>
      </c>
      <c r="D132" s="10">
        <v>2</v>
      </c>
      <c r="E132" s="10">
        <f t="shared" si="17"/>
        <v>1</v>
      </c>
      <c r="F132" s="10">
        <v>0</v>
      </c>
      <c r="G132" s="10">
        <v>65535</v>
      </c>
      <c r="H132" s="10">
        <v>1</v>
      </c>
      <c r="I132" s="10">
        <v>1</v>
      </c>
      <c r="J132" s="10" t="s">
        <v>418</v>
      </c>
      <c r="K132" s="10">
        <f t="shared" si="14"/>
        <v>634</v>
      </c>
      <c r="L132" s="10">
        <f t="shared" si="18"/>
        <v>633</v>
      </c>
      <c r="M132" s="10" t="s">
        <v>419</v>
      </c>
      <c r="N132" s="10" t="s">
        <v>327</v>
      </c>
      <c r="O132" s="10"/>
      <c r="P132" s="10"/>
      <c r="Q132" s="192" t="s">
        <v>429</v>
      </c>
    </row>
    <row r="133" spans="1:17" customFormat="1" ht="259.5" customHeight="1" x14ac:dyDescent="0.3">
      <c r="A133" s="26"/>
      <c r="B133" s="201" t="s">
        <v>430</v>
      </c>
      <c r="C133" s="10" t="s">
        <v>359</v>
      </c>
      <c r="D133" s="10">
        <v>2</v>
      </c>
      <c r="E133" s="10">
        <f t="shared" si="17"/>
        <v>1</v>
      </c>
      <c r="F133" s="10">
        <v>0</v>
      </c>
      <c r="G133" s="10">
        <v>65535</v>
      </c>
      <c r="H133" s="10">
        <v>1</v>
      </c>
      <c r="I133" s="10">
        <v>1</v>
      </c>
      <c r="J133" s="10" t="s">
        <v>418</v>
      </c>
      <c r="K133" s="10">
        <f t="shared" ref="K133:K168" si="19">L133+1</f>
        <v>635</v>
      </c>
      <c r="L133" s="10">
        <f t="shared" si="18"/>
        <v>634</v>
      </c>
      <c r="M133" s="10" t="s">
        <v>419</v>
      </c>
      <c r="N133" s="10" t="s">
        <v>327</v>
      </c>
      <c r="O133" s="10"/>
      <c r="P133" s="10"/>
      <c r="Q133" s="110" t="s">
        <v>431</v>
      </c>
    </row>
    <row r="134" spans="1:17" customFormat="1" x14ac:dyDescent="0.3">
      <c r="A134" s="26"/>
      <c r="B134" s="10" t="s">
        <v>320</v>
      </c>
      <c r="C134" s="10" t="s">
        <v>321</v>
      </c>
      <c r="D134" s="10">
        <v>2</v>
      </c>
      <c r="E134" s="10">
        <f t="shared" si="17"/>
        <v>1</v>
      </c>
      <c r="F134" s="10">
        <v>0</v>
      </c>
      <c r="G134" s="10">
        <v>0</v>
      </c>
      <c r="H134" s="10">
        <v>0</v>
      </c>
      <c r="I134" s="10">
        <v>0</v>
      </c>
      <c r="J134" s="10" t="s">
        <v>418</v>
      </c>
      <c r="K134" s="10">
        <f t="shared" si="19"/>
        <v>636</v>
      </c>
      <c r="L134" s="10">
        <f t="shared" si="18"/>
        <v>635</v>
      </c>
      <c r="M134" s="10" t="s">
        <v>419</v>
      </c>
      <c r="N134" s="10" t="s">
        <v>324</v>
      </c>
      <c r="O134" s="10"/>
      <c r="P134" s="10"/>
      <c r="Q134" s="111"/>
    </row>
    <row r="135" spans="1:17" customFormat="1" x14ac:dyDescent="0.3">
      <c r="A135" s="26"/>
      <c r="B135" s="10" t="s">
        <v>320</v>
      </c>
      <c r="C135" s="10" t="s">
        <v>321</v>
      </c>
      <c r="D135" s="10">
        <v>2</v>
      </c>
      <c r="E135" s="10">
        <f t="shared" si="17"/>
        <v>1</v>
      </c>
      <c r="F135" s="10">
        <v>0</v>
      </c>
      <c r="G135" s="10">
        <v>0</v>
      </c>
      <c r="H135" s="10">
        <v>0</v>
      </c>
      <c r="I135" s="10">
        <v>0</v>
      </c>
      <c r="J135" s="10" t="s">
        <v>418</v>
      </c>
      <c r="K135" s="10">
        <f t="shared" si="19"/>
        <v>637</v>
      </c>
      <c r="L135" s="10">
        <f t="shared" si="18"/>
        <v>636</v>
      </c>
      <c r="M135" s="10" t="s">
        <v>419</v>
      </c>
      <c r="N135" s="10" t="s">
        <v>324</v>
      </c>
      <c r="O135" s="10"/>
      <c r="P135" s="10"/>
      <c r="Q135" s="111"/>
    </row>
    <row r="136" spans="1:17" customFormat="1" x14ac:dyDescent="0.3">
      <c r="A136" s="26"/>
      <c r="B136" s="10" t="s">
        <v>320</v>
      </c>
      <c r="C136" s="10" t="s">
        <v>321</v>
      </c>
      <c r="D136" s="10">
        <v>2</v>
      </c>
      <c r="E136" s="10">
        <f t="shared" si="17"/>
        <v>1</v>
      </c>
      <c r="F136" s="10">
        <v>0</v>
      </c>
      <c r="G136" s="10">
        <v>0</v>
      </c>
      <c r="H136" s="10">
        <v>0</v>
      </c>
      <c r="I136" s="10">
        <v>0</v>
      </c>
      <c r="J136" s="10" t="s">
        <v>418</v>
      </c>
      <c r="K136" s="10">
        <f t="shared" si="19"/>
        <v>638</v>
      </c>
      <c r="L136" s="10">
        <f t="shared" si="18"/>
        <v>637</v>
      </c>
      <c r="M136" s="10" t="s">
        <v>419</v>
      </c>
      <c r="N136" s="10" t="s">
        <v>324</v>
      </c>
      <c r="O136" s="10"/>
      <c r="P136" s="10"/>
      <c r="Q136" s="111"/>
    </row>
    <row r="137" spans="1:17" customFormat="1" x14ac:dyDescent="0.3">
      <c r="A137" s="26"/>
      <c r="B137" s="10" t="s">
        <v>320</v>
      </c>
      <c r="C137" s="10" t="s">
        <v>321</v>
      </c>
      <c r="D137" s="10">
        <v>2</v>
      </c>
      <c r="E137" s="10">
        <f t="shared" si="17"/>
        <v>1</v>
      </c>
      <c r="F137" s="10">
        <v>0</v>
      </c>
      <c r="G137" s="10">
        <v>0</v>
      </c>
      <c r="H137" s="10">
        <v>0</v>
      </c>
      <c r="I137" s="10">
        <v>0</v>
      </c>
      <c r="J137" s="10" t="s">
        <v>418</v>
      </c>
      <c r="K137" s="10">
        <f t="shared" si="19"/>
        <v>639</v>
      </c>
      <c r="L137" s="10">
        <f t="shared" si="18"/>
        <v>638</v>
      </c>
      <c r="M137" s="10" t="s">
        <v>419</v>
      </c>
      <c r="N137" s="10" t="s">
        <v>324</v>
      </c>
      <c r="O137" s="10"/>
      <c r="P137" s="10"/>
      <c r="Q137" s="111"/>
    </row>
    <row r="138" spans="1:17" customFormat="1" x14ac:dyDescent="0.3">
      <c r="A138" s="26"/>
      <c r="B138" s="10" t="s">
        <v>320</v>
      </c>
      <c r="C138" s="10" t="s">
        <v>321</v>
      </c>
      <c r="D138" s="10">
        <v>2</v>
      </c>
      <c r="E138" s="10">
        <f t="shared" si="17"/>
        <v>1</v>
      </c>
      <c r="F138" s="10">
        <v>0</v>
      </c>
      <c r="G138" s="10">
        <v>0</v>
      </c>
      <c r="H138" s="10">
        <v>0</v>
      </c>
      <c r="I138" s="10">
        <v>0</v>
      </c>
      <c r="J138" s="10" t="s">
        <v>418</v>
      </c>
      <c r="K138" s="10">
        <f t="shared" si="19"/>
        <v>640</v>
      </c>
      <c r="L138" s="10">
        <f t="shared" si="18"/>
        <v>639</v>
      </c>
      <c r="M138" s="10" t="s">
        <v>419</v>
      </c>
      <c r="N138" s="10" t="s">
        <v>324</v>
      </c>
      <c r="O138" s="10"/>
      <c r="P138" s="10"/>
      <c r="Q138" s="111"/>
    </row>
    <row r="139" spans="1:17" customFormat="1" x14ac:dyDescent="0.3">
      <c r="A139" s="26"/>
      <c r="B139" s="10" t="s">
        <v>320</v>
      </c>
      <c r="C139" s="10" t="s">
        <v>321</v>
      </c>
      <c r="D139" s="10">
        <v>2</v>
      </c>
      <c r="E139" s="10">
        <f t="shared" si="17"/>
        <v>1</v>
      </c>
      <c r="F139" s="10">
        <v>0</v>
      </c>
      <c r="G139" s="10">
        <v>0</v>
      </c>
      <c r="H139" s="10">
        <v>0</v>
      </c>
      <c r="I139" s="10">
        <v>0</v>
      </c>
      <c r="J139" s="10" t="s">
        <v>418</v>
      </c>
      <c r="K139" s="10">
        <f t="shared" si="19"/>
        <v>641</v>
      </c>
      <c r="L139" s="10">
        <f t="shared" si="18"/>
        <v>640</v>
      </c>
      <c r="M139" s="10" t="s">
        <v>419</v>
      </c>
      <c r="N139" s="10" t="s">
        <v>324</v>
      </c>
      <c r="O139" s="10"/>
      <c r="P139" s="10"/>
      <c r="Q139" s="111"/>
    </row>
    <row r="140" spans="1:17" customFormat="1" x14ac:dyDescent="0.3">
      <c r="A140" s="26"/>
      <c r="B140" s="10" t="s">
        <v>320</v>
      </c>
      <c r="C140" s="10" t="s">
        <v>321</v>
      </c>
      <c r="D140" s="10">
        <v>2</v>
      </c>
      <c r="E140" s="10">
        <f t="shared" si="17"/>
        <v>1</v>
      </c>
      <c r="F140" s="10">
        <v>0</v>
      </c>
      <c r="G140" s="10">
        <v>0</v>
      </c>
      <c r="H140" s="10">
        <v>0</v>
      </c>
      <c r="I140" s="10">
        <v>0</v>
      </c>
      <c r="J140" s="10" t="s">
        <v>418</v>
      </c>
      <c r="K140" s="10">
        <f t="shared" si="19"/>
        <v>642</v>
      </c>
      <c r="L140" s="10">
        <f t="shared" si="18"/>
        <v>641</v>
      </c>
      <c r="M140" s="10" t="s">
        <v>419</v>
      </c>
      <c r="N140" s="10" t="s">
        <v>324</v>
      </c>
      <c r="O140" s="10"/>
      <c r="P140" s="10"/>
      <c r="Q140" s="111"/>
    </row>
    <row r="141" spans="1:17" customFormat="1" x14ac:dyDescent="0.3">
      <c r="A141" s="26"/>
      <c r="B141" s="10" t="s">
        <v>320</v>
      </c>
      <c r="C141" s="10" t="s">
        <v>321</v>
      </c>
      <c r="D141" s="10">
        <v>2</v>
      </c>
      <c r="E141" s="10">
        <f t="shared" si="17"/>
        <v>1</v>
      </c>
      <c r="F141" s="10">
        <v>0</v>
      </c>
      <c r="G141" s="10">
        <v>0</v>
      </c>
      <c r="H141" s="10">
        <v>0</v>
      </c>
      <c r="I141" s="10">
        <v>0</v>
      </c>
      <c r="J141" s="10" t="s">
        <v>418</v>
      </c>
      <c r="K141" s="10">
        <f t="shared" si="19"/>
        <v>643</v>
      </c>
      <c r="L141" s="10">
        <f t="shared" si="18"/>
        <v>642</v>
      </c>
      <c r="M141" s="10" t="s">
        <v>419</v>
      </c>
      <c r="N141" s="10" t="s">
        <v>324</v>
      </c>
      <c r="O141" s="10"/>
      <c r="P141" s="10"/>
      <c r="Q141" s="111"/>
    </row>
    <row r="142" spans="1:17" customFormat="1" x14ac:dyDescent="0.3">
      <c r="A142" s="26"/>
      <c r="B142" s="10" t="s">
        <v>320</v>
      </c>
      <c r="C142" s="10" t="s">
        <v>321</v>
      </c>
      <c r="D142" s="10">
        <v>2</v>
      </c>
      <c r="E142" s="10">
        <f t="shared" si="17"/>
        <v>1</v>
      </c>
      <c r="F142" s="10">
        <v>0</v>
      </c>
      <c r="G142" s="10">
        <v>0</v>
      </c>
      <c r="H142" s="10">
        <v>0</v>
      </c>
      <c r="I142" s="10">
        <v>0</v>
      </c>
      <c r="J142" s="10" t="s">
        <v>418</v>
      </c>
      <c r="K142" s="10">
        <f t="shared" si="19"/>
        <v>644</v>
      </c>
      <c r="L142" s="10">
        <f t="shared" si="18"/>
        <v>643</v>
      </c>
      <c r="M142" s="10" t="s">
        <v>419</v>
      </c>
      <c r="N142" s="10" t="s">
        <v>324</v>
      </c>
      <c r="O142" s="10"/>
      <c r="P142" s="10"/>
      <c r="Q142" s="111"/>
    </row>
    <row r="143" spans="1:17" customFormat="1" x14ac:dyDescent="0.3">
      <c r="A143" s="26"/>
      <c r="B143" s="10" t="s">
        <v>320</v>
      </c>
      <c r="C143" s="10" t="s">
        <v>321</v>
      </c>
      <c r="D143" s="10">
        <v>2</v>
      </c>
      <c r="E143" s="10">
        <f t="shared" si="17"/>
        <v>1</v>
      </c>
      <c r="F143" s="10">
        <v>0</v>
      </c>
      <c r="G143" s="10">
        <v>0</v>
      </c>
      <c r="H143" s="10">
        <v>0</v>
      </c>
      <c r="I143" s="10">
        <v>0</v>
      </c>
      <c r="J143" s="10" t="s">
        <v>418</v>
      </c>
      <c r="K143" s="10">
        <f t="shared" si="19"/>
        <v>645</v>
      </c>
      <c r="L143" s="10">
        <f t="shared" si="18"/>
        <v>644</v>
      </c>
      <c r="M143" s="10" t="s">
        <v>419</v>
      </c>
      <c r="N143" s="10" t="s">
        <v>324</v>
      </c>
      <c r="O143" s="10"/>
      <c r="P143" s="10"/>
      <c r="Q143" s="111"/>
    </row>
    <row r="144" spans="1:17" customFormat="1" x14ac:dyDescent="0.3">
      <c r="A144" s="26"/>
      <c r="B144" s="10" t="s">
        <v>320</v>
      </c>
      <c r="C144" s="10" t="s">
        <v>321</v>
      </c>
      <c r="D144" s="10">
        <v>2</v>
      </c>
      <c r="E144" s="10">
        <f t="shared" si="17"/>
        <v>1</v>
      </c>
      <c r="F144" s="10">
        <v>0</v>
      </c>
      <c r="G144" s="10">
        <v>0</v>
      </c>
      <c r="H144" s="10">
        <v>0</v>
      </c>
      <c r="I144" s="10">
        <v>0</v>
      </c>
      <c r="J144" s="10" t="s">
        <v>418</v>
      </c>
      <c r="K144" s="10">
        <f t="shared" si="19"/>
        <v>646</v>
      </c>
      <c r="L144" s="10">
        <f t="shared" si="18"/>
        <v>645</v>
      </c>
      <c r="M144" s="10" t="s">
        <v>419</v>
      </c>
      <c r="N144" s="10" t="s">
        <v>324</v>
      </c>
      <c r="O144" s="10"/>
      <c r="P144" s="10"/>
      <c r="Q144" s="111"/>
    </row>
    <row r="145" spans="1:27" customFormat="1" x14ac:dyDescent="0.3">
      <c r="A145" s="26"/>
      <c r="B145" s="10" t="s">
        <v>320</v>
      </c>
      <c r="C145" s="10" t="s">
        <v>321</v>
      </c>
      <c r="D145" s="10">
        <v>2</v>
      </c>
      <c r="E145" s="10">
        <f t="shared" ref="E145:E160" si="20">D145/2</f>
        <v>1</v>
      </c>
      <c r="F145" s="10">
        <v>0</v>
      </c>
      <c r="G145" s="10">
        <v>0</v>
      </c>
      <c r="H145" s="10">
        <v>0</v>
      </c>
      <c r="I145" s="10">
        <v>0</v>
      </c>
      <c r="J145" s="10" t="s">
        <v>418</v>
      </c>
      <c r="K145" s="10">
        <f t="shared" si="19"/>
        <v>647</v>
      </c>
      <c r="L145" s="10">
        <f t="shared" ref="L145:L160" si="21">L144+E144</f>
        <v>646</v>
      </c>
      <c r="M145" s="10" t="s">
        <v>419</v>
      </c>
      <c r="N145" s="10" t="s">
        <v>324</v>
      </c>
      <c r="O145" s="10"/>
      <c r="P145" s="10"/>
      <c r="Q145" s="111"/>
    </row>
    <row r="146" spans="1:27" customFormat="1" x14ac:dyDescent="0.3">
      <c r="A146" s="26"/>
      <c r="B146" s="10" t="s">
        <v>320</v>
      </c>
      <c r="C146" s="10" t="s">
        <v>321</v>
      </c>
      <c r="D146" s="10">
        <v>2</v>
      </c>
      <c r="E146" s="10">
        <f t="shared" si="20"/>
        <v>1</v>
      </c>
      <c r="F146" s="10">
        <v>0</v>
      </c>
      <c r="G146" s="10">
        <v>0</v>
      </c>
      <c r="H146" s="10">
        <v>0</v>
      </c>
      <c r="I146" s="10">
        <v>0</v>
      </c>
      <c r="J146" s="10" t="s">
        <v>418</v>
      </c>
      <c r="K146" s="10">
        <f t="shared" si="19"/>
        <v>648</v>
      </c>
      <c r="L146" s="10">
        <f t="shared" si="21"/>
        <v>647</v>
      </c>
      <c r="M146" s="10" t="s">
        <v>419</v>
      </c>
      <c r="N146" s="10" t="s">
        <v>324</v>
      </c>
      <c r="O146" s="10"/>
      <c r="P146" s="10"/>
      <c r="Q146" s="111"/>
    </row>
    <row r="147" spans="1:27" customFormat="1" x14ac:dyDescent="0.3">
      <c r="A147" s="26"/>
      <c r="B147" s="10" t="s">
        <v>320</v>
      </c>
      <c r="C147" s="10" t="s">
        <v>321</v>
      </c>
      <c r="D147" s="10">
        <v>2</v>
      </c>
      <c r="E147" s="10">
        <f t="shared" si="20"/>
        <v>1</v>
      </c>
      <c r="F147" s="10">
        <v>0</v>
      </c>
      <c r="G147" s="10">
        <v>0</v>
      </c>
      <c r="H147" s="10">
        <v>0</v>
      </c>
      <c r="I147" s="10">
        <v>0</v>
      </c>
      <c r="J147" s="10" t="s">
        <v>418</v>
      </c>
      <c r="K147" s="10">
        <f t="shared" si="19"/>
        <v>649</v>
      </c>
      <c r="L147" s="10">
        <f t="shared" si="21"/>
        <v>648</v>
      </c>
      <c r="M147" s="10" t="s">
        <v>419</v>
      </c>
      <c r="N147" s="10" t="s">
        <v>324</v>
      </c>
      <c r="O147" s="10"/>
      <c r="P147" s="10"/>
      <c r="Q147" s="111"/>
    </row>
    <row r="148" spans="1:27" customFormat="1" ht="16.2" thickBot="1" x14ac:dyDescent="0.35">
      <c r="A148" s="26"/>
      <c r="B148" s="10" t="s">
        <v>320</v>
      </c>
      <c r="C148" s="10" t="s">
        <v>321</v>
      </c>
      <c r="D148" s="10">
        <v>2</v>
      </c>
      <c r="E148" s="10">
        <f t="shared" si="20"/>
        <v>1</v>
      </c>
      <c r="F148" s="10">
        <v>0</v>
      </c>
      <c r="G148" s="10">
        <v>0</v>
      </c>
      <c r="H148" s="10">
        <v>0</v>
      </c>
      <c r="I148" s="10">
        <v>0</v>
      </c>
      <c r="J148" s="10" t="s">
        <v>418</v>
      </c>
      <c r="K148" s="10">
        <f t="shared" si="19"/>
        <v>650</v>
      </c>
      <c r="L148" s="10">
        <f t="shared" si="21"/>
        <v>649</v>
      </c>
      <c r="M148" s="10" t="s">
        <v>419</v>
      </c>
      <c r="N148" s="10" t="s">
        <v>324</v>
      </c>
      <c r="O148" s="10"/>
      <c r="P148" s="10"/>
      <c r="Q148" s="111"/>
    </row>
    <row r="149" spans="1:27" s="26" customFormat="1" ht="16.2" x14ac:dyDescent="0.3">
      <c r="B149" s="456" t="s">
        <v>432</v>
      </c>
      <c r="C149" s="457"/>
      <c r="D149" s="457"/>
      <c r="E149" s="457"/>
      <c r="F149" s="457"/>
      <c r="G149" s="457"/>
      <c r="H149" s="457"/>
      <c r="I149" s="457"/>
      <c r="J149" s="457"/>
      <c r="K149" s="457"/>
      <c r="L149" s="457"/>
      <c r="M149" s="457"/>
      <c r="N149" s="457"/>
      <c r="O149" s="457"/>
      <c r="P149" s="457"/>
      <c r="Q149" s="457"/>
      <c r="R149" s="29"/>
      <c r="S149" s="56"/>
      <c r="T149" s="56"/>
      <c r="U149" s="16"/>
      <c r="V149" s="16"/>
      <c r="W149" s="16"/>
      <c r="X149" s="16"/>
      <c r="Y149" s="56"/>
      <c r="Z149" s="56"/>
      <c r="AA149" s="56"/>
    </row>
    <row r="150" spans="1:27" customFormat="1" x14ac:dyDescent="0.3">
      <c r="A150" s="26"/>
      <c r="B150" s="10" t="s">
        <v>320</v>
      </c>
      <c r="C150" s="10" t="s">
        <v>321</v>
      </c>
      <c r="D150" s="10">
        <v>2</v>
      </c>
      <c r="E150" s="10">
        <f t="shared" si="20"/>
        <v>1</v>
      </c>
      <c r="F150" s="10"/>
      <c r="G150" s="10"/>
      <c r="H150" s="10"/>
      <c r="I150" s="10"/>
      <c r="J150" s="10" t="s">
        <v>418</v>
      </c>
      <c r="K150" s="10">
        <f t="shared" si="19"/>
        <v>651</v>
      </c>
      <c r="L150" s="10">
        <f>L148+E148</f>
        <v>650</v>
      </c>
      <c r="M150" s="10" t="s">
        <v>419</v>
      </c>
      <c r="N150" s="10" t="s">
        <v>324</v>
      </c>
      <c r="O150" s="10"/>
      <c r="P150" s="10"/>
      <c r="Q150" s="111"/>
    </row>
    <row r="151" spans="1:27" customFormat="1" x14ac:dyDescent="0.3">
      <c r="A151" s="26"/>
      <c r="B151" s="10" t="s">
        <v>320</v>
      </c>
      <c r="C151" s="10" t="s">
        <v>321</v>
      </c>
      <c r="D151" s="10">
        <v>2</v>
      </c>
      <c r="E151" s="10">
        <f t="shared" si="20"/>
        <v>1</v>
      </c>
      <c r="F151" s="10"/>
      <c r="G151" s="10"/>
      <c r="H151" s="10"/>
      <c r="I151" s="10"/>
      <c r="J151" s="10" t="s">
        <v>418</v>
      </c>
      <c r="K151" s="10">
        <f t="shared" si="19"/>
        <v>652</v>
      </c>
      <c r="L151" s="10">
        <f t="shared" si="21"/>
        <v>651</v>
      </c>
      <c r="M151" s="10" t="s">
        <v>419</v>
      </c>
      <c r="N151" s="10" t="s">
        <v>324</v>
      </c>
      <c r="O151" s="10"/>
      <c r="P151" s="10"/>
      <c r="Q151" s="111"/>
    </row>
    <row r="152" spans="1:27" customFormat="1" x14ac:dyDescent="0.3">
      <c r="A152" s="26"/>
      <c r="B152" s="10" t="s">
        <v>320</v>
      </c>
      <c r="C152" s="10" t="s">
        <v>321</v>
      </c>
      <c r="D152" s="10">
        <v>2</v>
      </c>
      <c r="E152" s="10">
        <f t="shared" si="20"/>
        <v>1</v>
      </c>
      <c r="F152" s="10"/>
      <c r="G152" s="10"/>
      <c r="H152" s="10"/>
      <c r="I152" s="10"/>
      <c r="J152" s="10" t="s">
        <v>418</v>
      </c>
      <c r="K152" s="10">
        <f t="shared" si="19"/>
        <v>653</v>
      </c>
      <c r="L152" s="10">
        <f t="shared" si="21"/>
        <v>652</v>
      </c>
      <c r="M152" s="10" t="s">
        <v>419</v>
      </c>
      <c r="N152" s="10" t="s">
        <v>324</v>
      </c>
      <c r="O152" s="10"/>
      <c r="P152" s="10"/>
      <c r="Q152" s="111"/>
    </row>
    <row r="153" spans="1:27" customFormat="1" x14ac:dyDescent="0.3">
      <c r="A153" s="26"/>
      <c r="B153" s="10" t="s">
        <v>320</v>
      </c>
      <c r="C153" s="10" t="s">
        <v>321</v>
      </c>
      <c r="D153" s="10">
        <v>2</v>
      </c>
      <c r="E153" s="10">
        <f t="shared" si="20"/>
        <v>1</v>
      </c>
      <c r="F153" s="10"/>
      <c r="G153" s="10"/>
      <c r="H153" s="10"/>
      <c r="I153" s="10"/>
      <c r="J153" s="10" t="s">
        <v>418</v>
      </c>
      <c r="K153" s="10">
        <f t="shared" si="19"/>
        <v>654</v>
      </c>
      <c r="L153" s="10">
        <f t="shared" si="21"/>
        <v>653</v>
      </c>
      <c r="M153" s="10" t="s">
        <v>419</v>
      </c>
      <c r="N153" s="10" t="s">
        <v>324</v>
      </c>
      <c r="O153" s="10"/>
      <c r="P153" s="10"/>
      <c r="Q153" s="111"/>
    </row>
    <row r="154" spans="1:27" customFormat="1" x14ac:dyDescent="0.3">
      <c r="A154" s="26"/>
      <c r="B154" s="10" t="s">
        <v>320</v>
      </c>
      <c r="C154" s="10" t="s">
        <v>321</v>
      </c>
      <c r="D154" s="10">
        <v>2</v>
      </c>
      <c r="E154" s="10">
        <f t="shared" si="20"/>
        <v>1</v>
      </c>
      <c r="F154" s="10"/>
      <c r="G154" s="10"/>
      <c r="H154" s="10"/>
      <c r="I154" s="10"/>
      <c r="J154" s="10" t="s">
        <v>418</v>
      </c>
      <c r="K154" s="10">
        <f t="shared" si="19"/>
        <v>655</v>
      </c>
      <c r="L154" s="10">
        <f t="shared" si="21"/>
        <v>654</v>
      </c>
      <c r="M154" s="10" t="s">
        <v>419</v>
      </c>
      <c r="N154" s="10" t="s">
        <v>324</v>
      </c>
      <c r="O154" s="10"/>
      <c r="P154" s="10"/>
      <c r="Q154" s="111"/>
    </row>
    <row r="155" spans="1:27" customFormat="1" x14ac:dyDescent="0.3">
      <c r="A155" s="26"/>
      <c r="B155" s="134" t="s">
        <v>433</v>
      </c>
      <c r="C155" s="10" t="s">
        <v>321</v>
      </c>
      <c r="D155" s="10">
        <v>2</v>
      </c>
      <c r="E155" s="10">
        <f t="shared" si="20"/>
        <v>1</v>
      </c>
      <c r="F155" s="10"/>
      <c r="G155" s="10"/>
      <c r="H155" s="10"/>
      <c r="I155" s="10"/>
      <c r="J155" s="10" t="s">
        <v>418</v>
      </c>
      <c r="K155" s="10">
        <f t="shared" si="19"/>
        <v>656</v>
      </c>
      <c r="L155" s="10">
        <f t="shared" si="21"/>
        <v>655</v>
      </c>
      <c r="M155" s="10" t="s">
        <v>419</v>
      </c>
      <c r="N155" s="10" t="s">
        <v>327</v>
      </c>
      <c r="O155" s="10"/>
      <c r="P155" s="10"/>
      <c r="Q155" s="111"/>
    </row>
    <row r="156" spans="1:27" customFormat="1" x14ac:dyDescent="0.3">
      <c r="A156" s="26"/>
      <c r="B156" s="134" t="s">
        <v>434</v>
      </c>
      <c r="C156" s="10" t="s">
        <v>321</v>
      </c>
      <c r="D156" s="10">
        <v>2</v>
      </c>
      <c r="E156" s="10">
        <f t="shared" si="20"/>
        <v>1</v>
      </c>
      <c r="F156" s="10"/>
      <c r="G156" s="10"/>
      <c r="H156" s="10"/>
      <c r="I156" s="10"/>
      <c r="J156" s="10" t="s">
        <v>418</v>
      </c>
      <c r="K156" s="10">
        <f t="shared" si="19"/>
        <v>657</v>
      </c>
      <c r="L156" s="10">
        <f t="shared" si="21"/>
        <v>656</v>
      </c>
      <c r="M156" s="10" t="s">
        <v>419</v>
      </c>
      <c r="N156" s="10" t="s">
        <v>327</v>
      </c>
      <c r="O156" s="10"/>
      <c r="P156" s="10"/>
      <c r="Q156" s="111"/>
    </row>
    <row r="157" spans="1:27" customFormat="1" x14ac:dyDescent="0.3">
      <c r="A157" s="26"/>
      <c r="B157" s="134" t="s">
        <v>435</v>
      </c>
      <c r="C157" s="10" t="s">
        <v>321</v>
      </c>
      <c r="D157" s="10">
        <v>2</v>
      </c>
      <c r="E157" s="10">
        <f t="shared" si="20"/>
        <v>1</v>
      </c>
      <c r="F157" s="10"/>
      <c r="G157" s="10"/>
      <c r="H157" s="10"/>
      <c r="I157" s="10"/>
      <c r="J157" s="10" t="s">
        <v>418</v>
      </c>
      <c r="K157" s="10">
        <f t="shared" si="19"/>
        <v>658</v>
      </c>
      <c r="L157" s="10">
        <f t="shared" si="21"/>
        <v>657</v>
      </c>
      <c r="M157" s="10" t="s">
        <v>419</v>
      </c>
      <c r="N157" s="10" t="s">
        <v>327</v>
      </c>
      <c r="O157" s="10"/>
      <c r="P157" s="10"/>
      <c r="Q157" s="111"/>
    </row>
    <row r="158" spans="1:27" customFormat="1" x14ac:dyDescent="0.3">
      <c r="A158" s="26"/>
      <c r="B158" s="134" t="s">
        <v>436</v>
      </c>
      <c r="C158" s="10" t="s">
        <v>321</v>
      </c>
      <c r="D158" s="10">
        <v>2</v>
      </c>
      <c r="E158" s="10">
        <f t="shared" si="20"/>
        <v>1</v>
      </c>
      <c r="F158" s="10"/>
      <c r="G158" s="10"/>
      <c r="H158" s="10"/>
      <c r="I158" s="10"/>
      <c r="J158" s="10" t="s">
        <v>418</v>
      </c>
      <c r="K158" s="10">
        <f t="shared" si="19"/>
        <v>659</v>
      </c>
      <c r="L158" s="10">
        <f t="shared" si="21"/>
        <v>658</v>
      </c>
      <c r="M158" s="10" t="s">
        <v>419</v>
      </c>
      <c r="N158" s="10" t="s">
        <v>327</v>
      </c>
      <c r="O158" s="10"/>
      <c r="P158" s="10"/>
      <c r="Q158" s="111"/>
    </row>
    <row r="159" spans="1:27" customFormat="1" x14ac:dyDescent="0.3">
      <c r="A159" s="26"/>
      <c r="B159" s="10" t="s">
        <v>320</v>
      </c>
      <c r="C159" s="10" t="s">
        <v>321</v>
      </c>
      <c r="D159" s="10">
        <v>2</v>
      </c>
      <c r="E159" s="10">
        <f t="shared" si="20"/>
        <v>1</v>
      </c>
      <c r="F159" s="10"/>
      <c r="G159" s="10"/>
      <c r="H159" s="10"/>
      <c r="I159" s="10"/>
      <c r="J159" s="10" t="s">
        <v>418</v>
      </c>
      <c r="K159" s="10">
        <f t="shared" si="19"/>
        <v>660</v>
      </c>
      <c r="L159" s="10">
        <f t="shared" si="21"/>
        <v>659</v>
      </c>
      <c r="M159" s="10" t="s">
        <v>419</v>
      </c>
      <c r="N159" s="10" t="s">
        <v>324</v>
      </c>
      <c r="O159" s="10"/>
      <c r="P159" s="10"/>
      <c r="Q159" s="111"/>
    </row>
    <row r="160" spans="1:27" customFormat="1" ht="16.2" thickBot="1" x14ac:dyDescent="0.35">
      <c r="A160" s="26"/>
      <c r="B160" s="10" t="s">
        <v>320</v>
      </c>
      <c r="C160" s="10" t="s">
        <v>321</v>
      </c>
      <c r="D160" s="10">
        <v>80</v>
      </c>
      <c r="E160" s="10">
        <f t="shared" si="20"/>
        <v>40</v>
      </c>
      <c r="F160" s="10"/>
      <c r="G160" s="10"/>
      <c r="H160" s="10"/>
      <c r="I160" s="10"/>
      <c r="J160" s="10" t="s">
        <v>418</v>
      </c>
      <c r="K160" s="10">
        <f t="shared" si="19"/>
        <v>661</v>
      </c>
      <c r="L160" s="10">
        <f t="shared" si="21"/>
        <v>660</v>
      </c>
      <c r="M160" s="10" t="s">
        <v>419</v>
      </c>
      <c r="N160" s="10" t="s">
        <v>324</v>
      </c>
      <c r="O160" s="10"/>
      <c r="P160" s="10"/>
      <c r="Q160" s="111"/>
    </row>
    <row r="161" spans="1:27" s="26" customFormat="1" ht="16.2" x14ac:dyDescent="0.3">
      <c r="B161" s="456" t="s">
        <v>107</v>
      </c>
      <c r="C161" s="457"/>
      <c r="D161" s="457"/>
      <c r="E161" s="457"/>
      <c r="F161" s="457"/>
      <c r="G161" s="457"/>
      <c r="H161" s="457"/>
      <c r="I161" s="457"/>
      <c r="J161" s="457"/>
      <c r="K161" s="457"/>
      <c r="L161" s="457"/>
      <c r="M161" s="457"/>
      <c r="N161" s="457"/>
      <c r="O161" s="457"/>
      <c r="P161" s="457"/>
      <c r="Q161" s="457"/>
      <c r="R161" s="29"/>
      <c r="S161" s="56"/>
      <c r="T161" s="56"/>
      <c r="U161" s="16"/>
      <c r="V161" s="16"/>
      <c r="W161" s="16"/>
      <c r="X161" s="16"/>
      <c r="Y161" s="56"/>
      <c r="Z161" s="56"/>
      <c r="AA161" s="56"/>
    </row>
    <row r="162" spans="1:27" customFormat="1" ht="124.8" x14ac:dyDescent="0.3">
      <c r="A162" s="26"/>
      <c r="B162" s="109" t="s">
        <v>437</v>
      </c>
      <c r="C162" s="10" t="s">
        <v>321</v>
      </c>
      <c r="D162" s="10">
        <v>2</v>
      </c>
      <c r="E162" s="10">
        <f t="shared" ref="E162:E166" si="22">D162/2</f>
        <v>1</v>
      </c>
      <c r="F162" s="109">
        <v>0</v>
      </c>
      <c r="G162" s="109">
        <v>255</v>
      </c>
      <c r="H162" s="10">
        <v>1</v>
      </c>
      <c r="I162" s="10">
        <v>1</v>
      </c>
      <c r="J162" s="10" t="s">
        <v>418</v>
      </c>
      <c r="K162" s="10">
        <f t="shared" si="19"/>
        <v>701</v>
      </c>
      <c r="L162" s="10">
        <f>L160+E160</f>
        <v>700</v>
      </c>
      <c r="M162" s="10" t="s">
        <v>419</v>
      </c>
      <c r="N162" s="10" t="s">
        <v>324</v>
      </c>
      <c r="O162" s="10">
        <v>0</v>
      </c>
      <c r="P162" s="10"/>
      <c r="Q162" s="110" t="s">
        <v>438</v>
      </c>
    </row>
    <row r="163" spans="1:27" customFormat="1" x14ac:dyDescent="0.3">
      <c r="A163" s="26"/>
      <c r="B163" s="10" t="s">
        <v>320</v>
      </c>
      <c r="C163" s="10" t="s">
        <v>321</v>
      </c>
      <c r="D163" s="10">
        <v>2</v>
      </c>
      <c r="E163" s="10">
        <f t="shared" si="22"/>
        <v>1</v>
      </c>
      <c r="F163" s="10"/>
      <c r="G163" s="10"/>
      <c r="H163" s="10"/>
      <c r="I163" s="10"/>
      <c r="J163" s="10" t="s">
        <v>418</v>
      </c>
      <c r="K163" s="10">
        <f t="shared" si="19"/>
        <v>702</v>
      </c>
      <c r="L163" s="10">
        <f t="shared" ref="L163:L166" si="23">L162+E162</f>
        <v>701</v>
      </c>
      <c r="M163" s="10" t="s">
        <v>419</v>
      </c>
      <c r="N163" s="10" t="s">
        <v>324</v>
      </c>
      <c r="O163" s="10"/>
      <c r="P163" s="10"/>
      <c r="Q163" s="111"/>
    </row>
    <row r="164" spans="1:27" customFormat="1" x14ac:dyDescent="0.3">
      <c r="A164" s="26"/>
      <c r="B164" s="10" t="s">
        <v>320</v>
      </c>
      <c r="C164" s="10" t="s">
        <v>321</v>
      </c>
      <c r="D164" s="10">
        <v>2</v>
      </c>
      <c r="E164" s="10">
        <f t="shared" si="22"/>
        <v>1</v>
      </c>
      <c r="F164" s="10"/>
      <c r="G164" s="10"/>
      <c r="H164" s="10"/>
      <c r="I164" s="10"/>
      <c r="J164" s="10" t="s">
        <v>418</v>
      </c>
      <c r="K164" s="10">
        <f t="shared" si="19"/>
        <v>703</v>
      </c>
      <c r="L164" s="10">
        <f t="shared" si="23"/>
        <v>702</v>
      </c>
      <c r="M164" s="10" t="s">
        <v>419</v>
      </c>
      <c r="N164" s="10" t="s">
        <v>324</v>
      </c>
      <c r="O164" s="10"/>
      <c r="P164" s="10"/>
      <c r="Q164" s="111"/>
    </row>
    <row r="165" spans="1:27" customFormat="1" x14ac:dyDescent="0.3">
      <c r="A165" s="26"/>
      <c r="B165" s="10" t="s">
        <v>320</v>
      </c>
      <c r="C165" s="10" t="s">
        <v>321</v>
      </c>
      <c r="D165" s="10">
        <v>2</v>
      </c>
      <c r="E165" s="10">
        <f t="shared" si="22"/>
        <v>1</v>
      </c>
      <c r="F165" s="10"/>
      <c r="G165" s="10"/>
      <c r="H165" s="10"/>
      <c r="I165" s="10"/>
      <c r="J165" s="10" t="s">
        <v>418</v>
      </c>
      <c r="K165" s="10">
        <f t="shared" si="19"/>
        <v>704</v>
      </c>
      <c r="L165" s="10">
        <f t="shared" si="23"/>
        <v>703</v>
      </c>
      <c r="M165" s="10" t="s">
        <v>419</v>
      </c>
      <c r="N165" s="10" t="s">
        <v>324</v>
      </c>
      <c r="O165" s="10"/>
      <c r="P165" s="10"/>
      <c r="Q165" s="111"/>
    </row>
    <row r="166" spans="1:27" customFormat="1" ht="280.8" x14ac:dyDescent="0.3">
      <c r="A166" s="26"/>
      <c r="B166" s="10" t="s">
        <v>439</v>
      </c>
      <c r="C166" s="10" t="s">
        <v>359</v>
      </c>
      <c r="D166" s="10">
        <v>2</v>
      </c>
      <c r="E166" s="10">
        <f t="shared" si="22"/>
        <v>1</v>
      </c>
      <c r="F166" s="10">
        <v>0</v>
      </c>
      <c r="G166" s="10">
        <v>65535</v>
      </c>
      <c r="H166" s="10">
        <v>1</v>
      </c>
      <c r="I166" s="10">
        <v>1</v>
      </c>
      <c r="J166" s="10" t="s">
        <v>418</v>
      </c>
      <c r="K166" s="10">
        <f t="shared" si="19"/>
        <v>705</v>
      </c>
      <c r="L166" s="10">
        <f t="shared" si="23"/>
        <v>704</v>
      </c>
      <c r="M166" s="10" t="s">
        <v>419</v>
      </c>
      <c r="N166" s="10" t="s">
        <v>324</v>
      </c>
      <c r="O166" s="10"/>
      <c r="P166" s="10"/>
      <c r="Q166" s="192" t="s">
        <v>666</v>
      </c>
      <c r="R166" s="26"/>
      <c r="S166" s="26"/>
    </row>
    <row r="167" spans="1:27" customFormat="1" ht="187.2" x14ac:dyDescent="0.3">
      <c r="A167" s="26"/>
      <c r="B167" s="10" t="s">
        <v>441</v>
      </c>
      <c r="C167" s="10" t="s">
        <v>359</v>
      </c>
      <c r="D167" s="10">
        <v>2</v>
      </c>
      <c r="E167" s="10">
        <f t="shared" ref="E167" si="24">D167/2</f>
        <v>1</v>
      </c>
      <c r="F167" s="10">
        <v>0</v>
      </c>
      <c r="G167" s="10">
        <v>65535</v>
      </c>
      <c r="H167" s="10">
        <v>1</v>
      </c>
      <c r="I167" s="10">
        <v>1</v>
      </c>
      <c r="J167" s="10" t="s">
        <v>418</v>
      </c>
      <c r="K167" s="10">
        <f t="shared" si="19"/>
        <v>706</v>
      </c>
      <c r="L167" s="10">
        <f t="shared" ref="L167" si="25">L166+E166</f>
        <v>705</v>
      </c>
      <c r="M167" s="10" t="s">
        <v>419</v>
      </c>
      <c r="N167" s="10" t="s">
        <v>324</v>
      </c>
      <c r="O167" s="10"/>
      <c r="P167" s="10"/>
      <c r="Q167" s="222" t="s">
        <v>442</v>
      </c>
    </row>
    <row r="168" spans="1:27" customFormat="1" ht="16.2" thickBot="1" x14ac:dyDescent="0.35">
      <c r="A168" s="26"/>
      <c r="B168" s="10" t="s">
        <v>320</v>
      </c>
      <c r="C168" s="10" t="s">
        <v>321</v>
      </c>
      <c r="D168" s="10">
        <v>188</v>
      </c>
      <c r="E168" s="10">
        <f t="shared" ref="E168" si="26">D168/2</f>
        <v>94</v>
      </c>
      <c r="F168" s="10"/>
      <c r="G168" s="10"/>
      <c r="H168" s="10"/>
      <c r="I168" s="10"/>
      <c r="J168" s="10" t="s">
        <v>418</v>
      </c>
      <c r="K168" s="10">
        <f t="shared" si="19"/>
        <v>707</v>
      </c>
      <c r="L168" s="10">
        <f t="shared" ref="L168" si="27">L167+E167</f>
        <v>706</v>
      </c>
      <c r="M168" s="10" t="s">
        <v>419</v>
      </c>
      <c r="N168" s="10" t="s">
        <v>324</v>
      </c>
      <c r="O168" s="10"/>
      <c r="P168" s="10"/>
      <c r="Q168" s="111"/>
    </row>
    <row r="169" spans="1:27" s="26" customFormat="1" ht="16.2" x14ac:dyDescent="0.3">
      <c r="B169" s="456" t="s">
        <v>443</v>
      </c>
      <c r="C169" s="457"/>
      <c r="D169" s="457"/>
      <c r="E169" s="457"/>
      <c r="F169" s="457"/>
      <c r="G169" s="457"/>
      <c r="H169" s="457"/>
      <c r="I169" s="457"/>
      <c r="J169" s="457"/>
      <c r="K169" s="457"/>
      <c r="L169" s="457"/>
      <c r="M169" s="457"/>
      <c r="N169" s="457"/>
      <c r="O169" s="457"/>
      <c r="P169" s="457"/>
      <c r="Q169" s="457"/>
      <c r="R169" s="29"/>
      <c r="S169" s="56"/>
      <c r="T169" s="56"/>
      <c r="U169" s="16"/>
      <c r="V169" s="16"/>
      <c r="W169" s="16"/>
      <c r="X169" s="16"/>
      <c r="Y169" s="56"/>
      <c r="Z169" s="56"/>
      <c r="AA169" s="56"/>
    </row>
    <row r="170" spans="1:27" x14ac:dyDescent="0.3">
      <c r="B170" s="10" t="s">
        <v>444</v>
      </c>
      <c r="C170" s="10" t="s">
        <v>321</v>
      </c>
      <c r="D170" s="10">
        <v>2</v>
      </c>
      <c r="E170" s="10">
        <f>D170/2</f>
        <v>1</v>
      </c>
      <c r="F170" s="10">
        <v>0</v>
      </c>
      <c r="G170" s="10">
        <v>9249</v>
      </c>
      <c r="H170" s="10">
        <v>1</v>
      </c>
      <c r="I170" s="10">
        <v>1</v>
      </c>
      <c r="J170" s="10" t="s">
        <v>418</v>
      </c>
      <c r="K170" s="10">
        <f t="shared" ref="K170:K233" si="28">L170+1</f>
        <v>801</v>
      </c>
      <c r="L170" s="10">
        <f>L168+E168</f>
        <v>800</v>
      </c>
      <c r="M170" s="10" t="s">
        <v>419</v>
      </c>
      <c r="N170" s="10" t="s">
        <v>327</v>
      </c>
      <c r="O170" s="10"/>
      <c r="P170" s="10"/>
      <c r="Q170" s="111"/>
      <c r="T170" s="8"/>
      <c r="U170" s="8"/>
      <c r="V170" s="8"/>
      <c r="W170" s="8"/>
      <c r="X170" s="8"/>
      <c r="Y170" s="8"/>
      <c r="Z170" s="8"/>
    </row>
    <row r="171" spans="1:27" x14ac:dyDescent="0.3">
      <c r="B171" s="10" t="s">
        <v>445</v>
      </c>
      <c r="C171" s="10" t="s">
        <v>321</v>
      </c>
      <c r="D171" s="10">
        <v>2</v>
      </c>
      <c r="E171" s="10">
        <f>D171/2</f>
        <v>1</v>
      </c>
      <c r="F171" s="10">
        <v>0</v>
      </c>
      <c r="G171" s="10">
        <v>9249</v>
      </c>
      <c r="H171" s="10">
        <v>1</v>
      </c>
      <c r="I171" s="10">
        <v>1</v>
      </c>
      <c r="J171" s="10" t="s">
        <v>418</v>
      </c>
      <c r="K171" s="10">
        <f t="shared" si="28"/>
        <v>802</v>
      </c>
      <c r="L171" s="10">
        <f t="shared" ref="L171:L176" si="29">L170+$E170</f>
        <v>801</v>
      </c>
      <c r="M171" s="10" t="s">
        <v>419</v>
      </c>
      <c r="N171" s="10" t="s">
        <v>327</v>
      </c>
      <c r="O171" s="10"/>
      <c r="P171" s="10"/>
      <c r="Q171" s="111"/>
      <c r="T171" s="8"/>
      <c r="U171" s="8"/>
      <c r="V171" s="8"/>
      <c r="W171" s="8"/>
      <c r="X171" s="8"/>
      <c r="Y171" s="8"/>
      <c r="Z171" s="8"/>
    </row>
    <row r="172" spans="1:27" x14ac:dyDescent="0.3">
      <c r="B172" s="10" t="s">
        <v>446</v>
      </c>
      <c r="C172" s="10" t="s">
        <v>321</v>
      </c>
      <c r="D172" s="10">
        <v>2</v>
      </c>
      <c r="E172" s="10">
        <f>D172/2</f>
        <v>1</v>
      </c>
      <c r="F172" s="10">
        <v>0</v>
      </c>
      <c r="G172" s="10">
        <v>9249</v>
      </c>
      <c r="H172" s="10">
        <v>1</v>
      </c>
      <c r="I172" s="10">
        <v>1</v>
      </c>
      <c r="J172" s="10" t="s">
        <v>418</v>
      </c>
      <c r="K172" s="10">
        <f t="shared" si="28"/>
        <v>803</v>
      </c>
      <c r="L172" s="10">
        <f t="shared" si="29"/>
        <v>802</v>
      </c>
      <c r="M172" s="10" t="s">
        <v>419</v>
      </c>
      <c r="N172" s="10" t="s">
        <v>327</v>
      </c>
      <c r="O172" s="10"/>
      <c r="P172" s="10"/>
      <c r="Q172" s="111"/>
      <c r="T172" s="8"/>
      <c r="U172" s="8"/>
      <c r="V172" s="8"/>
      <c r="W172" s="8"/>
      <c r="X172" s="8"/>
      <c r="Y172" s="8"/>
      <c r="Z172" s="8"/>
    </row>
    <row r="173" spans="1:27" x14ac:dyDescent="0.3">
      <c r="B173" s="10" t="s">
        <v>447</v>
      </c>
      <c r="C173" s="10" t="s">
        <v>321</v>
      </c>
      <c r="D173" s="10">
        <v>2</v>
      </c>
      <c r="E173" s="10">
        <f t="shared" ref="E173:E175" si="30">D173/2</f>
        <v>1</v>
      </c>
      <c r="F173" s="10">
        <v>0</v>
      </c>
      <c r="G173" s="10">
        <v>9249</v>
      </c>
      <c r="H173" s="10">
        <v>1</v>
      </c>
      <c r="I173" s="10">
        <v>1</v>
      </c>
      <c r="J173" s="10" t="s">
        <v>418</v>
      </c>
      <c r="K173" s="10">
        <f t="shared" si="28"/>
        <v>804</v>
      </c>
      <c r="L173" s="10">
        <f t="shared" si="29"/>
        <v>803</v>
      </c>
      <c r="M173" s="10" t="s">
        <v>419</v>
      </c>
      <c r="N173" s="10" t="s">
        <v>327</v>
      </c>
      <c r="O173" s="10"/>
      <c r="P173" s="10"/>
      <c r="Q173" s="111"/>
      <c r="T173" s="8"/>
      <c r="U173" s="8"/>
      <c r="V173" s="8"/>
      <c r="W173" s="8"/>
      <c r="X173" s="8"/>
      <c r="Y173" s="8"/>
      <c r="Z173" s="8"/>
    </row>
    <row r="174" spans="1:27" x14ac:dyDescent="0.3">
      <c r="B174" s="10" t="s">
        <v>448</v>
      </c>
      <c r="C174" s="10" t="s">
        <v>321</v>
      </c>
      <c r="D174" s="10">
        <v>2</v>
      </c>
      <c r="E174" s="10">
        <f t="shared" si="30"/>
        <v>1</v>
      </c>
      <c r="F174" s="10">
        <v>0</v>
      </c>
      <c r="G174" s="10">
        <v>9249</v>
      </c>
      <c r="H174" s="10">
        <v>1</v>
      </c>
      <c r="I174" s="10">
        <v>1</v>
      </c>
      <c r="J174" s="10" t="s">
        <v>418</v>
      </c>
      <c r="K174" s="10">
        <f t="shared" si="28"/>
        <v>805</v>
      </c>
      <c r="L174" s="10">
        <f t="shared" si="29"/>
        <v>804</v>
      </c>
      <c r="M174" s="10" t="s">
        <v>419</v>
      </c>
      <c r="N174" s="10" t="s">
        <v>327</v>
      </c>
      <c r="O174" s="10"/>
      <c r="P174" s="10"/>
      <c r="Q174" s="111"/>
      <c r="T174" s="8"/>
      <c r="U174" s="8"/>
      <c r="V174" s="8"/>
      <c r="W174" s="8"/>
      <c r="X174" s="8"/>
      <c r="Y174" s="8"/>
      <c r="Z174" s="8"/>
    </row>
    <row r="175" spans="1:27" x14ac:dyDescent="0.3">
      <c r="B175" s="10" t="s">
        <v>449</v>
      </c>
      <c r="C175" s="10" t="s">
        <v>321</v>
      </c>
      <c r="D175" s="10">
        <v>2</v>
      </c>
      <c r="E175" s="10">
        <f t="shared" si="30"/>
        <v>1</v>
      </c>
      <c r="F175" s="10">
        <v>0</v>
      </c>
      <c r="G175" s="10">
        <v>9249</v>
      </c>
      <c r="H175" s="10">
        <v>1</v>
      </c>
      <c r="I175" s="10">
        <v>1</v>
      </c>
      <c r="J175" s="10" t="s">
        <v>418</v>
      </c>
      <c r="K175" s="10">
        <f t="shared" si="28"/>
        <v>806</v>
      </c>
      <c r="L175" s="10">
        <f t="shared" si="29"/>
        <v>805</v>
      </c>
      <c r="M175" s="10" t="s">
        <v>419</v>
      </c>
      <c r="N175" s="10" t="s">
        <v>327</v>
      </c>
      <c r="O175" s="10"/>
      <c r="P175" s="10"/>
      <c r="Q175" s="111"/>
      <c r="T175" s="8"/>
      <c r="U175" s="8"/>
      <c r="V175" s="8"/>
      <c r="W175" s="8"/>
      <c r="X175" s="8"/>
      <c r="Y175" s="8"/>
      <c r="Z175" s="8"/>
    </row>
    <row r="176" spans="1:27" x14ac:dyDescent="0.3">
      <c r="B176" s="10" t="s">
        <v>450</v>
      </c>
      <c r="C176" s="10" t="s">
        <v>321</v>
      </c>
      <c r="D176" s="10">
        <v>2</v>
      </c>
      <c r="E176" s="10">
        <f>D176/2</f>
        <v>1</v>
      </c>
      <c r="F176" s="10">
        <v>0</v>
      </c>
      <c r="G176" s="10">
        <v>9249</v>
      </c>
      <c r="H176" s="10">
        <v>1</v>
      </c>
      <c r="I176" s="10">
        <v>1</v>
      </c>
      <c r="J176" s="10" t="s">
        <v>418</v>
      </c>
      <c r="K176" s="10">
        <f t="shared" si="28"/>
        <v>807</v>
      </c>
      <c r="L176" s="10">
        <f t="shared" si="29"/>
        <v>806</v>
      </c>
      <c r="M176" s="10" t="s">
        <v>419</v>
      </c>
      <c r="N176" s="10" t="s">
        <v>327</v>
      </c>
      <c r="O176" s="10"/>
      <c r="P176" s="10"/>
      <c r="Q176" s="111"/>
      <c r="T176" s="8"/>
      <c r="U176" s="8"/>
      <c r="V176" s="8"/>
      <c r="W176" s="8"/>
      <c r="X176" s="8"/>
      <c r="Y176" s="8"/>
      <c r="Z176" s="8"/>
    </row>
    <row r="177" spans="1:226" s="26" customFormat="1" x14ac:dyDescent="0.3">
      <c r="B177" s="10" t="s">
        <v>451</v>
      </c>
      <c r="C177" s="10" t="s">
        <v>321</v>
      </c>
      <c r="D177" s="10">
        <v>2</v>
      </c>
      <c r="E177" s="10">
        <f t="shared" ref="E177:E240" si="31">D177/2</f>
        <v>1</v>
      </c>
      <c r="F177" s="10">
        <v>0</v>
      </c>
      <c r="G177" s="10">
        <v>9249</v>
      </c>
      <c r="H177" s="10">
        <v>1</v>
      </c>
      <c r="I177" s="10">
        <v>1</v>
      </c>
      <c r="J177" s="10" t="s">
        <v>418</v>
      </c>
      <c r="K177" s="10">
        <f t="shared" si="28"/>
        <v>808</v>
      </c>
      <c r="L177" s="10">
        <f t="shared" ref="L177:L240" si="32">L176+E176</f>
        <v>807</v>
      </c>
      <c r="M177" s="10" t="s">
        <v>419</v>
      </c>
      <c r="N177" s="10" t="s">
        <v>327</v>
      </c>
      <c r="O177" s="10"/>
      <c r="P177" s="10"/>
      <c r="Q177" s="111"/>
      <c r="R177" s="56"/>
      <c r="S177" s="56"/>
      <c r="T177" s="16"/>
      <c r="U177" s="16"/>
      <c r="V177" s="16"/>
      <c r="W177" s="16"/>
      <c r="X177" s="56"/>
      <c r="Y177" s="56"/>
      <c r="Z177" s="56"/>
    </row>
    <row r="178" spans="1:226" s="26" customFormat="1" x14ac:dyDescent="0.3">
      <c r="B178" s="10" t="s">
        <v>452</v>
      </c>
      <c r="C178" s="10" t="s">
        <v>321</v>
      </c>
      <c r="D178" s="10">
        <v>2</v>
      </c>
      <c r="E178" s="10">
        <f t="shared" si="31"/>
        <v>1</v>
      </c>
      <c r="F178" s="10">
        <v>0</v>
      </c>
      <c r="G178" s="10">
        <v>9249</v>
      </c>
      <c r="H178" s="10">
        <v>1</v>
      </c>
      <c r="I178" s="10">
        <v>1</v>
      </c>
      <c r="J178" s="10" t="s">
        <v>418</v>
      </c>
      <c r="K178" s="10">
        <f t="shared" si="28"/>
        <v>809</v>
      </c>
      <c r="L178" s="10">
        <f t="shared" si="32"/>
        <v>808</v>
      </c>
      <c r="M178" s="10" t="s">
        <v>419</v>
      </c>
      <c r="N178" s="10" t="s">
        <v>327</v>
      </c>
      <c r="O178" s="10"/>
      <c r="P178" s="10"/>
      <c r="Q178" s="111"/>
      <c r="R178" s="56"/>
      <c r="S178" s="56"/>
      <c r="T178" s="16"/>
      <c r="U178" s="16"/>
      <c r="V178" s="16"/>
      <c r="W178" s="16"/>
      <c r="X178" s="56"/>
      <c r="Y178" s="56"/>
      <c r="Z178" s="56"/>
    </row>
    <row r="179" spans="1:226" x14ac:dyDescent="0.3">
      <c r="B179" s="10" t="s">
        <v>453</v>
      </c>
      <c r="C179" s="10" t="s">
        <v>321</v>
      </c>
      <c r="D179" s="10">
        <v>2</v>
      </c>
      <c r="E179" s="10">
        <f t="shared" si="31"/>
        <v>1</v>
      </c>
      <c r="F179" s="10">
        <v>0</v>
      </c>
      <c r="G179" s="10">
        <v>9249</v>
      </c>
      <c r="H179" s="10">
        <v>1</v>
      </c>
      <c r="I179" s="10">
        <v>1</v>
      </c>
      <c r="J179" s="10" t="s">
        <v>418</v>
      </c>
      <c r="K179" s="10">
        <f t="shared" si="28"/>
        <v>810</v>
      </c>
      <c r="L179" s="10">
        <f t="shared" si="32"/>
        <v>809</v>
      </c>
      <c r="M179" s="10" t="s">
        <v>419</v>
      </c>
      <c r="N179" s="10" t="s">
        <v>327</v>
      </c>
      <c r="O179" s="10"/>
      <c r="P179" s="10"/>
      <c r="Q179" s="111"/>
    </row>
    <row r="180" spans="1:226" s="8" customFormat="1" x14ac:dyDescent="0.3">
      <c r="A180" s="6"/>
      <c r="B180" s="10" t="s">
        <v>454</v>
      </c>
      <c r="C180" s="10" t="s">
        <v>321</v>
      </c>
      <c r="D180" s="10">
        <v>2</v>
      </c>
      <c r="E180" s="10">
        <f t="shared" si="31"/>
        <v>1</v>
      </c>
      <c r="F180" s="10">
        <v>0</v>
      </c>
      <c r="G180" s="10">
        <v>9249</v>
      </c>
      <c r="H180" s="10">
        <v>1</v>
      </c>
      <c r="I180" s="10">
        <v>1</v>
      </c>
      <c r="J180" s="10" t="s">
        <v>418</v>
      </c>
      <c r="K180" s="10">
        <f t="shared" si="28"/>
        <v>811</v>
      </c>
      <c r="L180" s="10">
        <f t="shared" si="32"/>
        <v>810</v>
      </c>
      <c r="M180" s="10" t="s">
        <v>419</v>
      </c>
      <c r="N180" s="10" t="s">
        <v>327</v>
      </c>
      <c r="O180" s="10"/>
      <c r="P180" s="10"/>
      <c r="Q180" s="111"/>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c r="GJ180" s="6"/>
      <c r="GK180" s="6"/>
      <c r="GL180" s="6"/>
      <c r="GM180" s="6"/>
      <c r="GN180" s="6"/>
      <c r="GO180" s="6"/>
      <c r="GP180" s="6"/>
      <c r="GQ180" s="6"/>
      <c r="GR180" s="6"/>
      <c r="GS180" s="6"/>
      <c r="GT180" s="6"/>
      <c r="GU180" s="6"/>
      <c r="GV180" s="6"/>
      <c r="GW180" s="6"/>
      <c r="GX180" s="6"/>
      <c r="GY180" s="6"/>
      <c r="GZ180" s="6"/>
      <c r="HA180" s="6"/>
      <c r="HB180" s="6"/>
      <c r="HC180" s="6"/>
      <c r="HD180" s="6"/>
      <c r="HE180" s="6"/>
      <c r="HF180" s="6"/>
      <c r="HG180" s="6"/>
      <c r="HH180" s="6"/>
      <c r="HI180" s="6"/>
      <c r="HJ180" s="6"/>
      <c r="HK180" s="6"/>
      <c r="HL180" s="6"/>
      <c r="HM180" s="6"/>
      <c r="HN180" s="6"/>
      <c r="HO180" s="6"/>
      <c r="HP180" s="6"/>
      <c r="HQ180" s="6"/>
      <c r="HR180" s="6"/>
    </row>
    <row r="181" spans="1:226" s="8" customFormat="1" x14ac:dyDescent="0.3">
      <c r="A181" s="6"/>
      <c r="B181" s="10" t="s">
        <v>455</v>
      </c>
      <c r="C181" s="10" t="s">
        <v>321</v>
      </c>
      <c r="D181" s="10">
        <v>2</v>
      </c>
      <c r="E181" s="10">
        <f t="shared" si="31"/>
        <v>1</v>
      </c>
      <c r="F181" s="10">
        <v>0</v>
      </c>
      <c r="G181" s="10">
        <v>9249</v>
      </c>
      <c r="H181" s="10">
        <v>1</v>
      </c>
      <c r="I181" s="10">
        <v>1</v>
      </c>
      <c r="J181" s="10" t="s">
        <v>418</v>
      </c>
      <c r="K181" s="10">
        <f t="shared" si="28"/>
        <v>812</v>
      </c>
      <c r="L181" s="10">
        <f t="shared" si="32"/>
        <v>811</v>
      </c>
      <c r="M181" s="10" t="s">
        <v>419</v>
      </c>
      <c r="N181" s="10" t="s">
        <v>327</v>
      </c>
      <c r="O181" s="10"/>
      <c r="P181" s="10"/>
      <c r="Q181" s="111"/>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c r="GJ181" s="6"/>
      <c r="GK181" s="6"/>
      <c r="GL181" s="6"/>
      <c r="GM181" s="6"/>
      <c r="GN181" s="6"/>
      <c r="GO181" s="6"/>
      <c r="GP181" s="6"/>
      <c r="GQ181" s="6"/>
      <c r="GR181" s="6"/>
      <c r="GS181" s="6"/>
      <c r="GT181" s="6"/>
      <c r="GU181" s="6"/>
      <c r="GV181" s="6"/>
      <c r="GW181" s="6"/>
      <c r="GX181" s="6"/>
      <c r="GY181" s="6"/>
      <c r="GZ181" s="6"/>
      <c r="HA181" s="6"/>
      <c r="HB181" s="6"/>
      <c r="HC181" s="6"/>
      <c r="HD181" s="6"/>
      <c r="HE181" s="6"/>
      <c r="HF181" s="6"/>
      <c r="HG181" s="6"/>
      <c r="HH181" s="6"/>
      <c r="HI181" s="6"/>
      <c r="HJ181" s="6"/>
      <c r="HK181" s="6"/>
      <c r="HL181" s="6"/>
      <c r="HM181" s="6"/>
      <c r="HN181" s="6"/>
      <c r="HO181" s="6"/>
      <c r="HP181" s="6"/>
      <c r="HQ181" s="6"/>
      <c r="HR181" s="6"/>
    </row>
    <row r="182" spans="1:226" s="8" customFormat="1" x14ac:dyDescent="0.3">
      <c r="A182" s="6"/>
      <c r="B182" s="10" t="s">
        <v>456</v>
      </c>
      <c r="C182" s="10" t="s">
        <v>321</v>
      </c>
      <c r="D182" s="10">
        <v>2</v>
      </c>
      <c r="E182" s="10">
        <f t="shared" si="31"/>
        <v>1</v>
      </c>
      <c r="F182" s="10">
        <v>0</v>
      </c>
      <c r="G182" s="10">
        <v>9249</v>
      </c>
      <c r="H182" s="10">
        <v>1</v>
      </c>
      <c r="I182" s="10">
        <v>1</v>
      </c>
      <c r="J182" s="10" t="s">
        <v>418</v>
      </c>
      <c r="K182" s="10">
        <f t="shared" si="28"/>
        <v>813</v>
      </c>
      <c r="L182" s="10">
        <f t="shared" si="32"/>
        <v>812</v>
      </c>
      <c r="M182" s="10" t="s">
        <v>419</v>
      </c>
      <c r="N182" s="10" t="s">
        <v>327</v>
      </c>
      <c r="O182" s="10"/>
      <c r="P182" s="10"/>
      <c r="Q182" s="111"/>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c r="GJ182" s="6"/>
      <c r="GK182" s="6"/>
      <c r="GL182" s="6"/>
      <c r="GM182" s="6"/>
      <c r="GN182" s="6"/>
      <c r="GO182" s="6"/>
      <c r="GP182" s="6"/>
      <c r="GQ182" s="6"/>
      <c r="GR182" s="6"/>
      <c r="GS182" s="6"/>
      <c r="GT182" s="6"/>
      <c r="GU182" s="6"/>
      <c r="GV182" s="6"/>
      <c r="GW182" s="6"/>
      <c r="GX182" s="6"/>
      <c r="GY182" s="6"/>
      <c r="GZ182" s="6"/>
      <c r="HA182" s="6"/>
      <c r="HB182" s="6"/>
      <c r="HC182" s="6"/>
      <c r="HD182" s="6"/>
      <c r="HE182" s="6"/>
      <c r="HF182" s="6"/>
      <c r="HG182" s="6"/>
      <c r="HH182" s="6"/>
      <c r="HI182" s="6"/>
      <c r="HJ182" s="6"/>
      <c r="HK182" s="6"/>
      <c r="HL182" s="6"/>
      <c r="HM182" s="6"/>
      <c r="HN182" s="6"/>
      <c r="HO182" s="6"/>
      <c r="HP182" s="6"/>
      <c r="HQ182" s="6"/>
      <c r="HR182" s="6"/>
    </row>
    <row r="183" spans="1:226" s="8" customFormat="1" x14ac:dyDescent="0.3">
      <c r="A183" s="6"/>
      <c r="B183" s="10" t="s">
        <v>457</v>
      </c>
      <c r="C183" s="10" t="s">
        <v>321</v>
      </c>
      <c r="D183" s="10">
        <v>2</v>
      </c>
      <c r="E183" s="10">
        <f t="shared" si="31"/>
        <v>1</v>
      </c>
      <c r="F183" s="10">
        <v>0</v>
      </c>
      <c r="G183" s="10">
        <v>9249</v>
      </c>
      <c r="H183" s="10">
        <v>1</v>
      </c>
      <c r="I183" s="10">
        <v>1</v>
      </c>
      <c r="J183" s="10" t="s">
        <v>418</v>
      </c>
      <c r="K183" s="10">
        <f t="shared" si="28"/>
        <v>814</v>
      </c>
      <c r="L183" s="10">
        <f t="shared" si="32"/>
        <v>813</v>
      </c>
      <c r="M183" s="10" t="s">
        <v>419</v>
      </c>
      <c r="N183" s="10" t="s">
        <v>327</v>
      </c>
      <c r="O183" s="10"/>
      <c r="P183" s="10"/>
      <c r="Q183" s="111"/>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c r="GJ183" s="6"/>
      <c r="GK183" s="6"/>
      <c r="GL183" s="6"/>
      <c r="GM183" s="6"/>
      <c r="GN183" s="6"/>
      <c r="GO183" s="6"/>
      <c r="GP183" s="6"/>
      <c r="GQ183" s="6"/>
      <c r="GR183" s="6"/>
      <c r="GS183" s="6"/>
      <c r="GT183" s="6"/>
      <c r="GU183" s="6"/>
      <c r="GV183" s="6"/>
      <c r="GW183" s="6"/>
      <c r="GX183" s="6"/>
      <c r="GY183" s="6"/>
      <c r="GZ183" s="6"/>
      <c r="HA183" s="6"/>
      <c r="HB183" s="6"/>
      <c r="HC183" s="6"/>
      <c r="HD183" s="6"/>
      <c r="HE183" s="6"/>
      <c r="HF183" s="6"/>
      <c r="HG183" s="6"/>
      <c r="HH183" s="6"/>
      <c r="HI183" s="6"/>
      <c r="HJ183" s="6"/>
      <c r="HK183" s="6"/>
      <c r="HL183" s="6"/>
      <c r="HM183" s="6"/>
      <c r="HN183" s="6"/>
      <c r="HO183" s="6"/>
      <c r="HP183" s="6"/>
      <c r="HQ183" s="6"/>
      <c r="HR183" s="6"/>
    </row>
    <row r="184" spans="1:226" s="8" customFormat="1" x14ac:dyDescent="0.3">
      <c r="A184" s="6"/>
      <c r="B184" s="10" t="s">
        <v>458</v>
      </c>
      <c r="C184" s="10" t="s">
        <v>321</v>
      </c>
      <c r="D184" s="10">
        <v>2</v>
      </c>
      <c r="E184" s="10">
        <f t="shared" si="31"/>
        <v>1</v>
      </c>
      <c r="F184" s="10">
        <v>0</v>
      </c>
      <c r="G184" s="10">
        <v>9249</v>
      </c>
      <c r="H184" s="10">
        <v>1</v>
      </c>
      <c r="I184" s="10">
        <v>1</v>
      </c>
      <c r="J184" s="10" t="s">
        <v>418</v>
      </c>
      <c r="K184" s="10">
        <f t="shared" si="28"/>
        <v>815</v>
      </c>
      <c r="L184" s="10">
        <f t="shared" si="32"/>
        <v>814</v>
      </c>
      <c r="M184" s="10" t="s">
        <v>419</v>
      </c>
      <c r="N184" s="10" t="s">
        <v>327</v>
      </c>
      <c r="O184" s="10"/>
      <c r="P184" s="10"/>
      <c r="Q184" s="111"/>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c r="GJ184" s="6"/>
      <c r="GK184" s="6"/>
      <c r="GL184" s="6"/>
      <c r="GM184" s="6"/>
      <c r="GN184" s="6"/>
      <c r="GO184" s="6"/>
      <c r="GP184" s="6"/>
      <c r="GQ184" s="6"/>
      <c r="GR184" s="6"/>
      <c r="GS184" s="6"/>
      <c r="GT184" s="6"/>
      <c r="GU184" s="6"/>
      <c r="GV184" s="6"/>
      <c r="GW184" s="6"/>
      <c r="GX184" s="6"/>
      <c r="GY184" s="6"/>
      <c r="GZ184" s="6"/>
      <c r="HA184" s="6"/>
      <c r="HB184" s="6"/>
      <c r="HC184" s="6"/>
      <c r="HD184" s="6"/>
      <c r="HE184" s="6"/>
      <c r="HF184" s="6"/>
      <c r="HG184" s="6"/>
      <c r="HH184" s="6"/>
      <c r="HI184" s="6"/>
      <c r="HJ184" s="6"/>
      <c r="HK184" s="6"/>
      <c r="HL184" s="6"/>
      <c r="HM184" s="6"/>
      <c r="HN184" s="6"/>
      <c r="HO184" s="6"/>
      <c r="HP184" s="6"/>
      <c r="HQ184" s="6"/>
      <c r="HR184" s="6"/>
    </row>
    <row r="185" spans="1:226" s="8" customFormat="1" x14ac:dyDescent="0.3">
      <c r="A185" s="6"/>
      <c r="B185" s="10" t="s">
        <v>459</v>
      </c>
      <c r="C185" s="10" t="s">
        <v>321</v>
      </c>
      <c r="D185" s="10">
        <v>2</v>
      </c>
      <c r="E185" s="10">
        <f t="shared" si="31"/>
        <v>1</v>
      </c>
      <c r="F185" s="10">
        <v>0</v>
      </c>
      <c r="G185" s="10">
        <v>9249</v>
      </c>
      <c r="H185" s="10">
        <v>1</v>
      </c>
      <c r="I185" s="10">
        <v>1</v>
      </c>
      <c r="J185" s="10" t="s">
        <v>418</v>
      </c>
      <c r="K185" s="10">
        <f t="shared" si="28"/>
        <v>816</v>
      </c>
      <c r="L185" s="10">
        <f t="shared" si="32"/>
        <v>815</v>
      </c>
      <c r="M185" s="10" t="s">
        <v>419</v>
      </c>
      <c r="N185" s="10" t="s">
        <v>327</v>
      </c>
      <c r="O185" s="10"/>
      <c r="P185" s="10"/>
      <c r="Q185" s="111"/>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c r="GJ185" s="6"/>
      <c r="GK185" s="6"/>
      <c r="GL185" s="6"/>
      <c r="GM185" s="6"/>
      <c r="GN185" s="6"/>
      <c r="GO185" s="6"/>
      <c r="GP185" s="6"/>
      <c r="GQ185" s="6"/>
      <c r="GR185" s="6"/>
      <c r="GS185" s="6"/>
      <c r="GT185" s="6"/>
      <c r="GU185" s="6"/>
      <c r="GV185" s="6"/>
      <c r="GW185" s="6"/>
      <c r="GX185" s="6"/>
      <c r="GY185" s="6"/>
      <c r="GZ185" s="6"/>
      <c r="HA185" s="6"/>
      <c r="HB185" s="6"/>
      <c r="HC185" s="6"/>
      <c r="HD185" s="6"/>
      <c r="HE185" s="6"/>
      <c r="HF185" s="6"/>
      <c r="HG185" s="6"/>
      <c r="HH185" s="6"/>
      <c r="HI185" s="6"/>
      <c r="HJ185" s="6"/>
      <c r="HK185" s="6"/>
      <c r="HL185" s="6"/>
      <c r="HM185" s="6"/>
      <c r="HN185" s="6"/>
      <c r="HO185" s="6"/>
      <c r="HP185" s="6"/>
      <c r="HQ185" s="6"/>
      <c r="HR185" s="6"/>
    </row>
    <row r="186" spans="1:226" s="8" customFormat="1" x14ac:dyDescent="0.3">
      <c r="A186" s="6"/>
      <c r="B186" s="10" t="s">
        <v>460</v>
      </c>
      <c r="C186" s="10" t="s">
        <v>321</v>
      </c>
      <c r="D186" s="10">
        <v>2</v>
      </c>
      <c r="E186" s="10">
        <f t="shared" si="31"/>
        <v>1</v>
      </c>
      <c r="F186" s="10">
        <v>0</v>
      </c>
      <c r="G186" s="10">
        <v>9249</v>
      </c>
      <c r="H186" s="10">
        <v>1</v>
      </c>
      <c r="I186" s="10">
        <v>1</v>
      </c>
      <c r="J186" s="10" t="s">
        <v>418</v>
      </c>
      <c r="K186" s="10">
        <f t="shared" si="28"/>
        <v>817</v>
      </c>
      <c r="L186" s="10">
        <f t="shared" si="32"/>
        <v>816</v>
      </c>
      <c r="M186" s="10" t="s">
        <v>419</v>
      </c>
      <c r="N186" s="10" t="s">
        <v>327</v>
      </c>
      <c r="O186" s="10"/>
      <c r="P186" s="10"/>
      <c r="Q186" s="111"/>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c r="GJ186" s="6"/>
      <c r="GK186" s="6"/>
      <c r="GL186" s="6"/>
      <c r="GM186" s="6"/>
      <c r="GN186" s="6"/>
      <c r="GO186" s="6"/>
      <c r="GP186" s="6"/>
      <c r="GQ186" s="6"/>
      <c r="GR186" s="6"/>
      <c r="GS186" s="6"/>
      <c r="GT186" s="6"/>
      <c r="GU186" s="6"/>
      <c r="GV186" s="6"/>
      <c r="GW186" s="6"/>
      <c r="GX186" s="6"/>
      <c r="GY186" s="6"/>
      <c r="GZ186" s="6"/>
      <c r="HA186" s="6"/>
      <c r="HB186" s="6"/>
      <c r="HC186" s="6"/>
      <c r="HD186" s="6"/>
      <c r="HE186" s="6"/>
      <c r="HF186" s="6"/>
      <c r="HG186" s="6"/>
      <c r="HH186" s="6"/>
      <c r="HI186" s="6"/>
      <c r="HJ186" s="6"/>
      <c r="HK186" s="6"/>
      <c r="HL186" s="6"/>
      <c r="HM186" s="6"/>
      <c r="HN186" s="6"/>
      <c r="HO186" s="6"/>
      <c r="HP186" s="6"/>
      <c r="HQ186" s="6"/>
      <c r="HR186" s="6"/>
    </row>
    <row r="187" spans="1:226" s="8" customFormat="1" x14ac:dyDescent="0.3">
      <c r="A187" s="6"/>
      <c r="B187" s="10" t="s">
        <v>461</v>
      </c>
      <c r="C187" s="10" t="s">
        <v>321</v>
      </c>
      <c r="D187" s="10">
        <v>2</v>
      </c>
      <c r="E187" s="10">
        <f t="shared" si="31"/>
        <v>1</v>
      </c>
      <c r="F187" s="10">
        <v>0</v>
      </c>
      <c r="G187" s="10">
        <v>9249</v>
      </c>
      <c r="H187" s="10">
        <v>1</v>
      </c>
      <c r="I187" s="10">
        <v>1</v>
      </c>
      <c r="J187" s="10" t="s">
        <v>418</v>
      </c>
      <c r="K187" s="10">
        <f t="shared" si="28"/>
        <v>818</v>
      </c>
      <c r="L187" s="10">
        <f t="shared" si="32"/>
        <v>817</v>
      </c>
      <c r="M187" s="10" t="s">
        <v>419</v>
      </c>
      <c r="N187" s="10" t="s">
        <v>327</v>
      </c>
      <c r="O187" s="10"/>
      <c r="P187" s="10"/>
      <c r="Q187" s="111"/>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c r="GJ187" s="6"/>
      <c r="GK187" s="6"/>
      <c r="GL187" s="6"/>
      <c r="GM187" s="6"/>
      <c r="GN187" s="6"/>
      <c r="GO187" s="6"/>
      <c r="GP187" s="6"/>
      <c r="GQ187" s="6"/>
      <c r="GR187" s="6"/>
      <c r="GS187" s="6"/>
      <c r="GT187" s="6"/>
      <c r="GU187" s="6"/>
      <c r="GV187" s="6"/>
      <c r="GW187" s="6"/>
      <c r="GX187" s="6"/>
      <c r="GY187" s="6"/>
      <c r="GZ187" s="6"/>
      <c r="HA187" s="6"/>
      <c r="HB187" s="6"/>
      <c r="HC187" s="6"/>
      <c r="HD187" s="6"/>
      <c r="HE187" s="6"/>
      <c r="HF187" s="6"/>
      <c r="HG187" s="6"/>
      <c r="HH187" s="6"/>
      <c r="HI187" s="6"/>
      <c r="HJ187" s="6"/>
      <c r="HK187" s="6"/>
      <c r="HL187" s="6"/>
      <c r="HM187" s="6"/>
      <c r="HN187" s="6"/>
      <c r="HO187" s="6"/>
      <c r="HP187" s="6"/>
      <c r="HQ187" s="6"/>
      <c r="HR187" s="6"/>
    </row>
    <row r="188" spans="1:226" s="47" customFormat="1" x14ac:dyDescent="0.3">
      <c r="A188" s="6"/>
      <c r="B188" s="10" t="s">
        <v>462</v>
      </c>
      <c r="C188" s="10" t="s">
        <v>321</v>
      </c>
      <c r="D188" s="10">
        <v>2</v>
      </c>
      <c r="E188" s="10">
        <f t="shared" si="31"/>
        <v>1</v>
      </c>
      <c r="F188" s="10">
        <v>0</v>
      </c>
      <c r="G188" s="10">
        <v>9249</v>
      </c>
      <c r="H188" s="10">
        <v>1</v>
      </c>
      <c r="I188" s="10">
        <v>1</v>
      </c>
      <c r="J188" s="10" t="s">
        <v>418</v>
      </c>
      <c r="K188" s="10">
        <f t="shared" si="28"/>
        <v>819</v>
      </c>
      <c r="L188" s="10">
        <f t="shared" si="32"/>
        <v>818</v>
      </c>
      <c r="M188" s="10" t="s">
        <v>419</v>
      </c>
      <c r="N188" s="10" t="s">
        <v>327</v>
      </c>
      <c r="O188" s="10"/>
      <c r="P188" s="10"/>
      <c r="Q188" s="111"/>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c r="GJ188" s="6"/>
      <c r="GK188" s="6"/>
      <c r="GL188" s="6"/>
      <c r="GM188" s="6"/>
      <c r="GN188" s="6"/>
      <c r="GO188" s="6"/>
      <c r="GP188" s="6"/>
      <c r="GQ188" s="6"/>
      <c r="GR188" s="6"/>
      <c r="GS188" s="6"/>
      <c r="GT188" s="6"/>
      <c r="GU188" s="6"/>
      <c r="GV188" s="6"/>
      <c r="GW188" s="6"/>
      <c r="GX188" s="6"/>
      <c r="GY188" s="6"/>
      <c r="GZ188" s="6"/>
      <c r="HA188" s="6"/>
      <c r="HB188" s="6"/>
      <c r="HC188" s="6"/>
      <c r="HD188" s="6"/>
      <c r="HE188" s="6"/>
      <c r="HF188" s="6"/>
      <c r="HG188" s="6"/>
      <c r="HH188" s="6"/>
      <c r="HI188" s="6"/>
      <c r="HJ188" s="6"/>
      <c r="HK188" s="6"/>
      <c r="HL188" s="6"/>
      <c r="HM188" s="6"/>
      <c r="HN188" s="6"/>
      <c r="HO188" s="6"/>
      <c r="HP188" s="6"/>
      <c r="HQ188" s="6"/>
      <c r="HR188" s="6"/>
    </row>
    <row r="189" spans="1:226" s="47" customFormat="1" x14ac:dyDescent="0.3">
      <c r="A189" s="6"/>
      <c r="B189" s="10" t="s">
        <v>463</v>
      </c>
      <c r="C189" s="10" t="s">
        <v>321</v>
      </c>
      <c r="D189" s="10">
        <v>2</v>
      </c>
      <c r="E189" s="10">
        <f t="shared" si="31"/>
        <v>1</v>
      </c>
      <c r="F189" s="10">
        <v>0</v>
      </c>
      <c r="G189" s="10">
        <v>9249</v>
      </c>
      <c r="H189" s="10">
        <v>1</v>
      </c>
      <c r="I189" s="10">
        <v>1</v>
      </c>
      <c r="J189" s="10" t="s">
        <v>418</v>
      </c>
      <c r="K189" s="10">
        <f t="shared" si="28"/>
        <v>820</v>
      </c>
      <c r="L189" s="10">
        <f t="shared" si="32"/>
        <v>819</v>
      </c>
      <c r="M189" s="10" t="s">
        <v>419</v>
      </c>
      <c r="N189" s="10" t="s">
        <v>327</v>
      </c>
      <c r="O189" s="10"/>
      <c r="P189" s="10"/>
      <c r="Q189" s="111"/>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c r="GJ189" s="6"/>
      <c r="GK189" s="6"/>
      <c r="GL189" s="6"/>
      <c r="GM189" s="6"/>
      <c r="GN189" s="6"/>
      <c r="GO189" s="6"/>
      <c r="GP189" s="6"/>
      <c r="GQ189" s="6"/>
      <c r="GR189" s="6"/>
      <c r="GS189" s="6"/>
      <c r="GT189" s="6"/>
      <c r="GU189" s="6"/>
      <c r="GV189" s="6"/>
      <c r="GW189" s="6"/>
      <c r="GX189" s="6"/>
      <c r="GY189" s="6"/>
      <c r="GZ189" s="6"/>
      <c r="HA189" s="6"/>
      <c r="HB189" s="6"/>
      <c r="HC189" s="6"/>
      <c r="HD189" s="6"/>
      <c r="HE189" s="6"/>
      <c r="HF189" s="6"/>
      <c r="HG189" s="6"/>
      <c r="HH189" s="6"/>
      <c r="HI189" s="6"/>
      <c r="HJ189" s="6"/>
      <c r="HK189" s="6"/>
      <c r="HL189" s="6"/>
      <c r="HM189" s="6"/>
      <c r="HN189" s="6"/>
      <c r="HO189" s="6"/>
      <c r="HP189" s="6"/>
      <c r="HQ189" s="6"/>
      <c r="HR189" s="6"/>
    </row>
    <row r="190" spans="1:226" s="47" customFormat="1" x14ac:dyDescent="0.3">
      <c r="A190" s="6"/>
      <c r="B190" s="10" t="s">
        <v>464</v>
      </c>
      <c r="C190" s="10" t="s">
        <v>321</v>
      </c>
      <c r="D190" s="10">
        <v>2</v>
      </c>
      <c r="E190" s="10">
        <f t="shared" si="31"/>
        <v>1</v>
      </c>
      <c r="F190" s="10">
        <v>0</v>
      </c>
      <c r="G190" s="10">
        <v>9249</v>
      </c>
      <c r="H190" s="10">
        <v>1</v>
      </c>
      <c r="I190" s="10">
        <v>1</v>
      </c>
      <c r="J190" s="10" t="s">
        <v>418</v>
      </c>
      <c r="K190" s="10">
        <f t="shared" si="28"/>
        <v>821</v>
      </c>
      <c r="L190" s="10">
        <f t="shared" si="32"/>
        <v>820</v>
      </c>
      <c r="M190" s="10" t="s">
        <v>419</v>
      </c>
      <c r="N190" s="10" t="s">
        <v>327</v>
      </c>
      <c r="O190" s="10"/>
      <c r="P190" s="10"/>
      <c r="Q190" s="111"/>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c r="GJ190" s="6"/>
      <c r="GK190" s="6"/>
      <c r="GL190" s="6"/>
      <c r="GM190" s="6"/>
      <c r="GN190" s="6"/>
      <c r="GO190" s="6"/>
      <c r="GP190" s="6"/>
      <c r="GQ190" s="6"/>
      <c r="GR190" s="6"/>
      <c r="GS190" s="6"/>
      <c r="GT190" s="6"/>
      <c r="GU190" s="6"/>
      <c r="GV190" s="6"/>
      <c r="GW190" s="6"/>
      <c r="GX190" s="6"/>
      <c r="GY190" s="6"/>
      <c r="GZ190" s="6"/>
      <c r="HA190" s="6"/>
      <c r="HB190" s="6"/>
      <c r="HC190" s="6"/>
      <c r="HD190" s="6"/>
      <c r="HE190" s="6"/>
      <c r="HF190" s="6"/>
      <c r="HG190" s="6"/>
      <c r="HH190" s="6"/>
      <c r="HI190" s="6"/>
      <c r="HJ190" s="6"/>
      <c r="HK190" s="6"/>
      <c r="HL190" s="6"/>
      <c r="HM190" s="6"/>
      <c r="HN190" s="6"/>
      <c r="HO190" s="6"/>
      <c r="HP190" s="6"/>
      <c r="HQ190" s="6"/>
      <c r="HR190" s="6"/>
    </row>
    <row r="191" spans="1:226" s="47" customFormat="1" x14ac:dyDescent="0.3">
      <c r="A191" s="6"/>
      <c r="B191" s="10" t="s">
        <v>465</v>
      </c>
      <c r="C191" s="10" t="s">
        <v>321</v>
      </c>
      <c r="D191" s="10">
        <v>2</v>
      </c>
      <c r="E191" s="10">
        <f t="shared" si="31"/>
        <v>1</v>
      </c>
      <c r="F191" s="10">
        <v>0</v>
      </c>
      <c r="G191" s="10">
        <v>9249</v>
      </c>
      <c r="H191" s="10">
        <v>1</v>
      </c>
      <c r="I191" s="10">
        <v>1</v>
      </c>
      <c r="J191" s="10" t="s">
        <v>418</v>
      </c>
      <c r="K191" s="10">
        <f t="shared" si="28"/>
        <v>822</v>
      </c>
      <c r="L191" s="10">
        <f t="shared" si="32"/>
        <v>821</v>
      </c>
      <c r="M191" s="10" t="s">
        <v>419</v>
      </c>
      <c r="N191" s="10" t="s">
        <v>327</v>
      </c>
      <c r="O191" s="10"/>
      <c r="P191" s="10"/>
      <c r="Q191" s="111"/>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c r="GJ191" s="6"/>
      <c r="GK191" s="6"/>
      <c r="GL191" s="6"/>
      <c r="GM191" s="6"/>
      <c r="GN191" s="6"/>
      <c r="GO191" s="6"/>
      <c r="GP191" s="6"/>
      <c r="GQ191" s="6"/>
      <c r="GR191" s="6"/>
      <c r="GS191" s="6"/>
      <c r="GT191" s="6"/>
      <c r="GU191" s="6"/>
      <c r="GV191" s="6"/>
      <c r="GW191" s="6"/>
      <c r="GX191" s="6"/>
      <c r="GY191" s="6"/>
      <c r="GZ191" s="6"/>
      <c r="HA191" s="6"/>
      <c r="HB191" s="6"/>
      <c r="HC191" s="6"/>
      <c r="HD191" s="6"/>
      <c r="HE191" s="6"/>
      <c r="HF191" s="6"/>
      <c r="HG191" s="6"/>
      <c r="HH191" s="6"/>
      <c r="HI191" s="6"/>
      <c r="HJ191" s="6"/>
      <c r="HK191" s="6"/>
      <c r="HL191" s="6"/>
      <c r="HM191" s="6"/>
      <c r="HN191" s="6"/>
      <c r="HO191" s="6"/>
      <c r="HP191" s="6"/>
      <c r="HQ191" s="6"/>
      <c r="HR191" s="6"/>
    </row>
    <row r="192" spans="1:226" s="47" customFormat="1" x14ac:dyDescent="0.3">
      <c r="A192" s="6"/>
      <c r="B192" s="10" t="s">
        <v>466</v>
      </c>
      <c r="C192" s="10" t="s">
        <v>321</v>
      </c>
      <c r="D192" s="10">
        <v>2</v>
      </c>
      <c r="E192" s="10">
        <f t="shared" si="31"/>
        <v>1</v>
      </c>
      <c r="F192" s="10">
        <v>0</v>
      </c>
      <c r="G192" s="10">
        <v>9249</v>
      </c>
      <c r="H192" s="10">
        <v>1</v>
      </c>
      <c r="I192" s="10">
        <v>1</v>
      </c>
      <c r="J192" s="10" t="s">
        <v>418</v>
      </c>
      <c r="K192" s="10">
        <f t="shared" si="28"/>
        <v>823</v>
      </c>
      <c r="L192" s="10">
        <f t="shared" si="32"/>
        <v>822</v>
      </c>
      <c r="M192" s="10" t="s">
        <v>419</v>
      </c>
      <c r="N192" s="10" t="s">
        <v>327</v>
      </c>
      <c r="O192" s="10"/>
      <c r="P192" s="10"/>
      <c r="Q192" s="111"/>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c r="GJ192" s="6"/>
      <c r="GK192" s="6"/>
      <c r="GL192" s="6"/>
      <c r="GM192" s="6"/>
      <c r="GN192" s="6"/>
      <c r="GO192" s="6"/>
      <c r="GP192" s="6"/>
      <c r="GQ192" s="6"/>
      <c r="GR192" s="6"/>
      <c r="GS192" s="6"/>
      <c r="GT192" s="6"/>
      <c r="GU192" s="6"/>
      <c r="GV192" s="6"/>
      <c r="GW192" s="6"/>
      <c r="GX192" s="6"/>
      <c r="GY192" s="6"/>
      <c r="GZ192" s="6"/>
      <c r="HA192" s="6"/>
      <c r="HB192" s="6"/>
      <c r="HC192" s="6"/>
      <c r="HD192" s="6"/>
      <c r="HE192" s="6"/>
      <c r="HF192" s="6"/>
      <c r="HG192" s="6"/>
      <c r="HH192" s="6"/>
      <c r="HI192" s="6"/>
      <c r="HJ192" s="6"/>
      <c r="HK192" s="6"/>
      <c r="HL192" s="6"/>
      <c r="HM192" s="6"/>
      <c r="HN192" s="6"/>
      <c r="HO192" s="6"/>
      <c r="HP192" s="6"/>
      <c r="HQ192" s="6"/>
      <c r="HR192" s="6"/>
    </row>
    <row r="193" spans="1:226" s="47" customFormat="1" x14ac:dyDescent="0.3">
      <c r="A193" s="6"/>
      <c r="B193" s="10" t="s">
        <v>467</v>
      </c>
      <c r="C193" s="10" t="s">
        <v>321</v>
      </c>
      <c r="D193" s="10">
        <v>2</v>
      </c>
      <c r="E193" s="10">
        <f t="shared" si="31"/>
        <v>1</v>
      </c>
      <c r="F193" s="10">
        <v>0</v>
      </c>
      <c r="G193" s="10">
        <v>9249</v>
      </c>
      <c r="H193" s="10">
        <v>1</v>
      </c>
      <c r="I193" s="10">
        <v>1</v>
      </c>
      <c r="J193" s="10" t="s">
        <v>418</v>
      </c>
      <c r="K193" s="10">
        <f t="shared" si="28"/>
        <v>824</v>
      </c>
      <c r="L193" s="10">
        <f t="shared" si="32"/>
        <v>823</v>
      </c>
      <c r="M193" s="10" t="s">
        <v>419</v>
      </c>
      <c r="N193" s="10" t="s">
        <v>327</v>
      </c>
      <c r="O193" s="10"/>
      <c r="P193" s="10"/>
      <c r="Q193" s="111"/>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c r="GJ193" s="6"/>
      <c r="GK193" s="6"/>
      <c r="GL193" s="6"/>
      <c r="GM193" s="6"/>
      <c r="GN193" s="6"/>
      <c r="GO193" s="6"/>
      <c r="GP193" s="6"/>
      <c r="GQ193" s="6"/>
      <c r="GR193" s="6"/>
      <c r="GS193" s="6"/>
      <c r="GT193" s="6"/>
      <c r="GU193" s="6"/>
      <c r="GV193" s="6"/>
      <c r="GW193" s="6"/>
      <c r="GX193" s="6"/>
      <c r="GY193" s="6"/>
      <c r="GZ193" s="6"/>
      <c r="HA193" s="6"/>
      <c r="HB193" s="6"/>
      <c r="HC193" s="6"/>
      <c r="HD193" s="6"/>
      <c r="HE193" s="6"/>
      <c r="HF193" s="6"/>
      <c r="HG193" s="6"/>
      <c r="HH193" s="6"/>
      <c r="HI193" s="6"/>
      <c r="HJ193" s="6"/>
      <c r="HK193" s="6"/>
      <c r="HL193" s="6"/>
      <c r="HM193" s="6"/>
      <c r="HN193" s="6"/>
      <c r="HO193" s="6"/>
      <c r="HP193" s="6"/>
      <c r="HQ193" s="6"/>
      <c r="HR193" s="6"/>
    </row>
    <row r="194" spans="1:226" s="47" customFormat="1" x14ac:dyDescent="0.3">
      <c r="A194" s="6"/>
      <c r="B194" s="10" t="s">
        <v>468</v>
      </c>
      <c r="C194" s="10" t="s">
        <v>321</v>
      </c>
      <c r="D194" s="10">
        <v>2</v>
      </c>
      <c r="E194" s="10">
        <f t="shared" si="31"/>
        <v>1</v>
      </c>
      <c r="F194" s="10">
        <v>0</v>
      </c>
      <c r="G194" s="10">
        <v>9249</v>
      </c>
      <c r="H194" s="10">
        <v>1</v>
      </c>
      <c r="I194" s="10">
        <v>1</v>
      </c>
      <c r="J194" s="10" t="s">
        <v>418</v>
      </c>
      <c r="K194" s="10">
        <f t="shared" si="28"/>
        <v>825</v>
      </c>
      <c r="L194" s="10">
        <f t="shared" si="32"/>
        <v>824</v>
      </c>
      <c r="M194" s="10" t="s">
        <v>419</v>
      </c>
      <c r="N194" s="10" t="s">
        <v>327</v>
      </c>
      <c r="O194" s="10"/>
      <c r="P194" s="10"/>
      <c r="Q194" s="111"/>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c r="GJ194" s="6"/>
      <c r="GK194" s="6"/>
      <c r="GL194" s="6"/>
      <c r="GM194" s="6"/>
      <c r="GN194" s="6"/>
      <c r="GO194" s="6"/>
      <c r="GP194" s="6"/>
      <c r="GQ194" s="6"/>
      <c r="GR194" s="6"/>
      <c r="GS194" s="6"/>
      <c r="GT194" s="6"/>
      <c r="GU194" s="6"/>
      <c r="GV194" s="6"/>
      <c r="GW194" s="6"/>
      <c r="GX194" s="6"/>
      <c r="GY194" s="6"/>
      <c r="GZ194" s="6"/>
      <c r="HA194" s="6"/>
      <c r="HB194" s="6"/>
      <c r="HC194" s="6"/>
      <c r="HD194" s="6"/>
      <c r="HE194" s="6"/>
      <c r="HF194" s="6"/>
      <c r="HG194" s="6"/>
      <c r="HH194" s="6"/>
      <c r="HI194" s="6"/>
      <c r="HJ194" s="6"/>
      <c r="HK194" s="6"/>
      <c r="HL194" s="6"/>
      <c r="HM194" s="6"/>
      <c r="HN194" s="6"/>
      <c r="HO194" s="6"/>
      <c r="HP194" s="6"/>
      <c r="HQ194" s="6"/>
      <c r="HR194" s="6"/>
    </row>
    <row r="195" spans="1:226" x14ac:dyDescent="0.3">
      <c r="B195" s="10" t="s">
        <v>469</v>
      </c>
      <c r="C195" s="10" t="s">
        <v>321</v>
      </c>
      <c r="D195" s="10">
        <v>2</v>
      </c>
      <c r="E195" s="10">
        <f t="shared" si="31"/>
        <v>1</v>
      </c>
      <c r="F195" s="10">
        <v>0</v>
      </c>
      <c r="G195" s="10">
        <v>9249</v>
      </c>
      <c r="H195" s="10">
        <v>1</v>
      </c>
      <c r="I195" s="10">
        <v>1</v>
      </c>
      <c r="J195" s="10" t="s">
        <v>418</v>
      </c>
      <c r="K195" s="10">
        <f t="shared" si="28"/>
        <v>826</v>
      </c>
      <c r="L195" s="10">
        <f t="shared" si="32"/>
        <v>825</v>
      </c>
      <c r="M195" s="10" t="s">
        <v>419</v>
      </c>
      <c r="N195" s="10" t="s">
        <v>327</v>
      </c>
      <c r="O195" s="10"/>
      <c r="P195" s="10"/>
      <c r="Q195" s="111"/>
    </row>
    <row r="196" spans="1:226" x14ac:dyDescent="0.3">
      <c r="B196" s="10" t="s">
        <v>470</v>
      </c>
      <c r="C196" s="10" t="s">
        <v>321</v>
      </c>
      <c r="D196" s="10">
        <v>2</v>
      </c>
      <c r="E196" s="10">
        <f t="shared" si="31"/>
        <v>1</v>
      </c>
      <c r="F196" s="10">
        <v>0</v>
      </c>
      <c r="G196" s="10">
        <v>9249</v>
      </c>
      <c r="H196" s="10">
        <v>1</v>
      </c>
      <c r="I196" s="10">
        <v>1</v>
      </c>
      <c r="J196" s="10" t="s">
        <v>418</v>
      </c>
      <c r="K196" s="10">
        <f t="shared" si="28"/>
        <v>827</v>
      </c>
      <c r="L196" s="10">
        <f t="shared" si="32"/>
        <v>826</v>
      </c>
      <c r="M196" s="10" t="s">
        <v>419</v>
      </c>
      <c r="N196" s="10" t="s">
        <v>327</v>
      </c>
      <c r="O196" s="10"/>
      <c r="P196" s="10"/>
      <c r="Q196" s="111"/>
    </row>
    <row r="197" spans="1:226" x14ac:dyDescent="0.3">
      <c r="B197" s="10" t="s">
        <v>471</v>
      </c>
      <c r="C197" s="10" t="s">
        <v>321</v>
      </c>
      <c r="D197" s="10">
        <v>2</v>
      </c>
      <c r="E197" s="10">
        <f t="shared" si="31"/>
        <v>1</v>
      </c>
      <c r="F197" s="10">
        <v>0</v>
      </c>
      <c r="G197" s="10">
        <v>9249</v>
      </c>
      <c r="H197" s="10">
        <v>1</v>
      </c>
      <c r="I197" s="10">
        <v>1</v>
      </c>
      <c r="J197" s="10" t="s">
        <v>418</v>
      </c>
      <c r="K197" s="10">
        <f t="shared" si="28"/>
        <v>828</v>
      </c>
      <c r="L197" s="10">
        <f t="shared" si="32"/>
        <v>827</v>
      </c>
      <c r="M197" s="10" t="s">
        <v>419</v>
      </c>
      <c r="N197" s="10" t="s">
        <v>327</v>
      </c>
      <c r="O197" s="10"/>
      <c r="P197" s="10"/>
      <c r="Q197" s="111"/>
    </row>
    <row r="198" spans="1:226" x14ac:dyDescent="0.3">
      <c r="B198" s="10" t="s">
        <v>472</v>
      </c>
      <c r="C198" s="10" t="s">
        <v>321</v>
      </c>
      <c r="D198" s="10">
        <v>2</v>
      </c>
      <c r="E198" s="10">
        <f t="shared" si="31"/>
        <v>1</v>
      </c>
      <c r="F198" s="10">
        <v>0</v>
      </c>
      <c r="G198" s="10">
        <v>9249</v>
      </c>
      <c r="H198" s="10">
        <v>1</v>
      </c>
      <c r="I198" s="10">
        <v>1</v>
      </c>
      <c r="J198" s="10" t="s">
        <v>418</v>
      </c>
      <c r="K198" s="10">
        <f t="shared" si="28"/>
        <v>829</v>
      </c>
      <c r="L198" s="10">
        <f t="shared" si="32"/>
        <v>828</v>
      </c>
      <c r="M198" s="10" t="s">
        <v>419</v>
      </c>
      <c r="N198" s="10" t="s">
        <v>327</v>
      </c>
      <c r="O198" s="10"/>
      <c r="P198" s="10"/>
      <c r="Q198" s="111"/>
    </row>
    <row r="199" spans="1:226" x14ac:dyDescent="0.3">
      <c r="B199" s="10" t="s">
        <v>473</v>
      </c>
      <c r="C199" s="10" t="s">
        <v>321</v>
      </c>
      <c r="D199" s="10">
        <v>2</v>
      </c>
      <c r="E199" s="10">
        <f t="shared" si="31"/>
        <v>1</v>
      </c>
      <c r="F199" s="10">
        <v>0</v>
      </c>
      <c r="G199" s="10">
        <v>9249</v>
      </c>
      <c r="H199" s="10">
        <v>1</v>
      </c>
      <c r="I199" s="10">
        <v>1</v>
      </c>
      <c r="J199" s="10" t="s">
        <v>418</v>
      </c>
      <c r="K199" s="10">
        <f t="shared" si="28"/>
        <v>830</v>
      </c>
      <c r="L199" s="10">
        <f t="shared" si="32"/>
        <v>829</v>
      </c>
      <c r="M199" s="10" t="s">
        <v>419</v>
      </c>
      <c r="N199" s="10" t="s">
        <v>327</v>
      </c>
      <c r="O199" s="10"/>
      <c r="P199" s="10"/>
      <c r="Q199" s="111"/>
    </row>
    <row r="200" spans="1:226" x14ac:dyDescent="0.3">
      <c r="B200" s="10" t="s">
        <v>474</v>
      </c>
      <c r="C200" s="10" t="s">
        <v>321</v>
      </c>
      <c r="D200" s="10">
        <v>2</v>
      </c>
      <c r="E200" s="10">
        <f t="shared" si="31"/>
        <v>1</v>
      </c>
      <c r="F200" s="10">
        <v>0</v>
      </c>
      <c r="G200" s="10">
        <v>9249</v>
      </c>
      <c r="H200" s="10">
        <v>1</v>
      </c>
      <c r="I200" s="10">
        <v>1</v>
      </c>
      <c r="J200" s="10" t="s">
        <v>418</v>
      </c>
      <c r="K200" s="10">
        <f t="shared" si="28"/>
        <v>831</v>
      </c>
      <c r="L200" s="10">
        <f t="shared" si="32"/>
        <v>830</v>
      </c>
      <c r="M200" s="10" t="s">
        <v>419</v>
      </c>
      <c r="N200" s="10" t="s">
        <v>327</v>
      </c>
      <c r="O200" s="10"/>
      <c r="P200" s="10"/>
      <c r="Q200" s="111"/>
    </row>
    <row r="201" spans="1:226" x14ac:dyDescent="0.3">
      <c r="B201" s="10" t="s">
        <v>475</v>
      </c>
      <c r="C201" s="10" t="s">
        <v>321</v>
      </c>
      <c r="D201" s="10">
        <v>2</v>
      </c>
      <c r="E201" s="10">
        <f t="shared" si="31"/>
        <v>1</v>
      </c>
      <c r="F201" s="10">
        <v>0</v>
      </c>
      <c r="G201" s="10">
        <v>9249</v>
      </c>
      <c r="H201" s="10">
        <v>1</v>
      </c>
      <c r="I201" s="10">
        <v>1</v>
      </c>
      <c r="J201" s="10" t="s">
        <v>418</v>
      </c>
      <c r="K201" s="10">
        <f t="shared" si="28"/>
        <v>832</v>
      </c>
      <c r="L201" s="10">
        <f t="shared" si="32"/>
        <v>831</v>
      </c>
      <c r="M201" s="10" t="s">
        <v>419</v>
      </c>
      <c r="N201" s="10" t="s">
        <v>327</v>
      </c>
      <c r="O201" s="10"/>
      <c r="P201" s="10"/>
      <c r="Q201" s="111"/>
    </row>
    <row r="202" spans="1:226" x14ac:dyDescent="0.3">
      <c r="B202" s="10" t="s">
        <v>476</v>
      </c>
      <c r="C202" s="10" t="s">
        <v>321</v>
      </c>
      <c r="D202" s="10">
        <v>2</v>
      </c>
      <c r="E202" s="10">
        <f t="shared" si="31"/>
        <v>1</v>
      </c>
      <c r="F202" s="10">
        <v>0</v>
      </c>
      <c r="G202" s="10">
        <v>9249</v>
      </c>
      <c r="H202" s="10">
        <v>1</v>
      </c>
      <c r="I202" s="10">
        <v>1</v>
      </c>
      <c r="J202" s="10" t="s">
        <v>418</v>
      </c>
      <c r="K202" s="10">
        <f t="shared" si="28"/>
        <v>833</v>
      </c>
      <c r="L202" s="10">
        <f t="shared" si="32"/>
        <v>832</v>
      </c>
      <c r="M202" s="10" t="s">
        <v>419</v>
      </c>
      <c r="N202" s="10" t="s">
        <v>327</v>
      </c>
      <c r="O202" s="10"/>
      <c r="P202" s="10"/>
      <c r="Q202" s="111"/>
    </row>
    <row r="203" spans="1:226" x14ac:dyDescent="0.3">
      <c r="B203" s="10" t="s">
        <v>477</v>
      </c>
      <c r="C203" s="10" t="s">
        <v>321</v>
      </c>
      <c r="D203" s="10">
        <v>2</v>
      </c>
      <c r="E203" s="10">
        <f t="shared" si="31"/>
        <v>1</v>
      </c>
      <c r="F203" s="10">
        <v>0</v>
      </c>
      <c r="G203" s="10">
        <v>9249</v>
      </c>
      <c r="H203" s="10">
        <v>1</v>
      </c>
      <c r="I203" s="10">
        <v>1</v>
      </c>
      <c r="J203" s="10" t="s">
        <v>418</v>
      </c>
      <c r="K203" s="10">
        <f t="shared" si="28"/>
        <v>834</v>
      </c>
      <c r="L203" s="10">
        <f t="shared" si="32"/>
        <v>833</v>
      </c>
      <c r="M203" s="10" t="s">
        <v>419</v>
      </c>
      <c r="N203" s="10" t="s">
        <v>327</v>
      </c>
      <c r="O203" s="10"/>
      <c r="P203" s="10"/>
      <c r="Q203" s="111"/>
    </row>
    <row r="204" spans="1:226" x14ac:dyDescent="0.3">
      <c r="B204" s="10" t="s">
        <v>478</v>
      </c>
      <c r="C204" s="10" t="s">
        <v>321</v>
      </c>
      <c r="D204" s="10">
        <v>2</v>
      </c>
      <c r="E204" s="10">
        <f t="shared" si="31"/>
        <v>1</v>
      </c>
      <c r="F204" s="10">
        <v>0</v>
      </c>
      <c r="G204" s="10">
        <v>9249</v>
      </c>
      <c r="H204" s="10">
        <v>1</v>
      </c>
      <c r="I204" s="10">
        <v>1</v>
      </c>
      <c r="J204" s="10" t="s">
        <v>418</v>
      </c>
      <c r="K204" s="10">
        <f t="shared" si="28"/>
        <v>835</v>
      </c>
      <c r="L204" s="10">
        <f t="shared" si="32"/>
        <v>834</v>
      </c>
      <c r="M204" s="10" t="s">
        <v>419</v>
      </c>
      <c r="N204" s="10" t="s">
        <v>327</v>
      </c>
      <c r="O204" s="10"/>
      <c r="P204" s="10"/>
      <c r="Q204" s="111"/>
    </row>
    <row r="205" spans="1:226" x14ac:dyDescent="0.3">
      <c r="B205" s="10" t="s">
        <v>479</v>
      </c>
      <c r="C205" s="10" t="s">
        <v>321</v>
      </c>
      <c r="D205" s="10">
        <v>2</v>
      </c>
      <c r="E205" s="10">
        <f t="shared" si="31"/>
        <v>1</v>
      </c>
      <c r="F205" s="10">
        <v>0</v>
      </c>
      <c r="G205" s="10">
        <v>9249</v>
      </c>
      <c r="H205" s="10">
        <v>1</v>
      </c>
      <c r="I205" s="10">
        <v>1</v>
      </c>
      <c r="J205" s="10" t="s">
        <v>418</v>
      </c>
      <c r="K205" s="10">
        <f t="shared" si="28"/>
        <v>836</v>
      </c>
      <c r="L205" s="10">
        <f t="shared" si="32"/>
        <v>835</v>
      </c>
      <c r="M205" s="10" t="s">
        <v>419</v>
      </c>
      <c r="N205" s="10" t="s">
        <v>327</v>
      </c>
      <c r="O205" s="10"/>
      <c r="P205" s="10"/>
      <c r="Q205" s="111"/>
    </row>
    <row r="206" spans="1:226" x14ac:dyDescent="0.3">
      <c r="B206" s="10" t="s">
        <v>480</v>
      </c>
      <c r="C206" s="10" t="s">
        <v>321</v>
      </c>
      <c r="D206" s="10">
        <v>2</v>
      </c>
      <c r="E206" s="10">
        <f t="shared" si="31"/>
        <v>1</v>
      </c>
      <c r="F206" s="10">
        <v>0</v>
      </c>
      <c r="G206" s="10">
        <v>9249</v>
      </c>
      <c r="H206" s="10">
        <v>1</v>
      </c>
      <c r="I206" s="10">
        <v>1</v>
      </c>
      <c r="J206" s="10" t="s">
        <v>418</v>
      </c>
      <c r="K206" s="10">
        <f t="shared" si="28"/>
        <v>837</v>
      </c>
      <c r="L206" s="10">
        <f t="shared" si="32"/>
        <v>836</v>
      </c>
      <c r="M206" s="10" t="s">
        <v>419</v>
      </c>
      <c r="N206" s="10" t="s">
        <v>327</v>
      </c>
      <c r="O206" s="10"/>
      <c r="P206" s="10"/>
      <c r="Q206" s="111"/>
    </row>
    <row r="207" spans="1:226" x14ac:dyDescent="0.3">
      <c r="B207" s="10" t="s">
        <v>481</v>
      </c>
      <c r="C207" s="10" t="s">
        <v>321</v>
      </c>
      <c r="D207" s="10">
        <v>2</v>
      </c>
      <c r="E207" s="10">
        <f t="shared" si="31"/>
        <v>1</v>
      </c>
      <c r="F207" s="10">
        <v>0</v>
      </c>
      <c r="G207" s="10">
        <v>9249</v>
      </c>
      <c r="H207" s="10">
        <v>1</v>
      </c>
      <c r="I207" s="10">
        <v>1</v>
      </c>
      <c r="J207" s="10" t="s">
        <v>418</v>
      </c>
      <c r="K207" s="10">
        <f t="shared" si="28"/>
        <v>838</v>
      </c>
      <c r="L207" s="10">
        <f t="shared" si="32"/>
        <v>837</v>
      </c>
      <c r="M207" s="10" t="s">
        <v>419</v>
      </c>
      <c r="N207" s="10" t="s">
        <v>327</v>
      </c>
      <c r="O207" s="10"/>
      <c r="P207" s="10"/>
      <c r="Q207" s="111"/>
    </row>
    <row r="208" spans="1:226" x14ac:dyDescent="0.3">
      <c r="B208" s="10" t="s">
        <v>482</v>
      </c>
      <c r="C208" s="10" t="s">
        <v>321</v>
      </c>
      <c r="D208" s="10">
        <v>2</v>
      </c>
      <c r="E208" s="10">
        <f t="shared" si="31"/>
        <v>1</v>
      </c>
      <c r="F208" s="10">
        <v>0</v>
      </c>
      <c r="G208" s="10">
        <v>9249</v>
      </c>
      <c r="H208" s="10">
        <v>1</v>
      </c>
      <c r="I208" s="10">
        <v>1</v>
      </c>
      <c r="J208" s="10" t="s">
        <v>418</v>
      </c>
      <c r="K208" s="10">
        <f t="shared" si="28"/>
        <v>839</v>
      </c>
      <c r="L208" s="10">
        <f t="shared" si="32"/>
        <v>838</v>
      </c>
      <c r="M208" s="10" t="s">
        <v>419</v>
      </c>
      <c r="N208" s="10" t="s">
        <v>327</v>
      </c>
      <c r="O208" s="10"/>
      <c r="P208" s="10"/>
      <c r="Q208" s="111"/>
    </row>
    <row r="209" spans="2:17" x14ac:dyDescent="0.3">
      <c r="B209" s="10" t="s">
        <v>483</v>
      </c>
      <c r="C209" s="10" t="s">
        <v>321</v>
      </c>
      <c r="D209" s="10">
        <v>2</v>
      </c>
      <c r="E209" s="10">
        <f t="shared" si="31"/>
        <v>1</v>
      </c>
      <c r="F209" s="10">
        <v>0</v>
      </c>
      <c r="G209" s="10">
        <v>9249</v>
      </c>
      <c r="H209" s="10">
        <v>1</v>
      </c>
      <c r="I209" s="10">
        <v>1</v>
      </c>
      <c r="J209" s="10" t="s">
        <v>418</v>
      </c>
      <c r="K209" s="10">
        <f t="shared" si="28"/>
        <v>840</v>
      </c>
      <c r="L209" s="10">
        <f t="shared" si="32"/>
        <v>839</v>
      </c>
      <c r="M209" s="10" t="s">
        <v>419</v>
      </c>
      <c r="N209" s="10" t="s">
        <v>327</v>
      </c>
      <c r="O209" s="10"/>
      <c r="P209" s="10"/>
      <c r="Q209" s="111"/>
    </row>
    <row r="210" spans="2:17" x14ac:dyDescent="0.3">
      <c r="B210" s="10" t="s">
        <v>484</v>
      </c>
      <c r="C210" s="10" t="s">
        <v>321</v>
      </c>
      <c r="D210" s="10">
        <v>2</v>
      </c>
      <c r="E210" s="10">
        <f t="shared" si="31"/>
        <v>1</v>
      </c>
      <c r="F210" s="10">
        <v>0</v>
      </c>
      <c r="G210" s="10">
        <v>9249</v>
      </c>
      <c r="H210" s="10">
        <v>1</v>
      </c>
      <c r="I210" s="10">
        <v>1</v>
      </c>
      <c r="J210" s="10" t="s">
        <v>418</v>
      </c>
      <c r="K210" s="10">
        <f t="shared" si="28"/>
        <v>841</v>
      </c>
      <c r="L210" s="10">
        <f t="shared" si="32"/>
        <v>840</v>
      </c>
      <c r="M210" s="10" t="s">
        <v>419</v>
      </c>
      <c r="N210" s="10" t="s">
        <v>327</v>
      </c>
      <c r="O210" s="10"/>
      <c r="P210" s="10"/>
      <c r="Q210" s="111"/>
    </row>
    <row r="211" spans="2:17" x14ac:dyDescent="0.3">
      <c r="B211" s="10" t="s">
        <v>485</v>
      </c>
      <c r="C211" s="10" t="s">
        <v>321</v>
      </c>
      <c r="D211" s="10">
        <v>2</v>
      </c>
      <c r="E211" s="10">
        <f t="shared" si="31"/>
        <v>1</v>
      </c>
      <c r="F211" s="10">
        <v>0</v>
      </c>
      <c r="G211" s="10">
        <v>9249</v>
      </c>
      <c r="H211" s="10">
        <v>1</v>
      </c>
      <c r="I211" s="10">
        <v>1</v>
      </c>
      <c r="J211" s="10" t="s">
        <v>418</v>
      </c>
      <c r="K211" s="10">
        <f t="shared" si="28"/>
        <v>842</v>
      </c>
      <c r="L211" s="10">
        <f t="shared" si="32"/>
        <v>841</v>
      </c>
      <c r="M211" s="10" t="s">
        <v>419</v>
      </c>
      <c r="N211" s="10" t="s">
        <v>327</v>
      </c>
      <c r="O211" s="10"/>
      <c r="P211" s="10"/>
      <c r="Q211" s="111"/>
    </row>
    <row r="212" spans="2:17" x14ac:dyDescent="0.3">
      <c r="B212" s="10" t="s">
        <v>486</v>
      </c>
      <c r="C212" s="10" t="s">
        <v>321</v>
      </c>
      <c r="D212" s="10">
        <v>2</v>
      </c>
      <c r="E212" s="10">
        <f t="shared" si="31"/>
        <v>1</v>
      </c>
      <c r="F212" s="10">
        <v>0</v>
      </c>
      <c r="G212" s="10">
        <v>9249</v>
      </c>
      <c r="H212" s="10">
        <v>1</v>
      </c>
      <c r="I212" s="10">
        <v>1</v>
      </c>
      <c r="J212" s="10" t="s">
        <v>418</v>
      </c>
      <c r="K212" s="10">
        <f t="shared" si="28"/>
        <v>843</v>
      </c>
      <c r="L212" s="10">
        <f t="shared" si="32"/>
        <v>842</v>
      </c>
      <c r="M212" s="10" t="s">
        <v>419</v>
      </c>
      <c r="N212" s="10" t="s">
        <v>327</v>
      </c>
      <c r="O212" s="10"/>
      <c r="P212" s="10"/>
      <c r="Q212" s="111"/>
    </row>
    <row r="213" spans="2:17" x14ac:dyDescent="0.3">
      <c r="B213" s="10" t="s">
        <v>487</v>
      </c>
      <c r="C213" s="10" t="s">
        <v>321</v>
      </c>
      <c r="D213" s="10">
        <v>2</v>
      </c>
      <c r="E213" s="10">
        <f t="shared" si="31"/>
        <v>1</v>
      </c>
      <c r="F213" s="10">
        <v>0</v>
      </c>
      <c r="G213" s="10">
        <v>9249</v>
      </c>
      <c r="H213" s="10">
        <v>1</v>
      </c>
      <c r="I213" s="10">
        <v>1</v>
      </c>
      <c r="J213" s="10" t="s">
        <v>418</v>
      </c>
      <c r="K213" s="10">
        <f t="shared" si="28"/>
        <v>844</v>
      </c>
      <c r="L213" s="10">
        <f t="shared" si="32"/>
        <v>843</v>
      </c>
      <c r="M213" s="10" t="s">
        <v>419</v>
      </c>
      <c r="N213" s="10" t="s">
        <v>327</v>
      </c>
      <c r="O213" s="10"/>
      <c r="P213" s="10"/>
      <c r="Q213" s="111"/>
    </row>
    <row r="214" spans="2:17" x14ac:dyDescent="0.3">
      <c r="B214" s="10" t="s">
        <v>488</v>
      </c>
      <c r="C214" s="10" t="s">
        <v>321</v>
      </c>
      <c r="D214" s="10">
        <v>2</v>
      </c>
      <c r="E214" s="10">
        <f t="shared" si="31"/>
        <v>1</v>
      </c>
      <c r="F214" s="10">
        <v>0</v>
      </c>
      <c r="G214" s="10">
        <v>9249</v>
      </c>
      <c r="H214" s="10">
        <v>1</v>
      </c>
      <c r="I214" s="10">
        <v>1</v>
      </c>
      <c r="J214" s="10" t="s">
        <v>418</v>
      </c>
      <c r="K214" s="10">
        <f t="shared" si="28"/>
        <v>845</v>
      </c>
      <c r="L214" s="10">
        <f t="shared" si="32"/>
        <v>844</v>
      </c>
      <c r="M214" s="10" t="s">
        <v>419</v>
      </c>
      <c r="N214" s="10" t="s">
        <v>327</v>
      </c>
      <c r="O214" s="10"/>
      <c r="P214" s="10"/>
      <c r="Q214" s="111"/>
    </row>
    <row r="215" spans="2:17" x14ac:dyDescent="0.3">
      <c r="B215" s="10" t="s">
        <v>489</v>
      </c>
      <c r="C215" s="10" t="s">
        <v>321</v>
      </c>
      <c r="D215" s="10">
        <v>2</v>
      </c>
      <c r="E215" s="10">
        <f t="shared" si="31"/>
        <v>1</v>
      </c>
      <c r="F215" s="10">
        <v>0</v>
      </c>
      <c r="G215" s="10">
        <v>9249</v>
      </c>
      <c r="H215" s="10">
        <v>1</v>
      </c>
      <c r="I215" s="10">
        <v>1</v>
      </c>
      <c r="J215" s="10" t="s">
        <v>418</v>
      </c>
      <c r="K215" s="10">
        <f t="shared" si="28"/>
        <v>846</v>
      </c>
      <c r="L215" s="10">
        <f t="shared" si="32"/>
        <v>845</v>
      </c>
      <c r="M215" s="10" t="s">
        <v>419</v>
      </c>
      <c r="N215" s="10" t="s">
        <v>327</v>
      </c>
      <c r="O215" s="10"/>
      <c r="P215" s="10"/>
      <c r="Q215" s="111"/>
    </row>
    <row r="216" spans="2:17" x14ac:dyDescent="0.3">
      <c r="B216" s="10" t="s">
        <v>490</v>
      </c>
      <c r="C216" s="10" t="s">
        <v>321</v>
      </c>
      <c r="D216" s="10">
        <v>2</v>
      </c>
      <c r="E216" s="10">
        <f t="shared" si="31"/>
        <v>1</v>
      </c>
      <c r="F216" s="10">
        <v>0</v>
      </c>
      <c r="G216" s="10">
        <v>9249</v>
      </c>
      <c r="H216" s="10">
        <v>1</v>
      </c>
      <c r="I216" s="10">
        <v>1</v>
      </c>
      <c r="J216" s="10" t="s">
        <v>418</v>
      </c>
      <c r="K216" s="10">
        <f t="shared" si="28"/>
        <v>847</v>
      </c>
      <c r="L216" s="10">
        <f t="shared" si="32"/>
        <v>846</v>
      </c>
      <c r="M216" s="10" t="s">
        <v>419</v>
      </c>
      <c r="N216" s="10" t="s">
        <v>327</v>
      </c>
      <c r="O216" s="10"/>
      <c r="P216" s="10"/>
      <c r="Q216" s="111"/>
    </row>
    <row r="217" spans="2:17" x14ac:dyDescent="0.3">
      <c r="B217" s="10" t="s">
        <v>491</v>
      </c>
      <c r="C217" s="10" t="s">
        <v>321</v>
      </c>
      <c r="D217" s="10">
        <v>2</v>
      </c>
      <c r="E217" s="10">
        <f t="shared" si="31"/>
        <v>1</v>
      </c>
      <c r="F217" s="10">
        <v>0</v>
      </c>
      <c r="G217" s="10">
        <v>9249</v>
      </c>
      <c r="H217" s="10">
        <v>1</v>
      </c>
      <c r="I217" s="10">
        <v>1</v>
      </c>
      <c r="J217" s="10" t="s">
        <v>418</v>
      </c>
      <c r="K217" s="10">
        <f t="shared" si="28"/>
        <v>848</v>
      </c>
      <c r="L217" s="10">
        <f t="shared" si="32"/>
        <v>847</v>
      </c>
      <c r="M217" s="10" t="s">
        <v>419</v>
      </c>
      <c r="N217" s="10" t="s">
        <v>327</v>
      </c>
      <c r="O217" s="10"/>
      <c r="P217" s="10"/>
      <c r="Q217" s="111"/>
    </row>
    <row r="218" spans="2:17" x14ac:dyDescent="0.3">
      <c r="B218" s="10" t="s">
        <v>492</v>
      </c>
      <c r="C218" s="10" t="s">
        <v>321</v>
      </c>
      <c r="D218" s="10">
        <v>2</v>
      </c>
      <c r="E218" s="10">
        <f t="shared" si="31"/>
        <v>1</v>
      </c>
      <c r="F218" s="10">
        <v>0</v>
      </c>
      <c r="G218" s="10">
        <v>9249</v>
      </c>
      <c r="H218" s="10">
        <v>1</v>
      </c>
      <c r="I218" s="10">
        <v>1</v>
      </c>
      <c r="J218" s="10" t="s">
        <v>418</v>
      </c>
      <c r="K218" s="10">
        <f t="shared" si="28"/>
        <v>849</v>
      </c>
      <c r="L218" s="10">
        <f t="shared" si="32"/>
        <v>848</v>
      </c>
      <c r="M218" s="10" t="s">
        <v>419</v>
      </c>
      <c r="N218" s="10" t="s">
        <v>327</v>
      </c>
      <c r="O218" s="10"/>
      <c r="P218" s="10"/>
      <c r="Q218" s="111"/>
    </row>
    <row r="219" spans="2:17" x14ac:dyDescent="0.3">
      <c r="B219" s="10" t="s">
        <v>493</v>
      </c>
      <c r="C219" s="10" t="s">
        <v>321</v>
      </c>
      <c r="D219" s="10">
        <v>2</v>
      </c>
      <c r="E219" s="10">
        <f t="shared" si="31"/>
        <v>1</v>
      </c>
      <c r="F219" s="10">
        <v>0</v>
      </c>
      <c r="G219" s="10">
        <v>9249</v>
      </c>
      <c r="H219" s="10">
        <v>1</v>
      </c>
      <c r="I219" s="10">
        <v>1</v>
      </c>
      <c r="J219" s="10" t="s">
        <v>418</v>
      </c>
      <c r="K219" s="10">
        <f t="shared" si="28"/>
        <v>850</v>
      </c>
      <c r="L219" s="10">
        <f t="shared" si="32"/>
        <v>849</v>
      </c>
      <c r="M219" s="10" t="s">
        <v>419</v>
      </c>
      <c r="N219" s="10" t="s">
        <v>327</v>
      </c>
      <c r="O219" s="10"/>
      <c r="P219" s="10"/>
      <c r="Q219" s="111"/>
    </row>
    <row r="220" spans="2:17" x14ac:dyDescent="0.3">
      <c r="B220" s="10" t="s">
        <v>494</v>
      </c>
      <c r="C220" s="10" t="s">
        <v>321</v>
      </c>
      <c r="D220" s="10">
        <v>2</v>
      </c>
      <c r="E220" s="10">
        <f t="shared" si="31"/>
        <v>1</v>
      </c>
      <c r="F220" s="10">
        <v>0</v>
      </c>
      <c r="G220" s="10">
        <v>9249</v>
      </c>
      <c r="H220" s="10">
        <v>1</v>
      </c>
      <c r="I220" s="10">
        <v>1</v>
      </c>
      <c r="J220" s="10" t="s">
        <v>418</v>
      </c>
      <c r="K220" s="10">
        <f t="shared" si="28"/>
        <v>851</v>
      </c>
      <c r="L220" s="10">
        <f t="shared" si="32"/>
        <v>850</v>
      </c>
      <c r="M220" s="10" t="s">
        <v>419</v>
      </c>
      <c r="N220" s="10" t="s">
        <v>327</v>
      </c>
      <c r="O220" s="10"/>
      <c r="P220" s="10"/>
      <c r="Q220" s="111"/>
    </row>
    <row r="221" spans="2:17" x14ac:dyDescent="0.3">
      <c r="B221" s="10" t="s">
        <v>495</v>
      </c>
      <c r="C221" s="10" t="s">
        <v>321</v>
      </c>
      <c r="D221" s="10">
        <v>2</v>
      </c>
      <c r="E221" s="10">
        <f t="shared" si="31"/>
        <v>1</v>
      </c>
      <c r="F221" s="142">
        <v>0</v>
      </c>
      <c r="G221" s="10">
        <v>9249</v>
      </c>
      <c r="H221" s="10">
        <v>1</v>
      </c>
      <c r="I221" s="10">
        <v>1</v>
      </c>
      <c r="J221" s="10" t="s">
        <v>418</v>
      </c>
      <c r="K221" s="10">
        <f t="shared" si="28"/>
        <v>852</v>
      </c>
      <c r="L221" s="10">
        <f t="shared" si="32"/>
        <v>851</v>
      </c>
      <c r="M221" s="10" t="s">
        <v>419</v>
      </c>
      <c r="N221" s="10" t="s">
        <v>327</v>
      </c>
      <c r="O221" s="10"/>
      <c r="P221" s="10"/>
      <c r="Q221" s="111"/>
    </row>
    <row r="222" spans="2:17" x14ac:dyDescent="0.3">
      <c r="B222" s="10" t="s">
        <v>496</v>
      </c>
      <c r="C222" s="10" t="s">
        <v>321</v>
      </c>
      <c r="D222" s="10">
        <v>2</v>
      </c>
      <c r="E222" s="10">
        <f t="shared" si="31"/>
        <v>1</v>
      </c>
      <c r="F222" s="142">
        <v>0</v>
      </c>
      <c r="G222" s="10">
        <v>9249</v>
      </c>
      <c r="H222" s="10">
        <v>1</v>
      </c>
      <c r="I222" s="10">
        <v>1</v>
      </c>
      <c r="J222" s="10" t="s">
        <v>418</v>
      </c>
      <c r="K222" s="10">
        <f t="shared" si="28"/>
        <v>853</v>
      </c>
      <c r="L222" s="10">
        <f t="shared" si="32"/>
        <v>852</v>
      </c>
      <c r="M222" s="10" t="s">
        <v>419</v>
      </c>
      <c r="N222" s="10" t="s">
        <v>327</v>
      </c>
      <c r="O222" s="10"/>
      <c r="P222" s="10"/>
      <c r="Q222" s="111"/>
    </row>
    <row r="223" spans="2:17" x14ac:dyDescent="0.3">
      <c r="B223" s="10" t="s">
        <v>497</v>
      </c>
      <c r="C223" s="10" t="s">
        <v>321</v>
      </c>
      <c r="D223" s="10">
        <v>2</v>
      </c>
      <c r="E223" s="10">
        <f t="shared" si="31"/>
        <v>1</v>
      </c>
      <c r="F223" s="142">
        <v>0</v>
      </c>
      <c r="G223" s="10">
        <v>9249</v>
      </c>
      <c r="H223" s="10">
        <v>1</v>
      </c>
      <c r="I223" s="10">
        <v>1</v>
      </c>
      <c r="J223" s="10" t="s">
        <v>418</v>
      </c>
      <c r="K223" s="10">
        <f t="shared" si="28"/>
        <v>854</v>
      </c>
      <c r="L223" s="10">
        <f t="shared" si="32"/>
        <v>853</v>
      </c>
      <c r="M223" s="10" t="s">
        <v>419</v>
      </c>
      <c r="N223" s="10" t="s">
        <v>327</v>
      </c>
      <c r="O223" s="10"/>
      <c r="P223" s="10"/>
      <c r="Q223" s="111"/>
    </row>
    <row r="224" spans="2:17" x14ac:dyDescent="0.3">
      <c r="B224" s="10" t="s">
        <v>498</v>
      </c>
      <c r="C224" s="10" t="s">
        <v>321</v>
      </c>
      <c r="D224" s="10">
        <v>2</v>
      </c>
      <c r="E224" s="10">
        <f t="shared" si="31"/>
        <v>1</v>
      </c>
      <c r="F224" s="142">
        <v>0</v>
      </c>
      <c r="G224" s="10">
        <v>9249</v>
      </c>
      <c r="H224" s="10">
        <v>1</v>
      </c>
      <c r="I224" s="10">
        <v>1</v>
      </c>
      <c r="J224" s="10" t="s">
        <v>418</v>
      </c>
      <c r="K224" s="10">
        <f t="shared" si="28"/>
        <v>855</v>
      </c>
      <c r="L224" s="10">
        <f t="shared" si="32"/>
        <v>854</v>
      </c>
      <c r="M224" s="10" t="s">
        <v>419</v>
      </c>
      <c r="N224" s="10" t="s">
        <v>327</v>
      </c>
      <c r="O224" s="10"/>
      <c r="P224" s="10"/>
      <c r="Q224" s="111"/>
    </row>
    <row r="225" spans="2:17" x14ac:dyDescent="0.3">
      <c r="B225" s="10" t="s">
        <v>499</v>
      </c>
      <c r="C225" s="10" t="s">
        <v>321</v>
      </c>
      <c r="D225" s="10">
        <v>2</v>
      </c>
      <c r="E225" s="10">
        <f t="shared" si="31"/>
        <v>1</v>
      </c>
      <c r="F225" s="142">
        <v>0</v>
      </c>
      <c r="G225" s="10">
        <v>9249</v>
      </c>
      <c r="H225" s="10">
        <v>1</v>
      </c>
      <c r="I225" s="10">
        <v>1</v>
      </c>
      <c r="J225" s="10" t="s">
        <v>418</v>
      </c>
      <c r="K225" s="10">
        <f t="shared" si="28"/>
        <v>856</v>
      </c>
      <c r="L225" s="10">
        <f t="shared" si="32"/>
        <v>855</v>
      </c>
      <c r="M225" s="10" t="s">
        <v>419</v>
      </c>
      <c r="N225" s="10" t="s">
        <v>327</v>
      </c>
      <c r="O225" s="10"/>
      <c r="P225" s="10"/>
      <c r="Q225" s="111"/>
    </row>
    <row r="226" spans="2:17" x14ac:dyDescent="0.3">
      <c r="B226" s="10" t="s">
        <v>500</v>
      </c>
      <c r="C226" s="10" t="s">
        <v>321</v>
      </c>
      <c r="D226" s="10">
        <v>2</v>
      </c>
      <c r="E226" s="10">
        <f t="shared" si="31"/>
        <v>1</v>
      </c>
      <c r="F226" s="142">
        <v>0</v>
      </c>
      <c r="G226" s="10">
        <v>9249</v>
      </c>
      <c r="H226" s="10">
        <v>1</v>
      </c>
      <c r="I226" s="10">
        <v>1</v>
      </c>
      <c r="J226" s="10" t="s">
        <v>418</v>
      </c>
      <c r="K226" s="10">
        <f t="shared" si="28"/>
        <v>857</v>
      </c>
      <c r="L226" s="10">
        <f t="shared" si="32"/>
        <v>856</v>
      </c>
      <c r="M226" s="10" t="s">
        <v>419</v>
      </c>
      <c r="N226" s="10" t="s">
        <v>327</v>
      </c>
      <c r="O226" s="10"/>
      <c r="P226" s="10"/>
      <c r="Q226" s="111"/>
    </row>
    <row r="227" spans="2:17" x14ac:dyDescent="0.3">
      <c r="B227" s="10" t="s">
        <v>501</v>
      </c>
      <c r="C227" s="10" t="s">
        <v>321</v>
      </c>
      <c r="D227" s="10">
        <v>2</v>
      </c>
      <c r="E227" s="10">
        <f t="shared" si="31"/>
        <v>1</v>
      </c>
      <c r="F227" s="142">
        <v>0</v>
      </c>
      <c r="G227" s="10">
        <v>9249</v>
      </c>
      <c r="H227" s="10">
        <v>1</v>
      </c>
      <c r="I227" s="10">
        <v>1</v>
      </c>
      <c r="J227" s="10" t="s">
        <v>418</v>
      </c>
      <c r="K227" s="10">
        <f t="shared" si="28"/>
        <v>858</v>
      </c>
      <c r="L227" s="10">
        <f t="shared" si="32"/>
        <v>857</v>
      </c>
      <c r="M227" s="10" t="s">
        <v>419</v>
      </c>
      <c r="N227" s="10" t="s">
        <v>327</v>
      </c>
      <c r="O227" s="10"/>
      <c r="P227" s="10"/>
      <c r="Q227" s="111"/>
    </row>
    <row r="228" spans="2:17" x14ac:dyDescent="0.3">
      <c r="B228" s="10" t="s">
        <v>502</v>
      </c>
      <c r="C228" s="10" t="s">
        <v>321</v>
      </c>
      <c r="D228" s="10">
        <v>2</v>
      </c>
      <c r="E228" s="10">
        <f t="shared" si="31"/>
        <v>1</v>
      </c>
      <c r="F228" s="142">
        <v>0</v>
      </c>
      <c r="G228" s="10">
        <v>9249</v>
      </c>
      <c r="H228" s="10">
        <v>1</v>
      </c>
      <c r="I228" s="10">
        <v>1</v>
      </c>
      <c r="J228" s="10" t="s">
        <v>418</v>
      </c>
      <c r="K228" s="10">
        <f t="shared" si="28"/>
        <v>859</v>
      </c>
      <c r="L228" s="10">
        <f t="shared" si="32"/>
        <v>858</v>
      </c>
      <c r="M228" s="10" t="s">
        <v>419</v>
      </c>
      <c r="N228" s="10" t="s">
        <v>327</v>
      </c>
      <c r="O228" s="10"/>
      <c r="P228" s="10"/>
      <c r="Q228" s="111"/>
    </row>
    <row r="229" spans="2:17" x14ac:dyDescent="0.3">
      <c r="B229" s="10" t="s">
        <v>503</v>
      </c>
      <c r="C229" s="10" t="s">
        <v>321</v>
      </c>
      <c r="D229" s="10">
        <v>2</v>
      </c>
      <c r="E229" s="10">
        <f t="shared" si="31"/>
        <v>1</v>
      </c>
      <c r="F229" s="142">
        <v>0</v>
      </c>
      <c r="G229" s="10">
        <v>9249</v>
      </c>
      <c r="H229" s="10">
        <v>1</v>
      </c>
      <c r="I229" s="10">
        <v>1</v>
      </c>
      <c r="J229" s="10" t="s">
        <v>418</v>
      </c>
      <c r="K229" s="10">
        <f t="shared" si="28"/>
        <v>860</v>
      </c>
      <c r="L229" s="10">
        <f t="shared" si="32"/>
        <v>859</v>
      </c>
      <c r="M229" s="10" t="s">
        <v>419</v>
      </c>
      <c r="N229" s="10" t="s">
        <v>327</v>
      </c>
      <c r="O229" s="10"/>
      <c r="P229" s="10"/>
      <c r="Q229" s="111"/>
    </row>
    <row r="230" spans="2:17" x14ac:dyDescent="0.3">
      <c r="B230" s="10" t="s">
        <v>504</v>
      </c>
      <c r="C230" s="10" t="s">
        <v>321</v>
      </c>
      <c r="D230" s="10">
        <v>2</v>
      </c>
      <c r="E230" s="10">
        <f t="shared" si="31"/>
        <v>1</v>
      </c>
      <c r="F230" s="142">
        <v>0</v>
      </c>
      <c r="G230" s="10">
        <v>9249</v>
      </c>
      <c r="H230" s="10">
        <v>1</v>
      </c>
      <c r="I230" s="10">
        <v>1</v>
      </c>
      <c r="J230" s="10" t="s">
        <v>418</v>
      </c>
      <c r="K230" s="10">
        <f t="shared" si="28"/>
        <v>861</v>
      </c>
      <c r="L230" s="10">
        <f t="shared" si="32"/>
        <v>860</v>
      </c>
      <c r="M230" s="10" t="s">
        <v>419</v>
      </c>
      <c r="N230" s="10" t="s">
        <v>327</v>
      </c>
      <c r="O230" s="10"/>
      <c r="P230" s="10"/>
      <c r="Q230" s="111"/>
    </row>
    <row r="231" spans="2:17" x14ac:dyDescent="0.3">
      <c r="B231" s="10" t="s">
        <v>505</v>
      </c>
      <c r="C231" s="10" t="s">
        <v>321</v>
      </c>
      <c r="D231" s="10">
        <v>2</v>
      </c>
      <c r="E231" s="10">
        <f t="shared" si="31"/>
        <v>1</v>
      </c>
      <c r="F231" s="142">
        <v>0</v>
      </c>
      <c r="G231" s="10">
        <v>9249</v>
      </c>
      <c r="H231" s="10">
        <v>1</v>
      </c>
      <c r="I231" s="10">
        <v>1</v>
      </c>
      <c r="J231" s="10" t="s">
        <v>418</v>
      </c>
      <c r="K231" s="10">
        <f t="shared" si="28"/>
        <v>862</v>
      </c>
      <c r="L231" s="10">
        <f t="shared" si="32"/>
        <v>861</v>
      </c>
      <c r="M231" s="10" t="s">
        <v>419</v>
      </c>
      <c r="N231" s="10" t="s">
        <v>327</v>
      </c>
      <c r="O231" s="10"/>
      <c r="P231" s="10"/>
      <c r="Q231" s="111"/>
    </row>
    <row r="232" spans="2:17" x14ac:dyDescent="0.3">
      <c r="B232" s="10" t="s">
        <v>506</v>
      </c>
      <c r="C232" s="10" t="s">
        <v>321</v>
      </c>
      <c r="D232" s="10">
        <v>2</v>
      </c>
      <c r="E232" s="10">
        <f t="shared" si="31"/>
        <v>1</v>
      </c>
      <c r="F232" s="142">
        <v>0</v>
      </c>
      <c r="G232" s="10">
        <v>9249</v>
      </c>
      <c r="H232" s="10">
        <v>1</v>
      </c>
      <c r="I232" s="10">
        <v>1</v>
      </c>
      <c r="J232" s="10" t="s">
        <v>418</v>
      </c>
      <c r="K232" s="10">
        <f t="shared" si="28"/>
        <v>863</v>
      </c>
      <c r="L232" s="10">
        <f t="shared" si="32"/>
        <v>862</v>
      </c>
      <c r="M232" s="10" t="s">
        <v>419</v>
      </c>
      <c r="N232" s="10" t="s">
        <v>327</v>
      </c>
      <c r="O232" s="10"/>
      <c r="P232" s="10"/>
      <c r="Q232" s="111"/>
    </row>
    <row r="233" spans="2:17" x14ac:dyDescent="0.3">
      <c r="B233" s="10" t="s">
        <v>507</v>
      </c>
      <c r="C233" s="10" t="s">
        <v>321</v>
      </c>
      <c r="D233" s="10">
        <v>2</v>
      </c>
      <c r="E233" s="10">
        <f t="shared" si="31"/>
        <v>1</v>
      </c>
      <c r="F233" s="142">
        <v>0</v>
      </c>
      <c r="G233" s="10">
        <v>9249</v>
      </c>
      <c r="H233" s="10">
        <v>1</v>
      </c>
      <c r="I233" s="10">
        <v>1</v>
      </c>
      <c r="J233" s="10" t="s">
        <v>418</v>
      </c>
      <c r="K233" s="10">
        <f t="shared" si="28"/>
        <v>864</v>
      </c>
      <c r="L233" s="10">
        <f t="shared" si="32"/>
        <v>863</v>
      </c>
      <c r="M233" s="10" t="s">
        <v>419</v>
      </c>
      <c r="N233" s="10" t="s">
        <v>327</v>
      </c>
      <c r="O233" s="10"/>
      <c r="P233" s="10"/>
      <c r="Q233" s="111"/>
    </row>
    <row r="234" spans="2:17" x14ac:dyDescent="0.3">
      <c r="B234" s="10" t="s">
        <v>508</v>
      </c>
      <c r="C234" s="10" t="s">
        <v>321</v>
      </c>
      <c r="D234" s="10">
        <v>2</v>
      </c>
      <c r="E234" s="10">
        <f t="shared" si="31"/>
        <v>1</v>
      </c>
      <c r="F234" s="142">
        <v>0</v>
      </c>
      <c r="G234" s="10">
        <v>9249</v>
      </c>
      <c r="H234" s="10">
        <v>1</v>
      </c>
      <c r="I234" s="10">
        <v>1</v>
      </c>
      <c r="J234" s="10" t="s">
        <v>418</v>
      </c>
      <c r="K234" s="10">
        <f t="shared" ref="K234:K269" si="33">L234+1</f>
        <v>865</v>
      </c>
      <c r="L234" s="10">
        <f t="shared" si="32"/>
        <v>864</v>
      </c>
      <c r="M234" s="10" t="s">
        <v>419</v>
      </c>
      <c r="N234" s="10" t="s">
        <v>327</v>
      </c>
      <c r="O234" s="10"/>
      <c r="P234" s="10"/>
      <c r="Q234" s="111"/>
    </row>
    <row r="235" spans="2:17" x14ac:dyDescent="0.3">
      <c r="B235" s="10" t="s">
        <v>509</v>
      </c>
      <c r="C235" s="10" t="s">
        <v>321</v>
      </c>
      <c r="D235" s="10">
        <v>2</v>
      </c>
      <c r="E235" s="10">
        <f t="shared" si="31"/>
        <v>1</v>
      </c>
      <c r="F235" s="142">
        <v>0</v>
      </c>
      <c r="G235" s="10">
        <v>9249</v>
      </c>
      <c r="H235" s="10">
        <v>1</v>
      </c>
      <c r="I235" s="10">
        <v>1</v>
      </c>
      <c r="J235" s="10" t="s">
        <v>418</v>
      </c>
      <c r="K235" s="10">
        <f t="shared" si="33"/>
        <v>866</v>
      </c>
      <c r="L235" s="10">
        <f t="shared" si="32"/>
        <v>865</v>
      </c>
      <c r="M235" s="10" t="s">
        <v>419</v>
      </c>
      <c r="N235" s="10" t="s">
        <v>327</v>
      </c>
      <c r="O235" s="10"/>
      <c r="P235" s="10"/>
      <c r="Q235" s="111"/>
    </row>
    <row r="236" spans="2:17" x14ac:dyDescent="0.3">
      <c r="B236" s="10" t="s">
        <v>510</v>
      </c>
      <c r="C236" s="10" t="s">
        <v>321</v>
      </c>
      <c r="D236" s="10">
        <v>2</v>
      </c>
      <c r="E236" s="10">
        <f t="shared" si="31"/>
        <v>1</v>
      </c>
      <c r="F236" s="142">
        <v>0</v>
      </c>
      <c r="G236" s="10">
        <v>9249</v>
      </c>
      <c r="H236" s="10">
        <v>1</v>
      </c>
      <c r="I236" s="10">
        <v>1</v>
      </c>
      <c r="J236" s="10" t="s">
        <v>418</v>
      </c>
      <c r="K236" s="10">
        <f t="shared" si="33"/>
        <v>867</v>
      </c>
      <c r="L236" s="10">
        <f t="shared" si="32"/>
        <v>866</v>
      </c>
      <c r="M236" s="10" t="s">
        <v>419</v>
      </c>
      <c r="N236" s="10" t="s">
        <v>327</v>
      </c>
      <c r="O236" s="10"/>
      <c r="P236" s="10"/>
      <c r="Q236" s="111"/>
    </row>
    <row r="237" spans="2:17" x14ac:dyDescent="0.3">
      <c r="B237" s="10" t="s">
        <v>511</v>
      </c>
      <c r="C237" s="10" t="s">
        <v>321</v>
      </c>
      <c r="D237" s="10">
        <v>2</v>
      </c>
      <c r="E237" s="10">
        <f t="shared" si="31"/>
        <v>1</v>
      </c>
      <c r="F237" s="142">
        <v>0</v>
      </c>
      <c r="G237" s="10">
        <v>9249</v>
      </c>
      <c r="H237" s="10">
        <v>1</v>
      </c>
      <c r="I237" s="10">
        <v>1</v>
      </c>
      <c r="J237" s="10" t="s">
        <v>418</v>
      </c>
      <c r="K237" s="10">
        <f t="shared" si="33"/>
        <v>868</v>
      </c>
      <c r="L237" s="10">
        <f t="shared" si="32"/>
        <v>867</v>
      </c>
      <c r="M237" s="10" t="s">
        <v>419</v>
      </c>
      <c r="N237" s="10" t="s">
        <v>327</v>
      </c>
      <c r="O237" s="10"/>
      <c r="P237" s="10"/>
      <c r="Q237" s="111"/>
    </row>
    <row r="238" spans="2:17" x14ac:dyDescent="0.3">
      <c r="B238" s="10" t="s">
        <v>512</v>
      </c>
      <c r="C238" s="10" t="s">
        <v>321</v>
      </c>
      <c r="D238" s="10">
        <v>2</v>
      </c>
      <c r="E238" s="10">
        <f t="shared" si="31"/>
        <v>1</v>
      </c>
      <c r="F238" s="142">
        <v>0</v>
      </c>
      <c r="G238" s="10">
        <v>9249</v>
      </c>
      <c r="H238" s="10">
        <v>1</v>
      </c>
      <c r="I238" s="10">
        <v>1</v>
      </c>
      <c r="J238" s="10" t="s">
        <v>418</v>
      </c>
      <c r="K238" s="10">
        <f t="shared" si="33"/>
        <v>869</v>
      </c>
      <c r="L238" s="10">
        <f t="shared" si="32"/>
        <v>868</v>
      </c>
      <c r="M238" s="10" t="s">
        <v>419</v>
      </c>
      <c r="N238" s="10" t="s">
        <v>327</v>
      </c>
      <c r="O238" s="10"/>
      <c r="P238" s="10"/>
      <c r="Q238" s="111"/>
    </row>
    <row r="239" spans="2:17" x14ac:dyDescent="0.3">
      <c r="B239" s="10" t="s">
        <v>513</v>
      </c>
      <c r="C239" s="10" t="s">
        <v>321</v>
      </c>
      <c r="D239" s="10">
        <v>2</v>
      </c>
      <c r="E239" s="10">
        <f t="shared" si="31"/>
        <v>1</v>
      </c>
      <c r="F239" s="142">
        <v>0</v>
      </c>
      <c r="G239" s="10">
        <v>9249</v>
      </c>
      <c r="H239" s="10">
        <v>1</v>
      </c>
      <c r="I239" s="10">
        <v>1</v>
      </c>
      <c r="J239" s="10" t="s">
        <v>418</v>
      </c>
      <c r="K239" s="10">
        <f t="shared" si="33"/>
        <v>870</v>
      </c>
      <c r="L239" s="10">
        <f t="shared" si="32"/>
        <v>869</v>
      </c>
      <c r="M239" s="10" t="s">
        <v>419</v>
      </c>
      <c r="N239" s="10" t="s">
        <v>327</v>
      </c>
      <c r="O239" s="10"/>
      <c r="P239" s="10"/>
      <c r="Q239" s="111"/>
    </row>
    <row r="240" spans="2:17" x14ac:dyDescent="0.3">
      <c r="B240" s="10" t="s">
        <v>514</v>
      </c>
      <c r="C240" s="10" t="s">
        <v>321</v>
      </c>
      <c r="D240" s="10">
        <v>2</v>
      </c>
      <c r="E240" s="10">
        <f t="shared" si="31"/>
        <v>1</v>
      </c>
      <c r="F240" s="142">
        <v>0</v>
      </c>
      <c r="G240" s="10">
        <v>9249</v>
      </c>
      <c r="H240" s="10">
        <v>1</v>
      </c>
      <c r="I240" s="10">
        <v>1</v>
      </c>
      <c r="J240" s="10" t="s">
        <v>418</v>
      </c>
      <c r="K240" s="10">
        <f t="shared" si="33"/>
        <v>871</v>
      </c>
      <c r="L240" s="10">
        <f t="shared" si="32"/>
        <v>870</v>
      </c>
      <c r="M240" s="10" t="s">
        <v>419</v>
      </c>
      <c r="N240" s="10" t="s">
        <v>327</v>
      </c>
      <c r="O240" s="10"/>
      <c r="P240" s="10"/>
      <c r="Q240" s="111"/>
    </row>
    <row r="241" spans="2:17" x14ac:dyDescent="0.3">
      <c r="B241" s="10" t="s">
        <v>515</v>
      </c>
      <c r="C241" s="10" t="s">
        <v>321</v>
      </c>
      <c r="D241" s="10">
        <v>2</v>
      </c>
      <c r="E241" s="10">
        <f t="shared" ref="E241:E268" si="34">D241/2</f>
        <v>1</v>
      </c>
      <c r="F241" s="142">
        <v>0</v>
      </c>
      <c r="G241" s="10">
        <v>9249</v>
      </c>
      <c r="H241" s="10">
        <v>1</v>
      </c>
      <c r="I241" s="10">
        <v>1</v>
      </c>
      <c r="J241" s="10" t="s">
        <v>418</v>
      </c>
      <c r="K241" s="10">
        <f t="shared" si="33"/>
        <v>872</v>
      </c>
      <c r="L241" s="10">
        <f t="shared" ref="L241:L268" si="35">L240+E240</f>
        <v>871</v>
      </c>
      <c r="M241" s="10" t="s">
        <v>419</v>
      </c>
      <c r="N241" s="10" t="s">
        <v>327</v>
      </c>
      <c r="O241" s="10"/>
      <c r="P241" s="10"/>
      <c r="Q241" s="111"/>
    </row>
    <row r="242" spans="2:17" x14ac:dyDescent="0.3">
      <c r="B242" s="10" t="s">
        <v>516</v>
      </c>
      <c r="C242" s="10" t="s">
        <v>321</v>
      </c>
      <c r="D242" s="10">
        <v>2</v>
      </c>
      <c r="E242" s="10">
        <f t="shared" si="34"/>
        <v>1</v>
      </c>
      <c r="F242" s="142">
        <v>0</v>
      </c>
      <c r="G242" s="10">
        <v>9249</v>
      </c>
      <c r="H242" s="10">
        <v>1</v>
      </c>
      <c r="I242" s="10">
        <v>1</v>
      </c>
      <c r="J242" s="10" t="s">
        <v>418</v>
      </c>
      <c r="K242" s="10">
        <f t="shared" si="33"/>
        <v>873</v>
      </c>
      <c r="L242" s="10">
        <f t="shared" si="35"/>
        <v>872</v>
      </c>
      <c r="M242" s="10" t="s">
        <v>419</v>
      </c>
      <c r="N242" s="10" t="s">
        <v>327</v>
      </c>
      <c r="O242" s="10"/>
      <c r="P242" s="10"/>
      <c r="Q242" s="111"/>
    </row>
    <row r="243" spans="2:17" x14ac:dyDescent="0.3">
      <c r="B243" s="10" t="s">
        <v>517</v>
      </c>
      <c r="C243" s="10" t="s">
        <v>321</v>
      </c>
      <c r="D243" s="10">
        <v>2</v>
      </c>
      <c r="E243" s="10">
        <f t="shared" si="34"/>
        <v>1</v>
      </c>
      <c r="F243" s="142">
        <v>0</v>
      </c>
      <c r="G243" s="10">
        <v>9249</v>
      </c>
      <c r="H243" s="10">
        <v>1</v>
      </c>
      <c r="I243" s="10">
        <v>1</v>
      </c>
      <c r="J243" s="10" t="s">
        <v>418</v>
      </c>
      <c r="K243" s="10">
        <f t="shared" si="33"/>
        <v>874</v>
      </c>
      <c r="L243" s="10">
        <f t="shared" si="35"/>
        <v>873</v>
      </c>
      <c r="M243" s="10" t="s">
        <v>419</v>
      </c>
      <c r="N243" s="10" t="s">
        <v>327</v>
      </c>
      <c r="O243" s="10"/>
      <c r="P243" s="10"/>
      <c r="Q243" s="111"/>
    </row>
    <row r="244" spans="2:17" x14ac:dyDescent="0.3">
      <c r="B244" s="10" t="s">
        <v>518</v>
      </c>
      <c r="C244" s="10" t="s">
        <v>321</v>
      </c>
      <c r="D244" s="10">
        <v>2</v>
      </c>
      <c r="E244" s="10">
        <f t="shared" si="34"/>
        <v>1</v>
      </c>
      <c r="F244" s="142">
        <v>0</v>
      </c>
      <c r="G244" s="10">
        <v>9249</v>
      </c>
      <c r="H244" s="10">
        <v>1</v>
      </c>
      <c r="I244" s="10">
        <v>1</v>
      </c>
      <c r="J244" s="10" t="s">
        <v>418</v>
      </c>
      <c r="K244" s="10">
        <f t="shared" si="33"/>
        <v>875</v>
      </c>
      <c r="L244" s="10">
        <f t="shared" si="35"/>
        <v>874</v>
      </c>
      <c r="M244" s="10" t="s">
        <v>419</v>
      </c>
      <c r="N244" s="10" t="s">
        <v>327</v>
      </c>
      <c r="O244" s="10"/>
      <c r="P244" s="10"/>
      <c r="Q244" s="111"/>
    </row>
    <row r="245" spans="2:17" x14ac:dyDescent="0.3">
      <c r="B245" s="10" t="s">
        <v>519</v>
      </c>
      <c r="C245" s="10" t="s">
        <v>321</v>
      </c>
      <c r="D245" s="10">
        <v>2</v>
      </c>
      <c r="E245" s="10">
        <f t="shared" si="34"/>
        <v>1</v>
      </c>
      <c r="F245" s="142">
        <v>0</v>
      </c>
      <c r="G245" s="10">
        <v>9249</v>
      </c>
      <c r="H245" s="10">
        <v>1</v>
      </c>
      <c r="I245" s="10">
        <v>1</v>
      </c>
      <c r="J245" s="10" t="s">
        <v>418</v>
      </c>
      <c r="K245" s="10">
        <f t="shared" si="33"/>
        <v>876</v>
      </c>
      <c r="L245" s="10">
        <f t="shared" si="35"/>
        <v>875</v>
      </c>
      <c r="M245" s="10" t="s">
        <v>419</v>
      </c>
      <c r="N245" s="10" t="s">
        <v>327</v>
      </c>
      <c r="O245" s="10"/>
      <c r="P245" s="10"/>
      <c r="Q245" s="111"/>
    </row>
    <row r="246" spans="2:17" x14ac:dyDescent="0.3">
      <c r="B246" s="10" t="s">
        <v>520</v>
      </c>
      <c r="C246" s="10" t="s">
        <v>321</v>
      </c>
      <c r="D246" s="10">
        <v>2</v>
      </c>
      <c r="E246" s="10">
        <f t="shared" si="34"/>
        <v>1</v>
      </c>
      <c r="F246" s="142">
        <v>0</v>
      </c>
      <c r="G246" s="10">
        <v>9249</v>
      </c>
      <c r="H246" s="10">
        <v>1</v>
      </c>
      <c r="I246" s="10">
        <v>1</v>
      </c>
      <c r="J246" s="10" t="s">
        <v>418</v>
      </c>
      <c r="K246" s="10">
        <f t="shared" si="33"/>
        <v>877</v>
      </c>
      <c r="L246" s="10">
        <f t="shared" si="35"/>
        <v>876</v>
      </c>
      <c r="M246" s="10" t="s">
        <v>419</v>
      </c>
      <c r="N246" s="10" t="s">
        <v>327</v>
      </c>
      <c r="O246" s="10"/>
      <c r="P246" s="10"/>
      <c r="Q246" s="111"/>
    </row>
    <row r="247" spans="2:17" x14ac:dyDescent="0.3">
      <c r="B247" s="10" t="s">
        <v>521</v>
      </c>
      <c r="C247" s="10" t="s">
        <v>321</v>
      </c>
      <c r="D247" s="10">
        <v>2</v>
      </c>
      <c r="E247" s="10">
        <f t="shared" si="34"/>
        <v>1</v>
      </c>
      <c r="F247" s="142">
        <v>0</v>
      </c>
      <c r="G247" s="10">
        <v>9249</v>
      </c>
      <c r="H247" s="10">
        <v>1</v>
      </c>
      <c r="I247" s="10">
        <v>1</v>
      </c>
      <c r="J247" s="10" t="s">
        <v>418</v>
      </c>
      <c r="K247" s="10">
        <f t="shared" si="33"/>
        <v>878</v>
      </c>
      <c r="L247" s="10">
        <f t="shared" si="35"/>
        <v>877</v>
      </c>
      <c r="M247" s="10" t="s">
        <v>419</v>
      </c>
      <c r="N247" s="10" t="s">
        <v>327</v>
      </c>
      <c r="O247" s="10"/>
      <c r="P247" s="10"/>
      <c r="Q247" s="111"/>
    </row>
    <row r="248" spans="2:17" x14ac:dyDescent="0.3">
      <c r="B248" s="10" t="s">
        <v>522</v>
      </c>
      <c r="C248" s="10" t="s">
        <v>321</v>
      </c>
      <c r="D248" s="10">
        <v>2</v>
      </c>
      <c r="E248" s="10">
        <f t="shared" si="34"/>
        <v>1</v>
      </c>
      <c r="F248" s="142">
        <v>0</v>
      </c>
      <c r="G248" s="10">
        <v>9249</v>
      </c>
      <c r="H248" s="10">
        <v>1</v>
      </c>
      <c r="I248" s="10">
        <v>1</v>
      </c>
      <c r="J248" s="10" t="s">
        <v>418</v>
      </c>
      <c r="K248" s="10">
        <f t="shared" si="33"/>
        <v>879</v>
      </c>
      <c r="L248" s="10">
        <f t="shared" si="35"/>
        <v>878</v>
      </c>
      <c r="M248" s="10" t="s">
        <v>419</v>
      </c>
      <c r="N248" s="10" t="s">
        <v>327</v>
      </c>
      <c r="O248" s="10"/>
      <c r="P248" s="10"/>
      <c r="Q248" s="111"/>
    </row>
    <row r="249" spans="2:17" x14ac:dyDescent="0.3">
      <c r="B249" s="10" t="s">
        <v>523</v>
      </c>
      <c r="C249" s="10" t="s">
        <v>321</v>
      </c>
      <c r="D249" s="10">
        <v>2</v>
      </c>
      <c r="E249" s="10">
        <f t="shared" si="34"/>
        <v>1</v>
      </c>
      <c r="F249" s="142">
        <v>0</v>
      </c>
      <c r="G249" s="10">
        <v>9249</v>
      </c>
      <c r="H249" s="10">
        <v>1</v>
      </c>
      <c r="I249" s="10">
        <v>1</v>
      </c>
      <c r="J249" s="10" t="s">
        <v>418</v>
      </c>
      <c r="K249" s="10">
        <f t="shared" si="33"/>
        <v>880</v>
      </c>
      <c r="L249" s="10">
        <f t="shared" si="35"/>
        <v>879</v>
      </c>
      <c r="M249" s="10" t="s">
        <v>419</v>
      </c>
      <c r="N249" s="10" t="s">
        <v>327</v>
      </c>
      <c r="O249" s="10"/>
      <c r="P249" s="10"/>
      <c r="Q249" s="111"/>
    </row>
    <row r="250" spans="2:17" x14ac:dyDescent="0.3">
      <c r="B250" s="10" t="s">
        <v>524</v>
      </c>
      <c r="C250" s="10" t="s">
        <v>321</v>
      </c>
      <c r="D250" s="10">
        <v>2</v>
      </c>
      <c r="E250" s="10">
        <f t="shared" si="34"/>
        <v>1</v>
      </c>
      <c r="F250" s="142">
        <v>0</v>
      </c>
      <c r="G250" s="10">
        <v>9249</v>
      </c>
      <c r="H250" s="10">
        <v>1</v>
      </c>
      <c r="I250" s="10">
        <v>1</v>
      </c>
      <c r="J250" s="10" t="s">
        <v>418</v>
      </c>
      <c r="K250" s="10">
        <f t="shared" si="33"/>
        <v>881</v>
      </c>
      <c r="L250" s="10">
        <f t="shared" si="35"/>
        <v>880</v>
      </c>
      <c r="M250" s="10" t="s">
        <v>419</v>
      </c>
      <c r="N250" s="10" t="s">
        <v>327</v>
      </c>
      <c r="O250" s="10"/>
      <c r="P250" s="10"/>
      <c r="Q250" s="111"/>
    </row>
    <row r="251" spans="2:17" x14ac:dyDescent="0.3">
      <c r="B251" s="10" t="s">
        <v>525</v>
      </c>
      <c r="C251" s="10" t="s">
        <v>321</v>
      </c>
      <c r="D251" s="10">
        <v>2</v>
      </c>
      <c r="E251" s="10">
        <f t="shared" si="34"/>
        <v>1</v>
      </c>
      <c r="F251" s="142">
        <v>0</v>
      </c>
      <c r="G251" s="10">
        <v>9249</v>
      </c>
      <c r="H251" s="10">
        <v>1</v>
      </c>
      <c r="I251" s="10">
        <v>1</v>
      </c>
      <c r="J251" s="10" t="s">
        <v>418</v>
      </c>
      <c r="K251" s="10">
        <f t="shared" si="33"/>
        <v>882</v>
      </c>
      <c r="L251" s="10">
        <f t="shared" si="35"/>
        <v>881</v>
      </c>
      <c r="M251" s="10" t="s">
        <v>419</v>
      </c>
      <c r="N251" s="10" t="s">
        <v>327</v>
      </c>
      <c r="O251" s="10"/>
      <c r="P251" s="10"/>
      <c r="Q251" s="111"/>
    </row>
    <row r="252" spans="2:17" x14ac:dyDescent="0.3">
      <c r="B252" s="10" t="s">
        <v>526</v>
      </c>
      <c r="C252" s="10" t="s">
        <v>321</v>
      </c>
      <c r="D252" s="10">
        <v>2</v>
      </c>
      <c r="E252" s="10">
        <f t="shared" si="34"/>
        <v>1</v>
      </c>
      <c r="F252" s="142">
        <v>0</v>
      </c>
      <c r="G252" s="10">
        <v>9249</v>
      </c>
      <c r="H252" s="10">
        <v>1</v>
      </c>
      <c r="I252" s="10">
        <v>1</v>
      </c>
      <c r="J252" s="10" t="s">
        <v>418</v>
      </c>
      <c r="K252" s="10">
        <f t="shared" si="33"/>
        <v>883</v>
      </c>
      <c r="L252" s="10">
        <f t="shared" si="35"/>
        <v>882</v>
      </c>
      <c r="M252" s="10" t="s">
        <v>419</v>
      </c>
      <c r="N252" s="10" t="s">
        <v>327</v>
      </c>
      <c r="O252" s="10"/>
      <c r="P252" s="10"/>
      <c r="Q252" s="111"/>
    </row>
    <row r="253" spans="2:17" x14ac:dyDescent="0.3">
      <c r="B253" s="10" t="s">
        <v>527</v>
      </c>
      <c r="C253" s="10" t="s">
        <v>321</v>
      </c>
      <c r="D253" s="10">
        <v>2</v>
      </c>
      <c r="E253" s="10">
        <f t="shared" si="34"/>
        <v>1</v>
      </c>
      <c r="F253" s="142">
        <v>0</v>
      </c>
      <c r="G253" s="10">
        <v>9249</v>
      </c>
      <c r="H253" s="10">
        <v>1</v>
      </c>
      <c r="I253" s="10">
        <v>1</v>
      </c>
      <c r="J253" s="10" t="s">
        <v>418</v>
      </c>
      <c r="K253" s="10">
        <f t="shared" si="33"/>
        <v>884</v>
      </c>
      <c r="L253" s="10">
        <f t="shared" si="35"/>
        <v>883</v>
      </c>
      <c r="M253" s="10" t="s">
        <v>419</v>
      </c>
      <c r="N253" s="10" t="s">
        <v>327</v>
      </c>
      <c r="O253" s="10"/>
      <c r="P253" s="10"/>
      <c r="Q253" s="111"/>
    </row>
    <row r="254" spans="2:17" x14ac:dyDescent="0.3">
      <c r="B254" s="10" t="s">
        <v>528</v>
      </c>
      <c r="C254" s="10" t="s">
        <v>321</v>
      </c>
      <c r="D254" s="10">
        <v>2</v>
      </c>
      <c r="E254" s="10">
        <f t="shared" si="34"/>
        <v>1</v>
      </c>
      <c r="F254" s="142">
        <v>0</v>
      </c>
      <c r="G254" s="10">
        <v>9249</v>
      </c>
      <c r="H254" s="10">
        <v>1</v>
      </c>
      <c r="I254" s="10">
        <v>1</v>
      </c>
      <c r="J254" s="10" t="s">
        <v>418</v>
      </c>
      <c r="K254" s="10">
        <f t="shared" si="33"/>
        <v>885</v>
      </c>
      <c r="L254" s="10">
        <f t="shared" si="35"/>
        <v>884</v>
      </c>
      <c r="M254" s="10" t="s">
        <v>419</v>
      </c>
      <c r="N254" s="10" t="s">
        <v>327</v>
      </c>
      <c r="O254" s="10"/>
      <c r="P254" s="10"/>
      <c r="Q254" s="111"/>
    </row>
    <row r="255" spans="2:17" x14ac:dyDescent="0.3">
      <c r="B255" s="10" t="s">
        <v>529</v>
      </c>
      <c r="C255" s="10" t="s">
        <v>321</v>
      </c>
      <c r="D255" s="10">
        <v>2</v>
      </c>
      <c r="E255" s="10">
        <f t="shared" si="34"/>
        <v>1</v>
      </c>
      <c r="F255" s="142">
        <v>0</v>
      </c>
      <c r="G255" s="10">
        <v>9249</v>
      </c>
      <c r="H255" s="10">
        <v>1</v>
      </c>
      <c r="I255" s="10">
        <v>1</v>
      </c>
      <c r="J255" s="10" t="s">
        <v>418</v>
      </c>
      <c r="K255" s="10">
        <f t="shared" si="33"/>
        <v>886</v>
      </c>
      <c r="L255" s="10">
        <f t="shared" si="35"/>
        <v>885</v>
      </c>
      <c r="M255" s="10" t="s">
        <v>419</v>
      </c>
      <c r="N255" s="10" t="s">
        <v>327</v>
      </c>
      <c r="O255" s="10"/>
      <c r="P255" s="10"/>
      <c r="Q255" s="111"/>
    </row>
    <row r="256" spans="2:17" x14ac:dyDescent="0.3">
      <c r="B256" s="10" t="s">
        <v>530</v>
      </c>
      <c r="C256" s="10" t="s">
        <v>321</v>
      </c>
      <c r="D256" s="10">
        <v>2</v>
      </c>
      <c r="E256" s="10">
        <f t="shared" si="34"/>
        <v>1</v>
      </c>
      <c r="F256" s="142">
        <v>0</v>
      </c>
      <c r="G256" s="10">
        <v>9249</v>
      </c>
      <c r="H256" s="10">
        <v>1</v>
      </c>
      <c r="I256" s="10">
        <v>1</v>
      </c>
      <c r="J256" s="10" t="s">
        <v>418</v>
      </c>
      <c r="K256" s="10">
        <f t="shared" si="33"/>
        <v>887</v>
      </c>
      <c r="L256" s="10">
        <f t="shared" si="35"/>
        <v>886</v>
      </c>
      <c r="M256" s="10" t="s">
        <v>419</v>
      </c>
      <c r="N256" s="10" t="s">
        <v>327</v>
      </c>
      <c r="O256" s="10"/>
      <c r="P256" s="10"/>
      <c r="Q256" s="111"/>
    </row>
    <row r="257" spans="2:27" x14ac:dyDescent="0.3">
      <c r="B257" s="10" t="s">
        <v>531</v>
      </c>
      <c r="C257" s="10" t="s">
        <v>321</v>
      </c>
      <c r="D257" s="10">
        <v>2</v>
      </c>
      <c r="E257" s="10">
        <f t="shared" si="34"/>
        <v>1</v>
      </c>
      <c r="F257" s="142">
        <v>0</v>
      </c>
      <c r="G257" s="10">
        <v>9249</v>
      </c>
      <c r="H257" s="10">
        <v>1</v>
      </c>
      <c r="I257" s="10">
        <v>1</v>
      </c>
      <c r="J257" s="10" t="s">
        <v>418</v>
      </c>
      <c r="K257" s="10">
        <f t="shared" si="33"/>
        <v>888</v>
      </c>
      <c r="L257" s="10">
        <f t="shared" si="35"/>
        <v>887</v>
      </c>
      <c r="M257" s="10" t="s">
        <v>419</v>
      </c>
      <c r="N257" s="10" t="s">
        <v>327</v>
      </c>
      <c r="O257" s="10"/>
      <c r="P257" s="10"/>
      <c r="Q257" s="111"/>
    </row>
    <row r="258" spans="2:27" x14ac:dyDescent="0.3">
      <c r="B258" s="10" t="s">
        <v>532</v>
      </c>
      <c r="C258" s="10" t="s">
        <v>321</v>
      </c>
      <c r="D258" s="10">
        <v>2</v>
      </c>
      <c r="E258" s="10">
        <f t="shared" si="34"/>
        <v>1</v>
      </c>
      <c r="F258" s="142">
        <v>0</v>
      </c>
      <c r="G258" s="10">
        <v>9249</v>
      </c>
      <c r="H258" s="10">
        <v>1</v>
      </c>
      <c r="I258" s="10">
        <v>1</v>
      </c>
      <c r="J258" s="10" t="s">
        <v>418</v>
      </c>
      <c r="K258" s="10">
        <f t="shared" si="33"/>
        <v>889</v>
      </c>
      <c r="L258" s="10">
        <f t="shared" si="35"/>
        <v>888</v>
      </c>
      <c r="M258" s="10" t="s">
        <v>419</v>
      </c>
      <c r="N258" s="10" t="s">
        <v>327</v>
      </c>
      <c r="O258" s="10"/>
      <c r="P258" s="10"/>
      <c r="Q258" s="111"/>
    </row>
    <row r="259" spans="2:27" x14ac:dyDescent="0.3">
      <c r="B259" s="10" t="s">
        <v>533</v>
      </c>
      <c r="C259" s="10" t="s">
        <v>321</v>
      </c>
      <c r="D259" s="10">
        <v>2</v>
      </c>
      <c r="E259" s="10">
        <f t="shared" si="34"/>
        <v>1</v>
      </c>
      <c r="F259" s="142">
        <v>0</v>
      </c>
      <c r="G259" s="10">
        <v>9249</v>
      </c>
      <c r="H259" s="10">
        <v>1</v>
      </c>
      <c r="I259" s="10">
        <v>1</v>
      </c>
      <c r="J259" s="10" t="s">
        <v>418</v>
      </c>
      <c r="K259" s="10">
        <f t="shared" si="33"/>
        <v>890</v>
      </c>
      <c r="L259" s="10">
        <f t="shared" si="35"/>
        <v>889</v>
      </c>
      <c r="M259" s="10" t="s">
        <v>419</v>
      </c>
      <c r="N259" s="10" t="s">
        <v>327</v>
      </c>
      <c r="O259" s="10"/>
      <c r="P259" s="10"/>
      <c r="Q259" s="111"/>
    </row>
    <row r="260" spans="2:27" x14ac:dyDescent="0.3">
      <c r="B260" s="10" t="s">
        <v>534</v>
      </c>
      <c r="C260" s="10" t="s">
        <v>321</v>
      </c>
      <c r="D260" s="10">
        <v>2</v>
      </c>
      <c r="E260" s="10">
        <f t="shared" si="34"/>
        <v>1</v>
      </c>
      <c r="F260" s="142">
        <v>0</v>
      </c>
      <c r="G260" s="10">
        <v>9249</v>
      </c>
      <c r="H260" s="10">
        <v>1</v>
      </c>
      <c r="I260" s="10">
        <v>1</v>
      </c>
      <c r="J260" s="10" t="s">
        <v>418</v>
      </c>
      <c r="K260" s="10">
        <f t="shared" si="33"/>
        <v>891</v>
      </c>
      <c r="L260" s="10">
        <f t="shared" si="35"/>
        <v>890</v>
      </c>
      <c r="M260" s="10" t="s">
        <v>419</v>
      </c>
      <c r="N260" s="10" t="s">
        <v>327</v>
      </c>
      <c r="O260" s="10"/>
      <c r="P260" s="10"/>
      <c r="Q260" s="111"/>
    </row>
    <row r="261" spans="2:27" x14ac:dyDescent="0.3">
      <c r="B261" s="10" t="s">
        <v>535</v>
      </c>
      <c r="C261" s="10" t="s">
        <v>321</v>
      </c>
      <c r="D261" s="10">
        <v>2</v>
      </c>
      <c r="E261" s="10">
        <f t="shared" si="34"/>
        <v>1</v>
      </c>
      <c r="F261" s="142">
        <v>0</v>
      </c>
      <c r="G261" s="10">
        <v>9249</v>
      </c>
      <c r="H261" s="10">
        <v>1</v>
      </c>
      <c r="I261" s="10">
        <v>1</v>
      </c>
      <c r="J261" s="10" t="s">
        <v>418</v>
      </c>
      <c r="K261" s="10">
        <f t="shared" si="33"/>
        <v>892</v>
      </c>
      <c r="L261" s="10">
        <f t="shared" si="35"/>
        <v>891</v>
      </c>
      <c r="M261" s="10" t="s">
        <v>419</v>
      </c>
      <c r="N261" s="10" t="s">
        <v>327</v>
      </c>
      <c r="O261" s="10"/>
      <c r="P261" s="10"/>
      <c r="Q261" s="111"/>
    </row>
    <row r="262" spans="2:27" x14ac:dyDescent="0.3">
      <c r="B262" s="10" t="s">
        <v>536</v>
      </c>
      <c r="C262" s="10" t="s">
        <v>321</v>
      </c>
      <c r="D262" s="10">
        <v>2</v>
      </c>
      <c r="E262" s="10">
        <f t="shared" si="34"/>
        <v>1</v>
      </c>
      <c r="F262" s="142">
        <v>0</v>
      </c>
      <c r="G262" s="10">
        <v>9249</v>
      </c>
      <c r="H262" s="10">
        <v>1</v>
      </c>
      <c r="I262" s="10">
        <v>1</v>
      </c>
      <c r="J262" s="10" t="s">
        <v>418</v>
      </c>
      <c r="K262" s="10">
        <f t="shared" si="33"/>
        <v>893</v>
      </c>
      <c r="L262" s="10">
        <f t="shared" si="35"/>
        <v>892</v>
      </c>
      <c r="M262" s="10" t="s">
        <v>419</v>
      </c>
      <c r="N262" s="10" t="s">
        <v>327</v>
      </c>
      <c r="O262" s="10"/>
      <c r="P262" s="10"/>
      <c r="Q262" s="111"/>
    </row>
    <row r="263" spans="2:27" x14ac:dyDescent="0.3">
      <c r="B263" s="10" t="s">
        <v>537</v>
      </c>
      <c r="C263" s="10" t="s">
        <v>321</v>
      </c>
      <c r="D263" s="10">
        <v>2</v>
      </c>
      <c r="E263" s="10">
        <f t="shared" si="34"/>
        <v>1</v>
      </c>
      <c r="F263" s="142">
        <v>0</v>
      </c>
      <c r="G263" s="10">
        <v>9249</v>
      </c>
      <c r="H263" s="10">
        <v>1</v>
      </c>
      <c r="I263" s="10">
        <v>1</v>
      </c>
      <c r="J263" s="10" t="s">
        <v>418</v>
      </c>
      <c r="K263" s="10">
        <f t="shared" si="33"/>
        <v>894</v>
      </c>
      <c r="L263" s="10">
        <f t="shared" si="35"/>
        <v>893</v>
      </c>
      <c r="M263" s="10" t="s">
        <v>419</v>
      </c>
      <c r="N263" s="10" t="s">
        <v>327</v>
      </c>
      <c r="O263" s="10"/>
      <c r="P263" s="10"/>
      <c r="Q263" s="111"/>
    </row>
    <row r="264" spans="2:27" x14ac:dyDescent="0.3">
      <c r="B264" s="10" t="s">
        <v>538</v>
      </c>
      <c r="C264" s="10" t="s">
        <v>321</v>
      </c>
      <c r="D264" s="10">
        <v>2</v>
      </c>
      <c r="E264" s="10">
        <f t="shared" si="34"/>
        <v>1</v>
      </c>
      <c r="F264" s="142">
        <v>0</v>
      </c>
      <c r="G264" s="10">
        <v>9249</v>
      </c>
      <c r="H264" s="10">
        <v>1</v>
      </c>
      <c r="I264" s="10">
        <v>1</v>
      </c>
      <c r="J264" s="10" t="s">
        <v>418</v>
      </c>
      <c r="K264" s="10">
        <f t="shared" si="33"/>
        <v>895</v>
      </c>
      <c r="L264" s="10">
        <f t="shared" si="35"/>
        <v>894</v>
      </c>
      <c r="M264" s="10" t="s">
        <v>419</v>
      </c>
      <c r="N264" s="10" t="s">
        <v>327</v>
      </c>
      <c r="O264" s="10"/>
      <c r="P264" s="10"/>
      <c r="Q264" s="111"/>
    </row>
    <row r="265" spans="2:27" x14ac:dyDescent="0.3">
      <c r="B265" s="10" t="s">
        <v>539</v>
      </c>
      <c r="C265" s="10" t="s">
        <v>321</v>
      </c>
      <c r="D265" s="10">
        <v>2</v>
      </c>
      <c r="E265" s="10">
        <f t="shared" si="34"/>
        <v>1</v>
      </c>
      <c r="F265" s="142">
        <v>0</v>
      </c>
      <c r="G265" s="10">
        <v>9249</v>
      </c>
      <c r="H265" s="10">
        <v>1</v>
      </c>
      <c r="I265" s="10">
        <v>1</v>
      </c>
      <c r="J265" s="10" t="s">
        <v>418</v>
      </c>
      <c r="K265" s="10">
        <f t="shared" si="33"/>
        <v>896</v>
      </c>
      <c r="L265" s="10">
        <f t="shared" si="35"/>
        <v>895</v>
      </c>
      <c r="M265" s="10" t="s">
        <v>419</v>
      </c>
      <c r="N265" s="10" t="s">
        <v>327</v>
      </c>
      <c r="O265" s="10"/>
      <c r="P265" s="10"/>
      <c r="Q265" s="111"/>
    </row>
    <row r="266" spans="2:27" x14ac:dyDescent="0.3">
      <c r="B266" s="10" t="s">
        <v>540</v>
      </c>
      <c r="C266" s="10" t="s">
        <v>321</v>
      </c>
      <c r="D266" s="10">
        <v>2</v>
      </c>
      <c r="E266" s="10">
        <f t="shared" si="34"/>
        <v>1</v>
      </c>
      <c r="F266" s="142">
        <v>0</v>
      </c>
      <c r="G266" s="10">
        <v>9249</v>
      </c>
      <c r="H266" s="10">
        <v>1</v>
      </c>
      <c r="I266" s="10">
        <v>1</v>
      </c>
      <c r="J266" s="10" t="s">
        <v>418</v>
      </c>
      <c r="K266" s="10">
        <f t="shared" si="33"/>
        <v>897</v>
      </c>
      <c r="L266" s="10">
        <f t="shared" si="35"/>
        <v>896</v>
      </c>
      <c r="M266" s="10" t="s">
        <v>419</v>
      </c>
      <c r="N266" s="10" t="s">
        <v>327</v>
      </c>
      <c r="O266" s="10"/>
      <c r="P266" s="10"/>
      <c r="Q266" s="111"/>
    </row>
    <row r="267" spans="2:27" x14ac:dyDescent="0.3">
      <c r="B267" s="10" t="s">
        <v>541</v>
      </c>
      <c r="C267" s="10" t="s">
        <v>321</v>
      </c>
      <c r="D267" s="10">
        <v>2</v>
      </c>
      <c r="E267" s="10">
        <f t="shared" si="34"/>
        <v>1</v>
      </c>
      <c r="F267" s="142">
        <v>0</v>
      </c>
      <c r="G267" s="10">
        <v>9249</v>
      </c>
      <c r="H267" s="10">
        <v>1</v>
      </c>
      <c r="I267" s="10">
        <v>1</v>
      </c>
      <c r="J267" s="10" t="s">
        <v>418</v>
      </c>
      <c r="K267" s="10">
        <f t="shared" si="33"/>
        <v>898</v>
      </c>
      <c r="L267" s="10">
        <f t="shared" si="35"/>
        <v>897</v>
      </c>
      <c r="M267" s="10" t="s">
        <v>419</v>
      </c>
      <c r="N267" s="10" t="s">
        <v>327</v>
      </c>
      <c r="O267" s="10"/>
      <c r="P267" s="10"/>
      <c r="Q267" s="111"/>
    </row>
    <row r="268" spans="2:27" x14ac:dyDescent="0.3">
      <c r="B268" s="10" t="s">
        <v>542</v>
      </c>
      <c r="C268" s="10" t="s">
        <v>321</v>
      </c>
      <c r="D268" s="10">
        <v>2</v>
      </c>
      <c r="E268" s="10">
        <f t="shared" si="34"/>
        <v>1</v>
      </c>
      <c r="F268" s="142">
        <v>0</v>
      </c>
      <c r="G268" s="10">
        <v>9249</v>
      </c>
      <c r="H268" s="10">
        <v>1</v>
      </c>
      <c r="I268" s="10">
        <v>1</v>
      </c>
      <c r="J268" s="10" t="s">
        <v>418</v>
      </c>
      <c r="K268" s="10">
        <f t="shared" si="33"/>
        <v>899</v>
      </c>
      <c r="L268" s="10">
        <f t="shared" si="35"/>
        <v>898</v>
      </c>
      <c r="M268" s="10" t="s">
        <v>419</v>
      </c>
      <c r="N268" s="10" t="s">
        <v>327</v>
      </c>
      <c r="O268" s="10"/>
      <c r="P268" s="10"/>
      <c r="Q268" s="111"/>
    </row>
    <row r="269" spans="2:27" ht="16.2" thickBot="1" x14ac:dyDescent="0.35">
      <c r="B269" s="10" t="s">
        <v>543</v>
      </c>
      <c r="C269" s="10" t="s">
        <v>321</v>
      </c>
      <c r="D269" s="10">
        <v>2</v>
      </c>
      <c r="E269" s="10">
        <f t="shared" ref="E269" si="36">D269/2</f>
        <v>1</v>
      </c>
      <c r="F269" s="142">
        <v>0</v>
      </c>
      <c r="G269" s="10">
        <v>9249</v>
      </c>
      <c r="H269" s="10">
        <v>1</v>
      </c>
      <c r="I269" s="10">
        <v>1</v>
      </c>
      <c r="J269" s="10" t="s">
        <v>418</v>
      </c>
      <c r="K269" s="10">
        <f t="shared" si="33"/>
        <v>900</v>
      </c>
      <c r="L269" s="10">
        <f t="shared" ref="L269" si="37">L268+E268</f>
        <v>899</v>
      </c>
      <c r="M269" s="10" t="s">
        <v>419</v>
      </c>
      <c r="N269" s="10" t="s">
        <v>327</v>
      </c>
      <c r="O269" s="10"/>
      <c r="P269" s="10"/>
      <c r="Q269" s="111"/>
    </row>
    <row r="270" spans="2:27" s="26" customFormat="1" ht="16.2" x14ac:dyDescent="0.3">
      <c r="B270" s="456" t="s">
        <v>544</v>
      </c>
      <c r="C270" s="457"/>
      <c r="D270" s="457"/>
      <c r="E270" s="457"/>
      <c r="F270" s="457"/>
      <c r="G270" s="457"/>
      <c r="H270" s="457"/>
      <c r="I270" s="457"/>
      <c r="J270" s="457"/>
      <c r="K270" s="457"/>
      <c r="L270" s="457"/>
      <c r="M270" s="457"/>
      <c r="N270" s="457"/>
      <c r="O270" s="457"/>
      <c r="P270" s="457"/>
      <c r="Q270" s="457"/>
      <c r="R270" s="29"/>
      <c r="S270" s="56"/>
      <c r="T270" s="56"/>
      <c r="U270" s="16"/>
      <c r="V270" s="16"/>
      <c r="W270" s="16"/>
      <c r="X270" s="16"/>
      <c r="Y270" s="56"/>
      <c r="Z270" s="56"/>
      <c r="AA270" s="56"/>
    </row>
    <row r="271" spans="2:27" x14ac:dyDescent="0.3">
      <c r="B271" s="10" t="s">
        <v>444</v>
      </c>
      <c r="C271" s="10" t="s">
        <v>321</v>
      </c>
      <c r="D271" s="10">
        <v>2</v>
      </c>
      <c r="E271" s="10">
        <f>D271/2</f>
        <v>1</v>
      </c>
      <c r="F271" s="10">
        <v>0</v>
      </c>
      <c r="G271" s="10">
        <v>65535</v>
      </c>
      <c r="H271" s="10">
        <v>1</v>
      </c>
      <c r="I271" s="10">
        <v>1</v>
      </c>
      <c r="J271" s="10" t="s">
        <v>418</v>
      </c>
      <c r="K271" s="10">
        <f t="shared" ref="K271:K334" si="38">L271+1</f>
        <v>901</v>
      </c>
      <c r="L271" s="10">
        <f>L269+E269</f>
        <v>900</v>
      </c>
      <c r="M271" s="10" t="s">
        <v>419</v>
      </c>
      <c r="N271" s="10" t="s">
        <v>324</v>
      </c>
      <c r="O271" s="10"/>
      <c r="P271" s="10"/>
      <c r="Q271" s="111"/>
      <c r="T271" s="8"/>
      <c r="U271" s="8"/>
      <c r="V271" s="8"/>
      <c r="W271" s="8"/>
      <c r="X271" s="8"/>
      <c r="Y271" s="8"/>
      <c r="Z271" s="8"/>
    </row>
    <row r="272" spans="2:27" x14ac:dyDescent="0.3">
      <c r="B272" s="10" t="s">
        <v>445</v>
      </c>
      <c r="C272" s="10" t="s">
        <v>321</v>
      </c>
      <c r="D272" s="10">
        <v>2</v>
      </c>
      <c r="E272" s="10">
        <f>D272/2</f>
        <v>1</v>
      </c>
      <c r="F272" s="10">
        <v>0</v>
      </c>
      <c r="G272" s="10">
        <v>65535</v>
      </c>
      <c r="H272" s="10">
        <v>1</v>
      </c>
      <c r="I272" s="10">
        <v>1</v>
      </c>
      <c r="J272" s="10" t="s">
        <v>418</v>
      </c>
      <c r="K272" s="10">
        <f t="shared" si="38"/>
        <v>902</v>
      </c>
      <c r="L272" s="10">
        <f>L271+$E271</f>
        <v>901</v>
      </c>
      <c r="M272" s="10" t="s">
        <v>419</v>
      </c>
      <c r="N272" s="10" t="s">
        <v>324</v>
      </c>
      <c r="O272" s="10"/>
      <c r="P272" s="10"/>
      <c r="Q272" s="111"/>
      <c r="T272" s="8"/>
      <c r="U272" s="8"/>
      <c r="V272" s="8"/>
      <c r="W272" s="8"/>
      <c r="X272" s="8"/>
      <c r="Y272" s="8"/>
      <c r="Z272" s="8"/>
    </row>
    <row r="273" spans="1:226" x14ac:dyDescent="0.3">
      <c r="B273" s="10" t="s">
        <v>446</v>
      </c>
      <c r="C273" s="10" t="s">
        <v>321</v>
      </c>
      <c r="D273" s="10">
        <v>2</v>
      </c>
      <c r="E273" s="10">
        <f>D273/2</f>
        <v>1</v>
      </c>
      <c r="F273" s="10">
        <v>0</v>
      </c>
      <c r="G273" s="10">
        <v>65535</v>
      </c>
      <c r="H273" s="10">
        <v>1</v>
      </c>
      <c r="I273" s="10">
        <v>1</v>
      </c>
      <c r="J273" s="10" t="s">
        <v>418</v>
      </c>
      <c r="K273" s="10">
        <f t="shared" si="38"/>
        <v>903</v>
      </c>
      <c r="L273" s="10">
        <f>L272+$E272</f>
        <v>902</v>
      </c>
      <c r="M273" s="10" t="s">
        <v>419</v>
      </c>
      <c r="N273" s="10" t="s">
        <v>324</v>
      </c>
      <c r="O273" s="10"/>
      <c r="P273" s="10"/>
      <c r="Q273" s="111"/>
      <c r="T273" s="8"/>
      <c r="U273" s="8"/>
      <c r="V273" s="8"/>
      <c r="W273" s="8"/>
      <c r="X273" s="8"/>
      <c r="Y273" s="8"/>
      <c r="Z273" s="8"/>
    </row>
    <row r="274" spans="1:226" x14ac:dyDescent="0.3">
      <c r="B274" s="10" t="s">
        <v>447</v>
      </c>
      <c r="C274" s="10" t="s">
        <v>321</v>
      </c>
      <c r="D274" s="10">
        <v>2</v>
      </c>
      <c r="E274" s="10">
        <f t="shared" ref="E274:E276" si="39">D274/2</f>
        <v>1</v>
      </c>
      <c r="F274" s="10">
        <v>0</v>
      </c>
      <c r="G274" s="10">
        <v>65535</v>
      </c>
      <c r="H274" s="10">
        <v>1</v>
      </c>
      <c r="I274" s="10">
        <v>1</v>
      </c>
      <c r="J274" s="10" t="s">
        <v>418</v>
      </c>
      <c r="K274" s="10">
        <f t="shared" si="38"/>
        <v>904</v>
      </c>
      <c r="L274" s="10">
        <f t="shared" ref="L274:L277" si="40">L273+$E273</f>
        <v>903</v>
      </c>
      <c r="M274" s="10" t="s">
        <v>419</v>
      </c>
      <c r="N274" s="10" t="s">
        <v>324</v>
      </c>
      <c r="O274" s="10"/>
      <c r="P274" s="10"/>
      <c r="Q274" s="111"/>
      <c r="T274" s="8"/>
      <c r="U274" s="8"/>
      <c r="V274" s="8"/>
      <c r="W274" s="8"/>
      <c r="X274" s="8"/>
      <c r="Y274" s="8"/>
      <c r="Z274" s="8"/>
    </row>
    <row r="275" spans="1:226" x14ac:dyDescent="0.3">
      <c r="B275" s="10" t="s">
        <v>448</v>
      </c>
      <c r="C275" s="10" t="s">
        <v>321</v>
      </c>
      <c r="D275" s="10">
        <v>2</v>
      </c>
      <c r="E275" s="10">
        <f t="shared" si="39"/>
        <v>1</v>
      </c>
      <c r="F275" s="10">
        <v>0</v>
      </c>
      <c r="G275" s="10">
        <v>65535</v>
      </c>
      <c r="H275" s="10">
        <v>1</v>
      </c>
      <c r="I275" s="10">
        <v>1</v>
      </c>
      <c r="J275" s="10" t="s">
        <v>418</v>
      </c>
      <c r="K275" s="10">
        <f t="shared" si="38"/>
        <v>905</v>
      </c>
      <c r="L275" s="10">
        <f t="shared" si="40"/>
        <v>904</v>
      </c>
      <c r="M275" s="10" t="s">
        <v>419</v>
      </c>
      <c r="N275" s="10" t="s">
        <v>324</v>
      </c>
      <c r="O275" s="10"/>
      <c r="P275" s="10"/>
      <c r="Q275" s="111"/>
      <c r="T275" s="8"/>
      <c r="U275" s="8"/>
      <c r="V275" s="8"/>
      <c r="W275" s="8"/>
      <c r="X275" s="8"/>
      <c r="Y275" s="8"/>
      <c r="Z275" s="8"/>
    </row>
    <row r="276" spans="1:226" x14ac:dyDescent="0.3">
      <c r="B276" s="10" t="s">
        <v>449</v>
      </c>
      <c r="C276" s="10" t="s">
        <v>321</v>
      </c>
      <c r="D276" s="10">
        <v>2</v>
      </c>
      <c r="E276" s="10">
        <f t="shared" si="39"/>
        <v>1</v>
      </c>
      <c r="F276" s="10">
        <v>0</v>
      </c>
      <c r="G276" s="10">
        <v>65535</v>
      </c>
      <c r="H276" s="10">
        <v>1</v>
      </c>
      <c r="I276" s="10">
        <v>1</v>
      </c>
      <c r="J276" s="10" t="s">
        <v>418</v>
      </c>
      <c r="K276" s="10">
        <f t="shared" si="38"/>
        <v>906</v>
      </c>
      <c r="L276" s="10">
        <f t="shared" si="40"/>
        <v>905</v>
      </c>
      <c r="M276" s="10" t="s">
        <v>419</v>
      </c>
      <c r="N276" s="10" t="s">
        <v>324</v>
      </c>
      <c r="O276" s="10"/>
      <c r="P276" s="10"/>
      <c r="Q276" s="111"/>
      <c r="T276" s="8"/>
      <c r="U276" s="8"/>
      <c r="V276" s="8"/>
      <c r="W276" s="8"/>
      <c r="X276" s="8"/>
      <c r="Y276" s="8"/>
      <c r="Z276" s="8"/>
    </row>
    <row r="277" spans="1:226" x14ac:dyDescent="0.3">
      <c r="B277" s="10" t="s">
        <v>450</v>
      </c>
      <c r="C277" s="10" t="s">
        <v>321</v>
      </c>
      <c r="D277" s="10">
        <v>2</v>
      </c>
      <c r="E277" s="10">
        <f>D277/2</f>
        <v>1</v>
      </c>
      <c r="F277" s="10">
        <v>0</v>
      </c>
      <c r="G277" s="10">
        <v>65535</v>
      </c>
      <c r="H277" s="10">
        <v>1</v>
      </c>
      <c r="I277" s="10">
        <v>1</v>
      </c>
      <c r="J277" s="10" t="s">
        <v>418</v>
      </c>
      <c r="K277" s="10">
        <f t="shared" si="38"/>
        <v>907</v>
      </c>
      <c r="L277" s="10">
        <f t="shared" si="40"/>
        <v>906</v>
      </c>
      <c r="M277" s="10" t="s">
        <v>419</v>
      </c>
      <c r="N277" s="10" t="s">
        <v>324</v>
      </c>
      <c r="O277" s="10"/>
      <c r="P277" s="10"/>
      <c r="Q277" s="111"/>
      <c r="T277" s="8"/>
      <c r="U277" s="8"/>
      <c r="V277" s="8"/>
      <c r="W277" s="8"/>
      <c r="X277" s="8"/>
      <c r="Y277" s="8"/>
      <c r="Z277" s="8"/>
    </row>
    <row r="278" spans="1:226" s="26" customFormat="1" x14ac:dyDescent="0.3">
      <c r="B278" s="10" t="s">
        <v>451</v>
      </c>
      <c r="C278" s="10" t="s">
        <v>321</v>
      </c>
      <c r="D278" s="10">
        <v>2</v>
      </c>
      <c r="E278" s="10">
        <f t="shared" ref="E278:E341" si="41">D278/2</f>
        <v>1</v>
      </c>
      <c r="F278" s="10">
        <v>0</v>
      </c>
      <c r="G278" s="10">
        <v>65535</v>
      </c>
      <c r="H278" s="10">
        <v>1</v>
      </c>
      <c r="I278" s="10">
        <v>1</v>
      </c>
      <c r="J278" s="10" t="s">
        <v>418</v>
      </c>
      <c r="K278" s="10">
        <f t="shared" si="38"/>
        <v>908</v>
      </c>
      <c r="L278" s="10">
        <f t="shared" ref="L278:L341" si="42">L277+E277</f>
        <v>907</v>
      </c>
      <c r="M278" s="10" t="s">
        <v>419</v>
      </c>
      <c r="N278" s="10" t="s">
        <v>324</v>
      </c>
      <c r="O278" s="10"/>
      <c r="P278" s="10"/>
      <c r="Q278" s="111"/>
      <c r="R278" s="56"/>
      <c r="S278" s="56"/>
      <c r="T278" s="16"/>
      <c r="U278" s="16"/>
      <c r="V278" s="16"/>
      <c r="W278" s="16"/>
      <c r="X278" s="56"/>
      <c r="Y278" s="56"/>
      <c r="Z278" s="56"/>
    </row>
    <row r="279" spans="1:226" s="26" customFormat="1" x14ac:dyDescent="0.3">
      <c r="B279" s="10" t="s">
        <v>452</v>
      </c>
      <c r="C279" s="10" t="s">
        <v>321</v>
      </c>
      <c r="D279" s="10">
        <v>2</v>
      </c>
      <c r="E279" s="10">
        <f t="shared" si="41"/>
        <v>1</v>
      </c>
      <c r="F279" s="10">
        <v>0</v>
      </c>
      <c r="G279" s="10">
        <v>65535</v>
      </c>
      <c r="H279" s="10">
        <v>1</v>
      </c>
      <c r="I279" s="10">
        <v>1</v>
      </c>
      <c r="J279" s="10" t="s">
        <v>418</v>
      </c>
      <c r="K279" s="10">
        <f t="shared" si="38"/>
        <v>909</v>
      </c>
      <c r="L279" s="10">
        <f t="shared" si="42"/>
        <v>908</v>
      </c>
      <c r="M279" s="10" t="s">
        <v>419</v>
      </c>
      <c r="N279" s="10" t="s">
        <v>324</v>
      </c>
      <c r="O279" s="10"/>
      <c r="P279" s="10"/>
      <c r="Q279" s="111"/>
      <c r="R279" s="56"/>
      <c r="S279" s="56"/>
      <c r="T279" s="16"/>
      <c r="U279" s="16"/>
      <c r="V279" s="16"/>
      <c r="W279" s="16"/>
      <c r="X279" s="56"/>
      <c r="Y279" s="56"/>
      <c r="Z279" s="56"/>
    </row>
    <row r="280" spans="1:226" x14ac:dyDescent="0.3">
      <c r="B280" s="10" t="s">
        <v>453</v>
      </c>
      <c r="C280" s="10" t="s">
        <v>321</v>
      </c>
      <c r="D280" s="10">
        <v>2</v>
      </c>
      <c r="E280" s="10">
        <f t="shared" si="41"/>
        <v>1</v>
      </c>
      <c r="F280" s="10">
        <v>0</v>
      </c>
      <c r="G280" s="10">
        <v>65535</v>
      </c>
      <c r="H280" s="10">
        <v>1</v>
      </c>
      <c r="I280" s="10">
        <v>1</v>
      </c>
      <c r="J280" s="10" t="s">
        <v>418</v>
      </c>
      <c r="K280" s="10">
        <f t="shared" si="38"/>
        <v>910</v>
      </c>
      <c r="L280" s="10">
        <f t="shared" si="42"/>
        <v>909</v>
      </c>
      <c r="M280" s="10" t="s">
        <v>419</v>
      </c>
      <c r="N280" s="10" t="s">
        <v>324</v>
      </c>
      <c r="O280" s="10"/>
      <c r="P280" s="10"/>
      <c r="Q280" s="111"/>
    </row>
    <row r="281" spans="1:226" s="8" customFormat="1" x14ac:dyDescent="0.3">
      <c r="A281" s="6"/>
      <c r="B281" s="10" t="s">
        <v>454</v>
      </c>
      <c r="C281" s="10" t="s">
        <v>321</v>
      </c>
      <c r="D281" s="10">
        <v>2</v>
      </c>
      <c r="E281" s="10">
        <f t="shared" si="41"/>
        <v>1</v>
      </c>
      <c r="F281" s="10">
        <v>0</v>
      </c>
      <c r="G281" s="10">
        <v>65535</v>
      </c>
      <c r="H281" s="10">
        <v>1</v>
      </c>
      <c r="I281" s="10">
        <v>1</v>
      </c>
      <c r="J281" s="10" t="s">
        <v>418</v>
      </c>
      <c r="K281" s="10">
        <f t="shared" si="38"/>
        <v>911</v>
      </c>
      <c r="L281" s="10">
        <f t="shared" si="42"/>
        <v>910</v>
      </c>
      <c r="M281" s="10" t="s">
        <v>419</v>
      </c>
      <c r="N281" s="10" t="s">
        <v>324</v>
      </c>
      <c r="O281" s="10"/>
      <c r="P281" s="10"/>
      <c r="Q281" s="111"/>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c r="EE281" s="6"/>
      <c r="EF281" s="6"/>
      <c r="EG281" s="6"/>
      <c r="EH281" s="6"/>
      <c r="EI281" s="6"/>
      <c r="EJ281" s="6"/>
      <c r="EK281" s="6"/>
      <c r="EL281" s="6"/>
      <c r="EM281" s="6"/>
      <c r="EN281" s="6"/>
      <c r="EO281" s="6"/>
      <c r="EP281" s="6"/>
      <c r="EQ281" s="6"/>
      <c r="ER281" s="6"/>
      <c r="ES281" s="6"/>
      <c r="ET281" s="6"/>
      <c r="EU281" s="6"/>
      <c r="EV281" s="6"/>
      <c r="EW281" s="6"/>
      <c r="EX281" s="6"/>
      <c r="EY281" s="6"/>
      <c r="EZ281" s="6"/>
      <c r="FA281" s="6"/>
      <c r="FB281" s="6"/>
      <c r="FC281" s="6"/>
      <c r="FD281" s="6"/>
      <c r="FE281" s="6"/>
      <c r="FF281" s="6"/>
      <c r="FG281" s="6"/>
      <c r="FH281" s="6"/>
      <c r="FI281" s="6"/>
      <c r="FJ281" s="6"/>
      <c r="FK281" s="6"/>
      <c r="FL281" s="6"/>
      <c r="FM281" s="6"/>
      <c r="FN281" s="6"/>
      <c r="FO281" s="6"/>
      <c r="FP281" s="6"/>
      <c r="FQ281" s="6"/>
      <c r="FR281" s="6"/>
      <c r="FS281" s="6"/>
      <c r="FT281" s="6"/>
      <c r="FU281" s="6"/>
      <c r="FV281" s="6"/>
      <c r="FW281" s="6"/>
      <c r="FX281" s="6"/>
      <c r="FY281" s="6"/>
      <c r="FZ281" s="6"/>
      <c r="GA281" s="6"/>
      <c r="GB281" s="6"/>
      <c r="GC281" s="6"/>
      <c r="GD281" s="6"/>
      <c r="GE281" s="6"/>
      <c r="GF281" s="6"/>
      <c r="GG281" s="6"/>
      <c r="GH281" s="6"/>
      <c r="GI281" s="6"/>
      <c r="GJ281" s="6"/>
      <c r="GK281" s="6"/>
      <c r="GL281" s="6"/>
      <c r="GM281" s="6"/>
      <c r="GN281" s="6"/>
      <c r="GO281" s="6"/>
      <c r="GP281" s="6"/>
      <c r="GQ281" s="6"/>
      <c r="GR281" s="6"/>
      <c r="GS281" s="6"/>
      <c r="GT281" s="6"/>
      <c r="GU281" s="6"/>
      <c r="GV281" s="6"/>
      <c r="GW281" s="6"/>
      <c r="GX281" s="6"/>
      <c r="GY281" s="6"/>
      <c r="GZ281" s="6"/>
      <c r="HA281" s="6"/>
      <c r="HB281" s="6"/>
      <c r="HC281" s="6"/>
      <c r="HD281" s="6"/>
      <c r="HE281" s="6"/>
      <c r="HF281" s="6"/>
      <c r="HG281" s="6"/>
      <c r="HH281" s="6"/>
      <c r="HI281" s="6"/>
      <c r="HJ281" s="6"/>
      <c r="HK281" s="6"/>
      <c r="HL281" s="6"/>
      <c r="HM281" s="6"/>
      <c r="HN281" s="6"/>
      <c r="HO281" s="6"/>
      <c r="HP281" s="6"/>
      <c r="HQ281" s="6"/>
      <c r="HR281" s="6"/>
    </row>
    <row r="282" spans="1:226" s="8" customFormat="1" x14ac:dyDescent="0.3">
      <c r="A282" s="6"/>
      <c r="B282" s="10" t="s">
        <v>455</v>
      </c>
      <c r="C282" s="10" t="s">
        <v>321</v>
      </c>
      <c r="D282" s="10">
        <v>2</v>
      </c>
      <c r="E282" s="10">
        <f t="shared" si="41"/>
        <v>1</v>
      </c>
      <c r="F282" s="10">
        <v>0</v>
      </c>
      <c r="G282" s="10">
        <v>65535</v>
      </c>
      <c r="H282" s="10">
        <v>1</v>
      </c>
      <c r="I282" s="10">
        <v>1</v>
      </c>
      <c r="J282" s="10" t="s">
        <v>418</v>
      </c>
      <c r="K282" s="10">
        <f t="shared" si="38"/>
        <v>912</v>
      </c>
      <c r="L282" s="10">
        <f t="shared" si="42"/>
        <v>911</v>
      </c>
      <c r="M282" s="10" t="s">
        <v>419</v>
      </c>
      <c r="N282" s="10" t="s">
        <v>324</v>
      </c>
      <c r="O282" s="10"/>
      <c r="P282" s="10"/>
      <c r="Q282" s="111"/>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6"/>
      <c r="EH282" s="6"/>
      <c r="EI282" s="6"/>
      <c r="EJ282" s="6"/>
      <c r="EK282" s="6"/>
      <c r="EL282" s="6"/>
      <c r="EM282" s="6"/>
      <c r="EN282" s="6"/>
      <c r="EO282" s="6"/>
      <c r="EP282" s="6"/>
      <c r="EQ282" s="6"/>
      <c r="ER282" s="6"/>
      <c r="ES282" s="6"/>
      <c r="ET282" s="6"/>
      <c r="EU282" s="6"/>
      <c r="EV282" s="6"/>
      <c r="EW282" s="6"/>
      <c r="EX282" s="6"/>
      <c r="EY282" s="6"/>
      <c r="EZ282" s="6"/>
      <c r="FA282" s="6"/>
      <c r="FB282" s="6"/>
      <c r="FC282" s="6"/>
      <c r="FD282" s="6"/>
      <c r="FE282" s="6"/>
      <c r="FF282" s="6"/>
      <c r="FG282" s="6"/>
      <c r="FH282" s="6"/>
      <c r="FI282" s="6"/>
      <c r="FJ282" s="6"/>
      <c r="FK282" s="6"/>
      <c r="FL282" s="6"/>
      <c r="FM282" s="6"/>
      <c r="FN282" s="6"/>
      <c r="FO282" s="6"/>
      <c r="FP282" s="6"/>
      <c r="FQ282" s="6"/>
      <c r="FR282" s="6"/>
      <c r="FS282" s="6"/>
      <c r="FT282" s="6"/>
      <c r="FU282" s="6"/>
      <c r="FV282" s="6"/>
      <c r="FW282" s="6"/>
      <c r="FX282" s="6"/>
      <c r="FY282" s="6"/>
      <c r="FZ282" s="6"/>
      <c r="GA282" s="6"/>
      <c r="GB282" s="6"/>
      <c r="GC282" s="6"/>
      <c r="GD282" s="6"/>
      <c r="GE282" s="6"/>
      <c r="GF282" s="6"/>
      <c r="GG282" s="6"/>
      <c r="GH282" s="6"/>
      <c r="GI282" s="6"/>
      <c r="GJ282" s="6"/>
      <c r="GK282" s="6"/>
      <c r="GL282" s="6"/>
      <c r="GM282" s="6"/>
      <c r="GN282" s="6"/>
      <c r="GO282" s="6"/>
      <c r="GP282" s="6"/>
      <c r="GQ282" s="6"/>
      <c r="GR282" s="6"/>
      <c r="GS282" s="6"/>
      <c r="GT282" s="6"/>
      <c r="GU282" s="6"/>
      <c r="GV282" s="6"/>
      <c r="GW282" s="6"/>
      <c r="GX282" s="6"/>
      <c r="GY282" s="6"/>
      <c r="GZ282" s="6"/>
      <c r="HA282" s="6"/>
      <c r="HB282" s="6"/>
      <c r="HC282" s="6"/>
      <c r="HD282" s="6"/>
      <c r="HE282" s="6"/>
      <c r="HF282" s="6"/>
      <c r="HG282" s="6"/>
      <c r="HH282" s="6"/>
      <c r="HI282" s="6"/>
      <c r="HJ282" s="6"/>
      <c r="HK282" s="6"/>
      <c r="HL282" s="6"/>
      <c r="HM282" s="6"/>
      <c r="HN282" s="6"/>
      <c r="HO282" s="6"/>
      <c r="HP282" s="6"/>
      <c r="HQ282" s="6"/>
      <c r="HR282" s="6"/>
    </row>
    <row r="283" spans="1:226" s="8" customFormat="1" x14ac:dyDescent="0.3">
      <c r="A283" s="6"/>
      <c r="B283" s="10" t="s">
        <v>456</v>
      </c>
      <c r="C283" s="10" t="s">
        <v>321</v>
      </c>
      <c r="D283" s="10">
        <v>2</v>
      </c>
      <c r="E283" s="10">
        <f t="shared" si="41"/>
        <v>1</v>
      </c>
      <c r="F283" s="10">
        <v>0</v>
      </c>
      <c r="G283" s="10">
        <v>65535</v>
      </c>
      <c r="H283" s="10">
        <v>1</v>
      </c>
      <c r="I283" s="10">
        <v>1</v>
      </c>
      <c r="J283" s="10" t="s">
        <v>418</v>
      </c>
      <c r="K283" s="10">
        <f t="shared" si="38"/>
        <v>913</v>
      </c>
      <c r="L283" s="10">
        <f t="shared" si="42"/>
        <v>912</v>
      </c>
      <c r="M283" s="10" t="s">
        <v>419</v>
      </c>
      <c r="N283" s="10" t="s">
        <v>324</v>
      </c>
      <c r="O283" s="10"/>
      <c r="P283" s="10"/>
      <c r="Q283" s="111"/>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c r="EE283" s="6"/>
      <c r="EF283" s="6"/>
      <c r="EG283" s="6"/>
      <c r="EH283" s="6"/>
      <c r="EI283" s="6"/>
      <c r="EJ283" s="6"/>
      <c r="EK283" s="6"/>
      <c r="EL283" s="6"/>
      <c r="EM283" s="6"/>
      <c r="EN283" s="6"/>
      <c r="EO283" s="6"/>
      <c r="EP283" s="6"/>
      <c r="EQ283" s="6"/>
      <c r="ER283" s="6"/>
      <c r="ES283" s="6"/>
      <c r="ET283" s="6"/>
      <c r="EU283" s="6"/>
      <c r="EV283" s="6"/>
      <c r="EW283" s="6"/>
      <c r="EX283" s="6"/>
      <c r="EY283" s="6"/>
      <c r="EZ283" s="6"/>
      <c r="FA283" s="6"/>
      <c r="FB283" s="6"/>
      <c r="FC283" s="6"/>
      <c r="FD283" s="6"/>
      <c r="FE283" s="6"/>
      <c r="FF283" s="6"/>
      <c r="FG283" s="6"/>
      <c r="FH283" s="6"/>
      <c r="FI283" s="6"/>
      <c r="FJ283" s="6"/>
      <c r="FK283" s="6"/>
      <c r="FL283" s="6"/>
      <c r="FM283" s="6"/>
      <c r="FN283" s="6"/>
      <c r="FO283" s="6"/>
      <c r="FP283" s="6"/>
      <c r="FQ283" s="6"/>
      <c r="FR283" s="6"/>
      <c r="FS283" s="6"/>
      <c r="FT283" s="6"/>
      <c r="FU283" s="6"/>
      <c r="FV283" s="6"/>
      <c r="FW283" s="6"/>
      <c r="FX283" s="6"/>
      <c r="FY283" s="6"/>
      <c r="FZ283" s="6"/>
      <c r="GA283" s="6"/>
      <c r="GB283" s="6"/>
      <c r="GC283" s="6"/>
      <c r="GD283" s="6"/>
      <c r="GE283" s="6"/>
      <c r="GF283" s="6"/>
      <c r="GG283" s="6"/>
      <c r="GH283" s="6"/>
      <c r="GI283" s="6"/>
      <c r="GJ283" s="6"/>
      <c r="GK283" s="6"/>
      <c r="GL283" s="6"/>
      <c r="GM283" s="6"/>
      <c r="GN283" s="6"/>
      <c r="GO283" s="6"/>
      <c r="GP283" s="6"/>
      <c r="GQ283" s="6"/>
      <c r="GR283" s="6"/>
      <c r="GS283" s="6"/>
      <c r="GT283" s="6"/>
      <c r="GU283" s="6"/>
      <c r="GV283" s="6"/>
      <c r="GW283" s="6"/>
      <c r="GX283" s="6"/>
      <c r="GY283" s="6"/>
      <c r="GZ283" s="6"/>
      <c r="HA283" s="6"/>
      <c r="HB283" s="6"/>
      <c r="HC283" s="6"/>
      <c r="HD283" s="6"/>
      <c r="HE283" s="6"/>
      <c r="HF283" s="6"/>
      <c r="HG283" s="6"/>
      <c r="HH283" s="6"/>
      <c r="HI283" s="6"/>
      <c r="HJ283" s="6"/>
      <c r="HK283" s="6"/>
      <c r="HL283" s="6"/>
      <c r="HM283" s="6"/>
      <c r="HN283" s="6"/>
      <c r="HO283" s="6"/>
      <c r="HP283" s="6"/>
      <c r="HQ283" s="6"/>
      <c r="HR283" s="6"/>
    </row>
    <row r="284" spans="1:226" s="8" customFormat="1" x14ac:dyDescent="0.3">
      <c r="A284" s="6"/>
      <c r="B284" s="10" t="s">
        <v>457</v>
      </c>
      <c r="C284" s="10" t="s">
        <v>321</v>
      </c>
      <c r="D284" s="10">
        <v>2</v>
      </c>
      <c r="E284" s="10">
        <f t="shared" si="41"/>
        <v>1</v>
      </c>
      <c r="F284" s="10">
        <v>0</v>
      </c>
      <c r="G284" s="10">
        <v>65535</v>
      </c>
      <c r="H284" s="10">
        <v>1</v>
      </c>
      <c r="I284" s="10">
        <v>1</v>
      </c>
      <c r="J284" s="10" t="s">
        <v>418</v>
      </c>
      <c r="K284" s="10">
        <f t="shared" si="38"/>
        <v>914</v>
      </c>
      <c r="L284" s="10">
        <f t="shared" si="42"/>
        <v>913</v>
      </c>
      <c r="M284" s="10" t="s">
        <v>419</v>
      </c>
      <c r="N284" s="10" t="s">
        <v>324</v>
      </c>
      <c r="O284" s="10"/>
      <c r="P284" s="10"/>
      <c r="Q284" s="111"/>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c r="EE284" s="6"/>
      <c r="EF284" s="6"/>
      <c r="EG284" s="6"/>
      <c r="EH284" s="6"/>
      <c r="EI284" s="6"/>
      <c r="EJ284" s="6"/>
      <c r="EK284" s="6"/>
      <c r="EL284" s="6"/>
      <c r="EM284" s="6"/>
      <c r="EN284" s="6"/>
      <c r="EO284" s="6"/>
      <c r="EP284" s="6"/>
      <c r="EQ284" s="6"/>
      <c r="ER284" s="6"/>
      <c r="ES284" s="6"/>
      <c r="ET284" s="6"/>
      <c r="EU284" s="6"/>
      <c r="EV284" s="6"/>
      <c r="EW284" s="6"/>
      <c r="EX284" s="6"/>
      <c r="EY284" s="6"/>
      <c r="EZ284" s="6"/>
      <c r="FA284" s="6"/>
      <c r="FB284" s="6"/>
      <c r="FC284" s="6"/>
      <c r="FD284" s="6"/>
      <c r="FE284" s="6"/>
      <c r="FF284" s="6"/>
      <c r="FG284" s="6"/>
      <c r="FH284" s="6"/>
      <c r="FI284" s="6"/>
      <c r="FJ284" s="6"/>
      <c r="FK284" s="6"/>
      <c r="FL284" s="6"/>
      <c r="FM284" s="6"/>
      <c r="FN284" s="6"/>
      <c r="FO284" s="6"/>
      <c r="FP284" s="6"/>
      <c r="FQ284" s="6"/>
      <c r="FR284" s="6"/>
      <c r="FS284" s="6"/>
      <c r="FT284" s="6"/>
      <c r="FU284" s="6"/>
      <c r="FV284" s="6"/>
      <c r="FW284" s="6"/>
      <c r="FX284" s="6"/>
      <c r="FY284" s="6"/>
      <c r="FZ284" s="6"/>
      <c r="GA284" s="6"/>
      <c r="GB284" s="6"/>
      <c r="GC284" s="6"/>
      <c r="GD284" s="6"/>
      <c r="GE284" s="6"/>
      <c r="GF284" s="6"/>
      <c r="GG284" s="6"/>
      <c r="GH284" s="6"/>
      <c r="GI284" s="6"/>
      <c r="GJ284" s="6"/>
      <c r="GK284" s="6"/>
      <c r="GL284" s="6"/>
      <c r="GM284" s="6"/>
      <c r="GN284" s="6"/>
      <c r="GO284" s="6"/>
      <c r="GP284" s="6"/>
      <c r="GQ284" s="6"/>
      <c r="GR284" s="6"/>
      <c r="GS284" s="6"/>
      <c r="GT284" s="6"/>
      <c r="GU284" s="6"/>
      <c r="GV284" s="6"/>
      <c r="GW284" s="6"/>
      <c r="GX284" s="6"/>
      <c r="GY284" s="6"/>
      <c r="GZ284" s="6"/>
      <c r="HA284" s="6"/>
      <c r="HB284" s="6"/>
      <c r="HC284" s="6"/>
      <c r="HD284" s="6"/>
      <c r="HE284" s="6"/>
      <c r="HF284" s="6"/>
      <c r="HG284" s="6"/>
      <c r="HH284" s="6"/>
      <c r="HI284" s="6"/>
      <c r="HJ284" s="6"/>
      <c r="HK284" s="6"/>
      <c r="HL284" s="6"/>
      <c r="HM284" s="6"/>
      <c r="HN284" s="6"/>
      <c r="HO284" s="6"/>
      <c r="HP284" s="6"/>
      <c r="HQ284" s="6"/>
      <c r="HR284" s="6"/>
    </row>
    <row r="285" spans="1:226" s="8" customFormat="1" x14ac:dyDescent="0.3">
      <c r="A285" s="6"/>
      <c r="B285" s="10" t="s">
        <v>458</v>
      </c>
      <c r="C285" s="10" t="s">
        <v>321</v>
      </c>
      <c r="D285" s="10">
        <v>2</v>
      </c>
      <c r="E285" s="10">
        <f t="shared" si="41"/>
        <v>1</v>
      </c>
      <c r="F285" s="10">
        <v>0</v>
      </c>
      <c r="G285" s="10">
        <v>65535</v>
      </c>
      <c r="H285" s="10">
        <v>1</v>
      </c>
      <c r="I285" s="10">
        <v>1</v>
      </c>
      <c r="J285" s="10" t="s">
        <v>418</v>
      </c>
      <c r="K285" s="10">
        <f t="shared" si="38"/>
        <v>915</v>
      </c>
      <c r="L285" s="10">
        <f t="shared" si="42"/>
        <v>914</v>
      </c>
      <c r="M285" s="10" t="s">
        <v>419</v>
      </c>
      <c r="N285" s="10" t="s">
        <v>324</v>
      </c>
      <c r="O285" s="10"/>
      <c r="P285" s="10"/>
      <c r="Q285" s="111"/>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c r="EE285" s="6"/>
      <c r="EF285" s="6"/>
      <c r="EG285" s="6"/>
      <c r="EH285" s="6"/>
      <c r="EI285" s="6"/>
      <c r="EJ285" s="6"/>
      <c r="EK285" s="6"/>
      <c r="EL285" s="6"/>
      <c r="EM285" s="6"/>
      <c r="EN285" s="6"/>
      <c r="EO285" s="6"/>
      <c r="EP285" s="6"/>
      <c r="EQ285" s="6"/>
      <c r="ER285" s="6"/>
      <c r="ES285" s="6"/>
      <c r="ET285" s="6"/>
      <c r="EU285" s="6"/>
      <c r="EV285" s="6"/>
      <c r="EW285" s="6"/>
      <c r="EX285" s="6"/>
      <c r="EY285" s="6"/>
      <c r="EZ285" s="6"/>
      <c r="FA285" s="6"/>
      <c r="FB285" s="6"/>
      <c r="FC285" s="6"/>
      <c r="FD285" s="6"/>
      <c r="FE285" s="6"/>
      <c r="FF285" s="6"/>
      <c r="FG285" s="6"/>
      <c r="FH285" s="6"/>
      <c r="FI285" s="6"/>
      <c r="FJ285" s="6"/>
      <c r="FK285" s="6"/>
      <c r="FL285" s="6"/>
      <c r="FM285" s="6"/>
      <c r="FN285" s="6"/>
      <c r="FO285" s="6"/>
      <c r="FP285" s="6"/>
      <c r="FQ285" s="6"/>
      <c r="FR285" s="6"/>
      <c r="FS285" s="6"/>
      <c r="FT285" s="6"/>
      <c r="FU285" s="6"/>
      <c r="FV285" s="6"/>
      <c r="FW285" s="6"/>
      <c r="FX285" s="6"/>
      <c r="FY285" s="6"/>
      <c r="FZ285" s="6"/>
      <c r="GA285" s="6"/>
      <c r="GB285" s="6"/>
      <c r="GC285" s="6"/>
      <c r="GD285" s="6"/>
      <c r="GE285" s="6"/>
      <c r="GF285" s="6"/>
      <c r="GG285" s="6"/>
      <c r="GH285" s="6"/>
      <c r="GI285" s="6"/>
      <c r="GJ285" s="6"/>
      <c r="GK285" s="6"/>
      <c r="GL285" s="6"/>
      <c r="GM285" s="6"/>
      <c r="GN285" s="6"/>
      <c r="GO285" s="6"/>
      <c r="GP285" s="6"/>
      <c r="GQ285" s="6"/>
      <c r="GR285" s="6"/>
      <c r="GS285" s="6"/>
      <c r="GT285" s="6"/>
      <c r="GU285" s="6"/>
      <c r="GV285" s="6"/>
      <c r="GW285" s="6"/>
      <c r="GX285" s="6"/>
      <c r="GY285" s="6"/>
      <c r="GZ285" s="6"/>
      <c r="HA285" s="6"/>
      <c r="HB285" s="6"/>
      <c r="HC285" s="6"/>
      <c r="HD285" s="6"/>
      <c r="HE285" s="6"/>
      <c r="HF285" s="6"/>
      <c r="HG285" s="6"/>
      <c r="HH285" s="6"/>
      <c r="HI285" s="6"/>
      <c r="HJ285" s="6"/>
      <c r="HK285" s="6"/>
      <c r="HL285" s="6"/>
      <c r="HM285" s="6"/>
      <c r="HN285" s="6"/>
      <c r="HO285" s="6"/>
      <c r="HP285" s="6"/>
      <c r="HQ285" s="6"/>
      <c r="HR285" s="6"/>
    </row>
    <row r="286" spans="1:226" s="8" customFormat="1" x14ac:dyDescent="0.3">
      <c r="A286" s="6"/>
      <c r="B286" s="10" t="s">
        <v>459</v>
      </c>
      <c r="C286" s="10" t="s">
        <v>321</v>
      </c>
      <c r="D286" s="10">
        <v>2</v>
      </c>
      <c r="E286" s="10">
        <f t="shared" si="41"/>
        <v>1</v>
      </c>
      <c r="F286" s="10">
        <v>0</v>
      </c>
      <c r="G286" s="10">
        <v>65535</v>
      </c>
      <c r="H286" s="10">
        <v>1</v>
      </c>
      <c r="I286" s="10">
        <v>1</v>
      </c>
      <c r="J286" s="10" t="s">
        <v>418</v>
      </c>
      <c r="K286" s="10">
        <f t="shared" si="38"/>
        <v>916</v>
      </c>
      <c r="L286" s="10">
        <f t="shared" si="42"/>
        <v>915</v>
      </c>
      <c r="M286" s="10" t="s">
        <v>419</v>
      </c>
      <c r="N286" s="10" t="s">
        <v>324</v>
      </c>
      <c r="O286" s="10"/>
      <c r="P286" s="10"/>
      <c r="Q286" s="111"/>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c r="EN286" s="6"/>
      <c r="EO286" s="6"/>
      <c r="EP286" s="6"/>
      <c r="EQ286" s="6"/>
      <c r="ER286" s="6"/>
      <c r="ES286" s="6"/>
      <c r="ET286" s="6"/>
      <c r="EU286" s="6"/>
      <c r="EV286" s="6"/>
      <c r="EW286" s="6"/>
      <c r="EX286" s="6"/>
      <c r="EY286" s="6"/>
      <c r="EZ286" s="6"/>
      <c r="FA286" s="6"/>
      <c r="FB286" s="6"/>
      <c r="FC286" s="6"/>
      <c r="FD286" s="6"/>
      <c r="FE286" s="6"/>
      <c r="FF286" s="6"/>
      <c r="FG286" s="6"/>
      <c r="FH286" s="6"/>
      <c r="FI286" s="6"/>
      <c r="FJ286" s="6"/>
      <c r="FK286" s="6"/>
      <c r="FL286" s="6"/>
      <c r="FM286" s="6"/>
      <c r="FN286" s="6"/>
      <c r="FO286" s="6"/>
      <c r="FP286" s="6"/>
      <c r="FQ286" s="6"/>
      <c r="FR286" s="6"/>
      <c r="FS286" s="6"/>
      <c r="FT286" s="6"/>
      <c r="FU286" s="6"/>
      <c r="FV286" s="6"/>
      <c r="FW286" s="6"/>
      <c r="FX286" s="6"/>
      <c r="FY286" s="6"/>
      <c r="FZ286" s="6"/>
      <c r="GA286" s="6"/>
      <c r="GB286" s="6"/>
      <c r="GC286" s="6"/>
      <c r="GD286" s="6"/>
      <c r="GE286" s="6"/>
      <c r="GF286" s="6"/>
      <c r="GG286" s="6"/>
      <c r="GH286" s="6"/>
      <c r="GI286" s="6"/>
      <c r="GJ286" s="6"/>
      <c r="GK286" s="6"/>
      <c r="GL286" s="6"/>
      <c r="GM286" s="6"/>
      <c r="GN286" s="6"/>
      <c r="GO286" s="6"/>
      <c r="GP286" s="6"/>
      <c r="GQ286" s="6"/>
      <c r="GR286" s="6"/>
      <c r="GS286" s="6"/>
      <c r="GT286" s="6"/>
      <c r="GU286" s="6"/>
      <c r="GV286" s="6"/>
      <c r="GW286" s="6"/>
      <c r="GX286" s="6"/>
      <c r="GY286" s="6"/>
      <c r="GZ286" s="6"/>
      <c r="HA286" s="6"/>
      <c r="HB286" s="6"/>
      <c r="HC286" s="6"/>
      <c r="HD286" s="6"/>
      <c r="HE286" s="6"/>
      <c r="HF286" s="6"/>
      <c r="HG286" s="6"/>
      <c r="HH286" s="6"/>
      <c r="HI286" s="6"/>
      <c r="HJ286" s="6"/>
      <c r="HK286" s="6"/>
      <c r="HL286" s="6"/>
      <c r="HM286" s="6"/>
      <c r="HN286" s="6"/>
      <c r="HO286" s="6"/>
      <c r="HP286" s="6"/>
      <c r="HQ286" s="6"/>
      <c r="HR286" s="6"/>
    </row>
    <row r="287" spans="1:226" s="8" customFormat="1" x14ac:dyDescent="0.3">
      <c r="A287" s="6"/>
      <c r="B287" s="10" t="s">
        <v>460</v>
      </c>
      <c r="C287" s="10" t="s">
        <v>321</v>
      </c>
      <c r="D287" s="10">
        <v>2</v>
      </c>
      <c r="E287" s="10">
        <f t="shared" si="41"/>
        <v>1</v>
      </c>
      <c r="F287" s="10">
        <v>0</v>
      </c>
      <c r="G287" s="10">
        <v>65535</v>
      </c>
      <c r="H287" s="10">
        <v>1</v>
      </c>
      <c r="I287" s="10">
        <v>1</v>
      </c>
      <c r="J287" s="10" t="s">
        <v>418</v>
      </c>
      <c r="K287" s="10">
        <f t="shared" si="38"/>
        <v>917</v>
      </c>
      <c r="L287" s="10">
        <f t="shared" si="42"/>
        <v>916</v>
      </c>
      <c r="M287" s="10" t="s">
        <v>419</v>
      </c>
      <c r="N287" s="10" t="s">
        <v>324</v>
      </c>
      <c r="O287" s="10"/>
      <c r="P287" s="10"/>
      <c r="Q287" s="111"/>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c r="EE287" s="6"/>
      <c r="EF287" s="6"/>
      <c r="EG287" s="6"/>
      <c r="EH287" s="6"/>
      <c r="EI287" s="6"/>
      <c r="EJ287" s="6"/>
      <c r="EK287" s="6"/>
      <c r="EL287" s="6"/>
      <c r="EM287" s="6"/>
      <c r="EN287" s="6"/>
      <c r="EO287" s="6"/>
      <c r="EP287" s="6"/>
      <c r="EQ287" s="6"/>
      <c r="ER287" s="6"/>
      <c r="ES287" s="6"/>
      <c r="ET287" s="6"/>
      <c r="EU287" s="6"/>
      <c r="EV287" s="6"/>
      <c r="EW287" s="6"/>
      <c r="EX287" s="6"/>
      <c r="EY287" s="6"/>
      <c r="EZ287" s="6"/>
      <c r="FA287" s="6"/>
      <c r="FB287" s="6"/>
      <c r="FC287" s="6"/>
      <c r="FD287" s="6"/>
      <c r="FE287" s="6"/>
      <c r="FF287" s="6"/>
      <c r="FG287" s="6"/>
      <c r="FH287" s="6"/>
      <c r="FI287" s="6"/>
      <c r="FJ287" s="6"/>
      <c r="FK287" s="6"/>
      <c r="FL287" s="6"/>
      <c r="FM287" s="6"/>
      <c r="FN287" s="6"/>
      <c r="FO287" s="6"/>
      <c r="FP287" s="6"/>
      <c r="FQ287" s="6"/>
      <c r="FR287" s="6"/>
      <c r="FS287" s="6"/>
      <c r="FT287" s="6"/>
      <c r="FU287" s="6"/>
      <c r="FV287" s="6"/>
      <c r="FW287" s="6"/>
      <c r="FX287" s="6"/>
      <c r="FY287" s="6"/>
      <c r="FZ287" s="6"/>
      <c r="GA287" s="6"/>
      <c r="GB287" s="6"/>
      <c r="GC287" s="6"/>
      <c r="GD287" s="6"/>
      <c r="GE287" s="6"/>
      <c r="GF287" s="6"/>
      <c r="GG287" s="6"/>
      <c r="GH287" s="6"/>
      <c r="GI287" s="6"/>
      <c r="GJ287" s="6"/>
      <c r="GK287" s="6"/>
      <c r="GL287" s="6"/>
      <c r="GM287" s="6"/>
      <c r="GN287" s="6"/>
      <c r="GO287" s="6"/>
      <c r="GP287" s="6"/>
      <c r="GQ287" s="6"/>
      <c r="GR287" s="6"/>
      <c r="GS287" s="6"/>
      <c r="GT287" s="6"/>
      <c r="GU287" s="6"/>
      <c r="GV287" s="6"/>
      <c r="GW287" s="6"/>
      <c r="GX287" s="6"/>
      <c r="GY287" s="6"/>
      <c r="GZ287" s="6"/>
      <c r="HA287" s="6"/>
      <c r="HB287" s="6"/>
      <c r="HC287" s="6"/>
      <c r="HD287" s="6"/>
      <c r="HE287" s="6"/>
      <c r="HF287" s="6"/>
      <c r="HG287" s="6"/>
      <c r="HH287" s="6"/>
      <c r="HI287" s="6"/>
      <c r="HJ287" s="6"/>
      <c r="HK287" s="6"/>
      <c r="HL287" s="6"/>
      <c r="HM287" s="6"/>
      <c r="HN287" s="6"/>
      <c r="HO287" s="6"/>
      <c r="HP287" s="6"/>
      <c r="HQ287" s="6"/>
      <c r="HR287" s="6"/>
    </row>
    <row r="288" spans="1:226" s="8" customFormat="1" x14ac:dyDescent="0.3">
      <c r="A288" s="6"/>
      <c r="B288" s="10" t="s">
        <v>461</v>
      </c>
      <c r="C288" s="10" t="s">
        <v>321</v>
      </c>
      <c r="D288" s="10">
        <v>2</v>
      </c>
      <c r="E288" s="10">
        <f t="shared" si="41"/>
        <v>1</v>
      </c>
      <c r="F288" s="10">
        <v>0</v>
      </c>
      <c r="G288" s="10">
        <v>65535</v>
      </c>
      <c r="H288" s="10">
        <v>1</v>
      </c>
      <c r="I288" s="10">
        <v>1</v>
      </c>
      <c r="J288" s="10" t="s">
        <v>418</v>
      </c>
      <c r="K288" s="10">
        <f t="shared" si="38"/>
        <v>918</v>
      </c>
      <c r="L288" s="10">
        <f t="shared" si="42"/>
        <v>917</v>
      </c>
      <c r="M288" s="10" t="s">
        <v>419</v>
      </c>
      <c r="N288" s="10" t="s">
        <v>324</v>
      </c>
      <c r="O288" s="10"/>
      <c r="P288" s="10"/>
      <c r="Q288" s="111"/>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c r="EE288" s="6"/>
      <c r="EF288" s="6"/>
      <c r="EG288" s="6"/>
      <c r="EH288" s="6"/>
      <c r="EI288" s="6"/>
      <c r="EJ288" s="6"/>
      <c r="EK288" s="6"/>
      <c r="EL288" s="6"/>
      <c r="EM288" s="6"/>
      <c r="EN288" s="6"/>
      <c r="EO288" s="6"/>
      <c r="EP288" s="6"/>
      <c r="EQ288" s="6"/>
      <c r="ER288" s="6"/>
      <c r="ES288" s="6"/>
      <c r="ET288" s="6"/>
      <c r="EU288" s="6"/>
      <c r="EV288" s="6"/>
      <c r="EW288" s="6"/>
      <c r="EX288" s="6"/>
      <c r="EY288" s="6"/>
      <c r="EZ288" s="6"/>
      <c r="FA288" s="6"/>
      <c r="FB288" s="6"/>
      <c r="FC288" s="6"/>
      <c r="FD288" s="6"/>
      <c r="FE288" s="6"/>
      <c r="FF288" s="6"/>
      <c r="FG288" s="6"/>
      <c r="FH288" s="6"/>
      <c r="FI288" s="6"/>
      <c r="FJ288" s="6"/>
      <c r="FK288" s="6"/>
      <c r="FL288" s="6"/>
      <c r="FM288" s="6"/>
      <c r="FN288" s="6"/>
      <c r="FO288" s="6"/>
      <c r="FP288" s="6"/>
      <c r="FQ288" s="6"/>
      <c r="FR288" s="6"/>
      <c r="FS288" s="6"/>
      <c r="FT288" s="6"/>
      <c r="FU288" s="6"/>
      <c r="FV288" s="6"/>
      <c r="FW288" s="6"/>
      <c r="FX288" s="6"/>
      <c r="FY288" s="6"/>
      <c r="FZ288" s="6"/>
      <c r="GA288" s="6"/>
      <c r="GB288" s="6"/>
      <c r="GC288" s="6"/>
      <c r="GD288" s="6"/>
      <c r="GE288" s="6"/>
      <c r="GF288" s="6"/>
      <c r="GG288" s="6"/>
      <c r="GH288" s="6"/>
      <c r="GI288" s="6"/>
      <c r="GJ288" s="6"/>
      <c r="GK288" s="6"/>
      <c r="GL288" s="6"/>
      <c r="GM288" s="6"/>
      <c r="GN288" s="6"/>
      <c r="GO288" s="6"/>
      <c r="GP288" s="6"/>
      <c r="GQ288" s="6"/>
      <c r="GR288" s="6"/>
      <c r="GS288" s="6"/>
      <c r="GT288" s="6"/>
      <c r="GU288" s="6"/>
      <c r="GV288" s="6"/>
      <c r="GW288" s="6"/>
      <c r="GX288" s="6"/>
      <c r="GY288" s="6"/>
      <c r="GZ288" s="6"/>
      <c r="HA288" s="6"/>
      <c r="HB288" s="6"/>
      <c r="HC288" s="6"/>
      <c r="HD288" s="6"/>
      <c r="HE288" s="6"/>
      <c r="HF288" s="6"/>
      <c r="HG288" s="6"/>
      <c r="HH288" s="6"/>
      <c r="HI288" s="6"/>
      <c r="HJ288" s="6"/>
      <c r="HK288" s="6"/>
      <c r="HL288" s="6"/>
      <c r="HM288" s="6"/>
      <c r="HN288" s="6"/>
      <c r="HO288" s="6"/>
      <c r="HP288" s="6"/>
      <c r="HQ288" s="6"/>
      <c r="HR288" s="6"/>
    </row>
    <row r="289" spans="1:226" s="47" customFormat="1" x14ac:dyDescent="0.3">
      <c r="A289" s="6"/>
      <c r="B289" s="10" t="s">
        <v>462</v>
      </c>
      <c r="C289" s="10" t="s">
        <v>321</v>
      </c>
      <c r="D289" s="10">
        <v>2</v>
      </c>
      <c r="E289" s="10">
        <f t="shared" si="41"/>
        <v>1</v>
      </c>
      <c r="F289" s="10">
        <v>0</v>
      </c>
      <c r="G289" s="10">
        <v>65535</v>
      </c>
      <c r="H289" s="10">
        <v>1</v>
      </c>
      <c r="I289" s="10">
        <v>1</v>
      </c>
      <c r="J289" s="10" t="s">
        <v>418</v>
      </c>
      <c r="K289" s="10">
        <f t="shared" si="38"/>
        <v>919</v>
      </c>
      <c r="L289" s="10">
        <f t="shared" si="42"/>
        <v>918</v>
      </c>
      <c r="M289" s="10" t="s">
        <v>419</v>
      </c>
      <c r="N289" s="10" t="s">
        <v>324</v>
      </c>
      <c r="O289" s="10"/>
      <c r="P289" s="10"/>
      <c r="Q289" s="111"/>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6"/>
      <c r="ED289" s="6"/>
      <c r="EE289" s="6"/>
      <c r="EF289" s="6"/>
      <c r="EG289" s="6"/>
      <c r="EH289" s="6"/>
      <c r="EI289" s="6"/>
      <c r="EJ289" s="6"/>
      <c r="EK289" s="6"/>
      <c r="EL289" s="6"/>
      <c r="EM289" s="6"/>
      <c r="EN289" s="6"/>
      <c r="EO289" s="6"/>
      <c r="EP289" s="6"/>
      <c r="EQ289" s="6"/>
      <c r="ER289" s="6"/>
      <c r="ES289" s="6"/>
      <c r="ET289" s="6"/>
      <c r="EU289" s="6"/>
      <c r="EV289" s="6"/>
      <c r="EW289" s="6"/>
      <c r="EX289" s="6"/>
      <c r="EY289" s="6"/>
      <c r="EZ289" s="6"/>
      <c r="FA289" s="6"/>
      <c r="FB289" s="6"/>
      <c r="FC289" s="6"/>
      <c r="FD289" s="6"/>
      <c r="FE289" s="6"/>
      <c r="FF289" s="6"/>
      <c r="FG289" s="6"/>
      <c r="FH289" s="6"/>
      <c r="FI289" s="6"/>
      <c r="FJ289" s="6"/>
      <c r="FK289" s="6"/>
      <c r="FL289" s="6"/>
      <c r="FM289" s="6"/>
      <c r="FN289" s="6"/>
      <c r="FO289" s="6"/>
      <c r="FP289" s="6"/>
      <c r="FQ289" s="6"/>
      <c r="FR289" s="6"/>
      <c r="FS289" s="6"/>
      <c r="FT289" s="6"/>
      <c r="FU289" s="6"/>
      <c r="FV289" s="6"/>
      <c r="FW289" s="6"/>
      <c r="FX289" s="6"/>
      <c r="FY289" s="6"/>
      <c r="FZ289" s="6"/>
      <c r="GA289" s="6"/>
      <c r="GB289" s="6"/>
      <c r="GC289" s="6"/>
      <c r="GD289" s="6"/>
      <c r="GE289" s="6"/>
      <c r="GF289" s="6"/>
      <c r="GG289" s="6"/>
      <c r="GH289" s="6"/>
      <c r="GI289" s="6"/>
      <c r="GJ289" s="6"/>
      <c r="GK289" s="6"/>
      <c r="GL289" s="6"/>
      <c r="GM289" s="6"/>
      <c r="GN289" s="6"/>
      <c r="GO289" s="6"/>
      <c r="GP289" s="6"/>
      <c r="GQ289" s="6"/>
      <c r="GR289" s="6"/>
      <c r="GS289" s="6"/>
      <c r="GT289" s="6"/>
      <c r="GU289" s="6"/>
      <c r="GV289" s="6"/>
      <c r="GW289" s="6"/>
      <c r="GX289" s="6"/>
      <c r="GY289" s="6"/>
      <c r="GZ289" s="6"/>
      <c r="HA289" s="6"/>
      <c r="HB289" s="6"/>
      <c r="HC289" s="6"/>
      <c r="HD289" s="6"/>
      <c r="HE289" s="6"/>
      <c r="HF289" s="6"/>
      <c r="HG289" s="6"/>
      <c r="HH289" s="6"/>
      <c r="HI289" s="6"/>
      <c r="HJ289" s="6"/>
      <c r="HK289" s="6"/>
      <c r="HL289" s="6"/>
      <c r="HM289" s="6"/>
      <c r="HN289" s="6"/>
      <c r="HO289" s="6"/>
      <c r="HP289" s="6"/>
      <c r="HQ289" s="6"/>
      <c r="HR289" s="6"/>
    </row>
    <row r="290" spans="1:226" s="47" customFormat="1" x14ac:dyDescent="0.3">
      <c r="A290" s="6"/>
      <c r="B290" s="10" t="s">
        <v>463</v>
      </c>
      <c r="C290" s="10" t="s">
        <v>321</v>
      </c>
      <c r="D290" s="10">
        <v>2</v>
      </c>
      <c r="E290" s="10">
        <f t="shared" si="41"/>
        <v>1</v>
      </c>
      <c r="F290" s="10">
        <v>0</v>
      </c>
      <c r="G290" s="10">
        <v>65535</v>
      </c>
      <c r="H290" s="10">
        <v>1</v>
      </c>
      <c r="I290" s="10">
        <v>1</v>
      </c>
      <c r="J290" s="10" t="s">
        <v>418</v>
      </c>
      <c r="K290" s="10">
        <f t="shared" si="38"/>
        <v>920</v>
      </c>
      <c r="L290" s="10">
        <f t="shared" si="42"/>
        <v>919</v>
      </c>
      <c r="M290" s="10" t="s">
        <v>419</v>
      </c>
      <c r="N290" s="10" t="s">
        <v>324</v>
      </c>
      <c r="O290" s="10"/>
      <c r="P290" s="10"/>
      <c r="Q290" s="111"/>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6"/>
      <c r="EH290" s="6"/>
      <c r="EI290" s="6"/>
      <c r="EJ290" s="6"/>
      <c r="EK290" s="6"/>
      <c r="EL290" s="6"/>
      <c r="EM290" s="6"/>
      <c r="EN290" s="6"/>
      <c r="EO290" s="6"/>
      <c r="EP290" s="6"/>
      <c r="EQ290" s="6"/>
      <c r="ER290" s="6"/>
      <c r="ES290" s="6"/>
      <c r="ET290" s="6"/>
      <c r="EU290" s="6"/>
      <c r="EV290" s="6"/>
      <c r="EW290" s="6"/>
      <c r="EX290" s="6"/>
      <c r="EY290" s="6"/>
      <c r="EZ290" s="6"/>
      <c r="FA290" s="6"/>
      <c r="FB290" s="6"/>
      <c r="FC290" s="6"/>
      <c r="FD290" s="6"/>
      <c r="FE290" s="6"/>
      <c r="FF290" s="6"/>
      <c r="FG290" s="6"/>
      <c r="FH290" s="6"/>
      <c r="FI290" s="6"/>
      <c r="FJ290" s="6"/>
      <c r="FK290" s="6"/>
      <c r="FL290" s="6"/>
      <c r="FM290" s="6"/>
      <c r="FN290" s="6"/>
      <c r="FO290" s="6"/>
      <c r="FP290" s="6"/>
      <c r="FQ290" s="6"/>
      <c r="FR290" s="6"/>
      <c r="FS290" s="6"/>
      <c r="FT290" s="6"/>
      <c r="FU290" s="6"/>
      <c r="FV290" s="6"/>
      <c r="FW290" s="6"/>
      <c r="FX290" s="6"/>
      <c r="FY290" s="6"/>
      <c r="FZ290" s="6"/>
      <c r="GA290" s="6"/>
      <c r="GB290" s="6"/>
      <c r="GC290" s="6"/>
      <c r="GD290" s="6"/>
      <c r="GE290" s="6"/>
      <c r="GF290" s="6"/>
      <c r="GG290" s="6"/>
      <c r="GH290" s="6"/>
      <c r="GI290" s="6"/>
      <c r="GJ290" s="6"/>
      <c r="GK290" s="6"/>
      <c r="GL290" s="6"/>
      <c r="GM290" s="6"/>
      <c r="GN290" s="6"/>
      <c r="GO290" s="6"/>
      <c r="GP290" s="6"/>
      <c r="GQ290" s="6"/>
      <c r="GR290" s="6"/>
      <c r="GS290" s="6"/>
      <c r="GT290" s="6"/>
      <c r="GU290" s="6"/>
      <c r="GV290" s="6"/>
      <c r="GW290" s="6"/>
      <c r="GX290" s="6"/>
      <c r="GY290" s="6"/>
      <c r="GZ290" s="6"/>
      <c r="HA290" s="6"/>
      <c r="HB290" s="6"/>
      <c r="HC290" s="6"/>
      <c r="HD290" s="6"/>
      <c r="HE290" s="6"/>
      <c r="HF290" s="6"/>
      <c r="HG290" s="6"/>
      <c r="HH290" s="6"/>
      <c r="HI290" s="6"/>
      <c r="HJ290" s="6"/>
      <c r="HK290" s="6"/>
      <c r="HL290" s="6"/>
      <c r="HM290" s="6"/>
      <c r="HN290" s="6"/>
      <c r="HO290" s="6"/>
      <c r="HP290" s="6"/>
      <c r="HQ290" s="6"/>
      <c r="HR290" s="6"/>
    </row>
    <row r="291" spans="1:226" s="47" customFormat="1" x14ac:dyDescent="0.3">
      <c r="A291" s="6"/>
      <c r="B291" s="10" t="s">
        <v>464</v>
      </c>
      <c r="C291" s="10" t="s">
        <v>321</v>
      </c>
      <c r="D291" s="10">
        <v>2</v>
      </c>
      <c r="E291" s="10">
        <f t="shared" si="41"/>
        <v>1</v>
      </c>
      <c r="F291" s="10">
        <v>0</v>
      </c>
      <c r="G291" s="10">
        <v>65535</v>
      </c>
      <c r="H291" s="10">
        <v>1</v>
      </c>
      <c r="I291" s="10">
        <v>1</v>
      </c>
      <c r="J291" s="10" t="s">
        <v>418</v>
      </c>
      <c r="K291" s="10">
        <f t="shared" si="38"/>
        <v>921</v>
      </c>
      <c r="L291" s="10">
        <f t="shared" si="42"/>
        <v>920</v>
      </c>
      <c r="M291" s="10" t="s">
        <v>419</v>
      </c>
      <c r="N291" s="10" t="s">
        <v>324</v>
      </c>
      <c r="O291" s="10"/>
      <c r="P291" s="10"/>
      <c r="Q291" s="111"/>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c r="EE291" s="6"/>
      <c r="EF291" s="6"/>
      <c r="EG291" s="6"/>
      <c r="EH291" s="6"/>
      <c r="EI291" s="6"/>
      <c r="EJ291" s="6"/>
      <c r="EK291" s="6"/>
      <c r="EL291" s="6"/>
      <c r="EM291" s="6"/>
      <c r="EN291" s="6"/>
      <c r="EO291" s="6"/>
      <c r="EP291" s="6"/>
      <c r="EQ291" s="6"/>
      <c r="ER291" s="6"/>
      <c r="ES291" s="6"/>
      <c r="ET291" s="6"/>
      <c r="EU291" s="6"/>
      <c r="EV291" s="6"/>
      <c r="EW291" s="6"/>
      <c r="EX291" s="6"/>
      <c r="EY291" s="6"/>
      <c r="EZ291" s="6"/>
      <c r="FA291" s="6"/>
      <c r="FB291" s="6"/>
      <c r="FC291" s="6"/>
      <c r="FD291" s="6"/>
      <c r="FE291" s="6"/>
      <c r="FF291" s="6"/>
      <c r="FG291" s="6"/>
      <c r="FH291" s="6"/>
      <c r="FI291" s="6"/>
      <c r="FJ291" s="6"/>
      <c r="FK291" s="6"/>
      <c r="FL291" s="6"/>
      <c r="FM291" s="6"/>
      <c r="FN291" s="6"/>
      <c r="FO291" s="6"/>
      <c r="FP291" s="6"/>
      <c r="FQ291" s="6"/>
      <c r="FR291" s="6"/>
      <c r="FS291" s="6"/>
      <c r="FT291" s="6"/>
      <c r="FU291" s="6"/>
      <c r="FV291" s="6"/>
      <c r="FW291" s="6"/>
      <c r="FX291" s="6"/>
      <c r="FY291" s="6"/>
      <c r="FZ291" s="6"/>
      <c r="GA291" s="6"/>
      <c r="GB291" s="6"/>
      <c r="GC291" s="6"/>
      <c r="GD291" s="6"/>
      <c r="GE291" s="6"/>
      <c r="GF291" s="6"/>
      <c r="GG291" s="6"/>
      <c r="GH291" s="6"/>
      <c r="GI291" s="6"/>
      <c r="GJ291" s="6"/>
      <c r="GK291" s="6"/>
      <c r="GL291" s="6"/>
      <c r="GM291" s="6"/>
      <c r="GN291" s="6"/>
      <c r="GO291" s="6"/>
      <c r="GP291" s="6"/>
      <c r="GQ291" s="6"/>
      <c r="GR291" s="6"/>
      <c r="GS291" s="6"/>
      <c r="GT291" s="6"/>
      <c r="GU291" s="6"/>
      <c r="GV291" s="6"/>
      <c r="GW291" s="6"/>
      <c r="GX291" s="6"/>
      <c r="GY291" s="6"/>
      <c r="GZ291" s="6"/>
      <c r="HA291" s="6"/>
      <c r="HB291" s="6"/>
      <c r="HC291" s="6"/>
      <c r="HD291" s="6"/>
      <c r="HE291" s="6"/>
      <c r="HF291" s="6"/>
      <c r="HG291" s="6"/>
      <c r="HH291" s="6"/>
      <c r="HI291" s="6"/>
      <c r="HJ291" s="6"/>
      <c r="HK291" s="6"/>
      <c r="HL291" s="6"/>
      <c r="HM291" s="6"/>
      <c r="HN291" s="6"/>
      <c r="HO291" s="6"/>
      <c r="HP291" s="6"/>
      <c r="HQ291" s="6"/>
      <c r="HR291" s="6"/>
    </row>
    <row r="292" spans="1:226" s="47" customFormat="1" x14ac:dyDescent="0.3">
      <c r="A292" s="6"/>
      <c r="B292" s="10" t="s">
        <v>465</v>
      </c>
      <c r="C292" s="10" t="s">
        <v>321</v>
      </c>
      <c r="D292" s="10">
        <v>2</v>
      </c>
      <c r="E292" s="10">
        <f t="shared" si="41"/>
        <v>1</v>
      </c>
      <c r="F292" s="10">
        <v>0</v>
      </c>
      <c r="G292" s="10">
        <v>65535</v>
      </c>
      <c r="H292" s="10">
        <v>1</v>
      </c>
      <c r="I292" s="10">
        <v>1</v>
      </c>
      <c r="J292" s="10" t="s">
        <v>418</v>
      </c>
      <c r="K292" s="10">
        <f t="shared" si="38"/>
        <v>922</v>
      </c>
      <c r="L292" s="10">
        <f t="shared" si="42"/>
        <v>921</v>
      </c>
      <c r="M292" s="10" t="s">
        <v>419</v>
      </c>
      <c r="N292" s="10" t="s">
        <v>324</v>
      </c>
      <c r="O292" s="10"/>
      <c r="P292" s="10"/>
      <c r="Q292" s="111"/>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6"/>
      <c r="EH292" s="6"/>
      <c r="EI292" s="6"/>
      <c r="EJ292" s="6"/>
      <c r="EK292" s="6"/>
      <c r="EL292" s="6"/>
      <c r="EM292" s="6"/>
      <c r="EN292" s="6"/>
      <c r="EO292" s="6"/>
      <c r="EP292" s="6"/>
      <c r="EQ292" s="6"/>
      <c r="ER292" s="6"/>
      <c r="ES292" s="6"/>
      <c r="ET292" s="6"/>
      <c r="EU292" s="6"/>
      <c r="EV292" s="6"/>
      <c r="EW292" s="6"/>
      <c r="EX292" s="6"/>
      <c r="EY292" s="6"/>
      <c r="EZ292" s="6"/>
      <c r="FA292" s="6"/>
      <c r="FB292" s="6"/>
      <c r="FC292" s="6"/>
      <c r="FD292" s="6"/>
      <c r="FE292" s="6"/>
      <c r="FF292" s="6"/>
      <c r="FG292" s="6"/>
      <c r="FH292" s="6"/>
      <c r="FI292" s="6"/>
      <c r="FJ292" s="6"/>
      <c r="FK292" s="6"/>
      <c r="FL292" s="6"/>
      <c r="FM292" s="6"/>
      <c r="FN292" s="6"/>
      <c r="FO292" s="6"/>
      <c r="FP292" s="6"/>
      <c r="FQ292" s="6"/>
      <c r="FR292" s="6"/>
      <c r="FS292" s="6"/>
      <c r="FT292" s="6"/>
      <c r="FU292" s="6"/>
      <c r="FV292" s="6"/>
      <c r="FW292" s="6"/>
      <c r="FX292" s="6"/>
      <c r="FY292" s="6"/>
      <c r="FZ292" s="6"/>
      <c r="GA292" s="6"/>
      <c r="GB292" s="6"/>
      <c r="GC292" s="6"/>
      <c r="GD292" s="6"/>
      <c r="GE292" s="6"/>
      <c r="GF292" s="6"/>
      <c r="GG292" s="6"/>
      <c r="GH292" s="6"/>
      <c r="GI292" s="6"/>
      <c r="GJ292" s="6"/>
      <c r="GK292" s="6"/>
      <c r="GL292" s="6"/>
      <c r="GM292" s="6"/>
      <c r="GN292" s="6"/>
      <c r="GO292" s="6"/>
      <c r="GP292" s="6"/>
      <c r="GQ292" s="6"/>
      <c r="GR292" s="6"/>
      <c r="GS292" s="6"/>
      <c r="GT292" s="6"/>
      <c r="GU292" s="6"/>
      <c r="GV292" s="6"/>
      <c r="GW292" s="6"/>
      <c r="GX292" s="6"/>
      <c r="GY292" s="6"/>
      <c r="GZ292" s="6"/>
      <c r="HA292" s="6"/>
      <c r="HB292" s="6"/>
      <c r="HC292" s="6"/>
      <c r="HD292" s="6"/>
      <c r="HE292" s="6"/>
      <c r="HF292" s="6"/>
      <c r="HG292" s="6"/>
      <c r="HH292" s="6"/>
      <c r="HI292" s="6"/>
      <c r="HJ292" s="6"/>
      <c r="HK292" s="6"/>
      <c r="HL292" s="6"/>
      <c r="HM292" s="6"/>
      <c r="HN292" s="6"/>
      <c r="HO292" s="6"/>
      <c r="HP292" s="6"/>
      <c r="HQ292" s="6"/>
      <c r="HR292" s="6"/>
    </row>
    <row r="293" spans="1:226" s="47" customFormat="1" x14ac:dyDescent="0.3">
      <c r="A293" s="6"/>
      <c r="B293" s="10" t="s">
        <v>466</v>
      </c>
      <c r="C293" s="10" t="s">
        <v>321</v>
      </c>
      <c r="D293" s="10">
        <v>2</v>
      </c>
      <c r="E293" s="10">
        <f t="shared" si="41"/>
        <v>1</v>
      </c>
      <c r="F293" s="10">
        <v>0</v>
      </c>
      <c r="G293" s="10">
        <v>65535</v>
      </c>
      <c r="H293" s="10">
        <v>1</v>
      </c>
      <c r="I293" s="10">
        <v>1</v>
      </c>
      <c r="J293" s="10" t="s">
        <v>418</v>
      </c>
      <c r="K293" s="10">
        <f t="shared" si="38"/>
        <v>923</v>
      </c>
      <c r="L293" s="10">
        <f t="shared" si="42"/>
        <v>922</v>
      </c>
      <c r="M293" s="10" t="s">
        <v>419</v>
      </c>
      <c r="N293" s="10" t="s">
        <v>324</v>
      </c>
      <c r="O293" s="10"/>
      <c r="P293" s="10"/>
      <c r="Q293" s="111"/>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c r="EE293" s="6"/>
      <c r="EF293" s="6"/>
      <c r="EG293" s="6"/>
      <c r="EH293" s="6"/>
      <c r="EI293" s="6"/>
      <c r="EJ293" s="6"/>
      <c r="EK293" s="6"/>
      <c r="EL293" s="6"/>
      <c r="EM293" s="6"/>
      <c r="EN293" s="6"/>
      <c r="EO293" s="6"/>
      <c r="EP293" s="6"/>
      <c r="EQ293" s="6"/>
      <c r="ER293" s="6"/>
      <c r="ES293" s="6"/>
      <c r="ET293" s="6"/>
      <c r="EU293" s="6"/>
      <c r="EV293" s="6"/>
      <c r="EW293" s="6"/>
      <c r="EX293" s="6"/>
      <c r="EY293" s="6"/>
      <c r="EZ293" s="6"/>
      <c r="FA293" s="6"/>
      <c r="FB293" s="6"/>
      <c r="FC293" s="6"/>
      <c r="FD293" s="6"/>
      <c r="FE293" s="6"/>
      <c r="FF293" s="6"/>
      <c r="FG293" s="6"/>
      <c r="FH293" s="6"/>
      <c r="FI293" s="6"/>
      <c r="FJ293" s="6"/>
      <c r="FK293" s="6"/>
      <c r="FL293" s="6"/>
      <c r="FM293" s="6"/>
      <c r="FN293" s="6"/>
      <c r="FO293" s="6"/>
      <c r="FP293" s="6"/>
      <c r="FQ293" s="6"/>
      <c r="FR293" s="6"/>
      <c r="FS293" s="6"/>
      <c r="FT293" s="6"/>
      <c r="FU293" s="6"/>
      <c r="FV293" s="6"/>
      <c r="FW293" s="6"/>
      <c r="FX293" s="6"/>
      <c r="FY293" s="6"/>
      <c r="FZ293" s="6"/>
      <c r="GA293" s="6"/>
      <c r="GB293" s="6"/>
      <c r="GC293" s="6"/>
      <c r="GD293" s="6"/>
      <c r="GE293" s="6"/>
      <c r="GF293" s="6"/>
      <c r="GG293" s="6"/>
      <c r="GH293" s="6"/>
      <c r="GI293" s="6"/>
      <c r="GJ293" s="6"/>
      <c r="GK293" s="6"/>
      <c r="GL293" s="6"/>
      <c r="GM293" s="6"/>
      <c r="GN293" s="6"/>
      <c r="GO293" s="6"/>
      <c r="GP293" s="6"/>
      <c r="GQ293" s="6"/>
      <c r="GR293" s="6"/>
      <c r="GS293" s="6"/>
      <c r="GT293" s="6"/>
      <c r="GU293" s="6"/>
      <c r="GV293" s="6"/>
      <c r="GW293" s="6"/>
      <c r="GX293" s="6"/>
      <c r="GY293" s="6"/>
      <c r="GZ293" s="6"/>
      <c r="HA293" s="6"/>
      <c r="HB293" s="6"/>
      <c r="HC293" s="6"/>
      <c r="HD293" s="6"/>
      <c r="HE293" s="6"/>
      <c r="HF293" s="6"/>
      <c r="HG293" s="6"/>
      <c r="HH293" s="6"/>
      <c r="HI293" s="6"/>
      <c r="HJ293" s="6"/>
      <c r="HK293" s="6"/>
      <c r="HL293" s="6"/>
      <c r="HM293" s="6"/>
      <c r="HN293" s="6"/>
      <c r="HO293" s="6"/>
      <c r="HP293" s="6"/>
      <c r="HQ293" s="6"/>
      <c r="HR293" s="6"/>
    </row>
    <row r="294" spans="1:226" s="47" customFormat="1" x14ac:dyDescent="0.3">
      <c r="A294" s="6"/>
      <c r="B294" s="10" t="s">
        <v>467</v>
      </c>
      <c r="C294" s="10" t="s">
        <v>321</v>
      </c>
      <c r="D294" s="10">
        <v>2</v>
      </c>
      <c r="E294" s="10">
        <f t="shared" si="41"/>
        <v>1</v>
      </c>
      <c r="F294" s="10">
        <v>0</v>
      </c>
      <c r="G294" s="10">
        <v>65535</v>
      </c>
      <c r="H294" s="10">
        <v>1</v>
      </c>
      <c r="I294" s="10">
        <v>1</v>
      </c>
      <c r="J294" s="10" t="s">
        <v>418</v>
      </c>
      <c r="K294" s="10">
        <f t="shared" si="38"/>
        <v>924</v>
      </c>
      <c r="L294" s="10">
        <f t="shared" si="42"/>
        <v>923</v>
      </c>
      <c r="M294" s="10" t="s">
        <v>419</v>
      </c>
      <c r="N294" s="10" t="s">
        <v>324</v>
      </c>
      <c r="O294" s="10"/>
      <c r="P294" s="10"/>
      <c r="Q294" s="111"/>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c r="EE294" s="6"/>
      <c r="EF294" s="6"/>
      <c r="EG294" s="6"/>
      <c r="EH294" s="6"/>
      <c r="EI294" s="6"/>
      <c r="EJ294" s="6"/>
      <c r="EK294" s="6"/>
      <c r="EL294" s="6"/>
      <c r="EM294" s="6"/>
      <c r="EN294" s="6"/>
      <c r="EO294" s="6"/>
      <c r="EP294" s="6"/>
      <c r="EQ294" s="6"/>
      <c r="ER294" s="6"/>
      <c r="ES294" s="6"/>
      <c r="ET294" s="6"/>
      <c r="EU294" s="6"/>
      <c r="EV294" s="6"/>
      <c r="EW294" s="6"/>
      <c r="EX294" s="6"/>
      <c r="EY294" s="6"/>
      <c r="EZ294" s="6"/>
      <c r="FA294" s="6"/>
      <c r="FB294" s="6"/>
      <c r="FC294" s="6"/>
      <c r="FD294" s="6"/>
      <c r="FE294" s="6"/>
      <c r="FF294" s="6"/>
      <c r="FG294" s="6"/>
      <c r="FH294" s="6"/>
      <c r="FI294" s="6"/>
      <c r="FJ294" s="6"/>
      <c r="FK294" s="6"/>
      <c r="FL294" s="6"/>
      <c r="FM294" s="6"/>
      <c r="FN294" s="6"/>
      <c r="FO294" s="6"/>
      <c r="FP294" s="6"/>
      <c r="FQ294" s="6"/>
      <c r="FR294" s="6"/>
      <c r="FS294" s="6"/>
      <c r="FT294" s="6"/>
      <c r="FU294" s="6"/>
      <c r="FV294" s="6"/>
      <c r="FW294" s="6"/>
      <c r="FX294" s="6"/>
      <c r="FY294" s="6"/>
      <c r="FZ294" s="6"/>
      <c r="GA294" s="6"/>
      <c r="GB294" s="6"/>
      <c r="GC294" s="6"/>
      <c r="GD294" s="6"/>
      <c r="GE294" s="6"/>
      <c r="GF294" s="6"/>
      <c r="GG294" s="6"/>
      <c r="GH294" s="6"/>
      <c r="GI294" s="6"/>
      <c r="GJ294" s="6"/>
      <c r="GK294" s="6"/>
      <c r="GL294" s="6"/>
      <c r="GM294" s="6"/>
      <c r="GN294" s="6"/>
      <c r="GO294" s="6"/>
      <c r="GP294" s="6"/>
      <c r="GQ294" s="6"/>
      <c r="GR294" s="6"/>
      <c r="GS294" s="6"/>
      <c r="GT294" s="6"/>
      <c r="GU294" s="6"/>
      <c r="GV294" s="6"/>
      <c r="GW294" s="6"/>
      <c r="GX294" s="6"/>
      <c r="GY294" s="6"/>
      <c r="GZ294" s="6"/>
      <c r="HA294" s="6"/>
      <c r="HB294" s="6"/>
      <c r="HC294" s="6"/>
      <c r="HD294" s="6"/>
      <c r="HE294" s="6"/>
      <c r="HF294" s="6"/>
      <c r="HG294" s="6"/>
      <c r="HH294" s="6"/>
      <c r="HI294" s="6"/>
      <c r="HJ294" s="6"/>
      <c r="HK294" s="6"/>
      <c r="HL294" s="6"/>
      <c r="HM294" s="6"/>
      <c r="HN294" s="6"/>
      <c r="HO294" s="6"/>
      <c r="HP294" s="6"/>
      <c r="HQ294" s="6"/>
      <c r="HR294" s="6"/>
    </row>
    <row r="295" spans="1:226" s="47" customFormat="1" x14ac:dyDescent="0.3">
      <c r="A295" s="6"/>
      <c r="B295" s="10" t="s">
        <v>468</v>
      </c>
      <c r="C295" s="10" t="s">
        <v>321</v>
      </c>
      <c r="D295" s="10">
        <v>2</v>
      </c>
      <c r="E295" s="10">
        <f t="shared" si="41"/>
        <v>1</v>
      </c>
      <c r="F295" s="10">
        <v>0</v>
      </c>
      <c r="G295" s="10">
        <v>65535</v>
      </c>
      <c r="H295" s="10">
        <v>1</v>
      </c>
      <c r="I295" s="10">
        <v>1</v>
      </c>
      <c r="J295" s="10" t="s">
        <v>418</v>
      </c>
      <c r="K295" s="10">
        <f t="shared" si="38"/>
        <v>925</v>
      </c>
      <c r="L295" s="10">
        <f t="shared" si="42"/>
        <v>924</v>
      </c>
      <c r="M295" s="10" t="s">
        <v>419</v>
      </c>
      <c r="N295" s="10" t="s">
        <v>324</v>
      </c>
      <c r="O295" s="10"/>
      <c r="P295" s="10"/>
      <c r="Q295" s="111"/>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6"/>
      <c r="DO295" s="6"/>
      <c r="DP295" s="6"/>
      <c r="DQ295" s="6"/>
      <c r="DR295" s="6"/>
      <c r="DS295" s="6"/>
      <c r="DT295" s="6"/>
      <c r="DU295" s="6"/>
      <c r="DV295" s="6"/>
      <c r="DW295" s="6"/>
      <c r="DX295" s="6"/>
      <c r="DY295" s="6"/>
      <c r="DZ295" s="6"/>
      <c r="EA295" s="6"/>
      <c r="EB295" s="6"/>
      <c r="EC295" s="6"/>
      <c r="ED295" s="6"/>
      <c r="EE295" s="6"/>
      <c r="EF295" s="6"/>
      <c r="EG295" s="6"/>
      <c r="EH295" s="6"/>
      <c r="EI295" s="6"/>
      <c r="EJ295" s="6"/>
      <c r="EK295" s="6"/>
      <c r="EL295" s="6"/>
      <c r="EM295" s="6"/>
      <c r="EN295" s="6"/>
      <c r="EO295" s="6"/>
      <c r="EP295" s="6"/>
      <c r="EQ295" s="6"/>
      <c r="ER295" s="6"/>
      <c r="ES295" s="6"/>
      <c r="ET295" s="6"/>
      <c r="EU295" s="6"/>
      <c r="EV295" s="6"/>
      <c r="EW295" s="6"/>
      <c r="EX295" s="6"/>
      <c r="EY295" s="6"/>
      <c r="EZ295" s="6"/>
      <c r="FA295" s="6"/>
      <c r="FB295" s="6"/>
      <c r="FC295" s="6"/>
      <c r="FD295" s="6"/>
      <c r="FE295" s="6"/>
      <c r="FF295" s="6"/>
      <c r="FG295" s="6"/>
      <c r="FH295" s="6"/>
      <c r="FI295" s="6"/>
      <c r="FJ295" s="6"/>
      <c r="FK295" s="6"/>
      <c r="FL295" s="6"/>
      <c r="FM295" s="6"/>
      <c r="FN295" s="6"/>
      <c r="FO295" s="6"/>
      <c r="FP295" s="6"/>
      <c r="FQ295" s="6"/>
      <c r="FR295" s="6"/>
      <c r="FS295" s="6"/>
      <c r="FT295" s="6"/>
      <c r="FU295" s="6"/>
      <c r="FV295" s="6"/>
      <c r="FW295" s="6"/>
      <c r="FX295" s="6"/>
      <c r="FY295" s="6"/>
      <c r="FZ295" s="6"/>
      <c r="GA295" s="6"/>
      <c r="GB295" s="6"/>
      <c r="GC295" s="6"/>
      <c r="GD295" s="6"/>
      <c r="GE295" s="6"/>
      <c r="GF295" s="6"/>
      <c r="GG295" s="6"/>
      <c r="GH295" s="6"/>
      <c r="GI295" s="6"/>
      <c r="GJ295" s="6"/>
      <c r="GK295" s="6"/>
      <c r="GL295" s="6"/>
      <c r="GM295" s="6"/>
      <c r="GN295" s="6"/>
      <c r="GO295" s="6"/>
      <c r="GP295" s="6"/>
      <c r="GQ295" s="6"/>
      <c r="GR295" s="6"/>
      <c r="GS295" s="6"/>
      <c r="GT295" s="6"/>
      <c r="GU295" s="6"/>
      <c r="GV295" s="6"/>
      <c r="GW295" s="6"/>
      <c r="GX295" s="6"/>
      <c r="GY295" s="6"/>
      <c r="GZ295" s="6"/>
      <c r="HA295" s="6"/>
      <c r="HB295" s="6"/>
      <c r="HC295" s="6"/>
      <c r="HD295" s="6"/>
      <c r="HE295" s="6"/>
      <c r="HF295" s="6"/>
      <c r="HG295" s="6"/>
      <c r="HH295" s="6"/>
      <c r="HI295" s="6"/>
      <c r="HJ295" s="6"/>
      <c r="HK295" s="6"/>
      <c r="HL295" s="6"/>
      <c r="HM295" s="6"/>
      <c r="HN295" s="6"/>
      <c r="HO295" s="6"/>
      <c r="HP295" s="6"/>
      <c r="HQ295" s="6"/>
      <c r="HR295" s="6"/>
    </row>
    <row r="296" spans="1:226" x14ac:dyDescent="0.3">
      <c r="B296" s="10" t="s">
        <v>469</v>
      </c>
      <c r="C296" s="10" t="s">
        <v>321</v>
      </c>
      <c r="D296" s="10">
        <v>2</v>
      </c>
      <c r="E296" s="10">
        <f t="shared" si="41"/>
        <v>1</v>
      </c>
      <c r="F296" s="10">
        <v>0</v>
      </c>
      <c r="G296" s="10">
        <v>65535</v>
      </c>
      <c r="H296" s="10">
        <v>1</v>
      </c>
      <c r="I296" s="10">
        <v>1</v>
      </c>
      <c r="J296" s="10" t="s">
        <v>418</v>
      </c>
      <c r="K296" s="10">
        <f t="shared" si="38"/>
        <v>926</v>
      </c>
      <c r="L296" s="10">
        <f t="shared" si="42"/>
        <v>925</v>
      </c>
      <c r="M296" s="10" t="s">
        <v>419</v>
      </c>
      <c r="N296" s="10" t="s">
        <v>324</v>
      </c>
      <c r="O296" s="10"/>
      <c r="P296" s="10"/>
      <c r="Q296" s="111"/>
    </row>
    <row r="297" spans="1:226" x14ac:dyDescent="0.3">
      <c r="B297" s="10" t="s">
        <v>470</v>
      </c>
      <c r="C297" s="10" t="s">
        <v>321</v>
      </c>
      <c r="D297" s="10">
        <v>2</v>
      </c>
      <c r="E297" s="10">
        <f t="shared" si="41"/>
        <v>1</v>
      </c>
      <c r="F297" s="10">
        <v>0</v>
      </c>
      <c r="G297" s="10">
        <v>65535</v>
      </c>
      <c r="H297" s="10">
        <v>1</v>
      </c>
      <c r="I297" s="10">
        <v>1</v>
      </c>
      <c r="J297" s="10" t="s">
        <v>418</v>
      </c>
      <c r="K297" s="10">
        <f t="shared" si="38"/>
        <v>927</v>
      </c>
      <c r="L297" s="10">
        <f t="shared" si="42"/>
        <v>926</v>
      </c>
      <c r="M297" s="10" t="s">
        <v>419</v>
      </c>
      <c r="N297" s="10" t="s">
        <v>324</v>
      </c>
      <c r="O297" s="10"/>
      <c r="P297" s="10"/>
      <c r="Q297" s="111"/>
    </row>
    <row r="298" spans="1:226" x14ac:dyDescent="0.3">
      <c r="B298" s="10" t="s">
        <v>471</v>
      </c>
      <c r="C298" s="10" t="s">
        <v>321</v>
      </c>
      <c r="D298" s="10">
        <v>2</v>
      </c>
      <c r="E298" s="10">
        <f t="shared" si="41"/>
        <v>1</v>
      </c>
      <c r="F298" s="10">
        <v>0</v>
      </c>
      <c r="G298" s="10">
        <v>65535</v>
      </c>
      <c r="H298" s="10">
        <v>1</v>
      </c>
      <c r="I298" s="10">
        <v>1</v>
      </c>
      <c r="J298" s="10" t="s">
        <v>418</v>
      </c>
      <c r="K298" s="10">
        <f t="shared" si="38"/>
        <v>928</v>
      </c>
      <c r="L298" s="10">
        <f t="shared" si="42"/>
        <v>927</v>
      </c>
      <c r="M298" s="10" t="s">
        <v>419</v>
      </c>
      <c r="N298" s="10" t="s">
        <v>324</v>
      </c>
      <c r="O298" s="10"/>
      <c r="P298" s="10"/>
      <c r="Q298" s="111"/>
    </row>
    <row r="299" spans="1:226" x14ac:dyDescent="0.3">
      <c r="B299" s="10" t="s">
        <v>472</v>
      </c>
      <c r="C299" s="10" t="s">
        <v>321</v>
      </c>
      <c r="D299" s="10">
        <v>2</v>
      </c>
      <c r="E299" s="10">
        <f t="shared" si="41"/>
        <v>1</v>
      </c>
      <c r="F299" s="10">
        <v>0</v>
      </c>
      <c r="G299" s="10">
        <v>65535</v>
      </c>
      <c r="H299" s="10">
        <v>1</v>
      </c>
      <c r="I299" s="10">
        <v>1</v>
      </c>
      <c r="J299" s="10" t="s">
        <v>418</v>
      </c>
      <c r="K299" s="10">
        <f t="shared" si="38"/>
        <v>929</v>
      </c>
      <c r="L299" s="10">
        <f t="shared" si="42"/>
        <v>928</v>
      </c>
      <c r="M299" s="10" t="s">
        <v>419</v>
      </c>
      <c r="N299" s="10" t="s">
        <v>324</v>
      </c>
      <c r="O299" s="10"/>
      <c r="P299" s="10"/>
      <c r="Q299" s="111"/>
    </row>
    <row r="300" spans="1:226" x14ac:dyDescent="0.3">
      <c r="B300" s="10" t="s">
        <v>473</v>
      </c>
      <c r="C300" s="10" t="s">
        <v>321</v>
      </c>
      <c r="D300" s="10">
        <v>2</v>
      </c>
      <c r="E300" s="10">
        <f t="shared" si="41"/>
        <v>1</v>
      </c>
      <c r="F300" s="10">
        <v>0</v>
      </c>
      <c r="G300" s="10">
        <v>65535</v>
      </c>
      <c r="H300" s="10">
        <v>1</v>
      </c>
      <c r="I300" s="10">
        <v>1</v>
      </c>
      <c r="J300" s="10" t="s">
        <v>418</v>
      </c>
      <c r="K300" s="10">
        <f t="shared" si="38"/>
        <v>930</v>
      </c>
      <c r="L300" s="10">
        <f t="shared" si="42"/>
        <v>929</v>
      </c>
      <c r="M300" s="10" t="s">
        <v>419</v>
      </c>
      <c r="N300" s="10" t="s">
        <v>324</v>
      </c>
      <c r="O300" s="10"/>
      <c r="P300" s="10"/>
      <c r="Q300" s="111"/>
    </row>
    <row r="301" spans="1:226" x14ac:dyDescent="0.3">
      <c r="B301" s="10" t="s">
        <v>474</v>
      </c>
      <c r="C301" s="10" t="s">
        <v>321</v>
      </c>
      <c r="D301" s="10">
        <v>2</v>
      </c>
      <c r="E301" s="10">
        <f t="shared" si="41"/>
        <v>1</v>
      </c>
      <c r="F301" s="10">
        <v>0</v>
      </c>
      <c r="G301" s="10">
        <v>65535</v>
      </c>
      <c r="H301" s="10">
        <v>1</v>
      </c>
      <c r="I301" s="10">
        <v>1</v>
      </c>
      <c r="J301" s="10" t="s">
        <v>418</v>
      </c>
      <c r="K301" s="10">
        <f t="shared" si="38"/>
        <v>931</v>
      </c>
      <c r="L301" s="10">
        <f t="shared" si="42"/>
        <v>930</v>
      </c>
      <c r="M301" s="10" t="s">
        <v>419</v>
      </c>
      <c r="N301" s="10" t="s">
        <v>324</v>
      </c>
      <c r="O301" s="10"/>
      <c r="P301" s="10"/>
      <c r="Q301" s="111"/>
    </row>
    <row r="302" spans="1:226" x14ac:dyDescent="0.3">
      <c r="B302" s="10" t="s">
        <v>475</v>
      </c>
      <c r="C302" s="10" t="s">
        <v>321</v>
      </c>
      <c r="D302" s="10">
        <v>2</v>
      </c>
      <c r="E302" s="10">
        <f t="shared" si="41"/>
        <v>1</v>
      </c>
      <c r="F302" s="10">
        <v>0</v>
      </c>
      <c r="G302" s="10">
        <v>65535</v>
      </c>
      <c r="H302" s="10">
        <v>1</v>
      </c>
      <c r="I302" s="10">
        <v>1</v>
      </c>
      <c r="J302" s="10" t="s">
        <v>418</v>
      </c>
      <c r="K302" s="10">
        <f t="shared" si="38"/>
        <v>932</v>
      </c>
      <c r="L302" s="10">
        <f t="shared" si="42"/>
        <v>931</v>
      </c>
      <c r="M302" s="10" t="s">
        <v>419</v>
      </c>
      <c r="N302" s="10" t="s">
        <v>324</v>
      </c>
      <c r="O302" s="10"/>
      <c r="P302" s="10"/>
      <c r="Q302" s="111"/>
    </row>
    <row r="303" spans="1:226" x14ac:dyDescent="0.3">
      <c r="B303" s="10" t="s">
        <v>476</v>
      </c>
      <c r="C303" s="10" t="s">
        <v>321</v>
      </c>
      <c r="D303" s="10">
        <v>2</v>
      </c>
      <c r="E303" s="10">
        <f t="shared" si="41"/>
        <v>1</v>
      </c>
      <c r="F303" s="10">
        <v>0</v>
      </c>
      <c r="G303" s="10">
        <v>65535</v>
      </c>
      <c r="H303" s="10">
        <v>1</v>
      </c>
      <c r="I303" s="10">
        <v>1</v>
      </c>
      <c r="J303" s="10" t="s">
        <v>418</v>
      </c>
      <c r="K303" s="10">
        <f t="shared" si="38"/>
        <v>933</v>
      </c>
      <c r="L303" s="10">
        <f t="shared" si="42"/>
        <v>932</v>
      </c>
      <c r="M303" s="10" t="s">
        <v>419</v>
      </c>
      <c r="N303" s="10" t="s">
        <v>324</v>
      </c>
      <c r="O303" s="10"/>
      <c r="P303" s="10"/>
      <c r="Q303" s="111"/>
    </row>
    <row r="304" spans="1:226" x14ac:dyDescent="0.3">
      <c r="B304" s="10" t="s">
        <v>477</v>
      </c>
      <c r="C304" s="10" t="s">
        <v>321</v>
      </c>
      <c r="D304" s="10">
        <v>2</v>
      </c>
      <c r="E304" s="10">
        <f t="shared" si="41"/>
        <v>1</v>
      </c>
      <c r="F304" s="10">
        <v>0</v>
      </c>
      <c r="G304" s="10">
        <v>65535</v>
      </c>
      <c r="H304" s="10">
        <v>1</v>
      </c>
      <c r="I304" s="10">
        <v>1</v>
      </c>
      <c r="J304" s="10" t="s">
        <v>418</v>
      </c>
      <c r="K304" s="10">
        <f t="shared" si="38"/>
        <v>934</v>
      </c>
      <c r="L304" s="10">
        <f t="shared" si="42"/>
        <v>933</v>
      </c>
      <c r="M304" s="10" t="s">
        <v>419</v>
      </c>
      <c r="N304" s="10" t="s">
        <v>324</v>
      </c>
      <c r="O304" s="10"/>
      <c r="P304" s="10"/>
      <c r="Q304" s="111"/>
    </row>
    <row r="305" spans="2:17" x14ac:dyDescent="0.3">
      <c r="B305" s="10" t="s">
        <v>478</v>
      </c>
      <c r="C305" s="10" t="s">
        <v>321</v>
      </c>
      <c r="D305" s="10">
        <v>2</v>
      </c>
      <c r="E305" s="10">
        <f t="shared" si="41"/>
        <v>1</v>
      </c>
      <c r="F305" s="10">
        <v>0</v>
      </c>
      <c r="G305" s="10">
        <v>65535</v>
      </c>
      <c r="H305" s="10">
        <v>1</v>
      </c>
      <c r="I305" s="10">
        <v>1</v>
      </c>
      <c r="J305" s="10" t="s">
        <v>418</v>
      </c>
      <c r="K305" s="10">
        <f t="shared" si="38"/>
        <v>935</v>
      </c>
      <c r="L305" s="10">
        <f t="shared" si="42"/>
        <v>934</v>
      </c>
      <c r="M305" s="10" t="s">
        <v>419</v>
      </c>
      <c r="N305" s="10" t="s">
        <v>324</v>
      </c>
      <c r="O305" s="10"/>
      <c r="P305" s="10"/>
      <c r="Q305" s="111"/>
    </row>
    <row r="306" spans="2:17" x14ac:dyDescent="0.3">
      <c r="B306" s="10" t="s">
        <v>479</v>
      </c>
      <c r="C306" s="10" t="s">
        <v>321</v>
      </c>
      <c r="D306" s="10">
        <v>2</v>
      </c>
      <c r="E306" s="10">
        <f t="shared" si="41"/>
        <v>1</v>
      </c>
      <c r="F306" s="10">
        <v>0</v>
      </c>
      <c r="G306" s="10">
        <v>65535</v>
      </c>
      <c r="H306" s="10">
        <v>1</v>
      </c>
      <c r="I306" s="10">
        <v>1</v>
      </c>
      <c r="J306" s="10" t="s">
        <v>418</v>
      </c>
      <c r="K306" s="10">
        <f t="shared" si="38"/>
        <v>936</v>
      </c>
      <c r="L306" s="10">
        <f t="shared" si="42"/>
        <v>935</v>
      </c>
      <c r="M306" s="10" t="s">
        <v>419</v>
      </c>
      <c r="N306" s="10" t="s">
        <v>324</v>
      </c>
      <c r="O306" s="10"/>
      <c r="P306" s="10"/>
      <c r="Q306" s="111"/>
    </row>
    <row r="307" spans="2:17" x14ac:dyDescent="0.3">
      <c r="B307" s="10" t="s">
        <v>480</v>
      </c>
      <c r="C307" s="10" t="s">
        <v>321</v>
      </c>
      <c r="D307" s="10">
        <v>2</v>
      </c>
      <c r="E307" s="10">
        <f t="shared" si="41"/>
        <v>1</v>
      </c>
      <c r="F307" s="10">
        <v>0</v>
      </c>
      <c r="G307" s="10">
        <v>65535</v>
      </c>
      <c r="H307" s="10">
        <v>1</v>
      </c>
      <c r="I307" s="10">
        <v>1</v>
      </c>
      <c r="J307" s="10" t="s">
        <v>418</v>
      </c>
      <c r="K307" s="10">
        <f t="shared" si="38"/>
        <v>937</v>
      </c>
      <c r="L307" s="10">
        <f t="shared" si="42"/>
        <v>936</v>
      </c>
      <c r="M307" s="10" t="s">
        <v>419</v>
      </c>
      <c r="N307" s="10" t="s">
        <v>324</v>
      </c>
      <c r="O307" s="10"/>
      <c r="P307" s="10"/>
      <c r="Q307" s="111"/>
    </row>
    <row r="308" spans="2:17" x14ac:dyDescent="0.3">
      <c r="B308" s="10" t="s">
        <v>481</v>
      </c>
      <c r="C308" s="10" t="s">
        <v>321</v>
      </c>
      <c r="D308" s="10">
        <v>2</v>
      </c>
      <c r="E308" s="10">
        <f t="shared" si="41"/>
        <v>1</v>
      </c>
      <c r="F308" s="10">
        <v>0</v>
      </c>
      <c r="G308" s="10">
        <v>65535</v>
      </c>
      <c r="H308" s="10">
        <v>1</v>
      </c>
      <c r="I308" s="10">
        <v>1</v>
      </c>
      <c r="J308" s="10" t="s">
        <v>418</v>
      </c>
      <c r="K308" s="10">
        <f t="shared" si="38"/>
        <v>938</v>
      </c>
      <c r="L308" s="10">
        <f t="shared" si="42"/>
        <v>937</v>
      </c>
      <c r="M308" s="10" t="s">
        <v>419</v>
      </c>
      <c r="N308" s="10" t="s">
        <v>324</v>
      </c>
      <c r="O308" s="10"/>
      <c r="P308" s="10"/>
      <c r="Q308" s="111"/>
    </row>
    <row r="309" spans="2:17" x14ac:dyDescent="0.3">
      <c r="B309" s="10" t="s">
        <v>482</v>
      </c>
      <c r="C309" s="10" t="s">
        <v>321</v>
      </c>
      <c r="D309" s="10">
        <v>2</v>
      </c>
      <c r="E309" s="10">
        <f t="shared" si="41"/>
        <v>1</v>
      </c>
      <c r="F309" s="10">
        <v>0</v>
      </c>
      <c r="G309" s="10">
        <v>65535</v>
      </c>
      <c r="H309" s="10">
        <v>1</v>
      </c>
      <c r="I309" s="10">
        <v>1</v>
      </c>
      <c r="J309" s="10" t="s">
        <v>418</v>
      </c>
      <c r="K309" s="10">
        <f t="shared" si="38"/>
        <v>939</v>
      </c>
      <c r="L309" s="10">
        <f t="shared" si="42"/>
        <v>938</v>
      </c>
      <c r="M309" s="10" t="s">
        <v>419</v>
      </c>
      <c r="N309" s="10" t="s">
        <v>324</v>
      </c>
      <c r="O309" s="10"/>
      <c r="P309" s="10"/>
      <c r="Q309" s="111"/>
    </row>
    <row r="310" spans="2:17" x14ac:dyDescent="0.3">
      <c r="B310" s="10" t="s">
        <v>483</v>
      </c>
      <c r="C310" s="10" t="s">
        <v>321</v>
      </c>
      <c r="D310" s="10">
        <v>2</v>
      </c>
      <c r="E310" s="10">
        <f t="shared" si="41"/>
        <v>1</v>
      </c>
      <c r="F310" s="10">
        <v>0</v>
      </c>
      <c r="G310" s="10">
        <v>65535</v>
      </c>
      <c r="H310" s="10">
        <v>1</v>
      </c>
      <c r="I310" s="10">
        <v>1</v>
      </c>
      <c r="J310" s="10" t="s">
        <v>418</v>
      </c>
      <c r="K310" s="10">
        <f t="shared" si="38"/>
        <v>940</v>
      </c>
      <c r="L310" s="10">
        <f t="shared" si="42"/>
        <v>939</v>
      </c>
      <c r="M310" s="10" t="s">
        <v>419</v>
      </c>
      <c r="N310" s="10" t="s">
        <v>324</v>
      </c>
      <c r="O310" s="10"/>
      <c r="P310" s="10"/>
      <c r="Q310" s="111"/>
    </row>
    <row r="311" spans="2:17" x14ac:dyDescent="0.3">
      <c r="B311" s="10" t="s">
        <v>484</v>
      </c>
      <c r="C311" s="10" t="s">
        <v>321</v>
      </c>
      <c r="D311" s="10">
        <v>2</v>
      </c>
      <c r="E311" s="10">
        <f t="shared" si="41"/>
        <v>1</v>
      </c>
      <c r="F311" s="10">
        <v>0</v>
      </c>
      <c r="G311" s="10">
        <v>65535</v>
      </c>
      <c r="H311" s="10">
        <v>1</v>
      </c>
      <c r="I311" s="10">
        <v>1</v>
      </c>
      <c r="J311" s="10" t="s">
        <v>418</v>
      </c>
      <c r="K311" s="10">
        <f t="shared" si="38"/>
        <v>941</v>
      </c>
      <c r="L311" s="10">
        <f t="shared" si="42"/>
        <v>940</v>
      </c>
      <c r="M311" s="10" t="s">
        <v>419</v>
      </c>
      <c r="N311" s="10" t="s">
        <v>324</v>
      </c>
      <c r="O311" s="10"/>
      <c r="P311" s="10"/>
      <c r="Q311" s="111"/>
    </row>
    <row r="312" spans="2:17" x14ac:dyDescent="0.3">
      <c r="B312" s="10" t="s">
        <v>485</v>
      </c>
      <c r="C312" s="10" t="s">
        <v>321</v>
      </c>
      <c r="D312" s="10">
        <v>2</v>
      </c>
      <c r="E312" s="10">
        <f t="shared" si="41"/>
        <v>1</v>
      </c>
      <c r="F312" s="10">
        <v>0</v>
      </c>
      <c r="G312" s="10">
        <v>65535</v>
      </c>
      <c r="H312" s="10">
        <v>1</v>
      </c>
      <c r="I312" s="10">
        <v>1</v>
      </c>
      <c r="J312" s="10" t="s">
        <v>418</v>
      </c>
      <c r="K312" s="10">
        <f t="shared" si="38"/>
        <v>942</v>
      </c>
      <c r="L312" s="10">
        <f t="shared" si="42"/>
        <v>941</v>
      </c>
      <c r="M312" s="10" t="s">
        <v>419</v>
      </c>
      <c r="N312" s="10" t="s">
        <v>324</v>
      </c>
      <c r="O312" s="10"/>
      <c r="P312" s="10"/>
      <c r="Q312" s="111"/>
    </row>
    <row r="313" spans="2:17" x14ac:dyDescent="0.3">
      <c r="B313" s="10" t="s">
        <v>486</v>
      </c>
      <c r="C313" s="10" t="s">
        <v>321</v>
      </c>
      <c r="D313" s="10">
        <v>2</v>
      </c>
      <c r="E313" s="10">
        <f t="shared" si="41"/>
        <v>1</v>
      </c>
      <c r="F313" s="10">
        <v>0</v>
      </c>
      <c r="G313" s="10">
        <v>65535</v>
      </c>
      <c r="H313" s="10">
        <v>1</v>
      </c>
      <c r="I313" s="10">
        <v>1</v>
      </c>
      <c r="J313" s="10" t="s">
        <v>418</v>
      </c>
      <c r="K313" s="10">
        <f t="shared" si="38"/>
        <v>943</v>
      </c>
      <c r="L313" s="10">
        <f t="shared" si="42"/>
        <v>942</v>
      </c>
      <c r="M313" s="10" t="s">
        <v>419</v>
      </c>
      <c r="N313" s="10" t="s">
        <v>324</v>
      </c>
      <c r="O313" s="10"/>
      <c r="P313" s="10"/>
      <c r="Q313" s="111"/>
    </row>
    <row r="314" spans="2:17" x14ac:dyDescent="0.3">
      <c r="B314" s="10" t="s">
        <v>487</v>
      </c>
      <c r="C314" s="10" t="s">
        <v>321</v>
      </c>
      <c r="D314" s="10">
        <v>2</v>
      </c>
      <c r="E314" s="10">
        <f t="shared" si="41"/>
        <v>1</v>
      </c>
      <c r="F314" s="10">
        <v>0</v>
      </c>
      <c r="G314" s="10">
        <v>65535</v>
      </c>
      <c r="H314" s="10">
        <v>1</v>
      </c>
      <c r="I314" s="10">
        <v>1</v>
      </c>
      <c r="J314" s="10" t="s">
        <v>418</v>
      </c>
      <c r="K314" s="10">
        <f t="shared" si="38"/>
        <v>944</v>
      </c>
      <c r="L314" s="10">
        <f t="shared" si="42"/>
        <v>943</v>
      </c>
      <c r="M314" s="10" t="s">
        <v>419</v>
      </c>
      <c r="N314" s="10" t="s">
        <v>324</v>
      </c>
      <c r="O314" s="10"/>
      <c r="P314" s="10"/>
      <c r="Q314" s="111"/>
    </row>
    <row r="315" spans="2:17" x14ac:dyDescent="0.3">
      <c r="B315" s="10" t="s">
        <v>488</v>
      </c>
      <c r="C315" s="10" t="s">
        <v>321</v>
      </c>
      <c r="D315" s="10">
        <v>2</v>
      </c>
      <c r="E315" s="10">
        <f t="shared" si="41"/>
        <v>1</v>
      </c>
      <c r="F315" s="10">
        <v>0</v>
      </c>
      <c r="G315" s="10">
        <v>65535</v>
      </c>
      <c r="H315" s="10">
        <v>1</v>
      </c>
      <c r="I315" s="10">
        <v>1</v>
      </c>
      <c r="J315" s="10" t="s">
        <v>418</v>
      </c>
      <c r="K315" s="10">
        <f t="shared" si="38"/>
        <v>945</v>
      </c>
      <c r="L315" s="10">
        <f t="shared" si="42"/>
        <v>944</v>
      </c>
      <c r="M315" s="10" t="s">
        <v>419</v>
      </c>
      <c r="N315" s="10" t="s">
        <v>324</v>
      </c>
      <c r="O315" s="10"/>
      <c r="P315" s="10"/>
      <c r="Q315" s="111"/>
    </row>
    <row r="316" spans="2:17" x14ac:dyDescent="0.3">
      <c r="B316" s="10" t="s">
        <v>489</v>
      </c>
      <c r="C316" s="10" t="s">
        <v>321</v>
      </c>
      <c r="D316" s="10">
        <v>2</v>
      </c>
      <c r="E316" s="10">
        <f t="shared" si="41"/>
        <v>1</v>
      </c>
      <c r="F316" s="10">
        <v>0</v>
      </c>
      <c r="G316" s="10">
        <v>65535</v>
      </c>
      <c r="H316" s="10">
        <v>1</v>
      </c>
      <c r="I316" s="10">
        <v>1</v>
      </c>
      <c r="J316" s="10" t="s">
        <v>418</v>
      </c>
      <c r="K316" s="10">
        <f t="shared" si="38"/>
        <v>946</v>
      </c>
      <c r="L316" s="10">
        <f t="shared" si="42"/>
        <v>945</v>
      </c>
      <c r="M316" s="10" t="s">
        <v>419</v>
      </c>
      <c r="N316" s="10" t="s">
        <v>324</v>
      </c>
      <c r="O316" s="10"/>
      <c r="P316" s="10"/>
      <c r="Q316" s="111"/>
    </row>
    <row r="317" spans="2:17" x14ac:dyDescent="0.3">
      <c r="B317" s="10" t="s">
        <v>490</v>
      </c>
      <c r="C317" s="10" t="s">
        <v>321</v>
      </c>
      <c r="D317" s="10">
        <v>2</v>
      </c>
      <c r="E317" s="10">
        <f t="shared" si="41"/>
        <v>1</v>
      </c>
      <c r="F317" s="10">
        <v>0</v>
      </c>
      <c r="G317" s="10">
        <v>65535</v>
      </c>
      <c r="H317" s="10">
        <v>1</v>
      </c>
      <c r="I317" s="10">
        <v>1</v>
      </c>
      <c r="J317" s="10" t="s">
        <v>418</v>
      </c>
      <c r="K317" s="10">
        <f t="shared" si="38"/>
        <v>947</v>
      </c>
      <c r="L317" s="10">
        <f t="shared" si="42"/>
        <v>946</v>
      </c>
      <c r="M317" s="10" t="s">
        <v>419</v>
      </c>
      <c r="N317" s="10" t="s">
        <v>324</v>
      </c>
      <c r="O317" s="10"/>
      <c r="P317" s="10"/>
      <c r="Q317" s="111"/>
    </row>
    <row r="318" spans="2:17" x14ac:dyDescent="0.3">
      <c r="B318" s="10" t="s">
        <v>491</v>
      </c>
      <c r="C318" s="10" t="s">
        <v>321</v>
      </c>
      <c r="D318" s="10">
        <v>2</v>
      </c>
      <c r="E318" s="10">
        <f t="shared" si="41"/>
        <v>1</v>
      </c>
      <c r="F318" s="10">
        <v>0</v>
      </c>
      <c r="G318" s="10">
        <v>65535</v>
      </c>
      <c r="H318" s="10">
        <v>1</v>
      </c>
      <c r="I318" s="10">
        <v>1</v>
      </c>
      <c r="J318" s="10" t="s">
        <v>418</v>
      </c>
      <c r="K318" s="10">
        <f t="shared" si="38"/>
        <v>948</v>
      </c>
      <c r="L318" s="10">
        <f t="shared" si="42"/>
        <v>947</v>
      </c>
      <c r="M318" s="10" t="s">
        <v>419</v>
      </c>
      <c r="N318" s="10" t="s">
        <v>324</v>
      </c>
      <c r="O318" s="10"/>
      <c r="P318" s="10"/>
      <c r="Q318" s="111"/>
    </row>
    <row r="319" spans="2:17" x14ac:dyDescent="0.3">
      <c r="B319" s="10" t="s">
        <v>492</v>
      </c>
      <c r="C319" s="10" t="s">
        <v>321</v>
      </c>
      <c r="D319" s="10">
        <v>2</v>
      </c>
      <c r="E319" s="10">
        <f t="shared" si="41"/>
        <v>1</v>
      </c>
      <c r="F319" s="10">
        <v>0</v>
      </c>
      <c r="G319" s="10">
        <v>65535</v>
      </c>
      <c r="H319" s="10">
        <v>1</v>
      </c>
      <c r="I319" s="10">
        <v>1</v>
      </c>
      <c r="J319" s="10" t="s">
        <v>418</v>
      </c>
      <c r="K319" s="10">
        <f t="shared" si="38"/>
        <v>949</v>
      </c>
      <c r="L319" s="10">
        <f t="shared" si="42"/>
        <v>948</v>
      </c>
      <c r="M319" s="10" t="s">
        <v>419</v>
      </c>
      <c r="N319" s="10" t="s">
        <v>324</v>
      </c>
      <c r="O319" s="10"/>
      <c r="P319" s="10"/>
      <c r="Q319" s="111"/>
    </row>
    <row r="320" spans="2:17" x14ac:dyDescent="0.3">
      <c r="B320" s="10" t="s">
        <v>493</v>
      </c>
      <c r="C320" s="10" t="s">
        <v>321</v>
      </c>
      <c r="D320" s="10">
        <v>2</v>
      </c>
      <c r="E320" s="10">
        <f t="shared" si="41"/>
        <v>1</v>
      </c>
      <c r="F320" s="10">
        <v>0</v>
      </c>
      <c r="G320" s="10">
        <v>65535</v>
      </c>
      <c r="H320" s="10">
        <v>1</v>
      </c>
      <c r="I320" s="10">
        <v>1</v>
      </c>
      <c r="J320" s="10" t="s">
        <v>418</v>
      </c>
      <c r="K320" s="10">
        <f t="shared" si="38"/>
        <v>950</v>
      </c>
      <c r="L320" s="10">
        <f t="shared" si="42"/>
        <v>949</v>
      </c>
      <c r="M320" s="10" t="s">
        <v>419</v>
      </c>
      <c r="N320" s="10" t="s">
        <v>324</v>
      </c>
      <c r="O320" s="10"/>
      <c r="P320" s="10"/>
      <c r="Q320" s="111"/>
    </row>
    <row r="321" spans="2:17" x14ac:dyDescent="0.3">
      <c r="B321" s="10" t="s">
        <v>494</v>
      </c>
      <c r="C321" s="10" t="s">
        <v>321</v>
      </c>
      <c r="D321" s="10">
        <v>2</v>
      </c>
      <c r="E321" s="10">
        <f t="shared" si="41"/>
        <v>1</v>
      </c>
      <c r="F321" s="10">
        <v>0</v>
      </c>
      <c r="G321" s="10">
        <v>65535</v>
      </c>
      <c r="H321" s="10">
        <v>1</v>
      </c>
      <c r="I321" s="10">
        <v>1</v>
      </c>
      <c r="J321" s="10" t="s">
        <v>418</v>
      </c>
      <c r="K321" s="10">
        <f t="shared" si="38"/>
        <v>951</v>
      </c>
      <c r="L321" s="10">
        <f t="shared" si="42"/>
        <v>950</v>
      </c>
      <c r="M321" s="10" t="s">
        <v>419</v>
      </c>
      <c r="N321" s="10" t="s">
        <v>324</v>
      </c>
      <c r="O321" s="10"/>
      <c r="P321" s="10"/>
      <c r="Q321" s="111"/>
    </row>
    <row r="322" spans="2:17" x14ac:dyDescent="0.3">
      <c r="B322" s="10" t="s">
        <v>495</v>
      </c>
      <c r="C322" s="10" t="s">
        <v>321</v>
      </c>
      <c r="D322" s="10">
        <v>2</v>
      </c>
      <c r="E322" s="10">
        <f t="shared" si="41"/>
        <v>1</v>
      </c>
      <c r="F322" s="10">
        <v>0</v>
      </c>
      <c r="G322" s="10">
        <v>65535</v>
      </c>
      <c r="H322" s="10">
        <v>1</v>
      </c>
      <c r="I322" s="10">
        <v>1</v>
      </c>
      <c r="J322" s="10" t="s">
        <v>418</v>
      </c>
      <c r="K322" s="10">
        <f t="shared" si="38"/>
        <v>952</v>
      </c>
      <c r="L322" s="10">
        <f t="shared" si="42"/>
        <v>951</v>
      </c>
      <c r="M322" s="10" t="s">
        <v>419</v>
      </c>
      <c r="N322" s="10" t="s">
        <v>324</v>
      </c>
      <c r="O322" s="10"/>
      <c r="P322" s="10"/>
      <c r="Q322" s="111"/>
    </row>
    <row r="323" spans="2:17" x14ac:dyDescent="0.3">
      <c r="B323" s="10" t="s">
        <v>496</v>
      </c>
      <c r="C323" s="10" t="s">
        <v>321</v>
      </c>
      <c r="D323" s="10">
        <v>2</v>
      </c>
      <c r="E323" s="10">
        <f t="shared" si="41"/>
        <v>1</v>
      </c>
      <c r="F323" s="10">
        <v>0</v>
      </c>
      <c r="G323" s="10">
        <v>65535</v>
      </c>
      <c r="H323" s="10">
        <v>1</v>
      </c>
      <c r="I323" s="10">
        <v>1</v>
      </c>
      <c r="J323" s="10" t="s">
        <v>418</v>
      </c>
      <c r="K323" s="10">
        <f t="shared" si="38"/>
        <v>953</v>
      </c>
      <c r="L323" s="10">
        <f t="shared" si="42"/>
        <v>952</v>
      </c>
      <c r="M323" s="10" t="s">
        <v>419</v>
      </c>
      <c r="N323" s="10" t="s">
        <v>324</v>
      </c>
      <c r="O323" s="10"/>
      <c r="P323" s="10"/>
      <c r="Q323" s="111"/>
    </row>
    <row r="324" spans="2:17" x14ac:dyDescent="0.3">
      <c r="B324" s="10" t="s">
        <v>497</v>
      </c>
      <c r="C324" s="10" t="s">
        <v>321</v>
      </c>
      <c r="D324" s="10">
        <v>2</v>
      </c>
      <c r="E324" s="10">
        <f t="shared" si="41"/>
        <v>1</v>
      </c>
      <c r="F324" s="10">
        <v>0</v>
      </c>
      <c r="G324" s="10">
        <v>65535</v>
      </c>
      <c r="H324" s="10">
        <v>1</v>
      </c>
      <c r="I324" s="10">
        <v>1</v>
      </c>
      <c r="J324" s="10" t="s">
        <v>418</v>
      </c>
      <c r="K324" s="10">
        <f t="shared" si="38"/>
        <v>954</v>
      </c>
      <c r="L324" s="10">
        <f t="shared" si="42"/>
        <v>953</v>
      </c>
      <c r="M324" s="10" t="s">
        <v>419</v>
      </c>
      <c r="N324" s="10" t="s">
        <v>324</v>
      </c>
      <c r="O324" s="10"/>
      <c r="P324" s="10"/>
      <c r="Q324" s="111"/>
    </row>
    <row r="325" spans="2:17" x14ac:dyDescent="0.3">
      <c r="B325" s="10" t="s">
        <v>498</v>
      </c>
      <c r="C325" s="10" t="s">
        <v>321</v>
      </c>
      <c r="D325" s="10">
        <v>2</v>
      </c>
      <c r="E325" s="10">
        <f t="shared" si="41"/>
        <v>1</v>
      </c>
      <c r="F325" s="10">
        <v>0</v>
      </c>
      <c r="G325" s="10">
        <v>65535</v>
      </c>
      <c r="H325" s="10">
        <v>1</v>
      </c>
      <c r="I325" s="10">
        <v>1</v>
      </c>
      <c r="J325" s="10" t="s">
        <v>418</v>
      </c>
      <c r="K325" s="10">
        <f t="shared" si="38"/>
        <v>955</v>
      </c>
      <c r="L325" s="10">
        <f t="shared" si="42"/>
        <v>954</v>
      </c>
      <c r="M325" s="10" t="s">
        <v>419</v>
      </c>
      <c r="N325" s="10" t="s">
        <v>324</v>
      </c>
      <c r="O325" s="10"/>
      <c r="P325" s="10"/>
      <c r="Q325" s="111"/>
    </row>
    <row r="326" spans="2:17" x14ac:dyDescent="0.3">
      <c r="B326" s="10" t="s">
        <v>499</v>
      </c>
      <c r="C326" s="10" t="s">
        <v>321</v>
      </c>
      <c r="D326" s="10">
        <v>2</v>
      </c>
      <c r="E326" s="10">
        <f t="shared" si="41"/>
        <v>1</v>
      </c>
      <c r="F326" s="10">
        <v>0</v>
      </c>
      <c r="G326" s="10">
        <v>65535</v>
      </c>
      <c r="H326" s="10">
        <v>1</v>
      </c>
      <c r="I326" s="10">
        <v>1</v>
      </c>
      <c r="J326" s="10" t="s">
        <v>418</v>
      </c>
      <c r="K326" s="10">
        <f t="shared" si="38"/>
        <v>956</v>
      </c>
      <c r="L326" s="10">
        <f t="shared" si="42"/>
        <v>955</v>
      </c>
      <c r="M326" s="10" t="s">
        <v>419</v>
      </c>
      <c r="N326" s="10" t="s">
        <v>324</v>
      </c>
      <c r="O326" s="10"/>
      <c r="P326" s="10"/>
      <c r="Q326" s="111"/>
    </row>
    <row r="327" spans="2:17" x14ac:dyDescent="0.3">
      <c r="B327" s="10" t="s">
        <v>500</v>
      </c>
      <c r="C327" s="10" t="s">
        <v>321</v>
      </c>
      <c r="D327" s="10">
        <v>2</v>
      </c>
      <c r="E327" s="10">
        <f t="shared" si="41"/>
        <v>1</v>
      </c>
      <c r="F327" s="10">
        <v>0</v>
      </c>
      <c r="G327" s="10">
        <v>65535</v>
      </c>
      <c r="H327" s="10">
        <v>1</v>
      </c>
      <c r="I327" s="10">
        <v>1</v>
      </c>
      <c r="J327" s="10" t="s">
        <v>418</v>
      </c>
      <c r="K327" s="10">
        <f t="shared" si="38"/>
        <v>957</v>
      </c>
      <c r="L327" s="10">
        <f t="shared" si="42"/>
        <v>956</v>
      </c>
      <c r="M327" s="10" t="s">
        <v>419</v>
      </c>
      <c r="N327" s="10" t="s">
        <v>324</v>
      </c>
      <c r="O327" s="10"/>
      <c r="P327" s="10"/>
      <c r="Q327" s="111"/>
    </row>
    <row r="328" spans="2:17" x14ac:dyDescent="0.3">
      <c r="B328" s="10" t="s">
        <v>501</v>
      </c>
      <c r="C328" s="10" t="s">
        <v>321</v>
      </c>
      <c r="D328" s="10">
        <v>2</v>
      </c>
      <c r="E328" s="10">
        <f t="shared" si="41"/>
        <v>1</v>
      </c>
      <c r="F328" s="10">
        <v>0</v>
      </c>
      <c r="G328" s="10">
        <v>65535</v>
      </c>
      <c r="H328" s="10">
        <v>1</v>
      </c>
      <c r="I328" s="10">
        <v>1</v>
      </c>
      <c r="J328" s="10" t="s">
        <v>418</v>
      </c>
      <c r="K328" s="10">
        <f t="shared" si="38"/>
        <v>958</v>
      </c>
      <c r="L328" s="10">
        <f t="shared" si="42"/>
        <v>957</v>
      </c>
      <c r="M328" s="10" t="s">
        <v>419</v>
      </c>
      <c r="N328" s="10" t="s">
        <v>324</v>
      </c>
      <c r="O328" s="10"/>
      <c r="P328" s="10"/>
      <c r="Q328" s="111"/>
    </row>
    <row r="329" spans="2:17" x14ac:dyDescent="0.3">
      <c r="B329" s="10" t="s">
        <v>502</v>
      </c>
      <c r="C329" s="10" t="s">
        <v>321</v>
      </c>
      <c r="D329" s="10">
        <v>2</v>
      </c>
      <c r="E329" s="10">
        <f t="shared" si="41"/>
        <v>1</v>
      </c>
      <c r="F329" s="10">
        <v>0</v>
      </c>
      <c r="G329" s="10">
        <v>65535</v>
      </c>
      <c r="H329" s="10">
        <v>1</v>
      </c>
      <c r="I329" s="10">
        <v>1</v>
      </c>
      <c r="J329" s="10" t="s">
        <v>418</v>
      </c>
      <c r="K329" s="10">
        <f t="shared" si="38"/>
        <v>959</v>
      </c>
      <c r="L329" s="10">
        <f t="shared" si="42"/>
        <v>958</v>
      </c>
      <c r="M329" s="10" t="s">
        <v>419</v>
      </c>
      <c r="N329" s="10" t="s">
        <v>324</v>
      </c>
      <c r="O329" s="10"/>
      <c r="P329" s="10"/>
      <c r="Q329" s="111"/>
    </row>
    <row r="330" spans="2:17" x14ac:dyDescent="0.3">
      <c r="B330" s="10" t="s">
        <v>503</v>
      </c>
      <c r="C330" s="10" t="s">
        <v>321</v>
      </c>
      <c r="D330" s="10">
        <v>2</v>
      </c>
      <c r="E330" s="10">
        <f t="shared" si="41"/>
        <v>1</v>
      </c>
      <c r="F330" s="10">
        <v>0</v>
      </c>
      <c r="G330" s="10">
        <v>65535</v>
      </c>
      <c r="H330" s="10">
        <v>1</v>
      </c>
      <c r="I330" s="10">
        <v>1</v>
      </c>
      <c r="J330" s="10" t="s">
        <v>418</v>
      </c>
      <c r="K330" s="10">
        <f t="shared" si="38"/>
        <v>960</v>
      </c>
      <c r="L330" s="10">
        <f t="shared" si="42"/>
        <v>959</v>
      </c>
      <c r="M330" s="10" t="s">
        <v>419</v>
      </c>
      <c r="N330" s="10" t="s">
        <v>324</v>
      </c>
      <c r="O330" s="10"/>
      <c r="P330" s="10"/>
      <c r="Q330" s="111"/>
    </row>
    <row r="331" spans="2:17" x14ac:dyDescent="0.3">
      <c r="B331" s="10" t="s">
        <v>504</v>
      </c>
      <c r="C331" s="10" t="s">
        <v>321</v>
      </c>
      <c r="D331" s="10">
        <v>2</v>
      </c>
      <c r="E331" s="10">
        <f t="shared" si="41"/>
        <v>1</v>
      </c>
      <c r="F331" s="10">
        <v>0</v>
      </c>
      <c r="G331" s="10">
        <v>65535</v>
      </c>
      <c r="H331" s="10">
        <v>1</v>
      </c>
      <c r="I331" s="10">
        <v>1</v>
      </c>
      <c r="J331" s="10" t="s">
        <v>418</v>
      </c>
      <c r="K331" s="10">
        <f t="shared" si="38"/>
        <v>961</v>
      </c>
      <c r="L331" s="10">
        <f t="shared" si="42"/>
        <v>960</v>
      </c>
      <c r="M331" s="10" t="s">
        <v>419</v>
      </c>
      <c r="N331" s="10" t="s">
        <v>324</v>
      </c>
      <c r="O331" s="10"/>
      <c r="P331" s="10"/>
      <c r="Q331" s="111"/>
    </row>
    <row r="332" spans="2:17" x14ac:dyDescent="0.3">
      <c r="B332" s="10" t="s">
        <v>505</v>
      </c>
      <c r="C332" s="10" t="s">
        <v>321</v>
      </c>
      <c r="D332" s="10">
        <v>2</v>
      </c>
      <c r="E332" s="10">
        <f t="shared" si="41"/>
        <v>1</v>
      </c>
      <c r="F332" s="10">
        <v>0</v>
      </c>
      <c r="G332" s="10">
        <v>65535</v>
      </c>
      <c r="H332" s="10">
        <v>1</v>
      </c>
      <c r="I332" s="10">
        <v>1</v>
      </c>
      <c r="J332" s="10" t="s">
        <v>418</v>
      </c>
      <c r="K332" s="10">
        <f t="shared" si="38"/>
        <v>962</v>
      </c>
      <c r="L332" s="10">
        <f t="shared" si="42"/>
        <v>961</v>
      </c>
      <c r="M332" s="10" t="s">
        <v>419</v>
      </c>
      <c r="N332" s="10" t="s">
        <v>324</v>
      </c>
      <c r="O332" s="10"/>
      <c r="P332" s="10"/>
      <c r="Q332" s="111"/>
    </row>
    <row r="333" spans="2:17" x14ac:dyDescent="0.3">
      <c r="B333" s="10" t="s">
        <v>506</v>
      </c>
      <c r="C333" s="10" t="s">
        <v>321</v>
      </c>
      <c r="D333" s="10">
        <v>2</v>
      </c>
      <c r="E333" s="10">
        <f t="shared" si="41"/>
        <v>1</v>
      </c>
      <c r="F333" s="10">
        <v>0</v>
      </c>
      <c r="G333" s="10">
        <v>65535</v>
      </c>
      <c r="H333" s="10">
        <v>1</v>
      </c>
      <c r="I333" s="10">
        <v>1</v>
      </c>
      <c r="J333" s="10" t="s">
        <v>418</v>
      </c>
      <c r="K333" s="10">
        <f t="shared" si="38"/>
        <v>963</v>
      </c>
      <c r="L333" s="10">
        <f t="shared" si="42"/>
        <v>962</v>
      </c>
      <c r="M333" s="10" t="s">
        <v>419</v>
      </c>
      <c r="N333" s="10" t="s">
        <v>324</v>
      </c>
      <c r="O333" s="10"/>
      <c r="P333" s="10"/>
      <c r="Q333" s="111"/>
    </row>
    <row r="334" spans="2:17" x14ac:dyDescent="0.3">
      <c r="B334" s="10" t="s">
        <v>507</v>
      </c>
      <c r="C334" s="10" t="s">
        <v>321</v>
      </c>
      <c r="D334" s="10">
        <v>2</v>
      </c>
      <c r="E334" s="10">
        <f t="shared" si="41"/>
        <v>1</v>
      </c>
      <c r="F334" s="10">
        <v>0</v>
      </c>
      <c r="G334" s="10">
        <v>65535</v>
      </c>
      <c r="H334" s="10">
        <v>1</v>
      </c>
      <c r="I334" s="10">
        <v>1</v>
      </c>
      <c r="J334" s="10" t="s">
        <v>418</v>
      </c>
      <c r="K334" s="10">
        <f t="shared" si="38"/>
        <v>964</v>
      </c>
      <c r="L334" s="10">
        <f t="shared" si="42"/>
        <v>963</v>
      </c>
      <c r="M334" s="10" t="s">
        <v>419</v>
      </c>
      <c r="N334" s="10" t="s">
        <v>324</v>
      </c>
      <c r="O334" s="10"/>
      <c r="P334" s="10"/>
      <c r="Q334" s="111"/>
    </row>
    <row r="335" spans="2:17" x14ac:dyDescent="0.3">
      <c r="B335" s="10" t="s">
        <v>508</v>
      </c>
      <c r="C335" s="10" t="s">
        <v>321</v>
      </c>
      <c r="D335" s="10">
        <v>2</v>
      </c>
      <c r="E335" s="10">
        <f t="shared" si="41"/>
        <v>1</v>
      </c>
      <c r="F335" s="10">
        <v>0</v>
      </c>
      <c r="G335" s="10">
        <v>65535</v>
      </c>
      <c r="H335" s="10">
        <v>1</v>
      </c>
      <c r="I335" s="10">
        <v>1</v>
      </c>
      <c r="J335" s="10" t="s">
        <v>418</v>
      </c>
      <c r="K335" s="10">
        <f t="shared" ref="K335:K370" si="43">L335+1</f>
        <v>965</v>
      </c>
      <c r="L335" s="10">
        <f t="shared" si="42"/>
        <v>964</v>
      </c>
      <c r="M335" s="10" t="s">
        <v>419</v>
      </c>
      <c r="N335" s="10" t="s">
        <v>324</v>
      </c>
      <c r="O335" s="10"/>
      <c r="P335" s="10"/>
      <c r="Q335" s="111"/>
    </row>
    <row r="336" spans="2:17" x14ac:dyDescent="0.3">
      <c r="B336" s="10" t="s">
        <v>509</v>
      </c>
      <c r="C336" s="10" t="s">
        <v>321</v>
      </c>
      <c r="D336" s="10">
        <v>2</v>
      </c>
      <c r="E336" s="10">
        <f t="shared" si="41"/>
        <v>1</v>
      </c>
      <c r="F336" s="10">
        <v>0</v>
      </c>
      <c r="G336" s="10">
        <v>65535</v>
      </c>
      <c r="H336" s="10">
        <v>1</v>
      </c>
      <c r="I336" s="10">
        <v>1</v>
      </c>
      <c r="J336" s="10" t="s">
        <v>418</v>
      </c>
      <c r="K336" s="10">
        <f t="shared" si="43"/>
        <v>966</v>
      </c>
      <c r="L336" s="10">
        <f t="shared" si="42"/>
        <v>965</v>
      </c>
      <c r="M336" s="10" t="s">
        <v>419</v>
      </c>
      <c r="N336" s="10" t="s">
        <v>324</v>
      </c>
      <c r="O336" s="10"/>
      <c r="P336" s="10"/>
      <c r="Q336" s="111"/>
    </row>
    <row r="337" spans="2:17" x14ac:dyDescent="0.3">
      <c r="B337" s="10" t="s">
        <v>510</v>
      </c>
      <c r="C337" s="10" t="s">
        <v>321</v>
      </c>
      <c r="D337" s="10">
        <v>2</v>
      </c>
      <c r="E337" s="10">
        <f t="shared" si="41"/>
        <v>1</v>
      </c>
      <c r="F337" s="10">
        <v>0</v>
      </c>
      <c r="G337" s="10">
        <v>65535</v>
      </c>
      <c r="H337" s="10">
        <v>1</v>
      </c>
      <c r="I337" s="10">
        <v>1</v>
      </c>
      <c r="J337" s="10" t="s">
        <v>418</v>
      </c>
      <c r="K337" s="10">
        <f t="shared" si="43"/>
        <v>967</v>
      </c>
      <c r="L337" s="10">
        <f t="shared" si="42"/>
        <v>966</v>
      </c>
      <c r="M337" s="10" t="s">
        <v>419</v>
      </c>
      <c r="N337" s="10" t="s">
        <v>324</v>
      </c>
      <c r="O337" s="10"/>
      <c r="P337" s="10"/>
      <c r="Q337" s="111"/>
    </row>
    <row r="338" spans="2:17" x14ac:dyDescent="0.3">
      <c r="B338" s="10" t="s">
        <v>511</v>
      </c>
      <c r="C338" s="10" t="s">
        <v>321</v>
      </c>
      <c r="D338" s="10">
        <v>2</v>
      </c>
      <c r="E338" s="10">
        <f t="shared" si="41"/>
        <v>1</v>
      </c>
      <c r="F338" s="10">
        <v>0</v>
      </c>
      <c r="G338" s="10">
        <v>65535</v>
      </c>
      <c r="H338" s="10">
        <v>1</v>
      </c>
      <c r="I338" s="10">
        <v>1</v>
      </c>
      <c r="J338" s="10" t="s">
        <v>418</v>
      </c>
      <c r="K338" s="10">
        <f t="shared" si="43"/>
        <v>968</v>
      </c>
      <c r="L338" s="10">
        <f t="shared" si="42"/>
        <v>967</v>
      </c>
      <c r="M338" s="10" t="s">
        <v>419</v>
      </c>
      <c r="N338" s="10" t="s">
        <v>324</v>
      </c>
      <c r="O338" s="10"/>
      <c r="P338" s="10"/>
      <c r="Q338" s="111"/>
    </row>
    <row r="339" spans="2:17" x14ac:dyDescent="0.3">
      <c r="B339" s="10" t="s">
        <v>512</v>
      </c>
      <c r="C339" s="10" t="s">
        <v>321</v>
      </c>
      <c r="D339" s="10">
        <v>2</v>
      </c>
      <c r="E339" s="10">
        <f t="shared" si="41"/>
        <v>1</v>
      </c>
      <c r="F339" s="10">
        <v>0</v>
      </c>
      <c r="G339" s="10">
        <v>65535</v>
      </c>
      <c r="H339" s="10">
        <v>1</v>
      </c>
      <c r="I339" s="10">
        <v>1</v>
      </c>
      <c r="J339" s="10" t="s">
        <v>418</v>
      </c>
      <c r="K339" s="10">
        <f t="shared" si="43"/>
        <v>969</v>
      </c>
      <c r="L339" s="10">
        <f t="shared" si="42"/>
        <v>968</v>
      </c>
      <c r="M339" s="10" t="s">
        <v>419</v>
      </c>
      <c r="N339" s="10" t="s">
        <v>324</v>
      </c>
      <c r="O339" s="10"/>
      <c r="P339" s="10"/>
      <c r="Q339" s="111"/>
    </row>
    <row r="340" spans="2:17" x14ac:dyDescent="0.3">
      <c r="B340" s="10" t="s">
        <v>513</v>
      </c>
      <c r="C340" s="10" t="s">
        <v>321</v>
      </c>
      <c r="D340" s="10">
        <v>2</v>
      </c>
      <c r="E340" s="10">
        <f t="shared" si="41"/>
        <v>1</v>
      </c>
      <c r="F340" s="10">
        <v>0</v>
      </c>
      <c r="G340" s="10">
        <v>65535</v>
      </c>
      <c r="H340" s="10">
        <v>1</v>
      </c>
      <c r="I340" s="10">
        <v>1</v>
      </c>
      <c r="J340" s="10" t="s">
        <v>418</v>
      </c>
      <c r="K340" s="10">
        <f t="shared" si="43"/>
        <v>970</v>
      </c>
      <c r="L340" s="10">
        <f t="shared" si="42"/>
        <v>969</v>
      </c>
      <c r="M340" s="10" t="s">
        <v>419</v>
      </c>
      <c r="N340" s="10" t="s">
        <v>324</v>
      </c>
      <c r="O340" s="10"/>
      <c r="P340" s="10"/>
      <c r="Q340" s="111"/>
    </row>
    <row r="341" spans="2:17" x14ac:dyDescent="0.3">
      <c r="B341" s="10" t="s">
        <v>514</v>
      </c>
      <c r="C341" s="10" t="s">
        <v>321</v>
      </c>
      <c r="D341" s="10">
        <v>2</v>
      </c>
      <c r="E341" s="10">
        <f t="shared" si="41"/>
        <v>1</v>
      </c>
      <c r="F341" s="10">
        <v>0</v>
      </c>
      <c r="G341" s="10">
        <v>65535</v>
      </c>
      <c r="H341" s="10">
        <v>1</v>
      </c>
      <c r="I341" s="10">
        <v>1</v>
      </c>
      <c r="J341" s="10" t="s">
        <v>418</v>
      </c>
      <c r="K341" s="10">
        <f t="shared" si="43"/>
        <v>971</v>
      </c>
      <c r="L341" s="10">
        <f t="shared" si="42"/>
        <v>970</v>
      </c>
      <c r="M341" s="10" t="s">
        <v>419</v>
      </c>
      <c r="N341" s="10" t="s">
        <v>324</v>
      </c>
      <c r="O341" s="10"/>
      <c r="P341" s="10"/>
      <c r="Q341" s="111"/>
    </row>
    <row r="342" spans="2:17" x14ac:dyDescent="0.3">
      <c r="B342" s="10" t="s">
        <v>515</v>
      </c>
      <c r="C342" s="10" t="s">
        <v>321</v>
      </c>
      <c r="D342" s="10">
        <v>2</v>
      </c>
      <c r="E342" s="10">
        <f t="shared" ref="E342:E369" si="44">D342/2</f>
        <v>1</v>
      </c>
      <c r="F342" s="10">
        <v>0</v>
      </c>
      <c r="G342" s="10">
        <v>65535</v>
      </c>
      <c r="H342" s="10">
        <v>1</v>
      </c>
      <c r="I342" s="10">
        <v>1</v>
      </c>
      <c r="J342" s="10" t="s">
        <v>418</v>
      </c>
      <c r="K342" s="10">
        <f t="shared" si="43"/>
        <v>972</v>
      </c>
      <c r="L342" s="10">
        <f t="shared" ref="L342:L369" si="45">L341+E341</f>
        <v>971</v>
      </c>
      <c r="M342" s="10" t="s">
        <v>419</v>
      </c>
      <c r="N342" s="10" t="s">
        <v>324</v>
      </c>
      <c r="O342" s="10"/>
      <c r="P342" s="10"/>
      <c r="Q342" s="111"/>
    </row>
    <row r="343" spans="2:17" x14ac:dyDescent="0.3">
      <c r="B343" s="10" t="s">
        <v>516</v>
      </c>
      <c r="C343" s="10" t="s">
        <v>321</v>
      </c>
      <c r="D343" s="10">
        <v>2</v>
      </c>
      <c r="E343" s="10">
        <f t="shared" si="44"/>
        <v>1</v>
      </c>
      <c r="F343" s="10">
        <v>0</v>
      </c>
      <c r="G343" s="10">
        <v>65535</v>
      </c>
      <c r="H343" s="10">
        <v>1</v>
      </c>
      <c r="I343" s="10">
        <v>1</v>
      </c>
      <c r="J343" s="10" t="s">
        <v>418</v>
      </c>
      <c r="K343" s="10">
        <f t="shared" si="43"/>
        <v>973</v>
      </c>
      <c r="L343" s="10">
        <f t="shared" si="45"/>
        <v>972</v>
      </c>
      <c r="M343" s="10" t="s">
        <v>419</v>
      </c>
      <c r="N343" s="10" t="s">
        <v>324</v>
      </c>
      <c r="O343" s="10"/>
      <c r="P343" s="10"/>
      <c r="Q343" s="111"/>
    </row>
    <row r="344" spans="2:17" x14ac:dyDescent="0.3">
      <c r="B344" s="10" t="s">
        <v>517</v>
      </c>
      <c r="C344" s="10" t="s">
        <v>321</v>
      </c>
      <c r="D344" s="10">
        <v>2</v>
      </c>
      <c r="E344" s="10">
        <f t="shared" si="44"/>
        <v>1</v>
      </c>
      <c r="F344" s="10">
        <v>0</v>
      </c>
      <c r="G344" s="10">
        <v>65535</v>
      </c>
      <c r="H344" s="10">
        <v>1</v>
      </c>
      <c r="I344" s="10">
        <v>1</v>
      </c>
      <c r="J344" s="10" t="s">
        <v>418</v>
      </c>
      <c r="K344" s="10">
        <f t="shared" si="43"/>
        <v>974</v>
      </c>
      <c r="L344" s="10">
        <f t="shared" si="45"/>
        <v>973</v>
      </c>
      <c r="M344" s="10" t="s">
        <v>419</v>
      </c>
      <c r="N344" s="10" t="s">
        <v>324</v>
      </c>
      <c r="O344" s="10"/>
      <c r="P344" s="10"/>
      <c r="Q344" s="111"/>
    </row>
    <row r="345" spans="2:17" x14ac:dyDescent="0.3">
      <c r="B345" s="10" t="s">
        <v>518</v>
      </c>
      <c r="C345" s="10" t="s">
        <v>321</v>
      </c>
      <c r="D345" s="10">
        <v>2</v>
      </c>
      <c r="E345" s="10">
        <f t="shared" si="44"/>
        <v>1</v>
      </c>
      <c r="F345" s="10">
        <v>0</v>
      </c>
      <c r="G345" s="10">
        <v>65535</v>
      </c>
      <c r="H345" s="10">
        <v>1</v>
      </c>
      <c r="I345" s="10">
        <v>1</v>
      </c>
      <c r="J345" s="10" t="s">
        <v>418</v>
      </c>
      <c r="K345" s="10">
        <f t="shared" si="43"/>
        <v>975</v>
      </c>
      <c r="L345" s="10">
        <f t="shared" si="45"/>
        <v>974</v>
      </c>
      <c r="M345" s="10" t="s">
        <v>419</v>
      </c>
      <c r="N345" s="10" t="s">
        <v>324</v>
      </c>
      <c r="O345" s="10"/>
      <c r="P345" s="10"/>
      <c r="Q345" s="111"/>
    </row>
    <row r="346" spans="2:17" x14ac:dyDescent="0.3">
      <c r="B346" s="10" t="s">
        <v>519</v>
      </c>
      <c r="C346" s="10" t="s">
        <v>321</v>
      </c>
      <c r="D346" s="10">
        <v>2</v>
      </c>
      <c r="E346" s="10">
        <f t="shared" si="44"/>
        <v>1</v>
      </c>
      <c r="F346" s="10">
        <v>0</v>
      </c>
      <c r="G346" s="10">
        <v>65535</v>
      </c>
      <c r="H346" s="10">
        <v>1</v>
      </c>
      <c r="I346" s="10">
        <v>1</v>
      </c>
      <c r="J346" s="10" t="s">
        <v>418</v>
      </c>
      <c r="K346" s="10">
        <f t="shared" si="43"/>
        <v>976</v>
      </c>
      <c r="L346" s="10">
        <f t="shared" si="45"/>
        <v>975</v>
      </c>
      <c r="M346" s="10" t="s">
        <v>419</v>
      </c>
      <c r="N346" s="10" t="s">
        <v>324</v>
      </c>
      <c r="O346" s="10"/>
      <c r="P346" s="10"/>
      <c r="Q346" s="111"/>
    </row>
    <row r="347" spans="2:17" x14ac:dyDescent="0.3">
      <c r="B347" s="10" t="s">
        <v>520</v>
      </c>
      <c r="C347" s="10" t="s">
        <v>321</v>
      </c>
      <c r="D347" s="10">
        <v>2</v>
      </c>
      <c r="E347" s="10">
        <f t="shared" si="44"/>
        <v>1</v>
      </c>
      <c r="F347" s="10">
        <v>0</v>
      </c>
      <c r="G347" s="10">
        <v>65535</v>
      </c>
      <c r="H347" s="10">
        <v>1</v>
      </c>
      <c r="I347" s="10">
        <v>1</v>
      </c>
      <c r="J347" s="10" t="s">
        <v>418</v>
      </c>
      <c r="K347" s="10">
        <f t="shared" si="43"/>
        <v>977</v>
      </c>
      <c r="L347" s="10">
        <f t="shared" si="45"/>
        <v>976</v>
      </c>
      <c r="M347" s="10" t="s">
        <v>419</v>
      </c>
      <c r="N347" s="10" t="s">
        <v>324</v>
      </c>
      <c r="O347" s="10"/>
      <c r="P347" s="10"/>
      <c r="Q347" s="111"/>
    </row>
    <row r="348" spans="2:17" x14ac:dyDescent="0.3">
      <c r="B348" s="10" t="s">
        <v>521</v>
      </c>
      <c r="C348" s="10" t="s">
        <v>321</v>
      </c>
      <c r="D348" s="10">
        <v>2</v>
      </c>
      <c r="E348" s="10">
        <f t="shared" si="44"/>
        <v>1</v>
      </c>
      <c r="F348" s="10">
        <v>0</v>
      </c>
      <c r="G348" s="10">
        <v>65535</v>
      </c>
      <c r="H348" s="10">
        <v>1</v>
      </c>
      <c r="I348" s="10">
        <v>1</v>
      </c>
      <c r="J348" s="10" t="s">
        <v>418</v>
      </c>
      <c r="K348" s="10">
        <f t="shared" si="43"/>
        <v>978</v>
      </c>
      <c r="L348" s="10">
        <f t="shared" si="45"/>
        <v>977</v>
      </c>
      <c r="M348" s="10" t="s">
        <v>419</v>
      </c>
      <c r="N348" s="10" t="s">
        <v>324</v>
      </c>
      <c r="O348" s="10"/>
      <c r="P348" s="10"/>
      <c r="Q348" s="111"/>
    </row>
    <row r="349" spans="2:17" x14ac:dyDescent="0.3">
      <c r="B349" s="10" t="s">
        <v>522</v>
      </c>
      <c r="C349" s="10" t="s">
        <v>321</v>
      </c>
      <c r="D349" s="10">
        <v>2</v>
      </c>
      <c r="E349" s="10">
        <f t="shared" si="44"/>
        <v>1</v>
      </c>
      <c r="F349" s="10">
        <v>0</v>
      </c>
      <c r="G349" s="10">
        <v>65535</v>
      </c>
      <c r="H349" s="10">
        <v>1</v>
      </c>
      <c r="I349" s="10">
        <v>1</v>
      </c>
      <c r="J349" s="10" t="s">
        <v>418</v>
      </c>
      <c r="K349" s="10">
        <f t="shared" si="43"/>
        <v>979</v>
      </c>
      <c r="L349" s="10">
        <f t="shared" si="45"/>
        <v>978</v>
      </c>
      <c r="M349" s="10" t="s">
        <v>419</v>
      </c>
      <c r="N349" s="10" t="s">
        <v>324</v>
      </c>
      <c r="O349" s="10"/>
      <c r="P349" s="10"/>
      <c r="Q349" s="111"/>
    </row>
    <row r="350" spans="2:17" x14ac:dyDescent="0.3">
      <c r="B350" s="10" t="s">
        <v>523</v>
      </c>
      <c r="C350" s="10" t="s">
        <v>321</v>
      </c>
      <c r="D350" s="10">
        <v>2</v>
      </c>
      <c r="E350" s="10">
        <f t="shared" si="44"/>
        <v>1</v>
      </c>
      <c r="F350" s="10">
        <v>0</v>
      </c>
      <c r="G350" s="10">
        <v>65535</v>
      </c>
      <c r="H350" s="10">
        <v>1</v>
      </c>
      <c r="I350" s="10">
        <v>1</v>
      </c>
      <c r="J350" s="10" t="s">
        <v>418</v>
      </c>
      <c r="K350" s="10">
        <f t="shared" si="43"/>
        <v>980</v>
      </c>
      <c r="L350" s="10">
        <f t="shared" si="45"/>
        <v>979</v>
      </c>
      <c r="M350" s="10" t="s">
        <v>419</v>
      </c>
      <c r="N350" s="10" t="s">
        <v>324</v>
      </c>
      <c r="O350" s="10"/>
      <c r="P350" s="10"/>
      <c r="Q350" s="111"/>
    </row>
    <row r="351" spans="2:17" x14ac:dyDescent="0.3">
      <c r="B351" s="10" t="s">
        <v>524</v>
      </c>
      <c r="C351" s="10" t="s">
        <v>321</v>
      </c>
      <c r="D351" s="10">
        <v>2</v>
      </c>
      <c r="E351" s="10">
        <f t="shared" si="44"/>
        <v>1</v>
      </c>
      <c r="F351" s="10">
        <v>0</v>
      </c>
      <c r="G351" s="10">
        <v>65535</v>
      </c>
      <c r="H351" s="10">
        <v>1</v>
      </c>
      <c r="I351" s="10">
        <v>1</v>
      </c>
      <c r="J351" s="10" t="s">
        <v>418</v>
      </c>
      <c r="K351" s="10">
        <f t="shared" si="43"/>
        <v>981</v>
      </c>
      <c r="L351" s="10">
        <f t="shared" si="45"/>
        <v>980</v>
      </c>
      <c r="M351" s="10" t="s">
        <v>419</v>
      </c>
      <c r="N351" s="10" t="s">
        <v>324</v>
      </c>
      <c r="O351" s="10"/>
      <c r="P351" s="10"/>
      <c r="Q351" s="111"/>
    </row>
    <row r="352" spans="2:17" x14ac:dyDescent="0.3">
      <c r="B352" s="10" t="s">
        <v>525</v>
      </c>
      <c r="C352" s="10" t="s">
        <v>321</v>
      </c>
      <c r="D352" s="10">
        <v>2</v>
      </c>
      <c r="E352" s="10">
        <f t="shared" si="44"/>
        <v>1</v>
      </c>
      <c r="F352" s="10">
        <v>0</v>
      </c>
      <c r="G352" s="10">
        <v>65535</v>
      </c>
      <c r="H352" s="10">
        <v>1</v>
      </c>
      <c r="I352" s="10">
        <v>1</v>
      </c>
      <c r="J352" s="10" t="s">
        <v>418</v>
      </c>
      <c r="K352" s="10">
        <f t="shared" si="43"/>
        <v>982</v>
      </c>
      <c r="L352" s="10">
        <f t="shared" si="45"/>
        <v>981</v>
      </c>
      <c r="M352" s="10" t="s">
        <v>419</v>
      </c>
      <c r="N352" s="10" t="s">
        <v>324</v>
      </c>
      <c r="O352" s="10"/>
      <c r="P352" s="10"/>
      <c r="Q352" s="111"/>
    </row>
    <row r="353" spans="2:17" x14ac:dyDescent="0.3">
      <c r="B353" s="10" t="s">
        <v>526</v>
      </c>
      <c r="C353" s="10" t="s">
        <v>321</v>
      </c>
      <c r="D353" s="10">
        <v>2</v>
      </c>
      <c r="E353" s="10">
        <f t="shared" si="44"/>
        <v>1</v>
      </c>
      <c r="F353" s="10">
        <v>0</v>
      </c>
      <c r="G353" s="10">
        <v>65535</v>
      </c>
      <c r="H353" s="10">
        <v>1</v>
      </c>
      <c r="I353" s="10">
        <v>1</v>
      </c>
      <c r="J353" s="10" t="s">
        <v>418</v>
      </c>
      <c r="K353" s="10">
        <f t="shared" si="43"/>
        <v>983</v>
      </c>
      <c r="L353" s="10">
        <f t="shared" si="45"/>
        <v>982</v>
      </c>
      <c r="M353" s="10" t="s">
        <v>419</v>
      </c>
      <c r="N353" s="10" t="s">
        <v>324</v>
      </c>
      <c r="O353" s="10"/>
      <c r="P353" s="10"/>
      <c r="Q353" s="111"/>
    </row>
    <row r="354" spans="2:17" x14ac:dyDescent="0.3">
      <c r="B354" s="10" t="s">
        <v>527</v>
      </c>
      <c r="C354" s="10" t="s">
        <v>321</v>
      </c>
      <c r="D354" s="10">
        <v>2</v>
      </c>
      <c r="E354" s="10">
        <f t="shared" si="44"/>
        <v>1</v>
      </c>
      <c r="F354" s="10">
        <v>0</v>
      </c>
      <c r="G354" s="10">
        <v>65535</v>
      </c>
      <c r="H354" s="10">
        <v>1</v>
      </c>
      <c r="I354" s="10">
        <v>1</v>
      </c>
      <c r="J354" s="10" t="s">
        <v>418</v>
      </c>
      <c r="K354" s="10">
        <f t="shared" si="43"/>
        <v>984</v>
      </c>
      <c r="L354" s="10">
        <f t="shared" si="45"/>
        <v>983</v>
      </c>
      <c r="M354" s="10" t="s">
        <v>419</v>
      </c>
      <c r="N354" s="10" t="s">
        <v>324</v>
      </c>
      <c r="O354" s="10"/>
      <c r="P354" s="10"/>
      <c r="Q354" s="111"/>
    </row>
    <row r="355" spans="2:17" x14ac:dyDescent="0.3">
      <c r="B355" s="10" t="s">
        <v>528</v>
      </c>
      <c r="C355" s="10" t="s">
        <v>321</v>
      </c>
      <c r="D355" s="10">
        <v>2</v>
      </c>
      <c r="E355" s="10">
        <f t="shared" si="44"/>
        <v>1</v>
      </c>
      <c r="F355" s="10">
        <v>0</v>
      </c>
      <c r="G355" s="10">
        <v>65535</v>
      </c>
      <c r="H355" s="10">
        <v>1</v>
      </c>
      <c r="I355" s="10">
        <v>1</v>
      </c>
      <c r="J355" s="10" t="s">
        <v>418</v>
      </c>
      <c r="K355" s="10">
        <f t="shared" si="43"/>
        <v>985</v>
      </c>
      <c r="L355" s="10">
        <f t="shared" si="45"/>
        <v>984</v>
      </c>
      <c r="M355" s="10" t="s">
        <v>419</v>
      </c>
      <c r="N355" s="10" t="s">
        <v>324</v>
      </c>
      <c r="O355" s="10"/>
      <c r="P355" s="10"/>
      <c r="Q355" s="111"/>
    </row>
    <row r="356" spans="2:17" x14ac:dyDescent="0.3">
      <c r="B356" s="10" t="s">
        <v>529</v>
      </c>
      <c r="C356" s="10" t="s">
        <v>321</v>
      </c>
      <c r="D356" s="10">
        <v>2</v>
      </c>
      <c r="E356" s="10">
        <f t="shared" si="44"/>
        <v>1</v>
      </c>
      <c r="F356" s="10">
        <v>0</v>
      </c>
      <c r="G356" s="10">
        <v>65535</v>
      </c>
      <c r="H356" s="10">
        <v>1</v>
      </c>
      <c r="I356" s="10">
        <v>1</v>
      </c>
      <c r="J356" s="10" t="s">
        <v>418</v>
      </c>
      <c r="K356" s="10">
        <f t="shared" si="43"/>
        <v>986</v>
      </c>
      <c r="L356" s="10">
        <f t="shared" si="45"/>
        <v>985</v>
      </c>
      <c r="M356" s="10" t="s">
        <v>419</v>
      </c>
      <c r="N356" s="10" t="s">
        <v>324</v>
      </c>
      <c r="O356" s="10"/>
      <c r="P356" s="10"/>
      <c r="Q356" s="111"/>
    </row>
    <row r="357" spans="2:17" x14ac:dyDescent="0.3">
      <c r="B357" s="10" t="s">
        <v>530</v>
      </c>
      <c r="C357" s="10" t="s">
        <v>321</v>
      </c>
      <c r="D357" s="10">
        <v>2</v>
      </c>
      <c r="E357" s="10">
        <f t="shared" si="44"/>
        <v>1</v>
      </c>
      <c r="F357" s="10">
        <v>0</v>
      </c>
      <c r="G357" s="10">
        <v>65535</v>
      </c>
      <c r="H357" s="10">
        <v>1</v>
      </c>
      <c r="I357" s="10">
        <v>1</v>
      </c>
      <c r="J357" s="10" t="s">
        <v>418</v>
      </c>
      <c r="K357" s="10">
        <f t="shared" si="43"/>
        <v>987</v>
      </c>
      <c r="L357" s="10">
        <f t="shared" si="45"/>
        <v>986</v>
      </c>
      <c r="M357" s="10" t="s">
        <v>419</v>
      </c>
      <c r="N357" s="10" t="s">
        <v>324</v>
      </c>
      <c r="O357" s="10"/>
      <c r="P357" s="10"/>
      <c r="Q357" s="111"/>
    </row>
    <row r="358" spans="2:17" x14ac:dyDescent="0.3">
      <c r="B358" s="10" t="s">
        <v>531</v>
      </c>
      <c r="C358" s="10" t="s">
        <v>321</v>
      </c>
      <c r="D358" s="10">
        <v>2</v>
      </c>
      <c r="E358" s="10">
        <f t="shared" si="44"/>
        <v>1</v>
      </c>
      <c r="F358" s="10">
        <v>0</v>
      </c>
      <c r="G358" s="10">
        <v>65535</v>
      </c>
      <c r="H358" s="10">
        <v>1</v>
      </c>
      <c r="I358" s="10">
        <v>1</v>
      </c>
      <c r="J358" s="10" t="s">
        <v>418</v>
      </c>
      <c r="K358" s="10">
        <f t="shared" si="43"/>
        <v>988</v>
      </c>
      <c r="L358" s="10">
        <f t="shared" si="45"/>
        <v>987</v>
      </c>
      <c r="M358" s="10" t="s">
        <v>419</v>
      </c>
      <c r="N358" s="10" t="s">
        <v>324</v>
      </c>
      <c r="O358" s="10"/>
      <c r="P358" s="10"/>
      <c r="Q358" s="111"/>
    </row>
    <row r="359" spans="2:17" x14ac:dyDescent="0.3">
      <c r="B359" s="10" t="s">
        <v>532</v>
      </c>
      <c r="C359" s="10" t="s">
        <v>321</v>
      </c>
      <c r="D359" s="10">
        <v>2</v>
      </c>
      <c r="E359" s="10">
        <f t="shared" si="44"/>
        <v>1</v>
      </c>
      <c r="F359" s="10">
        <v>0</v>
      </c>
      <c r="G359" s="10">
        <v>65535</v>
      </c>
      <c r="H359" s="10">
        <v>1</v>
      </c>
      <c r="I359" s="10">
        <v>1</v>
      </c>
      <c r="J359" s="10" t="s">
        <v>418</v>
      </c>
      <c r="K359" s="10">
        <f t="shared" si="43"/>
        <v>989</v>
      </c>
      <c r="L359" s="10">
        <f t="shared" si="45"/>
        <v>988</v>
      </c>
      <c r="M359" s="10" t="s">
        <v>419</v>
      </c>
      <c r="N359" s="10" t="s">
        <v>324</v>
      </c>
      <c r="O359" s="10"/>
      <c r="P359" s="10"/>
      <c r="Q359" s="111"/>
    </row>
    <row r="360" spans="2:17" x14ac:dyDescent="0.3">
      <c r="B360" s="10" t="s">
        <v>533</v>
      </c>
      <c r="C360" s="10" t="s">
        <v>321</v>
      </c>
      <c r="D360" s="10">
        <v>2</v>
      </c>
      <c r="E360" s="10">
        <f t="shared" si="44"/>
        <v>1</v>
      </c>
      <c r="F360" s="10">
        <v>0</v>
      </c>
      <c r="G360" s="10">
        <v>65535</v>
      </c>
      <c r="H360" s="10">
        <v>1</v>
      </c>
      <c r="I360" s="10">
        <v>1</v>
      </c>
      <c r="J360" s="10" t="s">
        <v>418</v>
      </c>
      <c r="K360" s="10">
        <f t="shared" si="43"/>
        <v>990</v>
      </c>
      <c r="L360" s="10">
        <f t="shared" si="45"/>
        <v>989</v>
      </c>
      <c r="M360" s="10" t="s">
        <v>419</v>
      </c>
      <c r="N360" s="10" t="s">
        <v>324</v>
      </c>
      <c r="O360" s="10"/>
      <c r="P360" s="10"/>
      <c r="Q360" s="111"/>
    </row>
    <row r="361" spans="2:17" x14ac:dyDescent="0.3">
      <c r="B361" s="10" t="s">
        <v>534</v>
      </c>
      <c r="C361" s="10" t="s">
        <v>321</v>
      </c>
      <c r="D361" s="10">
        <v>2</v>
      </c>
      <c r="E361" s="10">
        <f t="shared" si="44"/>
        <v>1</v>
      </c>
      <c r="F361" s="10">
        <v>0</v>
      </c>
      <c r="G361" s="10">
        <v>65535</v>
      </c>
      <c r="H361" s="10">
        <v>1</v>
      </c>
      <c r="I361" s="10">
        <v>1</v>
      </c>
      <c r="J361" s="10" t="s">
        <v>418</v>
      </c>
      <c r="K361" s="10">
        <f t="shared" si="43"/>
        <v>991</v>
      </c>
      <c r="L361" s="10">
        <f t="shared" si="45"/>
        <v>990</v>
      </c>
      <c r="M361" s="10" t="s">
        <v>419</v>
      </c>
      <c r="N361" s="10" t="s">
        <v>324</v>
      </c>
      <c r="O361" s="10"/>
      <c r="P361" s="10"/>
      <c r="Q361" s="111"/>
    </row>
    <row r="362" spans="2:17" x14ac:dyDescent="0.3">
      <c r="B362" s="10" t="s">
        <v>535</v>
      </c>
      <c r="C362" s="10" t="s">
        <v>321</v>
      </c>
      <c r="D362" s="10">
        <v>2</v>
      </c>
      <c r="E362" s="10">
        <f t="shared" si="44"/>
        <v>1</v>
      </c>
      <c r="F362" s="10">
        <v>0</v>
      </c>
      <c r="G362" s="10">
        <v>65535</v>
      </c>
      <c r="H362" s="10">
        <v>1</v>
      </c>
      <c r="I362" s="10">
        <v>1</v>
      </c>
      <c r="J362" s="10" t="s">
        <v>418</v>
      </c>
      <c r="K362" s="10">
        <f t="shared" si="43"/>
        <v>992</v>
      </c>
      <c r="L362" s="10">
        <f t="shared" si="45"/>
        <v>991</v>
      </c>
      <c r="M362" s="10" t="s">
        <v>419</v>
      </c>
      <c r="N362" s="10" t="s">
        <v>324</v>
      </c>
      <c r="O362" s="10"/>
      <c r="P362" s="10"/>
      <c r="Q362" s="111"/>
    </row>
    <row r="363" spans="2:17" x14ac:dyDescent="0.3">
      <c r="B363" s="10" t="s">
        <v>536</v>
      </c>
      <c r="C363" s="10" t="s">
        <v>321</v>
      </c>
      <c r="D363" s="10">
        <v>2</v>
      </c>
      <c r="E363" s="10">
        <f t="shared" si="44"/>
        <v>1</v>
      </c>
      <c r="F363" s="10">
        <v>0</v>
      </c>
      <c r="G363" s="10">
        <v>65535</v>
      </c>
      <c r="H363" s="10">
        <v>1</v>
      </c>
      <c r="I363" s="10">
        <v>1</v>
      </c>
      <c r="J363" s="10" t="s">
        <v>418</v>
      </c>
      <c r="K363" s="10">
        <f t="shared" si="43"/>
        <v>993</v>
      </c>
      <c r="L363" s="10">
        <f t="shared" si="45"/>
        <v>992</v>
      </c>
      <c r="M363" s="10" t="s">
        <v>419</v>
      </c>
      <c r="N363" s="10" t="s">
        <v>324</v>
      </c>
      <c r="O363" s="10"/>
      <c r="P363" s="10"/>
      <c r="Q363" s="111"/>
    </row>
    <row r="364" spans="2:17" x14ac:dyDescent="0.3">
      <c r="B364" s="10" t="s">
        <v>537</v>
      </c>
      <c r="C364" s="10" t="s">
        <v>321</v>
      </c>
      <c r="D364" s="10">
        <v>2</v>
      </c>
      <c r="E364" s="10">
        <f t="shared" si="44"/>
        <v>1</v>
      </c>
      <c r="F364" s="10">
        <v>0</v>
      </c>
      <c r="G364" s="10">
        <v>65535</v>
      </c>
      <c r="H364" s="10">
        <v>1</v>
      </c>
      <c r="I364" s="10">
        <v>1</v>
      </c>
      <c r="J364" s="10" t="s">
        <v>418</v>
      </c>
      <c r="K364" s="10">
        <f t="shared" si="43"/>
        <v>994</v>
      </c>
      <c r="L364" s="10">
        <f t="shared" si="45"/>
        <v>993</v>
      </c>
      <c r="M364" s="10" t="s">
        <v>419</v>
      </c>
      <c r="N364" s="10" t="s">
        <v>324</v>
      </c>
      <c r="O364" s="10"/>
      <c r="P364" s="10"/>
      <c r="Q364" s="111"/>
    </row>
    <row r="365" spans="2:17" x14ac:dyDescent="0.3">
      <c r="B365" s="10" t="s">
        <v>538</v>
      </c>
      <c r="C365" s="10" t="s">
        <v>321</v>
      </c>
      <c r="D365" s="10">
        <v>2</v>
      </c>
      <c r="E365" s="10">
        <f t="shared" si="44"/>
        <v>1</v>
      </c>
      <c r="F365" s="10">
        <v>0</v>
      </c>
      <c r="G365" s="10">
        <v>65535</v>
      </c>
      <c r="H365" s="10">
        <v>1</v>
      </c>
      <c r="I365" s="10">
        <v>1</v>
      </c>
      <c r="J365" s="10" t="s">
        <v>418</v>
      </c>
      <c r="K365" s="10">
        <f t="shared" si="43"/>
        <v>995</v>
      </c>
      <c r="L365" s="10">
        <f t="shared" si="45"/>
        <v>994</v>
      </c>
      <c r="M365" s="10" t="s">
        <v>419</v>
      </c>
      <c r="N365" s="10" t="s">
        <v>324</v>
      </c>
      <c r="O365" s="10"/>
      <c r="P365" s="10"/>
      <c r="Q365" s="111"/>
    </row>
    <row r="366" spans="2:17" x14ac:dyDescent="0.3">
      <c r="B366" s="10" t="s">
        <v>539</v>
      </c>
      <c r="C366" s="10" t="s">
        <v>321</v>
      </c>
      <c r="D366" s="10">
        <v>2</v>
      </c>
      <c r="E366" s="10">
        <f t="shared" si="44"/>
        <v>1</v>
      </c>
      <c r="F366" s="10">
        <v>0</v>
      </c>
      <c r="G366" s="10">
        <v>65535</v>
      </c>
      <c r="H366" s="10">
        <v>1</v>
      </c>
      <c r="I366" s="10">
        <v>1</v>
      </c>
      <c r="J366" s="10" t="s">
        <v>418</v>
      </c>
      <c r="K366" s="10">
        <f t="shared" si="43"/>
        <v>996</v>
      </c>
      <c r="L366" s="10">
        <f t="shared" si="45"/>
        <v>995</v>
      </c>
      <c r="M366" s="10" t="s">
        <v>419</v>
      </c>
      <c r="N366" s="10" t="s">
        <v>324</v>
      </c>
      <c r="O366" s="10"/>
      <c r="P366" s="10"/>
      <c r="Q366" s="111"/>
    </row>
    <row r="367" spans="2:17" x14ac:dyDescent="0.3">
      <c r="B367" s="10" t="s">
        <v>540</v>
      </c>
      <c r="C367" s="10" t="s">
        <v>321</v>
      </c>
      <c r="D367" s="10">
        <v>2</v>
      </c>
      <c r="E367" s="10">
        <f t="shared" si="44"/>
        <v>1</v>
      </c>
      <c r="F367" s="10">
        <v>0</v>
      </c>
      <c r="G367" s="10">
        <v>65535</v>
      </c>
      <c r="H367" s="10">
        <v>1</v>
      </c>
      <c r="I367" s="10">
        <v>1</v>
      </c>
      <c r="J367" s="10" t="s">
        <v>418</v>
      </c>
      <c r="K367" s="10">
        <f t="shared" si="43"/>
        <v>997</v>
      </c>
      <c r="L367" s="10">
        <f t="shared" si="45"/>
        <v>996</v>
      </c>
      <c r="M367" s="10" t="s">
        <v>419</v>
      </c>
      <c r="N367" s="10" t="s">
        <v>324</v>
      </c>
      <c r="O367" s="10"/>
      <c r="P367" s="10"/>
      <c r="Q367" s="111"/>
    </row>
    <row r="368" spans="2:17" x14ac:dyDescent="0.3">
      <c r="B368" s="10" t="s">
        <v>541</v>
      </c>
      <c r="C368" s="10" t="s">
        <v>321</v>
      </c>
      <c r="D368" s="10">
        <v>2</v>
      </c>
      <c r="E368" s="10">
        <f t="shared" si="44"/>
        <v>1</v>
      </c>
      <c r="F368" s="10">
        <v>0</v>
      </c>
      <c r="G368" s="10">
        <v>65535</v>
      </c>
      <c r="H368" s="10">
        <v>1</v>
      </c>
      <c r="I368" s="10">
        <v>1</v>
      </c>
      <c r="J368" s="10" t="s">
        <v>418</v>
      </c>
      <c r="K368" s="10">
        <f t="shared" si="43"/>
        <v>998</v>
      </c>
      <c r="L368" s="10">
        <f t="shared" si="45"/>
        <v>997</v>
      </c>
      <c r="M368" s="10" t="s">
        <v>419</v>
      </c>
      <c r="N368" s="10" t="s">
        <v>324</v>
      </c>
      <c r="O368" s="10"/>
      <c r="P368" s="10"/>
      <c r="Q368" s="111"/>
    </row>
    <row r="369" spans="2:27" x14ac:dyDescent="0.3">
      <c r="B369" s="10" t="s">
        <v>542</v>
      </c>
      <c r="C369" s="10" t="s">
        <v>321</v>
      </c>
      <c r="D369" s="10">
        <v>2</v>
      </c>
      <c r="E369" s="10">
        <f t="shared" si="44"/>
        <v>1</v>
      </c>
      <c r="F369" s="10">
        <v>0</v>
      </c>
      <c r="G369" s="10">
        <v>65535</v>
      </c>
      <c r="H369" s="10">
        <v>1</v>
      </c>
      <c r="I369" s="10">
        <v>1</v>
      </c>
      <c r="J369" s="10" t="s">
        <v>418</v>
      </c>
      <c r="K369" s="10">
        <f t="shared" si="43"/>
        <v>999</v>
      </c>
      <c r="L369" s="10">
        <f t="shared" si="45"/>
        <v>998</v>
      </c>
      <c r="M369" s="10" t="s">
        <v>419</v>
      </c>
      <c r="N369" s="10" t="s">
        <v>324</v>
      </c>
      <c r="O369" s="10"/>
      <c r="P369" s="10"/>
      <c r="Q369" s="111"/>
    </row>
    <row r="370" spans="2:27" ht="16.2" thickBot="1" x14ac:dyDescent="0.35">
      <c r="B370" s="10" t="s">
        <v>543</v>
      </c>
      <c r="C370" s="10" t="s">
        <v>321</v>
      </c>
      <c r="D370" s="10">
        <v>2</v>
      </c>
      <c r="E370" s="10">
        <f t="shared" ref="E370" si="46">D370/2</f>
        <v>1</v>
      </c>
      <c r="F370" s="10">
        <v>0</v>
      </c>
      <c r="G370" s="10">
        <v>65535</v>
      </c>
      <c r="H370" s="10">
        <v>1</v>
      </c>
      <c r="I370" s="10">
        <v>1</v>
      </c>
      <c r="J370" s="10" t="s">
        <v>418</v>
      </c>
      <c r="K370" s="10">
        <f t="shared" si="43"/>
        <v>1000</v>
      </c>
      <c r="L370" s="10">
        <f t="shared" ref="L370" si="47">L369+E369</f>
        <v>999</v>
      </c>
      <c r="M370" s="10" t="s">
        <v>419</v>
      </c>
      <c r="N370" s="10" t="s">
        <v>324</v>
      </c>
      <c r="O370" s="10"/>
      <c r="P370" s="10"/>
      <c r="Q370" s="111"/>
    </row>
    <row r="371" spans="2:27" s="26" customFormat="1" ht="16.2" x14ac:dyDescent="0.3">
      <c r="B371" s="456" t="s">
        <v>545</v>
      </c>
      <c r="C371" s="457"/>
      <c r="D371" s="457"/>
      <c r="E371" s="457"/>
      <c r="F371" s="457"/>
      <c r="G371" s="457"/>
      <c r="H371" s="457"/>
      <c r="I371" s="457"/>
      <c r="J371" s="457"/>
      <c r="K371" s="457"/>
      <c r="L371" s="457"/>
      <c r="M371" s="457"/>
      <c r="N371" s="457"/>
      <c r="O371" s="457"/>
      <c r="P371" s="457"/>
      <c r="Q371" s="457"/>
      <c r="R371" s="29"/>
      <c r="S371" s="56"/>
      <c r="T371" s="56"/>
      <c r="U371" s="16"/>
      <c r="V371" s="16"/>
      <c r="W371" s="16"/>
      <c r="X371" s="16"/>
      <c r="Y371" s="56"/>
      <c r="Z371" s="56"/>
      <c r="AA371" s="56"/>
    </row>
    <row r="372" spans="2:27" x14ac:dyDescent="0.3">
      <c r="B372" s="193" t="s">
        <v>320</v>
      </c>
      <c r="C372" s="193" t="s">
        <v>321</v>
      </c>
      <c r="D372" s="193">
        <v>40</v>
      </c>
      <c r="E372" s="193">
        <f>D372/2</f>
        <v>20</v>
      </c>
      <c r="F372" s="193">
        <v>0</v>
      </c>
      <c r="G372" s="193">
        <v>65535</v>
      </c>
      <c r="H372" s="193">
        <v>1</v>
      </c>
      <c r="I372" s="193">
        <v>1</v>
      </c>
      <c r="J372" s="193" t="s">
        <v>322</v>
      </c>
      <c r="K372" s="193">
        <f t="shared" ref="K372:K374" si="48">L372+1</f>
        <v>1001</v>
      </c>
      <c r="L372" s="193">
        <f>L370+E370</f>
        <v>1000</v>
      </c>
      <c r="M372" s="193" t="s">
        <v>323</v>
      </c>
      <c r="N372" s="193" t="s">
        <v>324</v>
      </c>
      <c r="O372" s="193"/>
      <c r="P372" s="193"/>
      <c r="Q372" s="205"/>
      <c r="T372" s="8"/>
      <c r="U372" s="8"/>
      <c r="V372" s="8"/>
      <c r="W372" s="8"/>
      <c r="X372" s="8"/>
      <c r="Y372" s="8"/>
      <c r="Z372" s="8"/>
    </row>
    <row r="373" spans="2:27" x14ac:dyDescent="0.3">
      <c r="B373" s="193" t="s">
        <v>546</v>
      </c>
      <c r="C373" s="193" t="s">
        <v>321</v>
      </c>
      <c r="D373" s="193">
        <v>2</v>
      </c>
      <c r="E373" s="193">
        <f>D373/2</f>
        <v>1</v>
      </c>
      <c r="F373" s="193">
        <v>0</v>
      </c>
      <c r="G373" s="193">
        <v>65535</v>
      </c>
      <c r="H373" s="193">
        <v>1</v>
      </c>
      <c r="I373" s="193">
        <v>1</v>
      </c>
      <c r="J373" s="193" t="s">
        <v>322</v>
      </c>
      <c r="K373" s="193">
        <f t="shared" si="48"/>
        <v>1021</v>
      </c>
      <c r="L373" s="193">
        <f t="shared" ref="L373:L374" si="49">L372+E372</f>
        <v>1020</v>
      </c>
      <c r="M373" s="193" t="s">
        <v>323</v>
      </c>
      <c r="N373" s="193" t="s">
        <v>324</v>
      </c>
      <c r="O373" s="193"/>
      <c r="P373" s="193"/>
      <c r="Q373" s="205"/>
      <c r="T373" s="8"/>
      <c r="U373" s="8"/>
      <c r="V373" s="8"/>
      <c r="W373" s="8"/>
      <c r="X373" s="8"/>
      <c r="Y373" s="8"/>
      <c r="Z373" s="8"/>
    </row>
    <row r="374" spans="2:27" ht="16.2" thickBot="1" x14ac:dyDescent="0.35">
      <c r="B374" s="193" t="s">
        <v>320</v>
      </c>
      <c r="C374" s="193" t="s">
        <v>321</v>
      </c>
      <c r="D374" s="193">
        <v>358</v>
      </c>
      <c r="E374" s="193">
        <f>D374/2</f>
        <v>179</v>
      </c>
      <c r="F374" s="193">
        <v>0</v>
      </c>
      <c r="G374" s="193">
        <v>65535</v>
      </c>
      <c r="H374" s="193">
        <v>1</v>
      </c>
      <c r="I374" s="193">
        <v>1</v>
      </c>
      <c r="J374" s="193" t="s">
        <v>322</v>
      </c>
      <c r="K374" s="193">
        <f t="shared" si="48"/>
        <v>1022</v>
      </c>
      <c r="L374" s="193">
        <f t="shared" si="49"/>
        <v>1021</v>
      </c>
      <c r="M374" s="193" t="s">
        <v>323</v>
      </c>
      <c r="N374" s="193" t="s">
        <v>324</v>
      </c>
      <c r="O374" s="193"/>
      <c r="P374" s="193"/>
      <c r="Q374" s="205"/>
      <c r="T374" s="8"/>
      <c r="U374" s="8"/>
      <c r="V374" s="8"/>
      <c r="W374" s="8"/>
      <c r="X374" s="8"/>
      <c r="Y374" s="8"/>
      <c r="Z374" s="8"/>
    </row>
    <row r="375" spans="2:27" s="26" customFormat="1" ht="16.2" x14ac:dyDescent="0.3">
      <c r="B375" s="456" t="s">
        <v>547</v>
      </c>
      <c r="C375" s="457"/>
      <c r="D375" s="457"/>
      <c r="E375" s="457"/>
      <c r="F375" s="457"/>
      <c r="G375" s="457"/>
      <c r="H375" s="457"/>
      <c r="I375" s="457"/>
      <c r="J375" s="457"/>
      <c r="K375" s="457"/>
      <c r="L375" s="457"/>
      <c r="M375" s="457"/>
      <c r="N375" s="457"/>
      <c r="O375" s="457"/>
      <c r="P375" s="457"/>
      <c r="Q375" s="457"/>
      <c r="R375" s="29"/>
      <c r="S375" s="56"/>
      <c r="T375" s="56"/>
      <c r="U375" s="16"/>
      <c r="V375" s="16"/>
      <c r="W375" s="16"/>
      <c r="X375" s="16"/>
      <c r="Y375" s="56"/>
      <c r="Z375" s="56"/>
      <c r="AA375" s="56"/>
    </row>
    <row r="376" spans="2:27" x14ac:dyDescent="0.3">
      <c r="B376" s="10" t="s">
        <v>548</v>
      </c>
      <c r="C376" s="10" t="s">
        <v>321</v>
      </c>
      <c r="D376" s="10">
        <v>2</v>
      </c>
      <c r="E376" s="10">
        <f>D376/2</f>
        <v>1</v>
      </c>
      <c r="F376" s="10">
        <v>0</v>
      </c>
      <c r="G376" s="10">
        <v>65535</v>
      </c>
      <c r="H376" s="10">
        <v>1</v>
      </c>
      <c r="I376" s="10">
        <v>1</v>
      </c>
      <c r="J376" s="10" t="s">
        <v>322</v>
      </c>
      <c r="K376" s="10">
        <f t="shared" ref="K376:K441" si="50">L376+1</f>
        <v>1201</v>
      </c>
      <c r="L376" s="10">
        <f>L374+E374</f>
        <v>1200</v>
      </c>
      <c r="M376" s="10" t="s">
        <v>323</v>
      </c>
      <c r="N376" s="10" t="s">
        <v>324</v>
      </c>
      <c r="O376" s="10"/>
      <c r="P376" s="10"/>
      <c r="Q376" s="111"/>
      <c r="T376" s="8"/>
      <c r="U376" s="8"/>
      <c r="V376" s="8"/>
      <c r="W376" s="8"/>
      <c r="X376" s="8"/>
      <c r="Y376" s="8"/>
      <c r="Z376" s="8"/>
    </row>
    <row r="377" spans="2:27" x14ac:dyDescent="0.3">
      <c r="B377" s="10" t="s">
        <v>549</v>
      </c>
      <c r="C377" s="10" t="s">
        <v>321</v>
      </c>
      <c r="D377" s="10">
        <v>2</v>
      </c>
      <c r="E377" s="10">
        <f t="shared" ref="E377:E382" si="51">D377/2</f>
        <v>1</v>
      </c>
      <c r="F377" s="10">
        <v>0</v>
      </c>
      <c r="G377" s="10">
        <v>65535</v>
      </c>
      <c r="H377" s="10">
        <v>1</v>
      </c>
      <c r="I377" s="10">
        <v>1</v>
      </c>
      <c r="J377" s="10" t="s">
        <v>322</v>
      </c>
      <c r="K377" s="10">
        <f t="shared" si="50"/>
        <v>1202</v>
      </c>
      <c r="L377" s="10">
        <f t="shared" ref="L377:L382" si="52">L376+E376</f>
        <v>1201</v>
      </c>
      <c r="M377" s="10" t="s">
        <v>323</v>
      </c>
      <c r="N377" s="10" t="s">
        <v>324</v>
      </c>
      <c r="O377" s="10"/>
      <c r="P377" s="10"/>
      <c r="Q377" s="111"/>
    </row>
    <row r="378" spans="2:27" x14ac:dyDescent="0.3">
      <c r="B378" s="10" t="s">
        <v>550</v>
      </c>
      <c r="C378" s="10" t="s">
        <v>321</v>
      </c>
      <c r="D378" s="10">
        <v>2</v>
      </c>
      <c r="E378" s="10">
        <f t="shared" si="51"/>
        <v>1</v>
      </c>
      <c r="F378" s="10">
        <v>0</v>
      </c>
      <c r="G378" s="10">
        <v>65535</v>
      </c>
      <c r="H378" s="10">
        <v>1</v>
      </c>
      <c r="I378" s="10">
        <v>1</v>
      </c>
      <c r="J378" s="10" t="s">
        <v>322</v>
      </c>
      <c r="K378" s="10">
        <f t="shared" si="50"/>
        <v>1203</v>
      </c>
      <c r="L378" s="10">
        <f t="shared" si="52"/>
        <v>1202</v>
      </c>
      <c r="M378" s="10" t="s">
        <v>323</v>
      </c>
      <c r="N378" s="10" t="s">
        <v>324</v>
      </c>
      <c r="O378" s="10"/>
      <c r="P378" s="10"/>
      <c r="Q378" s="111"/>
    </row>
    <row r="379" spans="2:27" x14ac:dyDescent="0.3">
      <c r="B379" s="10" t="s">
        <v>551</v>
      </c>
      <c r="C379" s="10" t="s">
        <v>321</v>
      </c>
      <c r="D379" s="10">
        <v>2</v>
      </c>
      <c r="E379" s="10">
        <f t="shared" si="51"/>
        <v>1</v>
      </c>
      <c r="F379" s="10">
        <v>0</v>
      </c>
      <c r="G379" s="10">
        <v>65535</v>
      </c>
      <c r="H379" s="10">
        <v>1</v>
      </c>
      <c r="I379" s="10">
        <v>1</v>
      </c>
      <c r="J379" s="10" t="s">
        <v>322</v>
      </c>
      <c r="K379" s="10">
        <f t="shared" si="50"/>
        <v>1204</v>
      </c>
      <c r="L379" s="10">
        <f t="shared" si="52"/>
        <v>1203</v>
      </c>
      <c r="M379" s="10" t="s">
        <v>323</v>
      </c>
      <c r="N379" s="10" t="s">
        <v>324</v>
      </c>
      <c r="O379" s="10"/>
      <c r="P379" s="10"/>
      <c r="Q379" s="111"/>
    </row>
    <row r="380" spans="2:27" x14ac:dyDescent="0.3">
      <c r="B380" s="10" t="s">
        <v>552</v>
      </c>
      <c r="C380" s="10" t="s">
        <v>321</v>
      </c>
      <c r="D380" s="10">
        <v>2</v>
      </c>
      <c r="E380" s="10">
        <f t="shared" si="51"/>
        <v>1</v>
      </c>
      <c r="F380" s="10">
        <v>0</v>
      </c>
      <c r="G380" s="10">
        <v>65535</v>
      </c>
      <c r="H380" s="10">
        <v>1</v>
      </c>
      <c r="I380" s="10">
        <v>1</v>
      </c>
      <c r="J380" s="10" t="s">
        <v>322</v>
      </c>
      <c r="K380" s="10">
        <f t="shared" si="50"/>
        <v>1205</v>
      </c>
      <c r="L380" s="10">
        <f t="shared" si="52"/>
        <v>1204</v>
      </c>
      <c r="M380" s="10" t="s">
        <v>323</v>
      </c>
      <c r="N380" s="10" t="s">
        <v>324</v>
      </c>
      <c r="O380" s="10"/>
      <c r="P380" s="10"/>
      <c r="Q380" s="111"/>
    </row>
    <row r="381" spans="2:27" x14ac:dyDescent="0.3">
      <c r="B381" s="10" t="s">
        <v>553</v>
      </c>
      <c r="C381" s="10" t="s">
        <v>321</v>
      </c>
      <c r="D381" s="10">
        <v>2</v>
      </c>
      <c r="E381" s="10">
        <f t="shared" si="51"/>
        <v>1</v>
      </c>
      <c r="F381" s="10">
        <v>0</v>
      </c>
      <c r="G381" s="10">
        <v>65535</v>
      </c>
      <c r="H381" s="10">
        <v>1</v>
      </c>
      <c r="I381" s="10">
        <v>1</v>
      </c>
      <c r="J381" s="10" t="s">
        <v>322</v>
      </c>
      <c r="K381" s="10">
        <f t="shared" si="50"/>
        <v>1206</v>
      </c>
      <c r="L381" s="10">
        <f t="shared" si="52"/>
        <v>1205</v>
      </c>
      <c r="M381" s="10" t="s">
        <v>323</v>
      </c>
      <c r="N381" s="10" t="s">
        <v>324</v>
      </c>
      <c r="O381" s="10"/>
      <c r="P381" s="10"/>
      <c r="Q381" s="111"/>
    </row>
    <row r="382" spans="2:27" x14ac:dyDescent="0.3">
      <c r="B382" s="10" t="s">
        <v>320</v>
      </c>
      <c r="C382" s="10" t="s">
        <v>321</v>
      </c>
      <c r="D382" s="10">
        <v>88</v>
      </c>
      <c r="E382" s="10">
        <f t="shared" si="51"/>
        <v>44</v>
      </c>
      <c r="F382" s="10">
        <v>0</v>
      </c>
      <c r="G382" s="10">
        <v>0</v>
      </c>
      <c r="H382" s="10">
        <v>1</v>
      </c>
      <c r="I382" s="10">
        <v>1</v>
      </c>
      <c r="J382" s="10" t="s">
        <v>322</v>
      </c>
      <c r="K382" s="10">
        <f t="shared" si="50"/>
        <v>1207</v>
      </c>
      <c r="L382" s="10">
        <f t="shared" si="52"/>
        <v>1206</v>
      </c>
      <c r="M382" s="10" t="s">
        <v>323</v>
      </c>
      <c r="N382" s="10" t="s">
        <v>324</v>
      </c>
      <c r="O382" s="10"/>
      <c r="P382" s="10"/>
      <c r="Q382" s="111"/>
    </row>
    <row r="383" spans="2:27" x14ac:dyDescent="0.3">
      <c r="B383" s="10" t="s">
        <v>554</v>
      </c>
      <c r="C383" s="10" t="s">
        <v>321</v>
      </c>
      <c r="D383" s="10">
        <v>2</v>
      </c>
      <c r="E383" s="10">
        <f>D383/2</f>
        <v>1</v>
      </c>
      <c r="F383" s="10">
        <v>0</v>
      </c>
      <c r="G383" s="10">
        <v>65535</v>
      </c>
      <c r="H383" s="10">
        <v>1</v>
      </c>
      <c r="I383" s="10">
        <v>1</v>
      </c>
      <c r="J383" s="10" t="s">
        <v>418</v>
      </c>
      <c r="K383" s="10">
        <f t="shared" si="50"/>
        <v>1251</v>
      </c>
      <c r="L383" s="10">
        <f>L382+E382</f>
        <v>1250</v>
      </c>
      <c r="M383" s="10" t="s">
        <v>419</v>
      </c>
      <c r="N383" s="10" t="s">
        <v>327</v>
      </c>
      <c r="O383" s="10"/>
      <c r="P383" s="10"/>
      <c r="Q383" s="111"/>
      <c r="T383" s="8"/>
      <c r="U383" s="8"/>
      <c r="V383" s="8"/>
      <c r="W383" s="8"/>
      <c r="X383" s="8"/>
      <c r="Y383" s="8"/>
      <c r="Z383" s="8"/>
    </row>
    <row r="384" spans="2:27" x14ac:dyDescent="0.3">
      <c r="B384" s="10" t="s">
        <v>320</v>
      </c>
      <c r="C384" s="10" t="s">
        <v>321</v>
      </c>
      <c r="D384" s="10">
        <v>38</v>
      </c>
      <c r="E384" s="10">
        <f t="shared" ref="E384" si="53">D384/2</f>
        <v>19</v>
      </c>
      <c r="F384" s="10">
        <v>0</v>
      </c>
      <c r="G384" s="10">
        <v>0</v>
      </c>
      <c r="H384" s="10">
        <v>1</v>
      </c>
      <c r="I384" s="10">
        <v>1</v>
      </c>
      <c r="J384" s="10" t="s">
        <v>418</v>
      </c>
      <c r="K384" s="10">
        <f t="shared" si="50"/>
        <v>1252</v>
      </c>
      <c r="L384" s="10">
        <f t="shared" ref="L384" si="54">L383+E383</f>
        <v>1251</v>
      </c>
      <c r="M384" s="10" t="s">
        <v>419</v>
      </c>
      <c r="N384" s="10" t="s">
        <v>324</v>
      </c>
      <c r="O384" s="10"/>
      <c r="P384" s="10"/>
      <c r="Q384" s="111"/>
    </row>
    <row r="385" spans="2:26" x14ac:dyDescent="0.3">
      <c r="B385" s="10" t="s">
        <v>555</v>
      </c>
      <c r="C385" s="10" t="s">
        <v>321</v>
      </c>
      <c r="D385" s="10">
        <v>2</v>
      </c>
      <c r="E385" s="10">
        <f>D385/2</f>
        <v>1</v>
      </c>
      <c r="F385" s="10">
        <v>0</v>
      </c>
      <c r="G385" s="10">
        <v>65535</v>
      </c>
      <c r="H385" s="10">
        <v>1</v>
      </c>
      <c r="I385" s="10">
        <v>1</v>
      </c>
      <c r="J385" s="10" t="s">
        <v>418</v>
      </c>
      <c r="K385" s="10">
        <f t="shared" si="50"/>
        <v>1271</v>
      </c>
      <c r="L385" s="10">
        <f>L384+E384</f>
        <v>1270</v>
      </c>
      <c r="M385" s="10" t="s">
        <v>419</v>
      </c>
      <c r="N385" s="10" t="s">
        <v>327</v>
      </c>
      <c r="O385" s="10"/>
      <c r="P385" s="10"/>
      <c r="Q385" s="111"/>
      <c r="T385" s="8"/>
      <c r="U385" s="8"/>
      <c r="V385" s="8"/>
      <c r="W385" s="8"/>
      <c r="X385" s="8"/>
      <c r="Y385" s="8"/>
      <c r="Z385" s="8"/>
    </row>
    <row r="386" spans="2:26" x14ac:dyDescent="0.3">
      <c r="B386" s="10" t="s">
        <v>320</v>
      </c>
      <c r="C386" s="10" t="s">
        <v>321</v>
      </c>
      <c r="D386" s="10">
        <v>18</v>
      </c>
      <c r="E386" s="10">
        <f t="shared" ref="E386" si="55">D386/2</f>
        <v>9</v>
      </c>
      <c r="F386" s="10">
        <v>0</v>
      </c>
      <c r="G386" s="10">
        <v>0</v>
      </c>
      <c r="H386" s="10">
        <v>1</v>
      </c>
      <c r="I386" s="10">
        <v>1</v>
      </c>
      <c r="J386" s="10" t="s">
        <v>418</v>
      </c>
      <c r="K386" s="10">
        <f t="shared" si="50"/>
        <v>1272</v>
      </c>
      <c r="L386" s="10">
        <f t="shared" ref="L386:L391" si="56">L385+E385</f>
        <v>1271</v>
      </c>
      <c r="M386" s="10" t="s">
        <v>419</v>
      </c>
      <c r="N386" s="10" t="s">
        <v>324</v>
      </c>
      <c r="O386" s="10"/>
      <c r="P386" s="10"/>
      <c r="Q386" s="111"/>
    </row>
    <row r="387" spans="2:26" x14ac:dyDescent="0.3">
      <c r="B387" s="10" t="s">
        <v>556</v>
      </c>
      <c r="C387" s="10" t="s">
        <v>321</v>
      </c>
      <c r="D387" s="10">
        <v>2</v>
      </c>
      <c r="E387" s="10">
        <f>D387/2</f>
        <v>1</v>
      </c>
      <c r="F387" s="10">
        <v>0</v>
      </c>
      <c r="G387" s="10">
        <v>65535</v>
      </c>
      <c r="H387" s="10">
        <v>1</v>
      </c>
      <c r="I387" s="10">
        <v>1</v>
      </c>
      <c r="J387" s="10" t="s">
        <v>322</v>
      </c>
      <c r="K387" s="10">
        <f t="shared" si="50"/>
        <v>1281</v>
      </c>
      <c r="L387" s="10">
        <f t="shared" si="56"/>
        <v>1280</v>
      </c>
      <c r="M387" s="10" t="s">
        <v>323</v>
      </c>
      <c r="N387" s="10" t="s">
        <v>324</v>
      </c>
      <c r="O387" s="10"/>
      <c r="P387" s="10"/>
      <c r="Q387" s="111"/>
      <c r="T387" s="8"/>
      <c r="U387" s="8"/>
      <c r="V387" s="8"/>
      <c r="W387" s="8"/>
      <c r="X387" s="8"/>
      <c r="Y387" s="8"/>
      <c r="Z387" s="8"/>
    </row>
    <row r="388" spans="2:26" x14ac:dyDescent="0.3">
      <c r="B388" s="10" t="s">
        <v>320</v>
      </c>
      <c r="C388" s="10" t="s">
        <v>321</v>
      </c>
      <c r="D388" s="10">
        <v>20</v>
      </c>
      <c r="E388" s="10">
        <f t="shared" ref="E388" si="57">D388/2</f>
        <v>10</v>
      </c>
      <c r="F388" s="10">
        <v>0</v>
      </c>
      <c r="G388" s="10">
        <v>0</v>
      </c>
      <c r="H388" s="10">
        <v>1</v>
      </c>
      <c r="I388" s="10">
        <v>1</v>
      </c>
      <c r="J388" s="10" t="s">
        <v>322</v>
      </c>
      <c r="K388" s="10">
        <f t="shared" si="50"/>
        <v>1282</v>
      </c>
      <c r="L388" s="10">
        <f t="shared" si="56"/>
        <v>1281</v>
      </c>
      <c r="M388" s="10" t="s">
        <v>323</v>
      </c>
      <c r="N388" s="10" t="s">
        <v>324</v>
      </c>
      <c r="O388" s="10"/>
      <c r="P388" s="10"/>
      <c r="Q388" s="111"/>
    </row>
    <row r="389" spans="2:26" ht="249.6" x14ac:dyDescent="0.3">
      <c r="B389" s="10" t="s">
        <v>557</v>
      </c>
      <c r="C389" s="10" t="s">
        <v>321</v>
      </c>
      <c r="D389" s="10">
        <v>2</v>
      </c>
      <c r="E389" s="10">
        <f>D389/2</f>
        <v>1</v>
      </c>
      <c r="F389" s="10">
        <v>0</v>
      </c>
      <c r="G389" s="10">
        <v>65535</v>
      </c>
      <c r="H389" s="10">
        <v>1</v>
      </c>
      <c r="I389" s="10">
        <v>1</v>
      </c>
      <c r="J389" s="10" t="s">
        <v>322</v>
      </c>
      <c r="K389" s="10">
        <f t="shared" si="50"/>
        <v>1292</v>
      </c>
      <c r="L389" s="10">
        <f t="shared" si="56"/>
        <v>1291</v>
      </c>
      <c r="M389" s="10" t="s">
        <v>323</v>
      </c>
      <c r="N389" s="10" t="s">
        <v>324</v>
      </c>
      <c r="O389" s="10"/>
      <c r="P389" s="10"/>
      <c r="Q389" s="110" t="s">
        <v>558</v>
      </c>
      <c r="T389" s="8"/>
      <c r="U389" s="8"/>
      <c r="V389" s="8"/>
      <c r="W389" s="8"/>
      <c r="X389" s="8"/>
      <c r="Y389" s="8"/>
      <c r="Z389" s="8"/>
    </row>
    <row r="390" spans="2:26" x14ac:dyDescent="0.3">
      <c r="B390" s="10" t="s">
        <v>320</v>
      </c>
      <c r="C390" s="10" t="s">
        <v>321</v>
      </c>
      <c r="D390" s="10">
        <v>18</v>
      </c>
      <c r="E390" s="10">
        <f t="shared" ref="E390" si="58">D390/2</f>
        <v>9</v>
      </c>
      <c r="F390" s="10">
        <v>0</v>
      </c>
      <c r="G390" s="10">
        <v>65535</v>
      </c>
      <c r="H390" s="10">
        <v>1</v>
      </c>
      <c r="I390" s="10">
        <v>1</v>
      </c>
      <c r="J390" s="10" t="s">
        <v>322</v>
      </c>
      <c r="K390" s="10">
        <f t="shared" si="50"/>
        <v>1293</v>
      </c>
      <c r="L390" s="10">
        <f t="shared" si="56"/>
        <v>1292</v>
      </c>
      <c r="M390" s="10" t="s">
        <v>323</v>
      </c>
      <c r="N390" s="10" t="s">
        <v>324</v>
      </c>
      <c r="O390" s="10"/>
      <c r="P390" s="10"/>
      <c r="Q390" s="111"/>
    </row>
    <row r="391" spans="2:26" x14ac:dyDescent="0.3">
      <c r="B391" s="10" t="s">
        <v>559</v>
      </c>
      <c r="C391" s="10" t="s">
        <v>321</v>
      </c>
      <c r="D391" s="10">
        <v>2</v>
      </c>
      <c r="E391" s="10">
        <f>D391/2</f>
        <v>1</v>
      </c>
      <c r="F391" s="10">
        <v>0</v>
      </c>
      <c r="G391" s="10">
        <v>65535</v>
      </c>
      <c r="H391" s="10">
        <v>1</v>
      </c>
      <c r="I391" s="10">
        <v>1</v>
      </c>
      <c r="J391" s="10" t="s">
        <v>418</v>
      </c>
      <c r="K391" s="10">
        <f t="shared" si="50"/>
        <v>1302</v>
      </c>
      <c r="L391" s="10">
        <f t="shared" si="56"/>
        <v>1301</v>
      </c>
      <c r="M391" s="10" t="s">
        <v>419</v>
      </c>
      <c r="N391" s="10" t="s">
        <v>324</v>
      </c>
      <c r="O391" s="10"/>
      <c r="P391" s="10"/>
      <c r="Q391" s="111"/>
    </row>
    <row r="392" spans="2:26" x14ac:dyDescent="0.3">
      <c r="B392" s="10" t="s">
        <v>560</v>
      </c>
      <c r="C392" s="10" t="s">
        <v>321</v>
      </c>
      <c r="D392" s="10">
        <v>2</v>
      </c>
      <c r="E392" s="10">
        <f>D392/2</f>
        <v>1</v>
      </c>
      <c r="F392" s="10">
        <v>0</v>
      </c>
      <c r="G392" s="10">
        <v>65535</v>
      </c>
      <c r="H392" s="10">
        <v>1</v>
      </c>
      <c r="I392" s="10">
        <v>1</v>
      </c>
      <c r="J392" s="10" t="s">
        <v>418</v>
      </c>
      <c r="K392" s="10">
        <f t="shared" si="50"/>
        <v>1303</v>
      </c>
      <c r="L392" s="10">
        <f>L391+E391</f>
        <v>1302</v>
      </c>
      <c r="M392" s="10" t="s">
        <v>419</v>
      </c>
      <c r="N392" s="10" t="s">
        <v>324</v>
      </c>
      <c r="O392" s="10"/>
      <c r="P392" s="10"/>
      <c r="Q392" s="111"/>
    </row>
    <row r="393" spans="2:26" x14ac:dyDescent="0.3">
      <c r="B393" s="10" t="s">
        <v>561</v>
      </c>
      <c r="C393" s="10" t="s">
        <v>321</v>
      </c>
      <c r="D393" s="10">
        <v>2</v>
      </c>
      <c r="E393" s="10">
        <f t="shared" ref="E393:E456" si="59">D393/2</f>
        <v>1</v>
      </c>
      <c r="F393" s="10">
        <v>0</v>
      </c>
      <c r="G393" s="10">
        <v>65535</v>
      </c>
      <c r="H393" s="10">
        <v>1</v>
      </c>
      <c r="I393" s="10">
        <v>1</v>
      </c>
      <c r="J393" s="10" t="s">
        <v>418</v>
      </c>
      <c r="K393" s="10">
        <f t="shared" si="50"/>
        <v>1304</v>
      </c>
      <c r="L393" s="10">
        <f t="shared" ref="L393:L456" si="60">L392+E392</f>
        <v>1303</v>
      </c>
      <c r="M393" s="10" t="s">
        <v>419</v>
      </c>
      <c r="N393" s="10" t="s">
        <v>324</v>
      </c>
      <c r="O393" s="10"/>
      <c r="P393" s="10"/>
      <c r="Q393" s="111"/>
    </row>
    <row r="394" spans="2:26" x14ac:dyDescent="0.3">
      <c r="B394" s="10" t="s">
        <v>562</v>
      </c>
      <c r="C394" s="10" t="s">
        <v>321</v>
      </c>
      <c r="D394" s="10">
        <v>2</v>
      </c>
      <c r="E394" s="10">
        <f t="shared" si="59"/>
        <v>1</v>
      </c>
      <c r="F394" s="10">
        <v>0</v>
      </c>
      <c r="G394" s="10">
        <v>65535</v>
      </c>
      <c r="H394" s="10">
        <v>1</v>
      </c>
      <c r="I394" s="10">
        <v>1</v>
      </c>
      <c r="J394" s="10" t="s">
        <v>418</v>
      </c>
      <c r="K394" s="10">
        <f t="shared" si="50"/>
        <v>1305</v>
      </c>
      <c r="L394" s="10">
        <f t="shared" si="60"/>
        <v>1304</v>
      </c>
      <c r="M394" s="10" t="s">
        <v>419</v>
      </c>
      <c r="N394" s="10" t="s">
        <v>324</v>
      </c>
      <c r="O394" s="10"/>
      <c r="P394" s="10"/>
      <c r="Q394" s="111"/>
    </row>
    <row r="395" spans="2:26" x14ac:dyDescent="0.3">
      <c r="B395" s="10" t="s">
        <v>563</v>
      </c>
      <c r="C395" s="10" t="s">
        <v>321</v>
      </c>
      <c r="D395" s="10">
        <v>2</v>
      </c>
      <c r="E395" s="10">
        <f t="shared" si="59"/>
        <v>1</v>
      </c>
      <c r="F395" s="10">
        <v>0</v>
      </c>
      <c r="G395" s="10">
        <v>65535</v>
      </c>
      <c r="H395" s="10">
        <v>1</v>
      </c>
      <c r="I395" s="10">
        <v>1</v>
      </c>
      <c r="J395" s="10" t="s">
        <v>418</v>
      </c>
      <c r="K395" s="10">
        <f t="shared" si="50"/>
        <v>1306</v>
      </c>
      <c r="L395" s="10">
        <f t="shared" si="60"/>
        <v>1305</v>
      </c>
      <c r="M395" s="10" t="s">
        <v>419</v>
      </c>
      <c r="N395" s="10" t="s">
        <v>324</v>
      </c>
      <c r="O395" s="10"/>
      <c r="P395" s="10"/>
      <c r="Q395" s="111"/>
    </row>
    <row r="396" spans="2:26" x14ac:dyDescent="0.3">
      <c r="B396" s="10" t="s">
        <v>564</v>
      </c>
      <c r="C396" s="10" t="s">
        <v>321</v>
      </c>
      <c r="D396" s="10">
        <v>2</v>
      </c>
      <c r="E396" s="10">
        <f t="shared" si="59"/>
        <v>1</v>
      </c>
      <c r="F396" s="10">
        <v>0</v>
      </c>
      <c r="G396" s="10">
        <v>65535</v>
      </c>
      <c r="H396" s="10">
        <v>1</v>
      </c>
      <c r="I396" s="10">
        <v>1</v>
      </c>
      <c r="J396" s="10" t="s">
        <v>418</v>
      </c>
      <c r="K396" s="10">
        <f t="shared" si="50"/>
        <v>1307</v>
      </c>
      <c r="L396" s="10">
        <f t="shared" si="60"/>
        <v>1306</v>
      </c>
      <c r="M396" s="10" t="s">
        <v>419</v>
      </c>
      <c r="N396" s="10" t="s">
        <v>324</v>
      </c>
      <c r="O396" s="10"/>
      <c r="P396" s="10"/>
      <c r="Q396" s="111"/>
    </row>
    <row r="397" spans="2:26" x14ac:dyDescent="0.3">
      <c r="B397" s="10" t="s">
        <v>565</v>
      </c>
      <c r="C397" s="10" t="s">
        <v>321</v>
      </c>
      <c r="D397" s="10">
        <v>2</v>
      </c>
      <c r="E397" s="10">
        <f t="shared" si="59"/>
        <v>1</v>
      </c>
      <c r="F397" s="10">
        <v>0</v>
      </c>
      <c r="G397" s="10">
        <v>65535</v>
      </c>
      <c r="H397" s="10">
        <v>1</v>
      </c>
      <c r="I397" s="10">
        <v>1</v>
      </c>
      <c r="J397" s="10" t="s">
        <v>418</v>
      </c>
      <c r="K397" s="10">
        <f t="shared" si="50"/>
        <v>1308</v>
      </c>
      <c r="L397" s="10">
        <f t="shared" si="60"/>
        <v>1307</v>
      </c>
      <c r="M397" s="10" t="s">
        <v>419</v>
      </c>
      <c r="N397" s="10" t="s">
        <v>324</v>
      </c>
      <c r="O397" s="10"/>
      <c r="P397" s="10"/>
      <c r="Q397" s="111"/>
    </row>
    <row r="398" spans="2:26" x14ac:dyDescent="0.3">
      <c r="B398" s="10" t="s">
        <v>566</v>
      </c>
      <c r="C398" s="10" t="s">
        <v>321</v>
      </c>
      <c r="D398" s="10">
        <v>2</v>
      </c>
      <c r="E398" s="10">
        <f t="shared" si="59"/>
        <v>1</v>
      </c>
      <c r="F398" s="10">
        <v>0</v>
      </c>
      <c r="G398" s="10">
        <v>65535</v>
      </c>
      <c r="H398" s="10">
        <v>1</v>
      </c>
      <c r="I398" s="10">
        <v>1</v>
      </c>
      <c r="J398" s="10" t="s">
        <v>418</v>
      </c>
      <c r="K398" s="10">
        <f t="shared" si="50"/>
        <v>1309</v>
      </c>
      <c r="L398" s="10">
        <f t="shared" si="60"/>
        <v>1308</v>
      </c>
      <c r="M398" s="10" t="s">
        <v>419</v>
      </c>
      <c r="N398" s="10" t="s">
        <v>324</v>
      </c>
      <c r="O398" s="10"/>
      <c r="P398" s="10"/>
      <c r="Q398" s="111"/>
    </row>
    <row r="399" spans="2:26" x14ac:dyDescent="0.3">
      <c r="B399" s="10" t="s">
        <v>567</v>
      </c>
      <c r="C399" s="10" t="s">
        <v>321</v>
      </c>
      <c r="D399" s="10">
        <v>2</v>
      </c>
      <c r="E399" s="10">
        <f t="shared" si="59"/>
        <v>1</v>
      </c>
      <c r="F399" s="10">
        <v>0</v>
      </c>
      <c r="G399" s="10">
        <v>65535</v>
      </c>
      <c r="H399" s="10">
        <v>1</v>
      </c>
      <c r="I399" s="10">
        <v>1</v>
      </c>
      <c r="J399" s="10" t="s">
        <v>418</v>
      </c>
      <c r="K399" s="10">
        <f t="shared" si="50"/>
        <v>1310</v>
      </c>
      <c r="L399" s="10">
        <f t="shared" si="60"/>
        <v>1309</v>
      </c>
      <c r="M399" s="10" t="s">
        <v>419</v>
      </c>
      <c r="N399" s="10" t="s">
        <v>324</v>
      </c>
      <c r="O399" s="10"/>
      <c r="P399" s="10"/>
      <c r="Q399" s="111"/>
    </row>
    <row r="400" spans="2:26" x14ac:dyDescent="0.3">
      <c r="B400" s="10" t="s">
        <v>568</v>
      </c>
      <c r="C400" s="10" t="s">
        <v>321</v>
      </c>
      <c r="D400" s="10">
        <v>2</v>
      </c>
      <c r="E400" s="10">
        <f t="shared" si="59"/>
        <v>1</v>
      </c>
      <c r="F400" s="10">
        <v>0</v>
      </c>
      <c r="G400" s="10">
        <v>65535</v>
      </c>
      <c r="H400" s="10">
        <v>1</v>
      </c>
      <c r="I400" s="10">
        <v>1</v>
      </c>
      <c r="J400" s="10" t="s">
        <v>418</v>
      </c>
      <c r="K400" s="10">
        <f t="shared" si="50"/>
        <v>1311</v>
      </c>
      <c r="L400" s="10">
        <f t="shared" si="60"/>
        <v>1310</v>
      </c>
      <c r="M400" s="10" t="s">
        <v>419</v>
      </c>
      <c r="N400" s="10" t="s">
        <v>324</v>
      </c>
      <c r="O400" s="10"/>
      <c r="P400" s="10"/>
      <c r="Q400" s="111"/>
    </row>
    <row r="401" spans="2:17" x14ac:dyDescent="0.3">
      <c r="B401" s="10" t="s">
        <v>569</v>
      </c>
      <c r="C401" s="10" t="s">
        <v>321</v>
      </c>
      <c r="D401" s="10">
        <v>2</v>
      </c>
      <c r="E401" s="10">
        <f t="shared" si="59"/>
        <v>1</v>
      </c>
      <c r="F401" s="10">
        <v>0</v>
      </c>
      <c r="G401" s="10">
        <v>65535</v>
      </c>
      <c r="H401" s="10">
        <v>1</v>
      </c>
      <c r="I401" s="10">
        <v>1</v>
      </c>
      <c r="J401" s="10" t="s">
        <v>418</v>
      </c>
      <c r="K401" s="10">
        <f t="shared" si="50"/>
        <v>1312</v>
      </c>
      <c r="L401" s="10">
        <f t="shared" si="60"/>
        <v>1311</v>
      </c>
      <c r="M401" s="10" t="s">
        <v>419</v>
      </c>
      <c r="N401" s="10" t="s">
        <v>324</v>
      </c>
      <c r="O401" s="10"/>
      <c r="P401" s="10"/>
      <c r="Q401" s="111"/>
    </row>
    <row r="402" spans="2:17" x14ac:dyDescent="0.3">
      <c r="B402" s="10" t="s">
        <v>570</v>
      </c>
      <c r="C402" s="10" t="s">
        <v>321</v>
      </c>
      <c r="D402" s="10">
        <v>2</v>
      </c>
      <c r="E402" s="10">
        <f t="shared" si="59"/>
        <v>1</v>
      </c>
      <c r="F402" s="10">
        <v>0</v>
      </c>
      <c r="G402" s="10">
        <v>65535</v>
      </c>
      <c r="H402" s="10">
        <v>1</v>
      </c>
      <c r="I402" s="10">
        <v>1</v>
      </c>
      <c r="J402" s="10" t="s">
        <v>418</v>
      </c>
      <c r="K402" s="10">
        <f t="shared" si="50"/>
        <v>1313</v>
      </c>
      <c r="L402" s="10">
        <f t="shared" si="60"/>
        <v>1312</v>
      </c>
      <c r="M402" s="10" t="s">
        <v>419</v>
      </c>
      <c r="N402" s="10" t="s">
        <v>324</v>
      </c>
      <c r="O402" s="10"/>
      <c r="P402" s="10"/>
      <c r="Q402" s="111"/>
    </row>
    <row r="403" spans="2:17" x14ac:dyDescent="0.3">
      <c r="B403" s="10" t="s">
        <v>571</v>
      </c>
      <c r="C403" s="10" t="s">
        <v>321</v>
      </c>
      <c r="D403" s="10">
        <v>2</v>
      </c>
      <c r="E403" s="10">
        <f t="shared" si="59"/>
        <v>1</v>
      </c>
      <c r="F403" s="10">
        <v>0</v>
      </c>
      <c r="G403" s="10">
        <v>65535</v>
      </c>
      <c r="H403" s="10">
        <v>1</v>
      </c>
      <c r="I403" s="10">
        <v>1</v>
      </c>
      <c r="J403" s="10" t="s">
        <v>418</v>
      </c>
      <c r="K403" s="10">
        <f t="shared" si="50"/>
        <v>1314</v>
      </c>
      <c r="L403" s="10">
        <f t="shared" si="60"/>
        <v>1313</v>
      </c>
      <c r="M403" s="10" t="s">
        <v>419</v>
      </c>
      <c r="N403" s="10" t="s">
        <v>324</v>
      </c>
      <c r="O403" s="10"/>
      <c r="P403" s="10"/>
      <c r="Q403" s="111"/>
    </row>
    <row r="404" spans="2:17" x14ac:dyDescent="0.3">
      <c r="B404" s="10" t="s">
        <v>572</v>
      </c>
      <c r="C404" s="10" t="s">
        <v>321</v>
      </c>
      <c r="D404" s="10">
        <v>2</v>
      </c>
      <c r="E404" s="10">
        <f t="shared" si="59"/>
        <v>1</v>
      </c>
      <c r="F404" s="10">
        <v>0</v>
      </c>
      <c r="G404" s="10">
        <v>65535</v>
      </c>
      <c r="H404" s="10">
        <v>1</v>
      </c>
      <c r="I404" s="10">
        <v>1</v>
      </c>
      <c r="J404" s="10" t="s">
        <v>418</v>
      </c>
      <c r="K404" s="10">
        <f t="shared" si="50"/>
        <v>1315</v>
      </c>
      <c r="L404" s="10">
        <f t="shared" si="60"/>
        <v>1314</v>
      </c>
      <c r="M404" s="10" t="s">
        <v>419</v>
      </c>
      <c r="N404" s="10" t="s">
        <v>324</v>
      </c>
      <c r="O404" s="10"/>
      <c r="P404" s="10"/>
      <c r="Q404" s="111"/>
    </row>
    <row r="405" spans="2:17" x14ac:dyDescent="0.3">
      <c r="B405" s="10" t="s">
        <v>573</v>
      </c>
      <c r="C405" s="10" t="s">
        <v>321</v>
      </c>
      <c r="D405" s="10">
        <v>2</v>
      </c>
      <c r="E405" s="10">
        <f t="shared" si="59"/>
        <v>1</v>
      </c>
      <c r="F405" s="10">
        <v>0</v>
      </c>
      <c r="G405" s="10">
        <v>65535</v>
      </c>
      <c r="H405" s="10">
        <v>1</v>
      </c>
      <c r="I405" s="10">
        <v>1</v>
      </c>
      <c r="J405" s="10" t="s">
        <v>418</v>
      </c>
      <c r="K405" s="10">
        <f t="shared" si="50"/>
        <v>1316</v>
      </c>
      <c r="L405" s="10">
        <f t="shared" si="60"/>
        <v>1315</v>
      </c>
      <c r="M405" s="10" t="s">
        <v>419</v>
      </c>
      <c r="N405" s="10" t="s">
        <v>324</v>
      </c>
      <c r="O405" s="10"/>
      <c r="P405" s="10"/>
      <c r="Q405" s="111"/>
    </row>
    <row r="406" spans="2:17" x14ac:dyDescent="0.3">
      <c r="B406" s="10" t="s">
        <v>574</v>
      </c>
      <c r="C406" s="10" t="s">
        <v>321</v>
      </c>
      <c r="D406" s="10">
        <v>2</v>
      </c>
      <c r="E406" s="10">
        <f t="shared" si="59"/>
        <v>1</v>
      </c>
      <c r="F406" s="10">
        <v>0</v>
      </c>
      <c r="G406" s="10">
        <v>65535</v>
      </c>
      <c r="H406" s="10">
        <v>1</v>
      </c>
      <c r="I406" s="10">
        <v>1</v>
      </c>
      <c r="J406" s="10" t="s">
        <v>418</v>
      </c>
      <c r="K406" s="10">
        <f t="shared" si="50"/>
        <v>1317</v>
      </c>
      <c r="L406" s="10">
        <f t="shared" si="60"/>
        <v>1316</v>
      </c>
      <c r="M406" s="10" t="s">
        <v>419</v>
      </c>
      <c r="N406" s="10" t="s">
        <v>324</v>
      </c>
      <c r="O406" s="10"/>
      <c r="P406" s="10"/>
      <c r="Q406" s="111"/>
    </row>
    <row r="407" spans="2:17" x14ac:dyDescent="0.3">
      <c r="B407" s="10" t="s">
        <v>575</v>
      </c>
      <c r="C407" s="10" t="s">
        <v>321</v>
      </c>
      <c r="D407" s="10">
        <v>2</v>
      </c>
      <c r="E407" s="10">
        <f t="shared" si="59"/>
        <v>1</v>
      </c>
      <c r="F407" s="10">
        <v>0</v>
      </c>
      <c r="G407" s="10">
        <v>65535</v>
      </c>
      <c r="H407" s="10">
        <v>1</v>
      </c>
      <c r="I407" s="10">
        <v>1</v>
      </c>
      <c r="J407" s="10" t="s">
        <v>418</v>
      </c>
      <c r="K407" s="10">
        <f t="shared" si="50"/>
        <v>1318</v>
      </c>
      <c r="L407" s="10">
        <f t="shared" si="60"/>
        <v>1317</v>
      </c>
      <c r="M407" s="10" t="s">
        <v>419</v>
      </c>
      <c r="N407" s="10" t="s">
        <v>324</v>
      </c>
      <c r="O407" s="10"/>
      <c r="P407" s="10"/>
      <c r="Q407" s="111"/>
    </row>
    <row r="408" spans="2:17" x14ac:dyDescent="0.3">
      <c r="B408" s="10" t="s">
        <v>576</v>
      </c>
      <c r="C408" s="10" t="s">
        <v>321</v>
      </c>
      <c r="D408" s="10">
        <v>2</v>
      </c>
      <c r="E408" s="10">
        <f t="shared" si="59"/>
        <v>1</v>
      </c>
      <c r="F408" s="10">
        <v>0</v>
      </c>
      <c r="G408" s="10">
        <v>65535</v>
      </c>
      <c r="H408" s="10">
        <v>1</v>
      </c>
      <c r="I408" s="10">
        <v>1</v>
      </c>
      <c r="J408" s="10" t="s">
        <v>418</v>
      </c>
      <c r="K408" s="10">
        <f t="shared" si="50"/>
        <v>1319</v>
      </c>
      <c r="L408" s="10">
        <f t="shared" si="60"/>
        <v>1318</v>
      </c>
      <c r="M408" s="10" t="s">
        <v>419</v>
      </c>
      <c r="N408" s="10" t="s">
        <v>324</v>
      </c>
      <c r="O408" s="10"/>
      <c r="P408" s="10"/>
      <c r="Q408" s="111"/>
    </row>
    <row r="409" spans="2:17" x14ac:dyDescent="0.3">
      <c r="B409" s="10" t="s">
        <v>577</v>
      </c>
      <c r="C409" s="10" t="s">
        <v>321</v>
      </c>
      <c r="D409" s="10">
        <v>2</v>
      </c>
      <c r="E409" s="10">
        <f t="shared" si="59"/>
        <v>1</v>
      </c>
      <c r="F409" s="10">
        <v>0</v>
      </c>
      <c r="G409" s="10">
        <v>65535</v>
      </c>
      <c r="H409" s="10">
        <v>1</v>
      </c>
      <c r="I409" s="10">
        <v>1</v>
      </c>
      <c r="J409" s="10" t="s">
        <v>418</v>
      </c>
      <c r="K409" s="10">
        <f t="shared" si="50"/>
        <v>1320</v>
      </c>
      <c r="L409" s="10">
        <f t="shared" si="60"/>
        <v>1319</v>
      </c>
      <c r="M409" s="10" t="s">
        <v>419</v>
      </c>
      <c r="N409" s="10" t="s">
        <v>324</v>
      </c>
      <c r="O409" s="10"/>
      <c r="P409" s="10"/>
      <c r="Q409" s="111"/>
    </row>
    <row r="410" spans="2:17" x14ac:dyDescent="0.3">
      <c r="B410" s="10" t="s">
        <v>578</v>
      </c>
      <c r="C410" s="10" t="s">
        <v>321</v>
      </c>
      <c r="D410" s="10">
        <v>2</v>
      </c>
      <c r="E410" s="10">
        <f t="shared" si="59"/>
        <v>1</v>
      </c>
      <c r="F410" s="10">
        <v>0</v>
      </c>
      <c r="G410" s="10">
        <v>65535</v>
      </c>
      <c r="H410" s="10">
        <v>1</v>
      </c>
      <c r="I410" s="10">
        <v>1</v>
      </c>
      <c r="J410" s="10" t="s">
        <v>418</v>
      </c>
      <c r="K410" s="10">
        <f t="shared" si="50"/>
        <v>1321</v>
      </c>
      <c r="L410" s="10">
        <f t="shared" si="60"/>
        <v>1320</v>
      </c>
      <c r="M410" s="10" t="s">
        <v>419</v>
      </c>
      <c r="N410" s="10" t="s">
        <v>324</v>
      </c>
      <c r="O410" s="10"/>
      <c r="P410" s="10"/>
      <c r="Q410" s="111"/>
    </row>
    <row r="411" spans="2:17" x14ac:dyDescent="0.3">
      <c r="B411" s="10" t="s">
        <v>579</v>
      </c>
      <c r="C411" s="10" t="s">
        <v>321</v>
      </c>
      <c r="D411" s="10">
        <v>2</v>
      </c>
      <c r="E411" s="10">
        <f t="shared" si="59"/>
        <v>1</v>
      </c>
      <c r="F411" s="10">
        <v>0</v>
      </c>
      <c r="G411" s="10">
        <v>65535</v>
      </c>
      <c r="H411" s="10">
        <v>1</v>
      </c>
      <c r="I411" s="10">
        <v>1</v>
      </c>
      <c r="J411" s="10" t="s">
        <v>418</v>
      </c>
      <c r="K411" s="10">
        <f t="shared" si="50"/>
        <v>1322</v>
      </c>
      <c r="L411" s="10">
        <f t="shared" si="60"/>
        <v>1321</v>
      </c>
      <c r="M411" s="10" t="s">
        <v>419</v>
      </c>
      <c r="N411" s="10" t="s">
        <v>324</v>
      </c>
      <c r="O411" s="10"/>
      <c r="P411" s="10"/>
      <c r="Q411" s="111"/>
    </row>
    <row r="412" spans="2:17" x14ac:dyDescent="0.3">
      <c r="B412" s="10" t="s">
        <v>580</v>
      </c>
      <c r="C412" s="10" t="s">
        <v>321</v>
      </c>
      <c r="D412" s="10">
        <v>2</v>
      </c>
      <c r="E412" s="10">
        <f t="shared" si="59"/>
        <v>1</v>
      </c>
      <c r="F412" s="10">
        <v>0</v>
      </c>
      <c r="G412" s="10">
        <v>65535</v>
      </c>
      <c r="H412" s="10">
        <v>1</v>
      </c>
      <c r="I412" s="10">
        <v>1</v>
      </c>
      <c r="J412" s="10" t="s">
        <v>418</v>
      </c>
      <c r="K412" s="10">
        <f t="shared" si="50"/>
        <v>1323</v>
      </c>
      <c r="L412" s="10">
        <f t="shared" si="60"/>
        <v>1322</v>
      </c>
      <c r="M412" s="10" t="s">
        <v>419</v>
      </c>
      <c r="N412" s="10" t="s">
        <v>324</v>
      </c>
      <c r="O412" s="10"/>
      <c r="P412" s="10"/>
      <c r="Q412" s="111"/>
    </row>
    <row r="413" spans="2:17" x14ac:dyDescent="0.3">
      <c r="B413" s="10" t="s">
        <v>581</v>
      </c>
      <c r="C413" s="10" t="s">
        <v>321</v>
      </c>
      <c r="D413" s="10">
        <v>2</v>
      </c>
      <c r="E413" s="10">
        <f t="shared" si="59"/>
        <v>1</v>
      </c>
      <c r="F413" s="10">
        <v>0</v>
      </c>
      <c r="G413" s="10">
        <v>65535</v>
      </c>
      <c r="H413" s="10">
        <v>1</v>
      </c>
      <c r="I413" s="10">
        <v>1</v>
      </c>
      <c r="J413" s="10" t="s">
        <v>418</v>
      </c>
      <c r="K413" s="10">
        <f t="shared" si="50"/>
        <v>1324</v>
      </c>
      <c r="L413" s="10">
        <f t="shared" si="60"/>
        <v>1323</v>
      </c>
      <c r="M413" s="10" t="s">
        <v>419</v>
      </c>
      <c r="N413" s="10" t="s">
        <v>324</v>
      </c>
      <c r="O413" s="10"/>
      <c r="P413" s="10"/>
      <c r="Q413" s="111"/>
    </row>
    <row r="414" spans="2:17" x14ac:dyDescent="0.3">
      <c r="B414" s="10" t="s">
        <v>582</v>
      </c>
      <c r="C414" s="10" t="s">
        <v>321</v>
      </c>
      <c r="D414" s="10">
        <v>2</v>
      </c>
      <c r="E414" s="10">
        <f t="shared" si="59"/>
        <v>1</v>
      </c>
      <c r="F414" s="10">
        <v>0</v>
      </c>
      <c r="G414" s="10">
        <v>65535</v>
      </c>
      <c r="H414" s="10">
        <v>1</v>
      </c>
      <c r="I414" s="10">
        <v>1</v>
      </c>
      <c r="J414" s="10" t="s">
        <v>418</v>
      </c>
      <c r="K414" s="10">
        <f t="shared" si="50"/>
        <v>1325</v>
      </c>
      <c r="L414" s="10">
        <f t="shared" si="60"/>
        <v>1324</v>
      </c>
      <c r="M414" s="10" t="s">
        <v>419</v>
      </c>
      <c r="N414" s="10" t="s">
        <v>324</v>
      </c>
      <c r="O414" s="10"/>
      <c r="P414" s="10"/>
      <c r="Q414" s="111"/>
    </row>
    <row r="415" spans="2:17" x14ac:dyDescent="0.3">
      <c r="B415" s="10" t="s">
        <v>583</v>
      </c>
      <c r="C415" s="10" t="s">
        <v>321</v>
      </c>
      <c r="D415" s="10">
        <v>2</v>
      </c>
      <c r="E415" s="10">
        <f t="shared" si="59"/>
        <v>1</v>
      </c>
      <c r="F415" s="10">
        <v>0</v>
      </c>
      <c r="G415" s="10">
        <v>65535</v>
      </c>
      <c r="H415" s="10">
        <v>1</v>
      </c>
      <c r="I415" s="10">
        <v>1</v>
      </c>
      <c r="J415" s="10" t="s">
        <v>418</v>
      </c>
      <c r="K415" s="10">
        <f t="shared" si="50"/>
        <v>1326</v>
      </c>
      <c r="L415" s="10">
        <f t="shared" si="60"/>
        <v>1325</v>
      </c>
      <c r="M415" s="10" t="s">
        <v>419</v>
      </c>
      <c r="N415" s="10" t="s">
        <v>324</v>
      </c>
      <c r="O415" s="10"/>
      <c r="P415" s="10"/>
      <c r="Q415" s="111"/>
    </row>
    <row r="416" spans="2:17" x14ac:dyDescent="0.3">
      <c r="B416" s="10" t="s">
        <v>584</v>
      </c>
      <c r="C416" s="10" t="s">
        <v>321</v>
      </c>
      <c r="D416" s="10">
        <v>2</v>
      </c>
      <c r="E416" s="10">
        <f t="shared" si="59"/>
        <v>1</v>
      </c>
      <c r="F416" s="10">
        <v>0</v>
      </c>
      <c r="G416" s="10">
        <v>65535</v>
      </c>
      <c r="H416" s="10">
        <v>1</v>
      </c>
      <c r="I416" s="10">
        <v>1</v>
      </c>
      <c r="J416" s="10" t="s">
        <v>418</v>
      </c>
      <c r="K416" s="10">
        <f t="shared" si="50"/>
        <v>1327</v>
      </c>
      <c r="L416" s="10">
        <f t="shared" si="60"/>
        <v>1326</v>
      </c>
      <c r="M416" s="10" t="s">
        <v>419</v>
      </c>
      <c r="N416" s="10" t="s">
        <v>324</v>
      </c>
      <c r="O416" s="10"/>
      <c r="P416" s="10"/>
      <c r="Q416" s="111"/>
    </row>
    <row r="417" spans="2:17" x14ac:dyDescent="0.3">
      <c r="B417" s="10" t="s">
        <v>585</v>
      </c>
      <c r="C417" s="10" t="s">
        <v>321</v>
      </c>
      <c r="D417" s="10">
        <v>2</v>
      </c>
      <c r="E417" s="10">
        <f t="shared" si="59"/>
        <v>1</v>
      </c>
      <c r="F417" s="10">
        <v>0</v>
      </c>
      <c r="G417" s="10">
        <v>65535</v>
      </c>
      <c r="H417" s="10">
        <v>1</v>
      </c>
      <c r="I417" s="10">
        <v>1</v>
      </c>
      <c r="J417" s="10" t="s">
        <v>418</v>
      </c>
      <c r="K417" s="10">
        <f t="shared" si="50"/>
        <v>1328</v>
      </c>
      <c r="L417" s="10">
        <f t="shared" si="60"/>
        <v>1327</v>
      </c>
      <c r="M417" s="10" t="s">
        <v>419</v>
      </c>
      <c r="N417" s="10" t="s">
        <v>324</v>
      </c>
      <c r="O417" s="10"/>
      <c r="P417" s="10"/>
      <c r="Q417" s="111"/>
    </row>
    <row r="418" spans="2:17" x14ac:dyDescent="0.3">
      <c r="B418" s="10" t="s">
        <v>586</v>
      </c>
      <c r="C418" s="10" t="s">
        <v>321</v>
      </c>
      <c r="D418" s="10">
        <v>2</v>
      </c>
      <c r="E418" s="10">
        <f t="shared" si="59"/>
        <v>1</v>
      </c>
      <c r="F418" s="10">
        <v>0</v>
      </c>
      <c r="G418" s="10">
        <v>65535</v>
      </c>
      <c r="H418" s="10">
        <v>1</v>
      </c>
      <c r="I418" s="10">
        <v>1</v>
      </c>
      <c r="J418" s="10" t="s">
        <v>418</v>
      </c>
      <c r="K418" s="10">
        <f t="shared" si="50"/>
        <v>1329</v>
      </c>
      <c r="L418" s="10">
        <f t="shared" si="60"/>
        <v>1328</v>
      </c>
      <c r="M418" s="10" t="s">
        <v>419</v>
      </c>
      <c r="N418" s="10" t="s">
        <v>324</v>
      </c>
      <c r="O418" s="10"/>
      <c r="P418" s="10"/>
      <c r="Q418" s="111"/>
    </row>
    <row r="419" spans="2:17" x14ac:dyDescent="0.3">
      <c r="B419" s="10" t="s">
        <v>587</v>
      </c>
      <c r="C419" s="10" t="s">
        <v>321</v>
      </c>
      <c r="D419" s="10">
        <v>2</v>
      </c>
      <c r="E419" s="10">
        <f t="shared" si="59"/>
        <v>1</v>
      </c>
      <c r="F419" s="10">
        <v>0</v>
      </c>
      <c r="G419" s="10">
        <v>65535</v>
      </c>
      <c r="H419" s="10">
        <v>1</v>
      </c>
      <c r="I419" s="10">
        <v>1</v>
      </c>
      <c r="J419" s="10" t="s">
        <v>418</v>
      </c>
      <c r="K419" s="10">
        <f t="shared" si="50"/>
        <v>1330</v>
      </c>
      <c r="L419" s="10">
        <f t="shared" si="60"/>
        <v>1329</v>
      </c>
      <c r="M419" s="10" t="s">
        <v>419</v>
      </c>
      <c r="N419" s="10" t="s">
        <v>324</v>
      </c>
      <c r="O419" s="10"/>
      <c r="P419" s="10"/>
      <c r="Q419" s="111"/>
    </row>
    <row r="420" spans="2:17" x14ac:dyDescent="0.3">
      <c r="B420" s="10" t="s">
        <v>588</v>
      </c>
      <c r="C420" s="10" t="s">
        <v>321</v>
      </c>
      <c r="D420" s="10">
        <v>2</v>
      </c>
      <c r="E420" s="10">
        <f t="shared" si="59"/>
        <v>1</v>
      </c>
      <c r="F420" s="10">
        <v>0</v>
      </c>
      <c r="G420" s="10">
        <v>65535</v>
      </c>
      <c r="H420" s="10">
        <v>1</v>
      </c>
      <c r="I420" s="10">
        <v>1</v>
      </c>
      <c r="J420" s="10" t="s">
        <v>418</v>
      </c>
      <c r="K420" s="10">
        <f t="shared" si="50"/>
        <v>1331</v>
      </c>
      <c r="L420" s="10">
        <f t="shared" si="60"/>
        <v>1330</v>
      </c>
      <c r="M420" s="10" t="s">
        <v>419</v>
      </c>
      <c r="N420" s="10" t="s">
        <v>324</v>
      </c>
      <c r="O420" s="10"/>
      <c r="P420" s="10"/>
      <c r="Q420" s="111"/>
    </row>
    <row r="421" spans="2:17" x14ac:dyDescent="0.3">
      <c r="B421" s="10" t="s">
        <v>589</v>
      </c>
      <c r="C421" s="10" t="s">
        <v>321</v>
      </c>
      <c r="D421" s="10">
        <v>2</v>
      </c>
      <c r="E421" s="10">
        <f t="shared" si="59"/>
        <v>1</v>
      </c>
      <c r="F421" s="10">
        <v>0</v>
      </c>
      <c r="G421" s="10">
        <v>65535</v>
      </c>
      <c r="H421" s="10">
        <v>1</v>
      </c>
      <c r="I421" s="10">
        <v>1</v>
      </c>
      <c r="J421" s="10" t="s">
        <v>418</v>
      </c>
      <c r="K421" s="10">
        <f t="shared" si="50"/>
        <v>1332</v>
      </c>
      <c r="L421" s="10">
        <f t="shared" si="60"/>
        <v>1331</v>
      </c>
      <c r="M421" s="10" t="s">
        <v>419</v>
      </c>
      <c r="N421" s="10" t="s">
        <v>324</v>
      </c>
      <c r="O421" s="10"/>
      <c r="P421" s="10"/>
      <c r="Q421" s="111"/>
    </row>
    <row r="422" spans="2:17" x14ac:dyDescent="0.3">
      <c r="B422" s="10" t="s">
        <v>590</v>
      </c>
      <c r="C422" s="10" t="s">
        <v>321</v>
      </c>
      <c r="D422" s="10">
        <v>2</v>
      </c>
      <c r="E422" s="10">
        <f t="shared" si="59"/>
        <v>1</v>
      </c>
      <c r="F422" s="10">
        <v>0</v>
      </c>
      <c r="G422" s="10">
        <v>65535</v>
      </c>
      <c r="H422" s="10">
        <v>1</v>
      </c>
      <c r="I422" s="10">
        <v>1</v>
      </c>
      <c r="J422" s="10" t="s">
        <v>418</v>
      </c>
      <c r="K422" s="10">
        <f t="shared" si="50"/>
        <v>1333</v>
      </c>
      <c r="L422" s="10">
        <f t="shared" si="60"/>
        <v>1332</v>
      </c>
      <c r="M422" s="10" t="s">
        <v>419</v>
      </c>
      <c r="N422" s="10" t="s">
        <v>324</v>
      </c>
      <c r="O422" s="10"/>
      <c r="P422" s="10"/>
      <c r="Q422" s="111"/>
    </row>
    <row r="423" spans="2:17" x14ac:dyDescent="0.3">
      <c r="B423" s="10" t="s">
        <v>591</v>
      </c>
      <c r="C423" s="10" t="s">
        <v>321</v>
      </c>
      <c r="D423" s="10">
        <v>2</v>
      </c>
      <c r="E423" s="10">
        <f t="shared" si="59"/>
        <v>1</v>
      </c>
      <c r="F423" s="10">
        <v>0</v>
      </c>
      <c r="G423" s="10">
        <v>65535</v>
      </c>
      <c r="H423" s="10">
        <v>1</v>
      </c>
      <c r="I423" s="10">
        <v>1</v>
      </c>
      <c r="J423" s="10" t="s">
        <v>418</v>
      </c>
      <c r="K423" s="10">
        <f t="shared" si="50"/>
        <v>1334</v>
      </c>
      <c r="L423" s="10">
        <f t="shared" si="60"/>
        <v>1333</v>
      </c>
      <c r="M423" s="10" t="s">
        <v>419</v>
      </c>
      <c r="N423" s="10" t="s">
        <v>324</v>
      </c>
      <c r="O423" s="10"/>
      <c r="P423" s="10"/>
      <c r="Q423" s="111"/>
    </row>
    <row r="424" spans="2:17" x14ac:dyDescent="0.3">
      <c r="B424" s="10" t="s">
        <v>592</v>
      </c>
      <c r="C424" s="10" t="s">
        <v>321</v>
      </c>
      <c r="D424" s="10">
        <v>2</v>
      </c>
      <c r="E424" s="10">
        <f t="shared" si="59"/>
        <v>1</v>
      </c>
      <c r="F424" s="10">
        <v>0</v>
      </c>
      <c r="G424" s="10">
        <v>65535</v>
      </c>
      <c r="H424" s="10">
        <v>1</v>
      </c>
      <c r="I424" s="10">
        <v>1</v>
      </c>
      <c r="J424" s="10" t="s">
        <v>418</v>
      </c>
      <c r="K424" s="10">
        <f t="shared" si="50"/>
        <v>1335</v>
      </c>
      <c r="L424" s="10">
        <f t="shared" si="60"/>
        <v>1334</v>
      </c>
      <c r="M424" s="10" t="s">
        <v>419</v>
      </c>
      <c r="N424" s="10" t="s">
        <v>324</v>
      </c>
      <c r="O424" s="10"/>
      <c r="P424" s="10"/>
      <c r="Q424" s="111"/>
    </row>
    <row r="425" spans="2:17" x14ac:dyDescent="0.3">
      <c r="B425" s="10" t="s">
        <v>593</v>
      </c>
      <c r="C425" s="10" t="s">
        <v>321</v>
      </c>
      <c r="D425" s="10">
        <v>2</v>
      </c>
      <c r="E425" s="10">
        <f t="shared" si="59"/>
        <v>1</v>
      </c>
      <c r="F425" s="10">
        <v>0</v>
      </c>
      <c r="G425" s="10">
        <v>65535</v>
      </c>
      <c r="H425" s="10">
        <v>1</v>
      </c>
      <c r="I425" s="10">
        <v>1</v>
      </c>
      <c r="J425" s="10" t="s">
        <v>418</v>
      </c>
      <c r="K425" s="10">
        <f t="shared" si="50"/>
        <v>1336</v>
      </c>
      <c r="L425" s="10">
        <f t="shared" si="60"/>
        <v>1335</v>
      </c>
      <c r="M425" s="10" t="s">
        <v>419</v>
      </c>
      <c r="N425" s="10" t="s">
        <v>324</v>
      </c>
      <c r="O425" s="10"/>
      <c r="P425" s="10"/>
      <c r="Q425" s="111"/>
    </row>
    <row r="426" spans="2:17" x14ac:dyDescent="0.3">
      <c r="B426" s="10" t="s">
        <v>594</v>
      </c>
      <c r="C426" s="10" t="s">
        <v>321</v>
      </c>
      <c r="D426" s="10">
        <v>2</v>
      </c>
      <c r="E426" s="10">
        <f t="shared" si="59"/>
        <v>1</v>
      </c>
      <c r="F426" s="10">
        <v>0</v>
      </c>
      <c r="G426" s="10">
        <v>65535</v>
      </c>
      <c r="H426" s="10">
        <v>1</v>
      </c>
      <c r="I426" s="10">
        <v>1</v>
      </c>
      <c r="J426" s="10" t="s">
        <v>418</v>
      </c>
      <c r="K426" s="10">
        <f t="shared" si="50"/>
        <v>1337</v>
      </c>
      <c r="L426" s="10">
        <f t="shared" si="60"/>
        <v>1336</v>
      </c>
      <c r="M426" s="10" t="s">
        <v>419</v>
      </c>
      <c r="N426" s="10" t="s">
        <v>324</v>
      </c>
      <c r="O426" s="10"/>
      <c r="P426" s="10"/>
      <c r="Q426" s="111"/>
    </row>
    <row r="427" spans="2:17" x14ac:dyDescent="0.3">
      <c r="B427" s="10" t="s">
        <v>595</v>
      </c>
      <c r="C427" s="10" t="s">
        <v>321</v>
      </c>
      <c r="D427" s="10">
        <v>2</v>
      </c>
      <c r="E427" s="10">
        <f t="shared" si="59"/>
        <v>1</v>
      </c>
      <c r="F427" s="10">
        <v>0</v>
      </c>
      <c r="G427" s="10">
        <v>65535</v>
      </c>
      <c r="H427" s="10">
        <v>1</v>
      </c>
      <c r="I427" s="10">
        <v>1</v>
      </c>
      <c r="J427" s="10" t="s">
        <v>418</v>
      </c>
      <c r="K427" s="10">
        <f t="shared" si="50"/>
        <v>1338</v>
      </c>
      <c r="L427" s="10">
        <f t="shared" si="60"/>
        <v>1337</v>
      </c>
      <c r="M427" s="10" t="s">
        <v>419</v>
      </c>
      <c r="N427" s="10" t="s">
        <v>324</v>
      </c>
      <c r="O427" s="10"/>
      <c r="P427" s="10"/>
      <c r="Q427" s="111"/>
    </row>
    <row r="428" spans="2:17" x14ac:dyDescent="0.3">
      <c r="B428" s="10" t="s">
        <v>596</v>
      </c>
      <c r="C428" s="10" t="s">
        <v>321</v>
      </c>
      <c r="D428" s="10">
        <v>2</v>
      </c>
      <c r="E428" s="10">
        <f t="shared" si="59"/>
        <v>1</v>
      </c>
      <c r="F428" s="10">
        <v>0</v>
      </c>
      <c r="G428" s="10">
        <v>65535</v>
      </c>
      <c r="H428" s="10">
        <v>1</v>
      </c>
      <c r="I428" s="10">
        <v>1</v>
      </c>
      <c r="J428" s="10" t="s">
        <v>418</v>
      </c>
      <c r="K428" s="10">
        <f t="shared" si="50"/>
        <v>1339</v>
      </c>
      <c r="L428" s="10">
        <f t="shared" si="60"/>
        <v>1338</v>
      </c>
      <c r="M428" s="10" t="s">
        <v>419</v>
      </c>
      <c r="N428" s="10" t="s">
        <v>324</v>
      </c>
      <c r="O428" s="10"/>
      <c r="P428" s="10"/>
      <c r="Q428" s="111"/>
    </row>
    <row r="429" spans="2:17" x14ac:dyDescent="0.3">
      <c r="B429" s="10" t="s">
        <v>597</v>
      </c>
      <c r="C429" s="10" t="s">
        <v>321</v>
      </c>
      <c r="D429" s="10">
        <v>2</v>
      </c>
      <c r="E429" s="10">
        <f t="shared" si="59"/>
        <v>1</v>
      </c>
      <c r="F429" s="10">
        <v>0</v>
      </c>
      <c r="G429" s="10">
        <v>65535</v>
      </c>
      <c r="H429" s="10">
        <v>1</v>
      </c>
      <c r="I429" s="10">
        <v>1</v>
      </c>
      <c r="J429" s="10" t="s">
        <v>418</v>
      </c>
      <c r="K429" s="10">
        <f t="shared" si="50"/>
        <v>1340</v>
      </c>
      <c r="L429" s="10">
        <f t="shared" si="60"/>
        <v>1339</v>
      </c>
      <c r="M429" s="10" t="s">
        <v>419</v>
      </c>
      <c r="N429" s="10" t="s">
        <v>324</v>
      </c>
      <c r="O429" s="10"/>
      <c r="P429" s="10"/>
      <c r="Q429" s="111"/>
    </row>
    <row r="430" spans="2:17" x14ac:dyDescent="0.3">
      <c r="B430" s="10" t="s">
        <v>598</v>
      </c>
      <c r="C430" s="10" t="s">
        <v>321</v>
      </c>
      <c r="D430" s="10">
        <v>2</v>
      </c>
      <c r="E430" s="10">
        <f t="shared" si="59"/>
        <v>1</v>
      </c>
      <c r="F430" s="10">
        <v>0</v>
      </c>
      <c r="G430" s="10">
        <v>65535</v>
      </c>
      <c r="H430" s="10">
        <v>1</v>
      </c>
      <c r="I430" s="10">
        <v>1</v>
      </c>
      <c r="J430" s="10" t="s">
        <v>418</v>
      </c>
      <c r="K430" s="10">
        <f t="shared" si="50"/>
        <v>1341</v>
      </c>
      <c r="L430" s="10">
        <f t="shared" si="60"/>
        <v>1340</v>
      </c>
      <c r="M430" s="10" t="s">
        <v>419</v>
      </c>
      <c r="N430" s="10" t="s">
        <v>324</v>
      </c>
      <c r="O430" s="10"/>
      <c r="P430" s="10"/>
      <c r="Q430" s="111"/>
    </row>
    <row r="431" spans="2:17" x14ac:dyDescent="0.3">
      <c r="B431" s="10" t="s">
        <v>599</v>
      </c>
      <c r="C431" s="10" t="s">
        <v>321</v>
      </c>
      <c r="D431" s="10">
        <v>2</v>
      </c>
      <c r="E431" s="10">
        <f t="shared" si="59"/>
        <v>1</v>
      </c>
      <c r="F431" s="10">
        <v>0</v>
      </c>
      <c r="G431" s="10">
        <v>65535</v>
      </c>
      <c r="H431" s="10">
        <v>1</v>
      </c>
      <c r="I431" s="10">
        <v>1</v>
      </c>
      <c r="J431" s="10" t="s">
        <v>418</v>
      </c>
      <c r="K431" s="10">
        <f t="shared" si="50"/>
        <v>1342</v>
      </c>
      <c r="L431" s="10">
        <f t="shared" si="60"/>
        <v>1341</v>
      </c>
      <c r="M431" s="10" t="s">
        <v>419</v>
      </c>
      <c r="N431" s="10" t="s">
        <v>324</v>
      </c>
      <c r="O431" s="10"/>
      <c r="P431" s="10"/>
      <c r="Q431" s="111"/>
    </row>
    <row r="432" spans="2:17" x14ac:dyDescent="0.3">
      <c r="B432" s="10" t="s">
        <v>600</v>
      </c>
      <c r="C432" s="10" t="s">
        <v>321</v>
      </c>
      <c r="D432" s="10">
        <v>2</v>
      </c>
      <c r="E432" s="10">
        <f t="shared" si="59"/>
        <v>1</v>
      </c>
      <c r="F432" s="10">
        <v>0</v>
      </c>
      <c r="G432" s="10">
        <v>65535</v>
      </c>
      <c r="H432" s="10">
        <v>1</v>
      </c>
      <c r="I432" s="10">
        <v>1</v>
      </c>
      <c r="J432" s="10" t="s">
        <v>418</v>
      </c>
      <c r="K432" s="10">
        <f t="shared" si="50"/>
        <v>1343</v>
      </c>
      <c r="L432" s="10">
        <f t="shared" si="60"/>
        <v>1342</v>
      </c>
      <c r="M432" s="10" t="s">
        <v>419</v>
      </c>
      <c r="N432" s="10" t="s">
        <v>324</v>
      </c>
      <c r="O432" s="10"/>
      <c r="P432" s="10"/>
      <c r="Q432" s="111"/>
    </row>
    <row r="433" spans="2:17" x14ac:dyDescent="0.3">
      <c r="B433" s="10" t="s">
        <v>601</v>
      </c>
      <c r="C433" s="10" t="s">
        <v>321</v>
      </c>
      <c r="D433" s="10">
        <v>2</v>
      </c>
      <c r="E433" s="10">
        <f t="shared" si="59"/>
        <v>1</v>
      </c>
      <c r="F433" s="10">
        <v>0</v>
      </c>
      <c r="G433" s="10">
        <v>65535</v>
      </c>
      <c r="H433" s="10">
        <v>1</v>
      </c>
      <c r="I433" s="10">
        <v>1</v>
      </c>
      <c r="J433" s="10" t="s">
        <v>418</v>
      </c>
      <c r="K433" s="10">
        <f t="shared" si="50"/>
        <v>1344</v>
      </c>
      <c r="L433" s="10">
        <f t="shared" si="60"/>
        <v>1343</v>
      </c>
      <c r="M433" s="10" t="s">
        <v>419</v>
      </c>
      <c r="N433" s="10" t="s">
        <v>324</v>
      </c>
      <c r="O433" s="10"/>
      <c r="P433" s="10"/>
      <c r="Q433" s="111"/>
    </row>
    <row r="434" spans="2:17" x14ac:dyDescent="0.3">
      <c r="B434" s="10" t="s">
        <v>602</v>
      </c>
      <c r="C434" s="10" t="s">
        <v>321</v>
      </c>
      <c r="D434" s="10">
        <v>2</v>
      </c>
      <c r="E434" s="10">
        <f t="shared" si="59"/>
        <v>1</v>
      </c>
      <c r="F434" s="10">
        <v>0</v>
      </c>
      <c r="G434" s="10">
        <v>65535</v>
      </c>
      <c r="H434" s="10">
        <v>1</v>
      </c>
      <c r="I434" s="10">
        <v>1</v>
      </c>
      <c r="J434" s="10" t="s">
        <v>418</v>
      </c>
      <c r="K434" s="10">
        <f t="shared" si="50"/>
        <v>1345</v>
      </c>
      <c r="L434" s="10">
        <f t="shared" si="60"/>
        <v>1344</v>
      </c>
      <c r="M434" s="10" t="s">
        <v>419</v>
      </c>
      <c r="N434" s="10" t="s">
        <v>324</v>
      </c>
      <c r="O434" s="10"/>
      <c r="P434" s="10"/>
      <c r="Q434" s="111"/>
    </row>
    <row r="435" spans="2:17" x14ac:dyDescent="0.3">
      <c r="B435" s="10" t="s">
        <v>603</v>
      </c>
      <c r="C435" s="10" t="s">
        <v>321</v>
      </c>
      <c r="D435" s="10">
        <v>2</v>
      </c>
      <c r="E435" s="10">
        <f t="shared" si="59"/>
        <v>1</v>
      </c>
      <c r="F435" s="10">
        <v>0</v>
      </c>
      <c r="G435" s="10">
        <v>65535</v>
      </c>
      <c r="H435" s="10">
        <v>1</v>
      </c>
      <c r="I435" s="10">
        <v>1</v>
      </c>
      <c r="J435" s="10" t="s">
        <v>418</v>
      </c>
      <c r="K435" s="10">
        <f t="shared" si="50"/>
        <v>1346</v>
      </c>
      <c r="L435" s="10">
        <f t="shared" si="60"/>
        <v>1345</v>
      </c>
      <c r="M435" s="10" t="s">
        <v>419</v>
      </c>
      <c r="N435" s="10" t="s">
        <v>324</v>
      </c>
      <c r="O435" s="10"/>
      <c r="P435" s="10"/>
      <c r="Q435" s="111"/>
    </row>
    <row r="436" spans="2:17" x14ac:dyDescent="0.3">
      <c r="B436" s="10" t="s">
        <v>604</v>
      </c>
      <c r="C436" s="10" t="s">
        <v>321</v>
      </c>
      <c r="D436" s="10">
        <v>2</v>
      </c>
      <c r="E436" s="10">
        <f t="shared" si="59"/>
        <v>1</v>
      </c>
      <c r="F436" s="10">
        <v>0</v>
      </c>
      <c r="G436" s="10">
        <v>65535</v>
      </c>
      <c r="H436" s="10">
        <v>1</v>
      </c>
      <c r="I436" s="10">
        <v>1</v>
      </c>
      <c r="J436" s="10" t="s">
        <v>418</v>
      </c>
      <c r="K436" s="10">
        <f t="shared" si="50"/>
        <v>1347</v>
      </c>
      <c r="L436" s="10">
        <f t="shared" si="60"/>
        <v>1346</v>
      </c>
      <c r="M436" s="10" t="s">
        <v>419</v>
      </c>
      <c r="N436" s="10" t="s">
        <v>324</v>
      </c>
      <c r="O436" s="10"/>
      <c r="P436" s="10"/>
      <c r="Q436" s="111"/>
    </row>
    <row r="437" spans="2:17" x14ac:dyDescent="0.3">
      <c r="B437" s="10" t="s">
        <v>605</v>
      </c>
      <c r="C437" s="10" t="s">
        <v>321</v>
      </c>
      <c r="D437" s="10">
        <v>2</v>
      </c>
      <c r="E437" s="10">
        <f t="shared" si="59"/>
        <v>1</v>
      </c>
      <c r="F437" s="10">
        <v>0</v>
      </c>
      <c r="G437" s="10">
        <v>65535</v>
      </c>
      <c r="H437" s="10">
        <v>1</v>
      </c>
      <c r="I437" s="10">
        <v>1</v>
      </c>
      <c r="J437" s="10" t="s">
        <v>418</v>
      </c>
      <c r="K437" s="10">
        <f t="shared" si="50"/>
        <v>1348</v>
      </c>
      <c r="L437" s="10">
        <f t="shared" si="60"/>
        <v>1347</v>
      </c>
      <c r="M437" s="10" t="s">
        <v>419</v>
      </c>
      <c r="N437" s="10" t="s">
        <v>324</v>
      </c>
      <c r="O437" s="10"/>
      <c r="P437" s="10"/>
      <c r="Q437" s="111"/>
    </row>
    <row r="438" spans="2:17" x14ac:dyDescent="0.3">
      <c r="B438" s="10" t="s">
        <v>606</v>
      </c>
      <c r="C438" s="10" t="s">
        <v>321</v>
      </c>
      <c r="D438" s="10">
        <v>2</v>
      </c>
      <c r="E438" s="10">
        <f t="shared" si="59"/>
        <v>1</v>
      </c>
      <c r="F438" s="10">
        <v>0</v>
      </c>
      <c r="G438" s="10">
        <v>65535</v>
      </c>
      <c r="H438" s="10">
        <v>1</v>
      </c>
      <c r="I438" s="10">
        <v>1</v>
      </c>
      <c r="J438" s="10" t="s">
        <v>418</v>
      </c>
      <c r="K438" s="10">
        <f t="shared" si="50"/>
        <v>1349</v>
      </c>
      <c r="L438" s="10">
        <f t="shared" si="60"/>
        <v>1348</v>
      </c>
      <c r="M438" s="10" t="s">
        <v>419</v>
      </c>
      <c r="N438" s="10" t="s">
        <v>324</v>
      </c>
      <c r="O438" s="10"/>
      <c r="P438" s="10"/>
      <c r="Q438" s="111"/>
    </row>
    <row r="439" spans="2:17" x14ac:dyDescent="0.3">
      <c r="B439" s="10" t="s">
        <v>607</v>
      </c>
      <c r="C439" s="10" t="s">
        <v>321</v>
      </c>
      <c r="D439" s="10">
        <v>2</v>
      </c>
      <c r="E439" s="10">
        <f t="shared" si="59"/>
        <v>1</v>
      </c>
      <c r="F439" s="10">
        <v>0</v>
      </c>
      <c r="G439" s="10">
        <v>65535</v>
      </c>
      <c r="H439" s="10">
        <v>1</v>
      </c>
      <c r="I439" s="10">
        <v>1</v>
      </c>
      <c r="J439" s="10" t="s">
        <v>418</v>
      </c>
      <c r="K439" s="10">
        <f t="shared" si="50"/>
        <v>1350</v>
      </c>
      <c r="L439" s="10">
        <f t="shared" si="60"/>
        <v>1349</v>
      </c>
      <c r="M439" s="10" t="s">
        <v>419</v>
      </c>
      <c r="N439" s="10" t="s">
        <v>324</v>
      </c>
      <c r="O439" s="10"/>
      <c r="P439" s="10"/>
      <c r="Q439" s="111"/>
    </row>
    <row r="440" spans="2:17" x14ac:dyDescent="0.3">
      <c r="B440" s="10" t="s">
        <v>608</v>
      </c>
      <c r="C440" s="10" t="s">
        <v>321</v>
      </c>
      <c r="D440" s="10">
        <v>2</v>
      </c>
      <c r="E440" s="10">
        <f t="shared" si="59"/>
        <v>1</v>
      </c>
      <c r="F440" s="10">
        <v>0</v>
      </c>
      <c r="G440" s="10">
        <v>65535</v>
      </c>
      <c r="H440" s="10">
        <v>1</v>
      </c>
      <c r="I440" s="10">
        <v>1</v>
      </c>
      <c r="J440" s="10" t="s">
        <v>418</v>
      </c>
      <c r="K440" s="10">
        <f t="shared" si="50"/>
        <v>1351</v>
      </c>
      <c r="L440" s="10">
        <f t="shared" si="60"/>
        <v>1350</v>
      </c>
      <c r="M440" s="10" t="s">
        <v>419</v>
      </c>
      <c r="N440" s="10" t="s">
        <v>324</v>
      </c>
      <c r="O440" s="10"/>
      <c r="P440" s="10"/>
      <c r="Q440" s="111"/>
    </row>
    <row r="441" spans="2:17" x14ac:dyDescent="0.3">
      <c r="B441" s="10" t="s">
        <v>609</v>
      </c>
      <c r="C441" s="10" t="s">
        <v>321</v>
      </c>
      <c r="D441" s="10">
        <v>2</v>
      </c>
      <c r="E441" s="10">
        <f t="shared" si="59"/>
        <v>1</v>
      </c>
      <c r="F441" s="10">
        <v>0</v>
      </c>
      <c r="G441" s="10">
        <v>65535</v>
      </c>
      <c r="H441" s="10">
        <v>1</v>
      </c>
      <c r="I441" s="10">
        <v>1</v>
      </c>
      <c r="J441" s="10" t="s">
        <v>418</v>
      </c>
      <c r="K441" s="10">
        <f t="shared" si="50"/>
        <v>1352</v>
      </c>
      <c r="L441" s="10">
        <f t="shared" si="60"/>
        <v>1351</v>
      </c>
      <c r="M441" s="10" t="s">
        <v>419</v>
      </c>
      <c r="N441" s="10" t="s">
        <v>324</v>
      </c>
      <c r="O441" s="10"/>
      <c r="P441" s="10"/>
      <c r="Q441" s="111"/>
    </row>
    <row r="442" spans="2:17" x14ac:dyDescent="0.3">
      <c r="B442" s="10" t="s">
        <v>610</v>
      </c>
      <c r="C442" s="10" t="s">
        <v>321</v>
      </c>
      <c r="D442" s="10">
        <v>2</v>
      </c>
      <c r="E442" s="10">
        <f t="shared" si="59"/>
        <v>1</v>
      </c>
      <c r="F442" s="10">
        <v>0</v>
      </c>
      <c r="G442" s="10">
        <v>65535</v>
      </c>
      <c r="H442" s="10">
        <v>1</v>
      </c>
      <c r="I442" s="10">
        <v>1</v>
      </c>
      <c r="J442" s="10" t="s">
        <v>418</v>
      </c>
      <c r="K442" s="10">
        <f t="shared" ref="K442:K489" si="61">L442+1</f>
        <v>1353</v>
      </c>
      <c r="L442" s="10">
        <f t="shared" si="60"/>
        <v>1352</v>
      </c>
      <c r="M442" s="10" t="s">
        <v>419</v>
      </c>
      <c r="N442" s="10" t="s">
        <v>324</v>
      </c>
      <c r="O442" s="10"/>
      <c r="P442" s="10"/>
      <c r="Q442" s="111"/>
    </row>
    <row r="443" spans="2:17" x14ac:dyDescent="0.3">
      <c r="B443" s="10" t="s">
        <v>611</v>
      </c>
      <c r="C443" s="10" t="s">
        <v>321</v>
      </c>
      <c r="D443" s="10">
        <v>2</v>
      </c>
      <c r="E443" s="10">
        <f t="shared" si="59"/>
        <v>1</v>
      </c>
      <c r="F443" s="10">
        <v>0</v>
      </c>
      <c r="G443" s="10">
        <v>65535</v>
      </c>
      <c r="H443" s="10">
        <v>1</v>
      </c>
      <c r="I443" s="10">
        <v>1</v>
      </c>
      <c r="J443" s="10" t="s">
        <v>418</v>
      </c>
      <c r="K443" s="10">
        <f t="shared" si="61"/>
        <v>1354</v>
      </c>
      <c r="L443" s="10">
        <f t="shared" si="60"/>
        <v>1353</v>
      </c>
      <c r="M443" s="10" t="s">
        <v>419</v>
      </c>
      <c r="N443" s="10" t="s">
        <v>324</v>
      </c>
      <c r="O443" s="10"/>
      <c r="P443" s="10"/>
      <c r="Q443" s="111"/>
    </row>
    <row r="444" spans="2:17" x14ac:dyDescent="0.3">
      <c r="B444" s="10" t="s">
        <v>612</v>
      </c>
      <c r="C444" s="10" t="s">
        <v>321</v>
      </c>
      <c r="D444" s="10">
        <v>2</v>
      </c>
      <c r="E444" s="10">
        <f t="shared" si="59"/>
        <v>1</v>
      </c>
      <c r="F444" s="10">
        <v>0</v>
      </c>
      <c r="G444" s="10">
        <v>65535</v>
      </c>
      <c r="H444" s="10">
        <v>1</v>
      </c>
      <c r="I444" s="10">
        <v>1</v>
      </c>
      <c r="J444" s="10" t="s">
        <v>418</v>
      </c>
      <c r="K444" s="10">
        <f t="shared" si="61"/>
        <v>1355</v>
      </c>
      <c r="L444" s="10">
        <f t="shared" si="60"/>
        <v>1354</v>
      </c>
      <c r="M444" s="10" t="s">
        <v>419</v>
      </c>
      <c r="N444" s="10" t="s">
        <v>324</v>
      </c>
      <c r="O444" s="10"/>
      <c r="P444" s="10"/>
      <c r="Q444" s="111"/>
    </row>
    <row r="445" spans="2:17" x14ac:dyDescent="0.3">
      <c r="B445" s="10" t="s">
        <v>613</v>
      </c>
      <c r="C445" s="10" t="s">
        <v>321</v>
      </c>
      <c r="D445" s="10">
        <v>2</v>
      </c>
      <c r="E445" s="10">
        <f t="shared" si="59"/>
        <v>1</v>
      </c>
      <c r="F445" s="10">
        <v>0</v>
      </c>
      <c r="G445" s="10">
        <v>65535</v>
      </c>
      <c r="H445" s="10">
        <v>1</v>
      </c>
      <c r="I445" s="10">
        <v>1</v>
      </c>
      <c r="J445" s="10" t="s">
        <v>418</v>
      </c>
      <c r="K445" s="10">
        <f t="shared" si="61"/>
        <v>1356</v>
      </c>
      <c r="L445" s="10">
        <f t="shared" si="60"/>
        <v>1355</v>
      </c>
      <c r="M445" s="10" t="s">
        <v>419</v>
      </c>
      <c r="N445" s="10" t="s">
        <v>324</v>
      </c>
      <c r="O445" s="10"/>
      <c r="P445" s="10"/>
      <c r="Q445" s="111"/>
    </row>
    <row r="446" spans="2:17" x14ac:dyDescent="0.3">
      <c r="B446" s="10" t="s">
        <v>614</v>
      </c>
      <c r="C446" s="10" t="s">
        <v>321</v>
      </c>
      <c r="D446" s="10">
        <v>2</v>
      </c>
      <c r="E446" s="10">
        <f t="shared" si="59"/>
        <v>1</v>
      </c>
      <c r="F446" s="10">
        <v>0</v>
      </c>
      <c r="G446" s="10">
        <v>65535</v>
      </c>
      <c r="H446" s="10">
        <v>1</v>
      </c>
      <c r="I446" s="10">
        <v>1</v>
      </c>
      <c r="J446" s="10" t="s">
        <v>418</v>
      </c>
      <c r="K446" s="10">
        <f t="shared" si="61"/>
        <v>1357</v>
      </c>
      <c r="L446" s="10">
        <f t="shared" si="60"/>
        <v>1356</v>
      </c>
      <c r="M446" s="10" t="s">
        <v>419</v>
      </c>
      <c r="N446" s="10" t="s">
        <v>324</v>
      </c>
      <c r="O446" s="10"/>
      <c r="P446" s="10"/>
      <c r="Q446" s="111"/>
    </row>
    <row r="447" spans="2:17" x14ac:dyDescent="0.3">
      <c r="B447" s="10" t="s">
        <v>615</v>
      </c>
      <c r="C447" s="10" t="s">
        <v>321</v>
      </c>
      <c r="D447" s="10">
        <v>2</v>
      </c>
      <c r="E447" s="10">
        <f t="shared" si="59"/>
        <v>1</v>
      </c>
      <c r="F447" s="10">
        <v>0</v>
      </c>
      <c r="G447" s="10">
        <v>65535</v>
      </c>
      <c r="H447" s="10">
        <v>1</v>
      </c>
      <c r="I447" s="10">
        <v>1</v>
      </c>
      <c r="J447" s="10" t="s">
        <v>418</v>
      </c>
      <c r="K447" s="10">
        <f t="shared" si="61"/>
        <v>1358</v>
      </c>
      <c r="L447" s="10">
        <f t="shared" si="60"/>
        <v>1357</v>
      </c>
      <c r="M447" s="10" t="s">
        <v>419</v>
      </c>
      <c r="N447" s="10" t="s">
        <v>324</v>
      </c>
      <c r="O447" s="10"/>
      <c r="P447" s="10"/>
      <c r="Q447" s="111"/>
    </row>
    <row r="448" spans="2:17" x14ac:dyDescent="0.3">
      <c r="B448" s="10" t="s">
        <v>616</v>
      </c>
      <c r="C448" s="10" t="s">
        <v>321</v>
      </c>
      <c r="D448" s="10">
        <v>2</v>
      </c>
      <c r="E448" s="10">
        <f t="shared" si="59"/>
        <v>1</v>
      </c>
      <c r="F448" s="10">
        <v>0</v>
      </c>
      <c r="G448" s="10">
        <v>65535</v>
      </c>
      <c r="H448" s="10">
        <v>1</v>
      </c>
      <c r="I448" s="10">
        <v>1</v>
      </c>
      <c r="J448" s="10" t="s">
        <v>418</v>
      </c>
      <c r="K448" s="10">
        <f t="shared" si="61"/>
        <v>1359</v>
      </c>
      <c r="L448" s="10">
        <f t="shared" si="60"/>
        <v>1358</v>
      </c>
      <c r="M448" s="10" t="s">
        <v>419</v>
      </c>
      <c r="N448" s="10" t="s">
        <v>324</v>
      </c>
      <c r="O448" s="10"/>
      <c r="P448" s="10"/>
      <c r="Q448" s="111"/>
    </row>
    <row r="449" spans="2:17" x14ac:dyDescent="0.3">
      <c r="B449" s="10" t="s">
        <v>617</v>
      </c>
      <c r="C449" s="10" t="s">
        <v>321</v>
      </c>
      <c r="D449" s="10">
        <v>2</v>
      </c>
      <c r="E449" s="10">
        <f t="shared" si="59"/>
        <v>1</v>
      </c>
      <c r="F449" s="10">
        <v>0</v>
      </c>
      <c r="G449" s="10">
        <v>65535</v>
      </c>
      <c r="H449" s="10">
        <v>1</v>
      </c>
      <c r="I449" s="10">
        <v>1</v>
      </c>
      <c r="J449" s="10" t="s">
        <v>418</v>
      </c>
      <c r="K449" s="10">
        <f t="shared" si="61"/>
        <v>1360</v>
      </c>
      <c r="L449" s="10">
        <f t="shared" si="60"/>
        <v>1359</v>
      </c>
      <c r="M449" s="10" t="s">
        <v>419</v>
      </c>
      <c r="N449" s="10" t="s">
        <v>324</v>
      </c>
      <c r="O449" s="10"/>
      <c r="P449" s="10"/>
      <c r="Q449" s="111"/>
    </row>
    <row r="450" spans="2:17" x14ac:dyDescent="0.3">
      <c r="B450" s="10" t="s">
        <v>618</v>
      </c>
      <c r="C450" s="10" t="s">
        <v>321</v>
      </c>
      <c r="D450" s="10">
        <v>2</v>
      </c>
      <c r="E450" s="10">
        <f t="shared" si="59"/>
        <v>1</v>
      </c>
      <c r="F450" s="10">
        <v>0</v>
      </c>
      <c r="G450" s="10">
        <v>65535</v>
      </c>
      <c r="H450" s="10">
        <v>1</v>
      </c>
      <c r="I450" s="10">
        <v>1</v>
      </c>
      <c r="J450" s="10" t="s">
        <v>418</v>
      </c>
      <c r="K450" s="10">
        <f t="shared" si="61"/>
        <v>1361</v>
      </c>
      <c r="L450" s="10">
        <f t="shared" si="60"/>
        <v>1360</v>
      </c>
      <c r="M450" s="10" t="s">
        <v>419</v>
      </c>
      <c r="N450" s="10" t="s">
        <v>324</v>
      </c>
      <c r="O450" s="10"/>
      <c r="P450" s="10"/>
      <c r="Q450" s="111"/>
    </row>
    <row r="451" spans="2:17" x14ac:dyDescent="0.3">
      <c r="B451" s="10" t="s">
        <v>619</v>
      </c>
      <c r="C451" s="10" t="s">
        <v>321</v>
      </c>
      <c r="D451" s="10">
        <v>2</v>
      </c>
      <c r="E451" s="10">
        <f t="shared" si="59"/>
        <v>1</v>
      </c>
      <c r="F451" s="10">
        <v>0</v>
      </c>
      <c r="G451" s="10">
        <v>65535</v>
      </c>
      <c r="H451" s="10">
        <v>1</v>
      </c>
      <c r="I451" s="10">
        <v>1</v>
      </c>
      <c r="J451" s="10" t="s">
        <v>418</v>
      </c>
      <c r="K451" s="10">
        <f t="shared" si="61"/>
        <v>1362</v>
      </c>
      <c r="L451" s="10">
        <f t="shared" si="60"/>
        <v>1361</v>
      </c>
      <c r="M451" s="10" t="s">
        <v>419</v>
      </c>
      <c r="N451" s="10" t="s">
        <v>324</v>
      </c>
      <c r="O451" s="10"/>
      <c r="P451" s="10"/>
      <c r="Q451" s="111"/>
    </row>
    <row r="452" spans="2:17" x14ac:dyDescent="0.3">
      <c r="B452" s="10" t="s">
        <v>620</v>
      </c>
      <c r="C452" s="10" t="s">
        <v>321</v>
      </c>
      <c r="D452" s="10">
        <v>2</v>
      </c>
      <c r="E452" s="10">
        <f t="shared" si="59"/>
        <v>1</v>
      </c>
      <c r="F452" s="10">
        <v>0</v>
      </c>
      <c r="G452" s="10">
        <v>65535</v>
      </c>
      <c r="H452" s="10">
        <v>1</v>
      </c>
      <c r="I452" s="10">
        <v>1</v>
      </c>
      <c r="J452" s="10" t="s">
        <v>418</v>
      </c>
      <c r="K452" s="10">
        <f t="shared" si="61"/>
        <v>1363</v>
      </c>
      <c r="L452" s="10">
        <f t="shared" si="60"/>
        <v>1362</v>
      </c>
      <c r="M452" s="10" t="s">
        <v>419</v>
      </c>
      <c r="N452" s="10" t="s">
        <v>324</v>
      </c>
      <c r="O452" s="10"/>
      <c r="P452" s="10"/>
      <c r="Q452" s="111"/>
    </row>
    <row r="453" spans="2:17" x14ac:dyDescent="0.3">
      <c r="B453" s="10" t="s">
        <v>621</v>
      </c>
      <c r="C453" s="10" t="s">
        <v>321</v>
      </c>
      <c r="D453" s="10">
        <v>2</v>
      </c>
      <c r="E453" s="10">
        <f t="shared" si="59"/>
        <v>1</v>
      </c>
      <c r="F453" s="10">
        <v>0</v>
      </c>
      <c r="G453" s="10">
        <v>65535</v>
      </c>
      <c r="H453" s="10">
        <v>1</v>
      </c>
      <c r="I453" s="10">
        <v>1</v>
      </c>
      <c r="J453" s="10" t="s">
        <v>418</v>
      </c>
      <c r="K453" s="10">
        <f t="shared" si="61"/>
        <v>1364</v>
      </c>
      <c r="L453" s="10">
        <f t="shared" si="60"/>
        <v>1363</v>
      </c>
      <c r="M453" s="10" t="s">
        <v>419</v>
      </c>
      <c r="N453" s="10" t="s">
        <v>324</v>
      </c>
      <c r="O453" s="10"/>
      <c r="P453" s="10"/>
      <c r="Q453" s="111"/>
    </row>
    <row r="454" spans="2:17" x14ac:dyDescent="0.3">
      <c r="B454" s="10" t="s">
        <v>622</v>
      </c>
      <c r="C454" s="10" t="s">
        <v>321</v>
      </c>
      <c r="D454" s="10">
        <v>2</v>
      </c>
      <c r="E454" s="10">
        <f t="shared" si="59"/>
        <v>1</v>
      </c>
      <c r="F454" s="10">
        <v>0</v>
      </c>
      <c r="G454" s="10">
        <v>65535</v>
      </c>
      <c r="H454" s="10">
        <v>1</v>
      </c>
      <c r="I454" s="10">
        <v>1</v>
      </c>
      <c r="J454" s="10" t="s">
        <v>418</v>
      </c>
      <c r="K454" s="10">
        <f t="shared" si="61"/>
        <v>1365</v>
      </c>
      <c r="L454" s="10">
        <f t="shared" si="60"/>
        <v>1364</v>
      </c>
      <c r="M454" s="10" t="s">
        <v>419</v>
      </c>
      <c r="N454" s="10" t="s">
        <v>324</v>
      </c>
      <c r="O454" s="10"/>
      <c r="P454" s="10"/>
      <c r="Q454" s="111"/>
    </row>
    <row r="455" spans="2:17" x14ac:dyDescent="0.3">
      <c r="B455" s="10" t="s">
        <v>623</v>
      </c>
      <c r="C455" s="10" t="s">
        <v>321</v>
      </c>
      <c r="D455" s="10">
        <v>2</v>
      </c>
      <c r="E455" s="10">
        <f t="shared" si="59"/>
        <v>1</v>
      </c>
      <c r="F455" s="10">
        <v>0</v>
      </c>
      <c r="G455" s="10">
        <v>65535</v>
      </c>
      <c r="H455" s="10">
        <v>1</v>
      </c>
      <c r="I455" s="10">
        <v>1</v>
      </c>
      <c r="J455" s="10" t="s">
        <v>418</v>
      </c>
      <c r="K455" s="10">
        <f t="shared" si="61"/>
        <v>1366</v>
      </c>
      <c r="L455" s="10">
        <f t="shared" si="60"/>
        <v>1365</v>
      </c>
      <c r="M455" s="10" t="s">
        <v>419</v>
      </c>
      <c r="N455" s="10" t="s">
        <v>324</v>
      </c>
      <c r="O455" s="10"/>
      <c r="P455" s="10"/>
      <c r="Q455" s="111"/>
    </row>
    <row r="456" spans="2:17" x14ac:dyDescent="0.3">
      <c r="B456" s="10" t="s">
        <v>624</v>
      </c>
      <c r="C456" s="10" t="s">
        <v>321</v>
      </c>
      <c r="D456" s="10">
        <v>2</v>
      </c>
      <c r="E456" s="10">
        <f t="shared" si="59"/>
        <v>1</v>
      </c>
      <c r="F456" s="10">
        <v>0</v>
      </c>
      <c r="G456" s="10">
        <v>65535</v>
      </c>
      <c r="H456" s="10">
        <v>1</v>
      </c>
      <c r="I456" s="10">
        <v>1</v>
      </c>
      <c r="J456" s="10" t="s">
        <v>418</v>
      </c>
      <c r="K456" s="10">
        <f t="shared" si="61"/>
        <v>1367</v>
      </c>
      <c r="L456" s="10">
        <f t="shared" si="60"/>
        <v>1366</v>
      </c>
      <c r="M456" s="10" t="s">
        <v>419</v>
      </c>
      <c r="N456" s="10" t="s">
        <v>324</v>
      </c>
      <c r="O456" s="10"/>
      <c r="P456" s="10"/>
      <c r="Q456" s="111"/>
    </row>
    <row r="457" spans="2:17" x14ac:dyDescent="0.3">
      <c r="B457" s="10" t="s">
        <v>625</v>
      </c>
      <c r="C457" s="10" t="s">
        <v>321</v>
      </c>
      <c r="D457" s="10">
        <v>2</v>
      </c>
      <c r="E457" s="10">
        <f t="shared" ref="E457:E473" si="62">D457/2</f>
        <v>1</v>
      </c>
      <c r="F457" s="10">
        <v>0</v>
      </c>
      <c r="G457" s="10">
        <v>65535</v>
      </c>
      <c r="H457" s="10">
        <v>1</v>
      </c>
      <c r="I457" s="10">
        <v>1</v>
      </c>
      <c r="J457" s="10" t="s">
        <v>418</v>
      </c>
      <c r="K457" s="10">
        <f t="shared" si="61"/>
        <v>1368</v>
      </c>
      <c r="L457" s="10">
        <f t="shared" ref="L457:L473" si="63">L456+E456</f>
        <v>1367</v>
      </c>
      <c r="M457" s="10" t="s">
        <v>419</v>
      </c>
      <c r="N457" s="10" t="s">
        <v>324</v>
      </c>
      <c r="O457" s="10"/>
      <c r="P457" s="10"/>
      <c r="Q457" s="111"/>
    </row>
    <row r="458" spans="2:17" x14ac:dyDescent="0.3">
      <c r="B458" s="10" t="s">
        <v>626</v>
      </c>
      <c r="C458" s="10" t="s">
        <v>321</v>
      </c>
      <c r="D458" s="10">
        <v>2</v>
      </c>
      <c r="E458" s="10">
        <f t="shared" si="62"/>
        <v>1</v>
      </c>
      <c r="F458" s="10">
        <v>0</v>
      </c>
      <c r="G458" s="10">
        <v>65535</v>
      </c>
      <c r="H458" s="10">
        <v>1</v>
      </c>
      <c r="I458" s="10">
        <v>1</v>
      </c>
      <c r="J458" s="10" t="s">
        <v>418</v>
      </c>
      <c r="K458" s="10">
        <f t="shared" si="61"/>
        <v>1369</v>
      </c>
      <c r="L458" s="10">
        <f t="shared" si="63"/>
        <v>1368</v>
      </c>
      <c r="M458" s="10" t="s">
        <v>419</v>
      </c>
      <c r="N458" s="10" t="s">
        <v>324</v>
      </c>
      <c r="O458" s="10"/>
      <c r="P458" s="10"/>
      <c r="Q458" s="111"/>
    </row>
    <row r="459" spans="2:17" x14ac:dyDescent="0.3">
      <c r="B459" s="10" t="s">
        <v>627</v>
      </c>
      <c r="C459" s="10" t="s">
        <v>321</v>
      </c>
      <c r="D459" s="10">
        <v>2</v>
      </c>
      <c r="E459" s="10">
        <f t="shared" si="62"/>
        <v>1</v>
      </c>
      <c r="F459" s="10">
        <v>0</v>
      </c>
      <c r="G459" s="10">
        <v>65535</v>
      </c>
      <c r="H459" s="10">
        <v>1</v>
      </c>
      <c r="I459" s="10">
        <v>1</v>
      </c>
      <c r="J459" s="10" t="s">
        <v>418</v>
      </c>
      <c r="K459" s="10">
        <f t="shared" si="61"/>
        <v>1370</v>
      </c>
      <c r="L459" s="10">
        <f t="shared" si="63"/>
        <v>1369</v>
      </c>
      <c r="M459" s="10" t="s">
        <v>419</v>
      </c>
      <c r="N459" s="10" t="s">
        <v>324</v>
      </c>
      <c r="O459" s="10"/>
      <c r="P459" s="10"/>
      <c r="Q459" s="111"/>
    </row>
    <row r="460" spans="2:17" x14ac:dyDescent="0.3">
      <c r="B460" s="10" t="s">
        <v>628</v>
      </c>
      <c r="C460" s="10" t="s">
        <v>321</v>
      </c>
      <c r="D460" s="10">
        <v>2</v>
      </c>
      <c r="E460" s="10">
        <f t="shared" si="62"/>
        <v>1</v>
      </c>
      <c r="F460" s="10">
        <v>0</v>
      </c>
      <c r="G460" s="10">
        <v>65535</v>
      </c>
      <c r="H460" s="10">
        <v>1</v>
      </c>
      <c r="I460" s="10">
        <v>1</v>
      </c>
      <c r="J460" s="10" t="s">
        <v>418</v>
      </c>
      <c r="K460" s="10">
        <f t="shared" si="61"/>
        <v>1371</v>
      </c>
      <c r="L460" s="10">
        <f t="shared" si="63"/>
        <v>1370</v>
      </c>
      <c r="M460" s="10" t="s">
        <v>419</v>
      </c>
      <c r="N460" s="10" t="s">
        <v>324</v>
      </c>
      <c r="O460" s="10"/>
      <c r="P460" s="10"/>
      <c r="Q460" s="111"/>
    </row>
    <row r="461" spans="2:17" x14ac:dyDescent="0.3">
      <c r="B461" s="10" t="s">
        <v>629</v>
      </c>
      <c r="C461" s="10" t="s">
        <v>321</v>
      </c>
      <c r="D461" s="10">
        <v>2</v>
      </c>
      <c r="E461" s="10">
        <f t="shared" si="62"/>
        <v>1</v>
      </c>
      <c r="F461" s="10">
        <v>0</v>
      </c>
      <c r="G461" s="10">
        <v>65535</v>
      </c>
      <c r="H461" s="10">
        <v>1</v>
      </c>
      <c r="I461" s="10">
        <v>1</v>
      </c>
      <c r="J461" s="10" t="s">
        <v>418</v>
      </c>
      <c r="K461" s="10">
        <f t="shared" si="61"/>
        <v>1372</v>
      </c>
      <c r="L461" s="10">
        <f t="shared" si="63"/>
        <v>1371</v>
      </c>
      <c r="M461" s="10" t="s">
        <v>419</v>
      </c>
      <c r="N461" s="10" t="s">
        <v>324</v>
      </c>
      <c r="O461" s="10"/>
      <c r="P461" s="10"/>
      <c r="Q461" s="111"/>
    </row>
    <row r="462" spans="2:17" x14ac:dyDescent="0.3">
      <c r="B462" s="10" t="s">
        <v>630</v>
      </c>
      <c r="C462" s="10" t="s">
        <v>321</v>
      </c>
      <c r="D462" s="10">
        <v>2</v>
      </c>
      <c r="E462" s="10">
        <f t="shared" si="62"/>
        <v>1</v>
      </c>
      <c r="F462" s="10">
        <v>0</v>
      </c>
      <c r="G462" s="10">
        <v>65535</v>
      </c>
      <c r="H462" s="10">
        <v>1</v>
      </c>
      <c r="I462" s="10">
        <v>1</v>
      </c>
      <c r="J462" s="10" t="s">
        <v>418</v>
      </c>
      <c r="K462" s="10">
        <f t="shared" si="61"/>
        <v>1373</v>
      </c>
      <c r="L462" s="10">
        <f t="shared" si="63"/>
        <v>1372</v>
      </c>
      <c r="M462" s="10" t="s">
        <v>419</v>
      </c>
      <c r="N462" s="10" t="s">
        <v>324</v>
      </c>
      <c r="O462" s="10"/>
      <c r="P462" s="10"/>
      <c r="Q462" s="111"/>
    </row>
    <row r="463" spans="2:17" x14ac:dyDescent="0.3">
      <c r="B463" s="10" t="s">
        <v>631</v>
      </c>
      <c r="C463" s="10" t="s">
        <v>321</v>
      </c>
      <c r="D463" s="10">
        <v>2</v>
      </c>
      <c r="E463" s="10">
        <f t="shared" si="62"/>
        <v>1</v>
      </c>
      <c r="F463" s="10">
        <v>0</v>
      </c>
      <c r="G463" s="10">
        <v>65535</v>
      </c>
      <c r="H463" s="10">
        <v>1</v>
      </c>
      <c r="I463" s="10">
        <v>1</v>
      </c>
      <c r="J463" s="10" t="s">
        <v>418</v>
      </c>
      <c r="K463" s="10">
        <f t="shared" si="61"/>
        <v>1374</v>
      </c>
      <c r="L463" s="10">
        <f t="shared" si="63"/>
        <v>1373</v>
      </c>
      <c r="M463" s="10" t="s">
        <v>419</v>
      </c>
      <c r="N463" s="10" t="s">
        <v>324</v>
      </c>
      <c r="O463" s="10"/>
      <c r="P463" s="10"/>
      <c r="Q463" s="111"/>
    </row>
    <row r="464" spans="2:17" x14ac:dyDescent="0.3">
      <c r="B464" s="10" t="s">
        <v>632</v>
      </c>
      <c r="C464" s="10" t="s">
        <v>321</v>
      </c>
      <c r="D464" s="10">
        <v>2</v>
      </c>
      <c r="E464" s="10">
        <f t="shared" si="62"/>
        <v>1</v>
      </c>
      <c r="F464" s="10">
        <v>0</v>
      </c>
      <c r="G464" s="10">
        <v>65535</v>
      </c>
      <c r="H464" s="10">
        <v>1</v>
      </c>
      <c r="I464" s="10">
        <v>1</v>
      </c>
      <c r="J464" s="10" t="s">
        <v>418</v>
      </c>
      <c r="K464" s="10">
        <f t="shared" si="61"/>
        <v>1375</v>
      </c>
      <c r="L464" s="10">
        <f t="shared" si="63"/>
        <v>1374</v>
      </c>
      <c r="M464" s="10" t="s">
        <v>419</v>
      </c>
      <c r="N464" s="10" t="s">
        <v>324</v>
      </c>
      <c r="O464" s="10"/>
      <c r="P464" s="10"/>
      <c r="Q464" s="111"/>
    </row>
    <row r="465" spans="2:17" x14ac:dyDescent="0.3">
      <c r="B465" s="10" t="s">
        <v>633</v>
      </c>
      <c r="C465" s="10" t="s">
        <v>321</v>
      </c>
      <c r="D465" s="10">
        <v>2</v>
      </c>
      <c r="E465" s="10">
        <f t="shared" si="62"/>
        <v>1</v>
      </c>
      <c r="F465" s="10">
        <v>0</v>
      </c>
      <c r="G465" s="10">
        <v>65535</v>
      </c>
      <c r="H465" s="10">
        <v>1</v>
      </c>
      <c r="I465" s="10">
        <v>1</v>
      </c>
      <c r="J465" s="10" t="s">
        <v>418</v>
      </c>
      <c r="K465" s="10">
        <f t="shared" si="61"/>
        <v>1376</v>
      </c>
      <c r="L465" s="10">
        <f t="shared" si="63"/>
        <v>1375</v>
      </c>
      <c r="M465" s="10" t="s">
        <v>419</v>
      </c>
      <c r="N465" s="10" t="s">
        <v>324</v>
      </c>
      <c r="O465" s="10"/>
      <c r="P465" s="10"/>
      <c r="Q465" s="111"/>
    </row>
    <row r="466" spans="2:17" x14ac:dyDescent="0.3">
      <c r="B466" s="10" t="s">
        <v>634</v>
      </c>
      <c r="C466" s="10" t="s">
        <v>321</v>
      </c>
      <c r="D466" s="10">
        <v>2</v>
      </c>
      <c r="E466" s="10">
        <f t="shared" si="62"/>
        <v>1</v>
      </c>
      <c r="F466" s="10">
        <v>0</v>
      </c>
      <c r="G466" s="10">
        <v>65535</v>
      </c>
      <c r="H466" s="10">
        <v>1</v>
      </c>
      <c r="I466" s="10">
        <v>1</v>
      </c>
      <c r="J466" s="10" t="s">
        <v>418</v>
      </c>
      <c r="K466" s="10">
        <f t="shared" si="61"/>
        <v>1377</v>
      </c>
      <c r="L466" s="10">
        <f t="shared" si="63"/>
        <v>1376</v>
      </c>
      <c r="M466" s="10" t="s">
        <v>419</v>
      </c>
      <c r="N466" s="10" t="s">
        <v>324</v>
      </c>
      <c r="O466" s="10"/>
      <c r="P466" s="10"/>
      <c r="Q466" s="111"/>
    </row>
    <row r="467" spans="2:17" x14ac:dyDescent="0.3">
      <c r="B467" s="10" t="s">
        <v>635</v>
      </c>
      <c r="C467" s="10" t="s">
        <v>321</v>
      </c>
      <c r="D467" s="10">
        <v>2</v>
      </c>
      <c r="E467" s="10">
        <f t="shared" si="62"/>
        <v>1</v>
      </c>
      <c r="F467" s="10">
        <v>0</v>
      </c>
      <c r="G467" s="10">
        <v>65535</v>
      </c>
      <c r="H467" s="10">
        <v>1</v>
      </c>
      <c r="I467" s="10">
        <v>1</v>
      </c>
      <c r="J467" s="10" t="s">
        <v>418</v>
      </c>
      <c r="K467" s="10">
        <f t="shared" si="61"/>
        <v>1378</v>
      </c>
      <c r="L467" s="10">
        <f t="shared" si="63"/>
        <v>1377</v>
      </c>
      <c r="M467" s="10" t="s">
        <v>419</v>
      </c>
      <c r="N467" s="10" t="s">
        <v>324</v>
      </c>
      <c r="O467" s="10"/>
      <c r="P467" s="10"/>
      <c r="Q467" s="111"/>
    </row>
    <row r="468" spans="2:17" x14ac:dyDescent="0.3">
      <c r="B468" s="10" t="s">
        <v>636</v>
      </c>
      <c r="C468" s="10" t="s">
        <v>321</v>
      </c>
      <c r="D468" s="10">
        <v>2</v>
      </c>
      <c r="E468" s="10">
        <f t="shared" si="62"/>
        <v>1</v>
      </c>
      <c r="F468" s="10">
        <v>0</v>
      </c>
      <c r="G468" s="10">
        <v>65535</v>
      </c>
      <c r="H468" s="10">
        <v>1</v>
      </c>
      <c r="I468" s="10">
        <v>1</v>
      </c>
      <c r="J468" s="10" t="s">
        <v>418</v>
      </c>
      <c r="K468" s="10">
        <f t="shared" si="61"/>
        <v>1379</v>
      </c>
      <c r="L468" s="10">
        <f t="shared" si="63"/>
        <v>1378</v>
      </c>
      <c r="M468" s="10" t="s">
        <v>419</v>
      </c>
      <c r="N468" s="10" t="s">
        <v>324</v>
      </c>
      <c r="O468" s="10"/>
      <c r="P468" s="10"/>
      <c r="Q468" s="111"/>
    </row>
    <row r="469" spans="2:17" x14ac:dyDescent="0.3">
      <c r="B469" s="10" t="s">
        <v>637</v>
      </c>
      <c r="C469" s="10" t="s">
        <v>321</v>
      </c>
      <c r="D469" s="10">
        <v>2</v>
      </c>
      <c r="E469" s="10">
        <f t="shared" si="62"/>
        <v>1</v>
      </c>
      <c r="F469" s="10">
        <v>0</v>
      </c>
      <c r="G469" s="10">
        <v>65535</v>
      </c>
      <c r="H469" s="10">
        <v>1</v>
      </c>
      <c r="I469" s="10">
        <v>1</v>
      </c>
      <c r="J469" s="10" t="s">
        <v>418</v>
      </c>
      <c r="K469" s="10">
        <f t="shared" si="61"/>
        <v>1380</v>
      </c>
      <c r="L469" s="10">
        <f t="shared" si="63"/>
        <v>1379</v>
      </c>
      <c r="M469" s="10" t="s">
        <v>419</v>
      </c>
      <c r="N469" s="10" t="s">
        <v>324</v>
      </c>
      <c r="O469" s="10"/>
      <c r="P469" s="10"/>
      <c r="Q469" s="111"/>
    </row>
    <row r="470" spans="2:17" x14ac:dyDescent="0.3">
      <c r="B470" s="10" t="s">
        <v>638</v>
      </c>
      <c r="C470" s="10" t="s">
        <v>321</v>
      </c>
      <c r="D470" s="10">
        <v>2</v>
      </c>
      <c r="E470" s="10">
        <f t="shared" si="62"/>
        <v>1</v>
      </c>
      <c r="F470" s="10">
        <v>0</v>
      </c>
      <c r="G470" s="10">
        <v>65535</v>
      </c>
      <c r="H470" s="10">
        <v>1</v>
      </c>
      <c r="I470" s="10">
        <v>1</v>
      </c>
      <c r="J470" s="10" t="s">
        <v>418</v>
      </c>
      <c r="K470" s="10">
        <f t="shared" si="61"/>
        <v>1381</v>
      </c>
      <c r="L470" s="10">
        <f t="shared" si="63"/>
        <v>1380</v>
      </c>
      <c r="M470" s="10" t="s">
        <v>419</v>
      </c>
      <c r="N470" s="10" t="s">
        <v>324</v>
      </c>
      <c r="O470" s="10"/>
      <c r="P470" s="10"/>
      <c r="Q470" s="111"/>
    </row>
    <row r="471" spans="2:17" x14ac:dyDescent="0.3">
      <c r="B471" s="10" t="s">
        <v>639</v>
      </c>
      <c r="C471" s="10" t="s">
        <v>321</v>
      </c>
      <c r="D471" s="10">
        <v>2</v>
      </c>
      <c r="E471" s="10">
        <f t="shared" si="62"/>
        <v>1</v>
      </c>
      <c r="F471" s="10">
        <v>0</v>
      </c>
      <c r="G471" s="10">
        <v>65535</v>
      </c>
      <c r="H471" s="10">
        <v>1</v>
      </c>
      <c r="I471" s="10">
        <v>1</v>
      </c>
      <c r="J471" s="10" t="s">
        <v>418</v>
      </c>
      <c r="K471" s="10">
        <f t="shared" si="61"/>
        <v>1382</v>
      </c>
      <c r="L471" s="10">
        <f t="shared" si="63"/>
        <v>1381</v>
      </c>
      <c r="M471" s="10" t="s">
        <v>419</v>
      </c>
      <c r="N471" s="10" t="s">
        <v>324</v>
      </c>
      <c r="O471" s="10"/>
      <c r="P471" s="10"/>
      <c r="Q471" s="111"/>
    </row>
    <row r="472" spans="2:17" x14ac:dyDescent="0.3">
      <c r="B472" s="10" t="s">
        <v>640</v>
      </c>
      <c r="C472" s="10" t="s">
        <v>321</v>
      </c>
      <c r="D472" s="10">
        <v>2</v>
      </c>
      <c r="E472" s="10">
        <f t="shared" si="62"/>
        <v>1</v>
      </c>
      <c r="F472" s="10">
        <v>0</v>
      </c>
      <c r="G472" s="10">
        <v>65535</v>
      </c>
      <c r="H472" s="10">
        <v>1</v>
      </c>
      <c r="I472" s="10">
        <v>1</v>
      </c>
      <c r="J472" s="10" t="s">
        <v>418</v>
      </c>
      <c r="K472" s="10">
        <f t="shared" si="61"/>
        <v>1383</v>
      </c>
      <c r="L472" s="10">
        <f t="shared" si="63"/>
        <v>1382</v>
      </c>
      <c r="M472" s="10" t="s">
        <v>419</v>
      </c>
      <c r="N472" s="10" t="s">
        <v>324</v>
      </c>
      <c r="O472" s="10"/>
      <c r="P472" s="10"/>
      <c r="Q472" s="111"/>
    </row>
    <row r="473" spans="2:17" x14ac:dyDescent="0.3">
      <c r="B473" s="10" t="s">
        <v>641</v>
      </c>
      <c r="C473" s="10" t="s">
        <v>321</v>
      </c>
      <c r="D473" s="10">
        <v>2</v>
      </c>
      <c r="E473" s="10">
        <f t="shared" si="62"/>
        <v>1</v>
      </c>
      <c r="F473" s="10">
        <v>0</v>
      </c>
      <c r="G473" s="10">
        <v>65535</v>
      </c>
      <c r="H473" s="10">
        <v>1</v>
      </c>
      <c r="I473" s="10">
        <v>1</v>
      </c>
      <c r="J473" s="10" t="s">
        <v>418</v>
      </c>
      <c r="K473" s="10">
        <f t="shared" si="61"/>
        <v>1384</v>
      </c>
      <c r="L473" s="10">
        <f t="shared" si="63"/>
        <v>1383</v>
      </c>
      <c r="M473" s="10" t="s">
        <v>419</v>
      </c>
      <c r="N473" s="10" t="s">
        <v>324</v>
      </c>
      <c r="O473" s="10"/>
      <c r="P473" s="10"/>
      <c r="Q473" s="111"/>
    </row>
    <row r="474" spans="2:17" x14ac:dyDescent="0.3">
      <c r="B474" s="10" t="s">
        <v>642</v>
      </c>
      <c r="C474" s="10" t="s">
        <v>321</v>
      </c>
      <c r="D474" s="10">
        <v>2</v>
      </c>
      <c r="E474" s="10">
        <f>D474/2</f>
        <v>1</v>
      </c>
      <c r="F474" s="10">
        <v>0</v>
      </c>
      <c r="G474" s="10">
        <v>65535</v>
      </c>
      <c r="H474" s="10">
        <v>1</v>
      </c>
      <c r="I474" s="10">
        <v>1</v>
      </c>
      <c r="J474" s="10" t="s">
        <v>418</v>
      </c>
      <c r="K474" s="10">
        <f t="shared" si="61"/>
        <v>1385</v>
      </c>
      <c r="L474" s="10">
        <f>L473+E473</f>
        <v>1384</v>
      </c>
      <c r="M474" s="10" t="s">
        <v>419</v>
      </c>
      <c r="N474" s="10" t="s">
        <v>324</v>
      </c>
      <c r="O474" s="10"/>
      <c r="P474" s="10"/>
      <c r="Q474" s="111"/>
    </row>
    <row r="475" spans="2:17" x14ac:dyDescent="0.3">
      <c r="B475" s="10" t="s">
        <v>643</v>
      </c>
      <c r="C475" s="10" t="s">
        <v>321</v>
      </c>
      <c r="D475" s="10">
        <v>2</v>
      </c>
      <c r="E475" s="10">
        <f>D475/2</f>
        <v>1</v>
      </c>
      <c r="F475" s="10">
        <v>0</v>
      </c>
      <c r="G475" s="10">
        <v>65535</v>
      </c>
      <c r="H475" s="10">
        <v>1</v>
      </c>
      <c r="I475" s="10">
        <v>1</v>
      </c>
      <c r="J475" s="10" t="s">
        <v>418</v>
      </c>
      <c r="K475" s="10">
        <f t="shared" si="61"/>
        <v>1386</v>
      </c>
      <c r="L475" s="10">
        <f>L474+E474</f>
        <v>1385</v>
      </c>
      <c r="M475" s="10" t="s">
        <v>419</v>
      </c>
      <c r="N475" s="10" t="s">
        <v>324</v>
      </c>
      <c r="O475" s="10"/>
      <c r="P475" s="10"/>
      <c r="Q475" s="111"/>
    </row>
    <row r="476" spans="2:17" x14ac:dyDescent="0.3">
      <c r="B476" s="10" t="s">
        <v>644</v>
      </c>
      <c r="C476" s="10" t="s">
        <v>321</v>
      </c>
      <c r="D476" s="10">
        <v>2</v>
      </c>
      <c r="E476" s="10">
        <f t="shared" ref="E476:E489" si="64">D476/2</f>
        <v>1</v>
      </c>
      <c r="F476" s="10">
        <v>0</v>
      </c>
      <c r="G476" s="10">
        <v>65535</v>
      </c>
      <c r="H476" s="10">
        <v>1</v>
      </c>
      <c r="I476" s="10">
        <v>1</v>
      </c>
      <c r="J476" s="10" t="s">
        <v>418</v>
      </c>
      <c r="K476" s="10">
        <f t="shared" si="61"/>
        <v>1387</v>
      </c>
      <c r="L476" s="10">
        <f t="shared" ref="L476:L489" si="65">L475+E475</f>
        <v>1386</v>
      </c>
      <c r="M476" s="10" t="s">
        <v>419</v>
      </c>
      <c r="N476" s="10" t="s">
        <v>324</v>
      </c>
      <c r="O476" s="10"/>
      <c r="P476" s="10"/>
      <c r="Q476" s="111"/>
    </row>
    <row r="477" spans="2:17" x14ac:dyDescent="0.3">
      <c r="B477" s="10" t="s">
        <v>645</v>
      </c>
      <c r="C477" s="10" t="s">
        <v>321</v>
      </c>
      <c r="D477" s="10">
        <v>2</v>
      </c>
      <c r="E477" s="10">
        <f t="shared" si="64"/>
        <v>1</v>
      </c>
      <c r="F477" s="10">
        <v>0</v>
      </c>
      <c r="G477" s="10">
        <v>65535</v>
      </c>
      <c r="H477" s="10">
        <v>1</v>
      </c>
      <c r="I477" s="10">
        <v>1</v>
      </c>
      <c r="J477" s="10" t="s">
        <v>418</v>
      </c>
      <c r="K477" s="10">
        <f t="shared" si="61"/>
        <v>1388</v>
      </c>
      <c r="L477" s="10">
        <f t="shared" si="65"/>
        <v>1387</v>
      </c>
      <c r="M477" s="10" t="s">
        <v>419</v>
      </c>
      <c r="N477" s="10" t="s">
        <v>324</v>
      </c>
      <c r="O477" s="10"/>
      <c r="P477" s="10"/>
      <c r="Q477" s="111"/>
    </row>
    <row r="478" spans="2:17" x14ac:dyDescent="0.3">
      <c r="B478" s="10" t="s">
        <v>646</v>
      </c>
      <c r="C478" s="10" t="s">
        <v>321</v>
      </c>
      <c r="D478" s="10">
        <v>2</v>
      </c>
      <c r="E478" s="10">
        <f t="shared" si="64"/>
        <v>1</v>
      </c>
      <c r="F478" s="10">
        <v>0</v>
      </c>
      <c r="G478" s="10">
        <v>65535</v>
      </c>
      <c r="H478" s="10">
        <v>1</v>
      </c>
      <c r="I478" s="10">
        <v>1</v>
      </c>
      <c r="J478" s="10" t="s">
        <v>418</v>
      </c>
      <c r="K478" s="10">
        <f t="shared" si="61"/>
        <v>1389</v>
      </c>
      <c r="L478" s="10">
        <f t="shared" si="65"/>
        <v>1388</v>
      </c>
      <c r="M478" s="10" t="s">
        <v>419</v>
      </c>
      <c r="N478" s="10" t="s">
        <v>324</v>
      </c>
      <c r="O478" s="10"/>
      <c r="P478" s="10"/>
      <c r="Q478" s="111"/>
    </row>
    <row r="479" spans="2:17" x14ac:dyDescent="0.3">
      <c r="B479" s="10" t="s">
        <v>647</v>
      </c>
      <c r="C479" s="10" t="s">
        <v>321</v>
      </c>
      <c r="D479" s="10">
        <v>2</v>
      </c>
      <c r="E479" s="10">
        <f t="shared" si="64"/>
        <v>1</v>
      </c>
      <c r="F479" s="10">
        <v>0</v>
      </c>
      <c r="G479" s="10">
        <v>65535</v>
      </c>
      <c r="H479" s="10">
        <v>1</v>
      </c>
      <c r="I479" s="10">
        <v>1</v>
      </c>
      <c r="J479" s="10" t="s">
        <v>418</v>
      </c>
      <c r="K479" s="10">
        <f t="shared" si="61"/>
        <v>1390</v>
      </c>
      <c r="L479" s="10">
        <f t="shared" si="65"/>
        <v>1389</v>
      </c>
      <c r="M479" s="10" t="s">
        <v>419</v>
      </c>
      <c r="N479" s="10" t="s">
        <v>324</v>
      </c>
      <c r="O479" s="10"/>
      <c r="P479" s="10"/>
      <c r="Q479" s="111"/>
    </row>
    <row r="480" spans="2:17" x14ac:dyDescent="0.3">
      <c r="B480" s="10" t="s">
        <v>648</v>
      </c>
      <c r="C480" s="10" t="s">
        <v>321</v>
      </c>
      <c r="D480" s="10">
        <v>2</v>
      </c>
      <c r="E480" s="10">
        <f t="shared" si="64"/>
        <v>1</v>
      </c>
      <c r="F480" s="10">
        <v>0</v>
      </c>
      <c r="G480" s="10">
        <v>65535</v>
      </c>
      <c r="H480" s="10">
        <v>1</v>
      </c>
      <c r="I480" s="10">
        <v>1</v>
      </c>
      <c r="J480" s="10" t="s">
        <v>418</v>
      </c>
      <c r="K480" s="10">
        <f t="shared" si="61"/>
        <v>1391</v>
      </c>
      <c r="L480" s="10">
        <f t="shared" si="65"/>
        <v>1390</v>
      </c>
      <c r="M480" s="10" t="s">
        <v>419</v>
      </c>
      <c r="N480" s="10" t="s">
        <v>324</v>
      </c>
      <c r="O480" s="10"/>
      <c r="P480" s="10"/>
      <c r="Q480" s="111"/>
    </row>
    <row r="481" spans="2:21" x14ac:dyDescent="0.3">
      <c r="B481" s="10" t="s">
        <v>649</v>
      </c>
      <c r="C481" s="10" t="s">
        <v>321</v>
      </c>
      <c r="D481" s="10">
        <v>2</v>
      </c>
      <c r="E481" s="10">
        <f t="shared" si="64"/>
        <v>1</v>
      </c>
      <c r="F481" s="10">
        <v>0</v>
      </c>
      <c r="G481" s="10">
        <v>65535</v>
      </c>
      <c r="H481" s="10">
        <v>1</v>
      </c>
      <c r="I481" s="10">
        <v>1</v>
      </c>
      <c r="J481" s="10" t="s">
        <v>418</v>
      </c>
      <c r="K481" s="10">
        <f t="shared" si="61"/>
        <v>1392</v>
      </c>
      <c r="L481" s="10">
        <f t="shared" si="65"/>
        <v>1391</v>
      </c>
      <c r="M481" s="10" t="s">
        <v>419</v>
      </c>
      <c r="N481" s="10" t="s">
        <v>324</v>
      </c>
      <c r="O481" s="10"/>
      <c r="P481" s="10"/>
      <c r="Q481" s="111"/>
    </row>
    <row r="482" spans="2:21" x14ac:dyDescent="0.3">
      <c r="B482" s="10" t="s">
        <v>650</v>
      </c>
      <c r="C482" s="10" t="s">
        <v>321</v>
      </c>
      <c r="D482" s="10">
        <v>2</v>
      </c>
      <c r="E482" s="10">
        <f t="shared" si="64"/>
        <v>1</v>
      </c>
      <c r="F482" s="10">
        <v>0</v>
      </c>
      <c r="G482" s="10">
        <v>65535</v>
      </c>
      <c r="H482" s="10">
        <v>1</v>
      </c>
      <c r="I482" s="10">
        <v>1</v>
      </c>
      <c r="J482" s="10" t="s">
        <v>418</v>
      </c>
      <c r="K482" s="10">
        <f t="shared" si="61"/>
        <v>1393</v>
      </c>
      <c r="L482" s="10">
        <f t="shared" si="65"/>
        <v>1392</v>
      </c>
      <c r="M482" s="10" t="s">
        <v>419</v>
      </c>
      <c r="N482" s="10" t="s">
        <v>324</v>
      </c>
      <c r="O482" s="10"/>
      <c r="P482" s="10"/>
      <c r="Q482" s="111"/>
    </row>
    <row r="483" spans="2:21" x14ac:dyDescent="0.3">
      <c r="B483" s="10" t="s">
        <v>651</v>
      </c>
      <c r="C483" s="10" t="s">
        <v>321</v>
      </c>
      <c r="D483" s="10">
        <v>2</v>
      </c>
      <c r="E483" s="10">
        <f t="shared" si="64"/>
        <v>1</v>
      </c>
      <c r="F483" s="10">
        <v>0</v>
      </c>
      <c r="G483" s="10">
        <v>65535</v>
      </c>
      <c r="H483" s="10">
        <v>1</v>
      </c>
      <c r="I483" s="10">
        <v>1</v>
      </c>
      <c r="J483" s="10" t="s">
        <v>418</v>
      </c>
      <c r="K483" s="10">
        <f t="shared" si="61"/>
        <v>1394</v>
      </c>
      <c r="L483" s="10">
        <f t="shared" si="65"/>
        <v>1393</v>
      </c>
      <c r="M483" s="10" t="s">
        <v>419</v>
      </c>
      <c r="N483" s="10" t="s">
        <v>324</v>
      </c>
      <c r="O483" s="10"/>
      <c r="P483" s="10"/>
      <c r="Q483" s="111"/>
    </row>
    <row r="484" spans="2:21" x14ac:dyDescent="0.3">
      <c r="B484" s="10" t="s">
        <v>652</v>
      </c>
      <c r="C484" s="10" t="s">
        <v>321</v>
      </c>
      <c r="D484" s="10">
        <v>2</v>
      </c>
      <c r="E484" s="10">
        <f t="shared" si="64"/>
        <v>1</v>
      </c>
      <c r="F484" s="10">
        <v>0</v>
      </c>
      <c r="G484" s="10">
        <v>65535</v>
      </c>
      <c r="H484" s="10">
        <v>1</v>
      </c>
      <c r="I484" s="10">
        <v>1</v>
      </c>
      <c r="J484" s="10" t="s">
        <v>418</v>
      </c>
      <c r="K484" s="10">
        <f t="shared" si="61"/>
        <v>1395</v>
      </c>
      <c r="L484" s="10">
        <f t="shared" si="65"/>
        <v>1394</v>
      </c>
      <c r="M484" s="10" t="s">
        <v>419</v>
      </c>
      <c r="N484" s="10" t="s">
        <v>324</v>
      </c>
      <c r="O484" s="10"/>
      <c r="P484" s="10"/>
      <c r="Q484" s="111"/>
    </row>
    <row r="485" spans="2:21" x14ac:dyDescent="0.3">
      <c r="B485" s="10" t="s">
        <v>653</v>
      </c>
      <c r="C485" s="10" t="s">
        <v>321</v>
      </c>
      <c r="D485" s="10">
        <v>2</v>
      </c>
      <c r="E485" s="10">
        <f t="shared" si="64"/>
        <v>1</v>
      </c>
      <c r="F485" s="10">
        <v>0</v>
      </c>
      <c r="G485" s="10">
        <v>65535</v>
      </c>
      <c r="H485" s="10">
        <v>1</v>
      </c>
      <c r="I485" s="10">
        <v>1</v>
      </c>
      <c r="J485" s="10" t="s">
        <v>418</v>
      </c>
      <c r="K485" s="10">
        <f t="shared" si="61"/>
        <v>1396</v>
      </c>
      <c r="L485" s="10">
        <f t="shared" si="65"/>
        <v>1395</v>
      </c>
      <c r="M485" s="10" t="s">
        <v>419</v>
      </c>
      <c r="N485" s="10" t="s">
        <v>324</v>
      </c>
      <c r="O485" s="10"/>
      <c r="P485" s="10"/>
      <c r="Q485" s="111"/>
    </row>
    <row r="486" spans="2:21" x14ac:dyDescent="0.3">
      <c r="B486" s="10" t="s">
        <v>654</v>
      </c>
      <c r="C486" s="10" t="s">
        <v>321</v>
      </c>
      <c r="D486" s="10">
        <v>2</v>
      </c>
      <c r="E486" s="10">
        <f t="shared" si="64"/>
        <v>1</v>
      </c>
      <c r="F486" s="10">
        <v>0</v>
      </c>
      <c r="G486" s="10">
        <v>65535</v>
      </c>
      <c r="H486" s="10">
        <v>1</v>
      </c>
      <c r="I486" s="10">
        <v>1</v>
      </c>
      <c r="J486" s="10" t="s">
        <v>418</v>
      </c>
      <c r="K486" s="10">
        <f t="shared" si="61"/>
        <v>1397</v>
      </c>
      <c r="L486" s="10">
        <f t="shared" si="65"/>
        <v>1396</v>
      </c>
      <c r="M486" s="10" t="s">
        <v>419</v>
      </c>
      <c r="N486" s="10" t="s">
        <v>324</v>
      </c>
      <c r="O486" s="10"/>
      <c r="P486" s="10"/>
      <c r="Q486" s="111"/>
    </row>
    <row r="487" spans="2:21" x14ac:dyDescent="0.3">
      <c r="B487" s="10" t="s">
        <v>655</v>
      </c>
      <c r="C487" s="10" t="s">
        <v>321</v>
      </c>
      <c r="D487" s="10">
        <v>2</v>
      </c>
      <c r="E487" s="10">
        <f t="shared" si="64"/>
        <v>1</v>
      </c>
      <c r="F487" s="10">
        <v>0</v>
      </c>
      <c r="G487" s="10">
        <v>65535</v>
      </c>
      <c r="H487" s="10">
        <v>1</v>
      </c>
      <c r="I487" s="10">
        <v>1</v>
      </c>
      <c r="J487" s="10" t="s">
        <v>418</v>
      </c>
      <c r="K487" s="10">
        <f t="shared" si="61"/>
        <v>1398</v>
      </c>
      <c r="L487" s="10">
        <f t="shared" si="65"/>
        <v>1397</v>
      </c>
      <c r="M487" s="10" t="s">
        <v>419</v>
      </c>
      <c r="N487" s="10" t="s">
        <v>324</v>
      </c>
      <c r="O487" s="10"/>
      <c r="P487" s="10"/>
      <c r="Q487" s="111"/>
    </row>
    <row r="488" spans="2:21" x14ac:dyDescent="0.3">
      <c r="B488" s="10" t="s">
        <v>656</v>
      </c>
      <c r="C488" s="10" t="s">
        <v>321</v>
      </c>
      <c r="D488" s="10">
        <v>2</v>
      </c>
      <c r="E488" s="10">
        <f t="shared" si="64"/>
        <v>1</v>
      </c>
      <c r="F488" s="10">
        <v>0</v>
      </c>
      <c r="G488" s="10">
        <v>65535</v>
      </c>
      <c r="H488" s="10">
        <v>1</v>
      </c>
      <c r="I488" s="10">
        <v>1</v>
      </c>
      <c r="J488" s="10" t="s">
        <v>418</v>
      </c>
      <c r="K488" s="10">
        <f t="shared" si="61"/>
        <v>1399</v>
      </c>
      <c r="L488" s="10">
        <f t="shared" si="65"/>
        <v>1398</v>
      </c>
      <c r="M488" s="10" t="s">
        <v>419</v>
      </c>
      <c r="N488" s="10" t="s">
        <v>324</v>
      </c>
      <c r="O488" s="10"/>
      <c r="P488" s="10"/>
      <c r="Q488" s="111"/>
    </row>
    <row r="489" spans="2:21" x14ac:dyDescent="0.3">
      <c r="B489" s="10" t="s">
        <v>657</v>
      </c>
      <c r="C489" s="10" t="s">
        <v>321</v>
      </c>
      <c r="D489" s="10">
        <v>2</v>
      </c>
      <c r="E489" s="10">
        <f t="shared" si="64"/>
        <v>1</v>
      </c>
      <c r="F489" s="10">
        <v>0</v>
      </c>
      <c r="G489" s="10">
        <v>65535</v>
      </c>
      <c r="H489" s="10">
        <v>1</v>
      </c>
      <c r="I489" s="10">
        <v>1</v>
      </c>
      <c r="J489" s="10" t="s">
        <v>418</v>
      </c>
      <c r="K489" s="10">
        <f t="shared" si="61"/>
        <v>1400</v>
      </c>
      <c r="L489" s="10">
        <f t="shared" si="65"/>
        <v>1399</v>
      </c>
      <c r="M489" s="10" t="s">
        <v>419</v>
      </c>
      <c r="N489" s="10" t="s">
        <v>324</v>
      </c>
      <c r="O489" s="10"/>
      <c r="P489" s="10"/>
      <c r="Q489" s="111"/>
    </row>
    <row r="491" spans="2:21" x14ac:dyDescent="0.3">
      <c r="B491" s="453" t="s">
        <v>658</v>
      </c>
      <c r="C491" s="453"/>
      <c r="D491" s="453"/>
      <c r="E491" s="453"/>
      <c r="F491" s="453"/>
      <c r="G491" s="453"/>
      <c r="H491" s="453"/>
      <c r="I491" s="453"/>
      <c r="J491" s="453"/>
      <c r="K491" s="453"/>
      <c r="L491" s="453"/>
      <c r="M491" s="453"/>
      <c r="N491" s="453"/>
      <c r="O491" s="453"/>
      <c r="P491" s="453"/>
      <c r="Q491" s="453"/>
      <c r="R491" s="453"/>
      <c r="S491" s="453"/>
      <c r="T491" s="453"/>
      <c r="U491" s="453"/>
    </row>
    <row r="492" spans="2:21" ht="16.2" x14ac:dyDescent="0.3">
      <c r="B492" s="454" t="s">
        <v>659</v>
      </c>
      <c r="C492" s="455"/>
      <c r="D492" s="455"/>
      <c r="E492" s="455"/>
      <c r="F492" s="455"/>
      <c r="G492" s="455"/>
      <c r="H492" s="455"/>
      <c r="I492" s="455"/>
      <c r="J492" s="455"/>
      <c r="K492" s="455"/>
      <c r="L492" s="455"/>
      <c r="M492" s="455"/>
      <c r="N492" s="455"/>
      <c r="O492" s="455"/>
      <c r="P492" s="455"/>
      <c r="Q492" s="455"/>
      <c r="R492" s="455"/>
      <c r="S492" s="455"/>
      <c r="T492" s="455"/>
      <c r="U492" s="455"/>
    </row>
    <row r="493" spans="2:21" ht="16.2" x14ac:dyDescent="0.3">
      <c r="B493" s="283"/>
      <c r="C493" s="284"/>
      <c r="D493" s="284"/>
      <c r="E493" s="284"/>
      <c r="F493" s="284"/>
      <c r="G493" s="284"/>
      <c r="H493" s="284"/>
      <c r="I493" s="284"/>
      <c r="J493" s="284"/>
      <c r="K493" s="284"/>
      <c r="L493" s="284"/>
      <c r="M493" s="284"/>
      <c r="N493" s="284"/>
      <c r="O493" s="284"/>
      <c r="P493" s="284"/>
      <c r="Q493" s="284" t="s">
        <v>660</v>
      </c>
      <c r="R493" s="284" t="s">
        <v>661</v>
      </c>
      <c r="S493" s="284"/>
      <c r="T493" s="284"/>
      <c r="U493" s="284"/>
    </row>
    <row r="494" spans="2:21" x14ac:dyDescent="0.3">
      <c r="B494" s="10" t="s">
        <v>662</v>
      </c>
      <c r="C494" s="10" t="s">
        <v>321</v>
      </c>
      <c r="D494" s="10">
        <v>2</v>
      </c>
      <c r="E494" s="10">
        <f>D494/2</f>
        <v>1</v>
      </c>
      <c r="F494" s="10">
        <v>0</v>
      </c>
      <c r="G494" s="10">
        <v>65535</v>
      </c>
      <c r="H494" s="10">
        <v>1</v>
      </c>
      <c r="I494" s="10">
        <v>1</v>
      </c>
      <c r="J494" s="10" t="s">
        <v>322</v>
      </c>
      <c r="K494" s="10">
        <f t="shared" ref="K494:K502" si="66">L494+1</f>
        <v>2501</v>
      </c>
      <c r="L494" s="10">
        <v>2500</v>
      </c>
      <c r="M494" s="10" t="s">
        <v>323</v>
      </c>
      <c r="N494" s="10" t="s">
        <v>324</v>
      </c>
      <c r="O494" s="59"/>
      <c r="P494" s="7"/>
      <c r="Q494" s="59">
        <v>1</v>
      </c>
      <c r="R494" s="59" t="str">
        <f>DEC2HEX(Q494)</f>
        <v>1</v>
      </c>
      <c r="S494" s="10"/>
      <c r="T494" s="10"/>
      <c r="U494" s="111"/>
    </row>
    <row r="495" spans="2:21" x14ac:dyDescent="0.3">
      <c r="B495" s="10" t="s">
        <v>663</v>
      </c>
      <c r="C495" s="10" t="s">
        <v>321</v>
      </c>
      <c r="D495" s="10">
        <v>2</v>
      </c>
      <c r="E495" s="10">
        <f t="shared" ref="E495:E502" si="67">D495/2</f>
        <v>1</v>
      </c>
      <c r="F495" s="10">
        <v>0</v>
      </c>
      <c r="G495" s="10">
        <v>65535</v>
      </c>
      <c r="H495" s="10">
        <v>1</v>
      </c>
      <c r="I495" s="10">
        <v>1</v>
      </c>
      <c r="J495" s="10" t="s">
        <v>322</v>
      </c>
      <c r="K495" s="10">
        <f t="shared" si="66"/>
        <v>2502</v>
      </c>
      <c r="L495" s="10">
        <v>2501</v>
      </c>
      <c r="M495" s="10" t="s">
        <v>323</v>
      </c>
      <c r="N495" s="10" t="s">
        <v>324</v>
      </c>
      <c r="O495" s="59"/>
      <c r="P495" s="7"/>
      <c r="Q495" s="59">
        <f>Q494+E494</f>
        <v>2</v>
      </c>
      <c r="R495" s="59" t="str">
        <f t="shared" ref="R495:R502" si="68">DEC2HEX(Q495)</f>
        <v>2</v>
      </c>
      <c r="S495" s="10"/>
      <c r="T495" s="10"/>
      <c r="U495" s="7"/>
    </row>
    <row r="496" spans="2:21" x14ac:dyDescent="0.3">
      <c r="B496" s="134" t="s">
        <v>364</v>
      </c>
      <c r="C496" s="10" t="s">
        <v>321</v>
      </c>
      <c r="D496" s="10">
        <v>2</v>
      </c>
      <c r="E496" s="10">
        <f t="shared" si="67"/>
        <v>1</v>
      </c>
      <c r="F496" s="10">
        <v>0</v>
      </c>
      <c r="G496" s="10">
        <v>65535</v>
      </c>
      <c r="H496" s="10">
        <v>1</v>
      </c>
      <c r="I496" s="10">
        <v>1</v>
      </c>
      <c r="J496" s="10" t="s">
        <v>322</v>
      </c>
      <c r="K496" s="10">
        <f t="shared" si="66"/>
        <v>2503</v>
      </c>
      <c r="L496" s="10">
        <v>2502</v>
      </c>
      <c r="M496" s="10" t="s">
        <v>323</v>
      </c>
      <c r="N496" s="10" t="s">
        <v>324</v>
      </c>
      <c r="O496" s="59"/>
      <c r="P496" s="7"/>
      <c r="Q496" s="59">
        <f>Q495+E495</f>
        <v>3</v>
      </c>
      <c r="R496" s="59" t="str">
        <f t="shared" si="68"/>
        <v>3</v>
      </c>
      <c r="S496" s="10"/>
      <c r="T496" s="10"/>
      <c r="U496" s="7"/>
    </row>
    <row r="497" spans="2:21" x14ac:dyDescent="0.3">
      <c r="B497" s="285" t="s">
        <v>366</v>
      </c>
      <c r="C497" s="10" t="s">
        <v>321</v>
      </c>
      <c r="D497" s="10">
        <v>2</v>
      </c>
      <c r="E497" s="10">
        <f t="shared" si="67"/>
        <v>1</v>
      </c>
      <c r="F497" s="10">
        <v>0</v>
      </c>
      <c r="G497" s="10">
        <v>65535</v>
      </c>
      <c r="H497" s="10">
        <v>1</v>
      </c>
      <c r="I497" s="10">
        <v>1</v>
      </c>
      <c r="J497" s="10" t="s">
        <v>322</v>
      </c>
      <c r="K497" s="10">
        <f t="shared" si="66"/>
        <v>2504</v>
      </c>
      <c r="L497" s="10">
        <v>2503</v>
      </c>
      <c r="M497" s="10" t="s">
        <v>323</v>
      </c>
      <c r="N497" s="10" t="s">
        <v>324</v>
      </c>
      <c r="O497" s="59"/>
      <c r="P497" s="7"/>
      <c r="Q497" s="59">
        <f t="shared" ref="Q497:Q502" si="69">Q496+E496</f>
        <v>4</v>
      </c>
      <c r="R497" s="59" t="str">
        <f t="shared" si="68"/>
        <v>4</v>
      </c>
      <c r="S497" s="10"/>
      <c r="T497" s="10"/>
      <c r="U497" s="7"/>
    </row>
    <row r="498" spans="2:21" x14ac:dyDescent="0.3">
      <c r="B498" s="134" t="s">
        <v>368</v>
      </c>
      <c r="C498" s="10" t="s">
        <v>321</v>
      </c>
      <c r="D498" s="10">
        <v>2</v>
      </c>
      <c r="E498" s="10">
        <f t="shared" si="67"/>
        <v>1</v>
      </c>
      <c r="F498" s="10">
        <v>0</v>
      </c>
      <c r="G498" s="10">
        <v>65535</v>
      </c>
      <c r="H498" s="10">
        <v>1</v>
      </c>
      <c r="I498" s="10">
        <v>1</v>
      </c>
      <c r="J498" s="10" t="s">
        <v>322</v>
      </c>
      <c r="K498" s="10">
        <f t="shared" si="66"/>
        <v>2505</v>
      </c>
      <c r="L498" s="10">
        <v>2504</v>
      </c>
      <c r="M498" s="10" t="s">
        <v>323</v>
      </c>
      <c r="N498" s="10" t="s">
        <v>324</v>
      </c>
      <c r="O498" s="59"/>
      <c r="P498" s="7"/>
      <c r="Q498" s="59">
        <f t="shared" si="69"/>
        <v>5</v>
      </c>
      <c r="R498" s="59" t="str">
        <f t="shared" si="68"/>
        <v>5</v>
      </c>
      <c r="S498" s="10"/>
      <c r="T498" s="10"/>
      <c r="U498" s="7"/>
    </row>
    <row r="499" spans="2:21" x14ac:dyDescent="0.3">
      <c r="B499" s="134" t="s">
        <v>369</v>
      </c>
      <c r="C499" s="10" t="s">
        <v>321</v>
      </c>
      <c r="D499" s="10">
        <v>2</v>
      </c>
      <c r="E499" s="10">
        <f t="shared" si="67"/>
        <v>1</v>
      </c>
      <c r="F499" s="10">
        <v>0</v>
      </c>
      <c r="G499" s="10">
        <v>65535</v>
      </c>
      <c r="H499" s="10">
        <v>1</v>
      </c>
      <c r="I499" s="10">
        <v>1</v>
      </c>
      <c r="J499" s="10" t="s">
        <v>322</v>
      </c>
      <c r="K499" s="10">
        <f t="shared" si="66"/>
        <v>2506</v>
      </c>
      <c r="L499" s="10">
        <v>2505</v>
      </c>
      <c r="M499" s="10" t="s">
        <v>323</v>
      </c>
      <c r="N499" s="10" t="s">
        <v>324</v>
      </c>
      <c r="O499" s="59"/>
      <c r="P499" s="7"/>
      <c r="Q499" s="59">
        <f t="shared" si="69"/>
        <v>6</v>
      </c>
      <c r="R499" s="59" t="str">
        <f t="shared" si="68"/>
        <v>6</v>
      </c>
      <c r="S499" s="10"/>
      <c r="T499" s="10"/>
      <c r="U499" s="7"/>
    </row>
    <row r="500" spans="2:21" ht="124.8" x14ac:dyDescent="0.3">
      <c r="B500" s="134" t="s">
        <v>437</v>
      </c>
      <c r="C500" s="10" t="s">
        <v>321</v>
      </c>
      <c r="D500" s="10">
        <v>2</v>
      </c>
      <c r="E500" s="10">
        <f t="shared" si="67"/>
        <v>1</v>
      </c>
      <c r="F500" s="10">
        <v>0</v>
      </c>
      <c r="G500" s="10">
        <v>65535</v>
      </c>
      <c r="H500" s="10">
        <v>1</v>
      </c>
      <c r="I500" s="10">
        <v>1</v>
      </c>
      <c r="J500" s="10" t="s">
        <v>664</v>
      </c>
      <c r="K500" s="10">
        <f t="shared" si="66"/>
        <v>2507</v>
      </c>
      <c r="L500" s="10">
        <v>2506</v>
      </c>
      <c r="M500" s="10" t="s">
        <v>419</v>
      </c>
      <c r="N500" s="10" t="s">
        <v>324</v>
      </c>
      <c r="O500" s="59"/>
      <c r="P500" s="7"/>
      <c r="Q500" s="59">
        <f t="shared" si="69"/>
        <v>7</v>
      </c>
      <c r="R500" s="59" t="str">
        <f t="shared" si="68"/>
        <v>7</v>
      </c>
      <c r="S500" s="110" t="s">
        <v>438</v>
      </c>
      <c r="T500" s="10"/>
    </row>
    <row r="501" spans="2:21" ht="249.6" x14ac:dyDescent="0.3">
      <c r="B501" s="10" t="s">
        <v>665</v>
      </c>
      <c r="C501" s="10" t="s">
        <v>321</v>
      </c>
      <c r="D501" s="10">
        <v>2</v>
      </c>
      <c r="E501" s="10">
        <f t="shared" si="67"/>
        <v>1</v>
      </c>
      <c r="F501" s="10">
        <v>0</v>
      </c>
      <c r="G501" s="10">
        <v>65535</v>
      </c>
      <c r="H501" s="10">
        <v>1</v>
      </c>
      <c r="I501" s="10">
        <v>1</v>
      </c>
      <c r="J501" s="10" t="s">
        <v>664</v>
      </c>
      <c r="K501" s="10">
        <f t="shared" si="66"/>
        <v>2508</v>
      </c>
      <c r="L501" s="10">
        <v>2507</v>
      </c>
      <c r="M501" s="10" t="s">
        <v>419</v>
      </c>
      <c r="N501" s="10" t="s">
        <v>324</v>
      </c>
      <c r="O501" s="59"/>
      <c r="P501" s="7"/>
      <c r="Q501" s="59">
        <f t="shared" si="69"/>
        <v>8</v>
      </c>
      <c r="R501" s="59" t="str">
        <f t="shared" si="68"/>
        <v>8</v>
      </c>
      <c r="S501" s="212" t="s">
        <v>666</v>
      </c>
      <c r="T501" s="10"/>
    </row>
    <row r="502" spans="2:21" x14ac:dyDescent="0.3">
      <c r="B502" s="10" t="s">
        <v>320</v>
      </c>
      <c r="C502" s="10" t="s">
        <v>321</v>
      </c>
      <c r="D502" s="10">
        <v>2</v>
      </c>
      <c r="E502" s="10">
        <f t="shared" si="67"/>
        <v>1</v>
      </c>
      <c r="F502" s="10">
        <v>0</v>
      </c>
      <c r="G502" s="10">
        <v>65535</v>
      </c>
      <c r="H502" s="10">
        <v>1</v>
      </c>
      <c r="I502" s="10">
        <v>1</v>
      </c>
      <c r="J502" s="10" t="s">
        <v>664</v>
      </c>
      <c r="K502" s="10">
        <f t="shared" si="66"/>
        <v>2509</v>
      </c>
      <c r="L502" s="10">
        <v>2508</v>
      </c>
      <c r="M502" s="10" t="s">
        <v>419</v>
      </c>
      <c r="N502" s="10" t="s">
        <v>324</v>
      </c>
      <c r="O502" s="59"/>
      <c r="P502" s="7"/>
      <c r="Q502" s="59">
        <f t="shared" si="69"/>
        <v>9</v>
      </c>
      <c r="R502" s="59" t="str">
        <f t="shared" si="68"/>
        <v>9</v>
      </c>
      <c r="S502" s="10"/>
      <c r="T502" s="10"/>
      <c r="U502" s="7"/>
    </row>
  </sheetData>
  <autoFilter ref="D1:D489" xr:uid="{55A9BDFB-540E-4AEB-BD4F-2C118A902740}"/>
  <mergeCells count="14">
    <mergeCell ref="B491:U491"/>
    <mergeCell ref="B492:U492"/>
    <mergeCell ref="B375:Q375"/>
    <mergeCell ref="B61:Q61"/>
    <mergeCell ref="B125:Q125"/>
    <mergeCell ref="B149:Q149"/>
    <mergeCell ref="B161:Q161"/>
    <mergeCell ref="B169:Q169"/>
    <mergeCell ref="B270:Q270"/>
    <mergeCell ref="B3:Q3"/>
    <mergeCell ref="B24:Q24"/>
    <mergeCell ref="B49:Q49"/>
    <mergeCell ref="B55:Q55"/>
    <mergeCell ref="B371:Q371"/>
  </mergeCells>
  <phoneticPr fontId="30" type="noConversion"/>
  <conditionalFormatting sqref="A170:A176 R170:XFD176">
    <cfRule type="cellIs" dxfId="620" priority="1705" stopIfTrue="1" operator="notEqual">
      <formula>INDIRECT("Dummy_for_Comparison8!"&amp;ADDRESS(ROW(),COLUMN()))</formula>
    </cfRule>
  </conditionalFormatting>
  <conditionalFormatting sqref="A179:A269 R179:XFD269">
    <cfRule type="cellIs" dxfId="619" priority="593" stopIfTrue="1" operator="notEqual">
      <formula>INDIRECT("Dummy_for_Comparison8!"&amp;ADDRESS(ROW(),COLUMN()))</formula>
    </cfRule>
  </conditionalFormatting>
  <conditionalFormatting sqref="A271:A277 R271:XFD277">
    <cfRule type="cellIs" dxfId="618" priority="1697" stopIfTrue="1" operator="notEqual">
      <formula>INDIRECT("Dummy_for_Comparison8!"&amp;ADDRESS(ROW(),COLUMN()))</formula>
    </cfRule>
  </conditionalFormatting>
  <conditionalFormatting sqref="A280:A370 R280:XFD370">
    <cfRule type="cellIs" dxfId="617" priority="580" stopIfTrue="1" operator="notEqual">
      <formula>INDIRECT("Dummy_for_Comparison8!"&amp;ADDRESS(ROW(),COLUMN()))</formula>
    </cfRule>
  </conditionalFormatting>
  <conditionalFormatting sqref="A372:A374 R372:XFD374">
    <cfRule type="cellIs" dxfId="616" priority="43" stopIfTrue="1" operator="notEqual">
      <formula>INDIRECT("Dummy_for_Comparison8!"&amp;ADDRESS(ROW(),COLUMN()))</formula>
    </cfRule>
  </conditionalFormatting>
  <conditionalFormatting sqref="A376:A489 R376:XFD489">
    <cfRule type="cellIs" dxfId="615" priority="238" stopIfTrue="1" operator="notEqual">
      <formula>INDIRECT("Dummy_for_Comparison8!"&amp;ADDRESS(ROW(),COLUMN()))</formula>
    </cfRule>
  </conditionalFormatting>
  <conditionalFormatting sqref="B24">
    <cfRule type="cellIs" dxfId="614" priority="1321" stopIfTrue="1" operator="notEqual">
      <formula>INDIRECT("Dummy_for_Comparison8!"&amp;ADDRESS(ROW(),COLUMN()))</formula>
    </cfRule>
  </conditionalFormatting>
  <conditionalFormatting sqref="B25:B48">
    <cfRule type="cellIs" dxfId="613" priority="81" stopIfTrue="1" operator="notEqual">
      <formula>INDIRECT("Dummy_for_Comparison2!"&amp;ADDRESS(ROW(),COLUMN()))</formula>
    </cfRule>
  </conditionalFormatting>
  <conditionalFormatting sqref="B49">
    <cfRule type="cellIs" dxfId="612" priority="1318" stopIfTrue="1" operator="notEqual">
      <formula>INDIRECT("Dummy_for_Comparison8!"&amp;ADDRESS(ROW(),COLUMN()))</formula>
    </cfRule>
  </conditionalFormatting>
  <conditionalFormatting sqref="B55">
    <cfRule type="cellIs" dxfId="611" priority="1315" stopIfTrue="1" operator="notEqual">
      <formula>INDIRECT("Dummy_for_Comparison8!"&amp;ADDRESS(ROW(),COLUMN()))</formula>
    </cfRule>
  </conditionalFormatting>
  <conditionalFormatting sqref="B61">
    <cfRule type="cellIs" dxfId="610" priority="1100" stopIfTrue="1" operator="notEqual">
      <formula>INDIRECT("Dummy_for_Comparison8!"&amp;ADDRESS(ROW(),COLUMN()))</formula>
    </cfRule>
  </conditionalFormatting>
  <conditionalFormatting sqref="B62:B83">
    <cfRule type="cellIs" dxfId="609" priority="80" stopIfTrue="1" operator="notEqual">
      <formula>INDIRECT("Dummy_for_Comparison2!"&amp;ADDRESS(ROW(),COLUMN()))</formula>
    </cfRule>
  </conditionalFormatting>
  <conditionalFormatting sqref="B85:B124">
    <cfRule type="cellIs" dxfId="608" priority="75" stopIfTrue="1" operator="notEqual">
      <formula>INDIRECT("Dummy_for_Comparison2!"&amp;ADDRESS(ROW(),COLUMN()))</formula>
    </cfRule>
  </conditionalFormatting>
  <conditionalFormatting sqref="B125">
    <cfRule type="cellIs" dxfId="607" priority="931" stopIfTrue="1" operator="notEqual">
      <formula>INDIRECT("Dummy_for_Comparison8!"&amp;ADDRESS(ROW(),COLUMN()))</formula>
    </cfRule>
  </conditionalFormatting>
  <conditionalFormatting sqref="B149">
    <cfRule type="cellIs" dxfId="606" priority="734" stopIfTrue="1" operator="notEqual">
      <formula>INDIRECT("Dummy_for_Comparison8!"&amp;ADDRESS(ROW(),COLUMN()))</formula>
    </cfRule>
  </conditionalFormatting>
  <conditionalFormatting sqref="B161">
    <cfRule type="cellIs" dxfId="605" priority="703" stopIfTrue="1" operator="notEqual">
      <formula>INDIRECT("Dummy_for_Comparison8!"&amp;ADDRESS(ROW(),COLUMN()))</formula>
    </cfRule>
  </conditionalFormatting>
  <conditionalFormatting sqref="B169">
    <cfRule type="cellIs" dxfId="604" priority="617" stopIfTrue="1" operator="notEqual">
      <formula>INDIRECT("Dummy_for_Comparison8!"&amp;ADDRESS(ROW(),COLUMN()))</formula>
    </cfRule>
  </conditionalFormatting>
  <conditionalFormatting sqref="B270">
    <cfRule type="cellIs" dxfId="603" priority="602" stopIfTrue="1" operator="notEqual">
      <formula>INDIRECT("Dummy_for_Comparison8!"&amp;ADDRESS(ROW(),COLUMN()))</formula>
    </cfRule>
  </conditionalFormatting>
  <conditionalFormatting sqref="B371">
    <cfRule type="cellIs" dxfId="602" priority="555" stopIfTrue="1" operator="notEqual">
      <formula>INDIRECT("Dummy_for_Comparison8!"&amp;ADDRESS(ROW(),COLUMN()))</formula>
    </cfRule>
  </conditionalFormatting>
  <conditionalFormatting sqref="B375">
    <cfRule type="cellIs" dxfId="601" priority="376" stopIfTrue="1" operator="notEqual">
      <formula>INDIRECT("Dummy_for_Comparison8!"&amp;ADDRESS(ROW(),COLUMN()))</formula>
    </cfRule>
  </conditionalFormatting>
  <conditionalFormatting sqref="B491:B493">
    <cfRule type="cellIs" dxfId="600" priority="26" stopIfTrue="1" operator="notEqual">
      <formula>INDIRECT("Dummy_for_Comparison8!"&amp;ADDRESS(ROW(),COLUMN()))</formula>
    </cfRule>
  </conditionalFormatting>
  <conditionalFormatting sqref="B56:C60">
    <cfRule type="cellIs" dxfId="599" priority="1103" stopIfTrue="1" operator="notEqual">
      <formula>INDIRECT("Dummy_for_Comparison2!"&amp;ADDRESS(ROW(),COLUMN()))</formula>
    </cfRule>
  </conditionalFormatting>
  <conditionalFormatting sqref="B383:C489">
    <cfRule type="cellIs" dxfId="598" priority="169" stopIfTrue="1" operator="notEqual">
      <formula>INDIRECT("Dummy_for_Comparison2!"&amp;ADDRESS(ROW(),COLUMN()))</formula>
    </cfRule>
  </conditionalFormatting>
  <conditionalFormatting sqref="B2:L2">
    <cfRule type="cellIs" dxfId="597" priority="1590" stopIfTrue="1" operator="notEqual">
      <formula>INDIRECT("Dummy_for_Comparison2!"&amp;ADDRESS(ROW(),COLUMN()))</formula>
    </cfRule>
  </conditionalFormatting>
  <conditionalFormatting sqref="B4:L4 M4:N22 B5:B20 J5:L23 C19:C20 B21:C22 C23:I23 M23:Q23">
    <cfRule type="cellIs" dxfId="596" priority="1704" stopIfTrue="1" operator="notEqual">
      <formula>INDIRECT("Dummy_for_Comparison2!"&amp;ADDRESS(ROW(),COLUMN()))</formula>
    </cfRule>
  </conditionalFormatting>
  <conditionalFormatting sqref="B50:M54">
    <cfRule type="cellIs" dxfId="595" priority="570" stopIfTrue="1" operator="notEqual">
      <formula>INDIRECT("Dummy_for_Comparison2!"&amp;ADDRESS(ROW(),COLUMN()))</formula>
    </cfRule>
  </conditionalFormatting>
  <conditionalFormatting sqref="B494:N502">
    <cfRule type="cellIs" dxfId="594" priority="1" stopIfTrue="1" operator="notEqual">
      <formula>INDIRECT("Dummy_for_Comparison2!"&amp;ADDRESS(ROW(),COLUMN()))</formula>
    </cfRule>
  </conditionalFormatting>
  <conditionalFormatting sqref="B126:Q148">
    <cfRule type="cellIs" dxfId="593" priority="61" stopIfTrue="1" operator="notEqual">
      <formula>INDIRECT("Dummy_for_Comparison2!"&amp;ADDRESS(ROW(),COLUMN()))</formula>
    </cfRule>
  </conditionalFormatting>
  <conditionalFormatting sqref="B150:Q160">
    <cfRule type="cellIs" dxfId="592" priority="70" stopIfTrue="1" operator="notEqual">
      <formula>INDIRECT("Dummy_for_Comparison2!"&amp;ADDRESS(ROW(),COLUMN()))</formula>
    </cfRule>
  </conditionalFormatting>
  <conditionalFormatting sqref="B162:Q168">
    <cfRule type="cellIs" dxfId="591" priority="69" stopIfTrue="1" operator="notEqual">
      <formula>INDIRECT("Dummy_for_Comparison2!"&amp;ADDRESS(ROW(),COLUMN()))</formula>
    </cfRule>
  </conditionalFormatting>
  <conditionalFormatting sqref="B170:Q269">
    <cfRule type="cellIs" dxfId="590" priority="510" stopIfTrue="1" operator="notEqual">
      <formula>INDIRECT("Dummy_for_Comparison2!"&amp;ADDRESS(ROW(),COLUMN()))</formula>
    </cfRule>
  </conditionalFormatting>
  <conditionalFormatting sqref="B271:Q370">
    <cfRule type="cellIs" dxfId="589" priority="380" stopIfTrue="1" operator="notEqual">
      <formula>INDIRECT("Dummy_for_Comparison2!"&amp;ADDRESS(ROW(),COLUMN()))</formula>
    </cfRule>
  </conditionalFormatting>
  <conditionalFormatting sqref="B372:Q374">
    <cfRule type="cellIs" dxfId="588" priority="30" stopIfTrue="1" operator="notEqual">
      <formula>INDIRECT("Dummy_for_Comparison2!"&amp;ADDRESS(ROW(),COLUMN()))</formula>
    </cfRule>
  </conditionalFormatting>
  <conditionalFormatting sqref="B376:Q382">
    <cfRule type="cellIs" dxfId="587" priority="339" stopIfTrue="1" operator="notEqual">
      <formula>INDIRECT("Dummy_for_Comparison2!"&amp;ADDRESS(ROW(),COLUMN()))</formula>
    </cfRule>
  </conditionalFormatting>
  <conditionalFormatting sqref="C25:E29 C43:I48">
    <cfRule type="cellIs" dxfId="586" priority="144" stopIfTrue="1" operator="notEqual">
      <formula>INDIRECT("Dummy_for_Comparison2!"&amp;ADDRESS(ROW(),COLUMN()))</formula>
    </cfRule>
  </conditionalFormatting>
  <conditionalFormatting sqref="C18:I18">
    <cfRule type="cellIs" dxfId="585" priority="1588" stopIfTrue="1" operator="notEqual">
      <formula>INDIRECT("Dummy_for_Comparison2!"&amp;ADDRESS(ROW(),COLUMN()))</formula>
    </cfRule>
  </conditionalFormatting>
  <conditionalFormatting sqref="C62:M124">
    <cfRule type="cellIs" dxfId="584" priority="100" stopIfTrue="1" operator="notEqual">
      <formula>INDIRECT("Dummy_for_Comparison2!"&amp;ADDRESS(ROW(),COLUMN()))</formula>
    </cfRule>
  </conditionalFormatting>
  <conditionalFormatting sqref="D57:E60">
    <cfRule type="cellIs" dxfId="583" priority="1345" stopIfTrue="1" operator="notEqual">
      <formula>INDIRECT("Dummy_for_Comparison2!"&amp;ADDRESS(ROW(),COLUMN()))</formula>
    </cfRule>
  </conditionalFormatting>
  <conditionalFormatting sqref="D6:I13">
    <cfRule type="cellIs" dxfId="582" priority="1649" stopIfTrue="1" operator="notEqual">
      <formula>INDIRECT("Dummy_for_Comparison2!"&amp;ADDRESS(ROW(),COLUMN()))</formula>
    </cfRule>
  </conditionalFormatting>
  <conditionalFormatting sqref="D19:I22">
    <cfRule type="cellIs" dxfId="581" priority="1559" stopIfTrue="1" operator="notEqual">
      <formula>INDIRECT("Dummy_for_Comparison2!"&amp;ADDRESS(ROW(),COLUMN()))</formula>
    </cfRule>
  </conditionalFormatting>
  <conditionalFormatting sqref="D31:I38">
    <cfRule type="cellIs" dxfId="580" priority="1469" stopIfTrue="1" operator="notEqual">
      <formula>INDIRECT("Dummy_for_Comparison2!"&amp;ADDRESS(ROW(),COLUMN()))</formula>
    </cfRule>
  </conditionalFormatting>
  <conditionalFormatting sqref="D56:I57">
    <cfRule type="cellIs" dxfId="579" priority="1380" stopIfTrue="1" operator="notEqual">
      <formula>INDIRECT("Dummy_for_Comparison2!"&amp;ADDRESS(ROW(),COLUMN()))</formula>
    </cfRule>
  </conditionalFormatting>
  <conditionalFormatting sqref="D25:J25">
    <cfRule type="cellIs" dxfId="578" priority="1582" stopIfTrue="1" operator="notEqual">
      <formula>INDIRECT("Dummy_for_Comparison2!"&amp;ADDRESS(ROW(),COLUMN()))</formula>
    </cfRule>
  </conditionalFormatting>
  <conditionalFormatting sqref="D383:N386">
    <cfRule type="cellIs" dxfId="577" priority="152" stopIfTrue="1" operator="notEqual">
      <formula>INDIRECT("Dummy_for_Comparison2!"&amp;ADDRESS(ROW(),COLUMN()))</formula>
    </cfRule>
  </conditionalFormatting>
  <conditionalFormatting sqref="D387:P489">
    <cfRule type="cellIs" dxfId="576" priority="87" stopIfTrue="1" operator="notEqual">
      <formula>INDIRECT("Dummy_for_Comparison2!"&amp;ADDRESS(ROW(),COLUMN()))</formula>
    </cfRule>
  </conditionalFormatting>
  <conditionalFormatting sqref="F16:F17 H16:I17">
    <cfRule type="cellIs" dxfId="575" priority="1604" stopIfTrue="1" operator="notEqual">
      <formula>INDIRECT("Dummy_for_Comparison2!"&amp;ADDRESS(ROW(),COLUMN()))</formula>
    </cfRule>
  </conditionalFormatting>
  <conditionalFormatting sqref="F28:F29 H28:I29">
    <cfRule type="cellIs" dxfId="574" priority="1513" stopIfTrue="1" operator="notEqual">
      <formula>INDIRECT("Dummy_for_Comparison2!"&amp;ADDRESS(ROW(),COLUMN()))</formula>
    </cfRule>
  </conditionalFormatting>
  <conditionalFormatting sqref="F41:F42 H41:I42">
    <cfRule type="cellIs" dxfId="573" priority="1424" stopIfTrue="1" operator="notEqual">
      <formula>INDIRECT("Dummy_for_Comparison2!"&amp;ADDRESS(ROW(),COLUMN()))</formula>
    </cfRule>
  </conditionalFormatting>
  <conditionalFormatting sqref="F60 H60:I60">
    <cfRule type="cellIs" dxfId="572" priority="1344" stopIfTrue="1" operator="notEqual">
      <formula>INDIRECT("Dummy_for_Comparison2!"&amp;ADDRESS(ROW(),COLUMN()))</formula>
    </cfRule>
  </conditionalFormatting>
  <conditionalFormatting sqref="F13:I15">
    <cfRule type="cellIs" dxfId="571" priority="1672" stopIfTrue="1" operator="notEqual">
      <formula>INDIRECT("Dummy_for_Comparison2!"&amp;ADDRESS(ROW(),COLUMN()))</formula>
    </cfRule>
  </conditionalFormatting>
  <conditionalFormatting sqref="F25:I27">
    <cfRule type="cellIs" dxfId="570" priority="1581" stopIfTrue="1" operator="notEqual">
      <formula>INDIRECT("Dummy_for_Comparison2!"&amp;ADDRESS(ROW(),COLUMN()))</formula>
    </cfRule>
  </conditionalFormatting>
  <conditionalFormatting sqref="F38:I40">
    <cfRule type="cellIs" dxfId="569" priority="1492" stopIfTrue="1" operator="notEqual">
      <formula>INDIRECT("Dummy_for_Comparison2!"&amp;ADDRESS(ROW(),COLUMN()))</formula>
    </cfRule>
  </conditionalFormatting>
  <conditionalFormatting sqref="F57:I59">
    <cfRule type="cellIs" dxfId="568" priority="1403" stopIfTrue="1" operator="notEqual">
      <formula>INDIRECT("Dummy_for_Comparison2!"&amp;ADDRESS(ROW(),COLUMN()))</formula>
    </cfRule>
  </conditionalFormatting>
  <conditionalFormatting sqref="G14:G17">
    <cfRule type="cellIs" dxfId="567" priority="1603" stopIfTrue="1" operator="notEqual">
      <formula>INDIRECT("Dummy_for_Comparison2!"&amp;ADDRESS(ROW(),COLUMN()))</formula>
    </cfRule>
  </conditionalFormatting>
  <conditionalFormatting sqref="G26:G29">
    <cfRule type="cellIs" dxfId="566" priority="1512" stopIfTrue="1" operator="notEqual">
      <formula>INDIRECT("Dummy_for_Comparison2!"&amp;ADDRESS(ROW(),COLUMN()))</formula>
    </cfRule>
  </conditionalFormatting>
  <conditionalFormatting sqref="G39:G42">
    <cfRule type="cellIs" dxfId="565" priority="1423" stopIfTrue="1" operator="notEqual">
      <formula>INDIRECT("Dummy_for_Comparison2!"&amp;ADDRESS(ROW(),COLUMN()))</formula>
    </cfRule>
  </conditionalFormatting>
  <conditionalFormatting sqref="G58:G60">
    <cfRule type="cellIs" dxfId="564" priority="1343" stopIfTrue="1" operator="notEqual">
      <formula>INDIRECT("Dummy_for_Comparison2!"&amp;ADDRESS(ROW(),COLUMN()))</formula>
    </cfRule>
  </conditionalFormatting>
  <conditionalFormatting sqref="I15:I17">
    <cfRule type="cellIs" dxfId="563" priority="1599" stopIfTrue="1" operator="notEqual">
      <formula>INDIRECT("Dummy_for_Comparison2!"&amp;ADDRESS(ROW(),COLUMN()))</formula>
    </cfRule>
  </conditionalFormatting>
  <conditionalFormatting sqref="I27:I29">
    <cfRule type="cellIs" dxfId="562" priority="1508" stopIfTrue="1" operator="notEqual">
      <formula>INDIRECT("Dummy_for_Comparison2!"&amp;ADDRESS(ROW(),COLUMN()))</formula>
    </cfRule>
  </conditionalFormatting>
  <conditionalFormatting sqref="I40:I42">
    <cfRule type="cellIs" dxfId="561" priority="1419" stopIfTrue="1" operator="notEqual">
      <formula>INDIRECT("Dummy_for_Comparison2!"&amp;ADDRESS(ROW(),COLUMN()))</formula>
    </cfRule>
  </conditionalFormatting>
  <conditionalFormatting sqref="I59:I60">
    <cfRule type="cellIs" dxfId="560" priority="1339" stopIfTrue="1" operator="notEqual">
      <formula>INDIRECT("Dummy_for_Comparison2!"&amp;ADDRESS(ROW(),COLUMN()))</formula>
    </cfRule>
  </conditionalFormatting>
  <conditionalFormatting sqref="J25:N48 N50:S50 N62:S62">
    <cfRule type="cellIs" dxfId="559" priority="1323" stopIfTrue="1" operator="notEqual">
      <formula>INDIRECT("Dummy_for_Comparison2!"&amp;ADDRESS(ROW(),COLUMN()))</formula>
    </cfRule>
  </conditionalFormatting>
  <conditionalFormatting sqref="J56:P60">
    <cfRule type="cellIs" dxfId="558" priority="383" stopIfTrue="1" operator="notEqual">
      <formula>INDIRECT("Dummy_for_Comparison2!"&amp;ADDRESS(ROW(),COLUMN()))</formula>
    </cfRule>
  </conditionalFormatting>
  <conditionalFormatting sqref="L2:M2">
    <cfRule type="cellIs" dxfId="557" priority="1591" stopIfTrue="1" operator="notEqual">
      <formula>INDIRECT("Dummy_for_Comparison6!"&amp;ADDRESS(ROW(),COLUMN()))</formula>
    </cfRule>
  </conditionalFormatting>
  <conditionalFormatting sqref="M2:Q2">
    <cfRule type="cellIs" dxfId="556" priority="1700" stopIfTrue="1" operator="notEqual">
      <formula>INDIRECT("Dummy_for_Comparison2!"&amp;ADDRESS(ROW(),COLUMN()))</formula>
    </cfRule>
  </conditionalFormatting>
  <conditionalFormatting sqref="N51:Q54">
    <cfRule type="cellIs" dxfId="555" priority="1178" stopIfTrue="1" operator="notEqual">
      <formula>INDIRECT("Dummy_for_Comparison2!"&amp;ADDRESS(ROW(),COLUMN()))</formula>
    </cfRule>
  </conditionalFormatting>
  <conditionalFormatting sqref="N63:Q124">
    <cfRule type="cellIs" dxfId="554" priority="57" stopIfTrue="1" operator="notEqual">
      <formula>INDIRECT("Dummy_for_Comparison2!"&amp;ADDRESS(ROW(),COLUMN()))</formula>
    </cfRule>
  </conditionalFormatting>
  <conditionalFormatting sqref="O8:P17 D13:E17">
    <cfRule type="cellIs" dxfId="553" priority="1605" stopIfTrue="1" operator="notEqual">
      <formula>INDIRECT("Dummy_for_Comparison2!"&amp;ADDRESS(ROW(),COLUMN()))</formula>
    </cfRule>
  </conditionalFormatting>
  <conditionalFormatting sqref="O21:P23">
    <cfRule type="cellIs" dxfId="552" priority="1531" stopIfTrue="1" operator="notEqual">
      <formula>INDIRECT("Dummy_for_Comparison2!"&amp;ADDRESS(ROW(),COLUMN()))</formula>
    </cfRule>
  </conditionalFormatting>
  <conditionalFormatting sqref="O25:P29">
    <cfRule type="cellIs" dxfId="551" priority="1514" stopIfTrue="1" operator="notEqual">
      <formula>INDIRECT("Dummy_for_Comparison2!"&amp;ADDRESS(ROW(),COLUMN()))</formula>
    </cfRule>
  </conditionalFormatting>
  <conditionalFormatting sqref="O33:P42 D38:E42">
    <cfRule type="cellIs" dxfId="550" priority="1425" stopIfTrue="1" operator="notEqual">
      <formula>INDIRECT("Dummy_for_Comparison2!"&amp;ADDRESS(ROW(),COLUMN()))</formula>
    </cfRule>
  </conditionalFormatting>
  <conditionalFormatting sqref="O46:P48">
    <cfRule type="cellIs" dxfId="549" priority="1381" stopIfTrue="1" operator="notEqual">
      <formula>INDIRECT("Dummy_for_Comparison2!"&amp;ADDRESS(ROW(),COLUMN()))</formula>
    </cfRule>
  </conditionalFormatting>
  <conditionalFormatting sqref="O385:P386">
    <cfRule type="cellIs" dxfId="548" priority="229" stopIfTrue="1" operator="notEqual">
      <formula>INDIRECT("Dummy_for_Comparison2!"&amp;ADDRESS(ROW(),COLUMN()))</formula>
    </cfRule>
  </conditionalFormatting>
  <conditionalFormatting sqref="O4:Q12">
    <cfRule type="cellIs" dxfId="547" priority="1624" stopIfTrue="1" operator="notEqual">
      <formula>INDIRECT("Dummy_for_Comparison2!"&amp;ADDRESS(ROW(),COLUMN()))</formula>
    </cfRule>
  </conditionalFormatting>
  <conditionalFormatting sqref="O18:Q23">
    <cfRule type="cellIs" dxfId="546" priority="1539" stopIfTrue="1" operator="notEqual">
      <formula>INDIRECT("Dummy_for_Comparison2!"&amp;ADDRESS(ROW(),COLUMN()))</formula>
    </cfRule>
  </conditionalFormatting>
  <conditionalFormatting sqref="O30:Q37">
    <cfRule type="cellIs" dxfId="545" priority="1444" stopIfTrue="1" operator="notEqual">
      <formula>INDIRECT("Dummy_for_Comparison2!"&amp;ADDRESS(ROW(),COLUMN()))</formula>
    </cfRule>
  </conditionalFormatting>
  <conditionalFormatting sqref="O43:Q48">
    <cfRule type="cellIs" dxfId="544" priority="1383" stopIfTrue="1" operator="notEqual">
      <formula>INDIRECT("Dummy_for_Comparison2!"&amp;ADDRESS(ROW(),COLUMN()))</formula>
    </cfRule>
  </conditionalFormatting>
  <conditionalFormatting sqref="O56:Q56">
    <cfRule type="cellIs" dxfId="543" priority="1361" stopIfTrue="1" operator="notEqual">
      <formula>INDIRECT("Dummy_for_Comparison2!"&amp;ADDRESS(ROW(),COLUMN()))</formula>
    </cfRule>
  </conditionalFormatting>
  <conditionalFormatting sqref="O383:Q384">
    <cfRule type="cellIs" dxfId="542" priority="241" stopIfTrue="1" operator="notEqual">
      <formula>INDIRECT("Dummy_for_Comparison2!"&amp;ADDRESS(ROW(),COLUMN()))</formula>
    </cfRule>
  </conditionalFormatting>
  <conditionalFormatting sqref="O14:S14 R15:S15 Q16:S16 R17:S25">
    <cfRule type="cellIs" dxfId="541" priority="1677" stopIfTrue="1" operator="notEqual">
      <formula>INDIRECT("Dummy_for_Comparison2!"&amp;ADDRESS(ROW(),COLUMN()))</formula>
    </cfRule>
  </conditionalFormatting>
  <conditionalFormatting sqref="O26:S26 R27:S27 Q28:S28">
    <cfRule type="cellIs" dxfId="540" priority="1586" stopIfTrue="1" operator="notEqual">
      <formula>INDIRECT("Dummy_for_Comparison2!"&amp;ADDRESS(ROW(),COLUMN()))</formula>
    </cfRule>
  </conditionalFormatting>
  <conditionalFormatting sqref="O39:S39 R40:S40 Q41:S41">
    <cfRule type="cellIs" dxfId="539" priority="1497" stopIfTrue="1" operator="notEqual">
      <formula>INDIRECT("Dummy_for_Comparison2!"&amp;ADDRESS(ROW(),COLUMN()))</formula>
    </cfRule>
  </conditionalFormatting>
  <conditionalFormatting sqref="O58:S58 R59:S59 Q60:S60">
    <cfRule type="cellIs" dxfId="538" priority="1408" stopIfTrue="1" operator="notEqual">
      <formula>INDIRECT("Dummy_for_Comparison2!"&amp;ADDRESS(ROW(),COLUMN()))</formula>
    </cfRule>
  </conditionalFormatting>
  <conditionalFormatting sqref="P2:XFD2 A1:XFD1 A2 A3:B3 R3:XFD3 A490:XFD490 A491:A502 V491:XFD502 A503:XFD1048576">
    <cfRule type="cellIs" dxfId="537" priority="1706" stopIfTrue="1" operator="notEqual">
      <formula>INDIRECT("Dummy_for_Comparison8!"&amp;ADDRESS(ROW(),COLUMN()))</formula>
    </cfRule>
  </conditionalFormatting>
  <conditionalFormatting sqref="Q13">
    <cfRule type="cellIs" dxfId="536" priority="1596" stopIfTrue="1" operator="notEqual">
      <formula>INDIRECT("Dummy_for_Comparison2!"&amp;ADDRESS(ROW(),COLUMN()))</formula>
    </cfRule>
  </conditionalFormatting>
  <conditionalFormatting sqref="Q15:Q17">
    <cfRule type="cellIs" dxfId="535" priority="1593" stopIfTrue="1" operator="notEqual">
      <formula>INDIRECT("Dummy_for_Comparison2!"&amp;ADDRESS(ROW(),COLUMN()))</formula>
    </cfRule>
  </conditionalFormatting>
  <conditionalFormatting sqref="Q25">
    <cfRule type="cellIs" dxfId="534" priority="1505" stopIfTrue="1" operator="notEqual">
      <formula>INDIRECT("Dummy_for_Comparison2!"&amp;ADDRESS(ROW(),COLUMN()))</formula>
    </cfRule>
  </conditionalFormatting>
  <conditionalFormatting sqref="Q27:Q29">
    <cfRule type="cellIs" dxfId="533" priority="1502" stopIfTrue="1" operator="notEqual">
      <formula>INDIRECT("Dummy_for_Comparison2!"&amp;ADDRESS(ROW(),COLUMN()))</formula>
    </cfRule>
  </conditionalFormatting>
  <conditionalFormatting sqref="Q38">
    <cfRule type="cellIs" dxfId="532" priority="1416" stopIfTrue="1" operator="notEqual">
      <formula>INDIRECT("Dummy_for_Comparison2!"&amp;ADDRESS(ROW(),COLUMN()))</formula>
    </cfRule>
  </conditionalFormatting>
  <conditionalFormatting sqref="Q40:Q42">
    <cfRule type="cellIs" dxfId="531" priority="1413" stopIfTrue="1" operator="notEqual">
      <formula>INDIRECT("Dummy_for_Comparison2!"&amp;ADDRESS(ROW(),COLUMN()))</formula>
    </cfRule>
  </conditionalFormatting>
  <conditionalFormatting sqref="Q57">
    <cfRule type="cellIs" dxfId="530" priority="1327" stopIfTrue="1" operator="notEqual">
      <formula>INDIRECT("Dummy_for_Comparison2!"&amp;ADDRESS(ROW(),COLUMN()))</formula>
    </cfRule>
  </conditionalFormatting>
  <conditionalFormatting sqref="Q59:Q60">
    <cfRule type="cellIs" dxfId="529" priority="1324" stopIfTrue="1" operator="notEqual">
      <formula>INDIRECT("Dummy_for_Comparison2!"&amp;ADDRESS(ROW(),COLUMN()))</formula>
    </cfRule>
  </conditionalFormatting>
  <conditionalFormatting sqref="Q385:Q489">
    <cfRule type="cellIs" dxfId="528" priority="221" stopIfTrue="1" operator="notEqual">
      <formula>INDIRECT("Dummy_for_Comparison2!"&amp;ADDRESS(ROW(),COLUMN()))</formula>
    </cfRule>
  </conditionalFormatting>
  <conditionalFormatting sqref="R177:R178 T177:XFD178">
    <cfRule type="cellIs" dxfId="527" priority="1702" stopIfTrue="1" operator="notEqual">
      <formula>INDIRECT("Dummy_for_Comparison2!"&amp;ADDRESS(ROW(),COLUMN()))</formula>
    </cfRule>
  </conditionalFormatting>
  <conditionalFormatting sqref="R278:R279 T278:XFD279">
    <cfRule type="cellIs" dxfId="526" priority="1695" stopIfTrue="1" operator="notEqual">
      <formula>INDIRECT("Dummy_for_Comparison2!"&amp;ADDRESS(ROW(),COLUMN()))</formula>
    </cfRule>
  </conditionalFormatting>
  <conditionalFormatting sqref="R4:S13 C5:I5 C6:C17">
    <cfRule type="cellIs" dxfId="525" priority="1679" stopIfTrue="1" operator="notEqual">
      <formula>INDIRECT("Dummy_for_Comparison2!"&amp;ADDRESS(ROW(),COLUMN()))</formula>
    </cfRule>
  </conditionalFormatting>
  <conditionalFormatting sqref="R29:S38 C30:I30 C31:C42">
    <cfRule type="cellIs" dxfId="524" priority="1499" stopIfTrue="1" operator="notEqual">
      <formula>INDIRECT("Dummy_for_Comparison2!"&amp;ADDRESS(ROW(),COLUMN()))</formula>
    </cfRule>
  </conditionalFormatting>
  <conditionalFormatting sqref="R42:S49">
    <cfRule type="cellIs" dxfId="523" priority="1319" stopIfTrue="1" operator="notEqual">
      <formula>INDIRECT("Dummy_for_Comparison2!"&amp;ADDRESS(ROW(),COLUMN()))</formula>
    </cfRule>
  </conditionalFormatting>
  <conditionalFormatting sqref="R51:S57">
    <cfRule type="cellIs" dxfId="522" priority="1192" stopIfTrue="1" operator="notEqual">
      <formula>INDIRECT("Dummy_for_Comparison2!"&amp;ADDRESS(ROW(),COLUMN()))</formula>
    </cfRule>
  </conditionalFormatting>
  <conditionalFormatting sqref="R61:S61">
    <cfRule type="cellIs" dxfId="521" priority="1101" stopIfTrue="1" operator="notEqual">
      <formula>INDIRECT("Dummy_for_Comparison2!"&amp;ADDRESS(ROW(),COLUMN()))</formula>
    </cfRule>
  </conditionalFormatting>
  <conditionalFormatting sqref="R125:S125 U125:XFD125">
    <cfRule type="cellIs" dxfId="520" priority="932" stopIfTrue="1" operator="notEqual">
      <formula>INDIRECT("Dummy_for_Comparison2!"&amp;ADDRESS(ROW(),COLUMN()))</formula>
    </cfRule>
  </conditionalFormatting>
  <conditionalFormatting sqref="R149:S149 U149:XFD149">
    <cfRule type="cellIs" dxfId="519" priority="735" stopIfTrue="1" operator="notEqual">
      <formula>INDIRECT("Dummy_for_Comparison2!"&amp;ADDRESS(ROW(),COLUMN()))</formula>
    </cfRule>
  </conditionalFormatting>
  <conditionalFormatting sqref="R161:S161 U161:XFD161">
    <cfRule type="cellIs" dxfId="518" priority="704" stopIfTrue="1" operator="notEqual">
      <formula>INDIRECT("Dummy_for_Comparison2!"&amp;ADDRESS(ROW(),COLUMN()))</formula>
    </cfRule>
  </conditionalFormatting>
  <conditionalFormatting sqref="R169:S169 U169:XFD169">
    <cfRule type="cellIs" dxfId="517" priority="618" stopIfTrue="1" operator="notEqual">
      <formula>INDIRECT("Dummy_for_Comparison2!"&amp;ADDRESS(ROW(),COLUMN()))</formula>
    </cfRule>
  </conditionalFormatting>
  <conditionalFormatting sqref="R270:S270 U270:XFD270">
    <cfRule type="cellIs" dxfId="516" priority="603" stopIfTrue="1" operator="notEqual">
      <formula>INDIRECT("Dummy_for_Comparison2!"&amp;ADDRESS(ROW(),COLUMN()))</formula>
    </cfRule>
  </conditionalFormatting>
  <conditionalFormatting sqref="R371:S371 U371:XFD371">
    <cfRule type="cellIs" dxfId="515" priority="556" stopIfTrue="1" operator="notEqual">
      <formula>INDIRECT("Dummy_for_Comparison2!"&amp;ADDRESS(ROW(),COLUMN()))</formula>
    </cfRule>
  </conditionalFormatting>
  <conditionalFormatting sqref="R375:S375 U375:XFD375">
    <cfRule type="cellIs" dxfId="514" priority="545" stopIfTrue="1" operator="notEqual">
      <formula>INDIRECT("Dummy_for_Comparison2!"&amp;ADDRESS(ROW(),COLUMN()))</formula>
    </cfRule>
  </conditionalFormatting>
  <conditionalFormatting sqref="R64:XFD124">
    <cfRule type="cellIs" dxfId="513" priority="961" stopIfTrue="1" operator="notEqual">
      <formula>INDIRECT("Dummy_for_Comparison8!"&amp;ADDRESS(ROW(),COLUMN()))</formula>
    </cfRule>
  </conditionalFormatting>
  <conditionalFormatting sqref="R126:XFD148">
    <cfRule type="cellIs" dxfId="512" priority="818" stopIfTrue="1" operator="notEqual">
      <formula>INDIRECT("Dummy_for_Comparison8!"&amp;ADDRESS(ROW(),COLUMN()))</formula>
    </cfRule>
  </conditionalFormatting>
  <conditionalFormatting sqref="R150:XFD160">
    <cfRule type="cellIs" dxfId="511" priority="762" stopIfTrue="1" operator="notEqual">
      <formula>INDIRECT("Dummy_for_Comparison8!"&amp;ADDRESS(ROW(),COLUMN()))</formula>
    </cfRule>
  </conditionalFormatting>
  <conditionalFormatting sqref="R162:XFD168">
    <cfRule type="cellIs" dxfId="510" priority="644" stopIfTrue="1" operator="notEqual">
      <formula>INDIRECT("Dummy_for_Comparison8!"&amp;ADDRESS(ROW(),COLUMN()))</formula>
    </cfRule>
  </conditionalFormatting>
  <conditionalFormatting sqref="S500 U495:U499">
    <cfRule type="cellIs" dxfId="509" priority="29" stopIfTrue="1" operator="notEqual">
      <formula>INDIRECT("Dummy_for_Comparison8!"&amp;ADDRESS(ROW(),COLUMN()))</formula>
    </cfRule>
  </conditionalFormatting>
  <conditionalFormatting sqref="S500:S501">
    <cfRule type="cellIs" dxfId="508" priority="7" stopIfTrue="1" operator="notEqual">
      <formula>INDIRECT("Dummy_for_Comparison2!"&amp;ADDRESS(ROW(),COLUMN()))</formula>
    </cfRule>
  </conditionalFormatting>
  <conditionalFormatting sqref="S494:T502">
    <cfRule type="cellIs" dxfId="507" priority="28" stopIfTrue="1" operator="notEqual">
      <formula>INDIRECT("Dummy_for_Comparison2!"&amp;ADDRESS(ROW(),COLUMN()))</formula>
    </cfRule>
  </conditionalFormatting>
  <conditionalFormatting sqref="U494">
    <cfRule type="cellIs" dxfId="506" priority="17" stopIfTrue="1" operator="notEqual">
      <formula>INDIRECT("Dummy_for_Comparison2!"&amp;ADDRESS(ROW(),COLUMN()))</formula>
    </cfRule>
  </conditionalFormatting>
  <conditionalFormatting sqref="U502">
    <cfRule type="cellIs" dxfId="505" priority="27" stopIfTrue="1" operator="notEqual">
      <formula>INDIRECT("Dummy_for_Comparison8!"&amp;ADDRESS(ROW(),COLUMN()))</formula>
    </cfRule>
  </conditionalFormatting>
  <conditionalFormatting sqref="U4:XFD63 R63:S63">
    <cfRule type="cellIs" dxfId="504" priority="1084" stopIfTrue="1" operator="notEqual">
      <formula>INDIRECT("Dummy_for_Comparison2!"&amp;ADDRESS(ROW(),COLUMN()))</formula>
    </cfRule>
  </conditionalFormatting>
  <pageMargins left="0.7" right="0.7" top="0.75" bottom="0.75" header="0.3" footer="0.3"/>
  <pageSetup orientation="portrait" horizontalDpi="300" r:id="rId1"/>
  <headerFooter>
    <oddFooter>&amp;C_x000D_&amp;1#&amp;"Calibri"&amp;6&amp;K626469 General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57D3-30C5-451A-BEBD-70B6775B6331}">
  <sheetPr codeName="Sheet19"/>
  <dimension ref="A2:P232"/>
  <sheetViews>
    <sheetView tabSelected="1" topLeftCell="E1" zoomScale="90" zoomScaleNormal="100" workbookViewId="0">
      <selection activeCell="F40" sqref="F40"/>
    </sheetView>
  </sheetViews>
  <sheetFormatPr defaultColWidth="8.77734375" defaultRowHeight="14.4" x14ac:dyDescent="0.3"/>
  <cols>
    <col min="5" max="5" width="51" customWidth="1"/>
    <col min="6" max="6" width="19.77734375" bestFit="1" customWidth="1"/>
    <col min="7" max="7" width="16.77734375" customWidth="1"/>
    <col min="8" max="8" width="12.21875" customWidth="1"/>
    <col min="9" max="9" width="25.21875" customWidth="1"/>
    <col min="10" max="10" width="35" customWidth="1"/>
    <col min="11" max="11" width="10.5546875" customWidth="1"/>
    <col min="15" max="15" width="12.6640625" customWidth="1"/>
    <col min="16" max="16" width="34.6640625" customWidth="1"/>
  </cols>
  <sheetData>
    <row r="2" spans="4:13" x14ac:dyDescent="0.3">
      <c r="D2" s="460" t="s">
        <v>2771</v>
      </c>
      <c r="E2" s="460"/>
      <c r="F2" s="460"/>
      <c r="G2" s="460"/>
      <c r="H2" s="460"/>
      <c r="I2" s="460"/>
      <c r="J2" s="460"/>
      <c r="K2" s="460"/>
      <c r="L2" s="460"/>
      <c r="M2" s="227"/>
    </row>
    <row r="3" spans="4:13" x14ac:dyDescent="0.3">
      <c r="D3" s="55" t="s">
        <v>2772</v>
      </c>
      <c r="E3" s="55">
        <v>117</v>
      </c>
      <c r="F3" s="55" t="s">
        <v>2773</v>
      </c>
      <c r="G3" s="55" t="s">
        <v>2774</v>
      </c>
      <c r="H3" s="55" t="s">
        <v>2775</v>
      </c>
      <c r="I3" s="55" t="s">
        <v>2776</v>
      </c>
    </row>
    <row r="4" spans="4:13" x14ac:dyDescent="0.3">
      <c r="D4" s="55" t="s">
        <v>2777</v>
      </c>
      <c r="E4" s="55">
        <v>40</v>
      </c>
      <c r="F4" s="55"/>
      <c r="G4" s="55"/>
      <c r="H4" s="55"/>
      <c r="I4" s="55"/>
    </row>
    <row r="5" spans="4:13" x14ac:dyDescent="0.3">
      <c r="D5" s="55" t="s">
        <v>2778</v>
      </c>
      <c r="E5" s="55" t="s">
        <v>1518</v>
      </c>
      <c r="F5" s="55" t="s">
        <v>2418</v>
      </c>
      <c r="G5" s="55" t="s">
        <v>2779</v>
      </c>
      <c r="H5" s="55" t="s">
        <v>2780</v>
      </c>
      <c r="I5" s="55"/>
    </row>
    <row r="6" spans="4:13" x14ac:dyDescent="0.3">
      <c r="D6" s="55"/>
      <c r="E6" s="55" t="s">
        <v>2781</v>
      </c>
      <c r="F6" s="55" t="s">
        <v>2782</v>
      </c>
      <c r="G6" s="55">
        <v>4</v>
      </c>
      <c r="H6" s="55"/>
      <c r="I6" s="55"/>
    </row>
    <row r="7" spans="4:13" x14ac:dyDescent="0.3">
      <c r="D7" s="55"/>
      <c r="E7" s="55" t="s">
        <v>2783</v>
      </c>
      <c r="F7" s="55" t="s">
        <v>2784</v>
      </c>
      <c r="G7" s="55">
        <v>4</v>
      </c>
      <c r="H7" s="55"/>
      <c r="I7" s="55"/>
    </row>
    <row r="8" spans="4:13" x14ac:dyDescent="0.3">
      <c r="D8" s="55"/>
      <c r="E8" s="55" t="s">
        <v>2785</v>
      </c>
      <c r="F8" s="55" t="s">
        <v>2786</v>
      </c>
      <c r="G8" s="55">
        <v>4</v>
      </c>
      <c r="H8" s="55"/>
      <c r="I8" s="55"/>
    </row>
    <row r="9" spans="4:13" x14ac:dyDescent="0.3">
      <c r="D9" s="55"/>
      <c r="E9" s="55" t="s">
        <v>2787</v>
      </c>
      <c r="F9" s="55" t="s">
        <v>2788</v>
      </c>
      <c r="G9" s="55">
        <v>2</v>
      </c>
      <c r="H9" s="55" t="s">
        <v>2789</v>
      </c>
      <c r="I9" s="55"/>
    </row>
    <row r="10" spans="4:13" x14ac:dyDescent="0.3">
      <c r="D10" s="55"/>
      <c r="E10" s="55" t="s">
        <v>2790</v>
      </c>
      <c r="F10" s="55" t="s">
        <v>2791</v>
      </c>
      <c r="G10" s="55">
        <v>2</v>
      </c>
      <c r="H10" s="55" t="s">
        <v>2792</v>
      </c>
      <c r="I10" s="55"/>
    </row>
    <row r="11" spans="4:13" x14ac:dyDescent="0.3">
      <c r="D11" s="55"/>
      <c r="E11" s="55" t="s">
        <v>2793</v>
      </c>
      <c r="F11" s="55" t="s">
        <v>2794</v>
      </c>
      <c r="G11" s="55">
        <v>4</v>
      </c>
      <c r="H11" s="55"/>
      <c r="I11" s="55"/>
    </row>
    <row r="12" spans="4:13" x14ac:dyDescent="0.3">
      <c r="D12" s="55"/>
      <c r="E12" s="55" t="s">
        <v>2795</v>
      </c>
      <c r="F12" s="55" t="s">
        <v>2796</v>
      </c>
      <c r="G12" s="55">
        <v>4</v>
      </c>
      <c r="H12" s="55"/>
      <c r="I12" s="55"/>
    </row>
    <row r="13" spans="4:13" x14ac:dyDescent="0.3">
      <c r="D13" s="55"/>
      <c r="E13" s="55" t="s">
        <v>2797</v>
      </c>
      <c r="F13" s="55" t="s">
        <v>2798</v>
      </c>
      <c r="G13" s="55">
        <v>2</v>
      </c>
      <c r="H13" s="55"/>
      <c r="I13" s="55"/>
    </row>
    <row r="14" spans="4:13" x14ac:dyDescent="0.3">
      <c r="D14" s="55"/>
      <c r="E14" s="55" t="s">
        <v>2799</v>
      </c>
      <c r="F14" s="55" t="s">
        <v>2800</v>
      </c>
      <c r="G14" s="55">
        <v>2</v>
      </c>
      <c r="H14" s="55"/>
      <c r="I14" s="55"/>
    </row>
    <row r="15" spans="4:13" x14ac:dyDescent="0.3">
      <c r="D15" s="55"/>
      <c r="E15" s="55" t="s">
        <v>2801</v>
      </c>
      <c r="F15" s="55" t="s">
        <v>2802</v>
      </c>
      <c r="G15" s="55">
        <v>4</v>
      </c>
      <c r="H15" s="55"/>
      <c r="I15" s="55"/>
    </row>
    <row r="16" spans="4:13" x14ac:dyDescent="0.3">
      <c r="D16" s="55"/>
      <c r="E16" s="55" t="s">
        <v>2803</v>
      </c>
      <c r="F16" s="55" t="s">
        <v>2804</v>
      </c>
      <c r="G16" s="55">
        <v>4</v>
      </c>
      <c r="H16" s="55"/>
      <c r="I16" s="55"/>
    </row>
    <row r="17" spans="1:16" x14ac:dyDescent="0.3">
      <c r="D17" s="55"/>
      <c r="E17" s="55" t="s">
        <v>2805</v>
      </c>
      <c r="F17" s="55" t="s">
        <v>2806</v>
      </c>
      <c r="G17" s="55">
        <v>4</v>
      </c>
      <c r="H17" s="55"/>
      <c r="I17" s="55"/>
    </row>
    <row r="20" spans="1:16" x14ac:dyDescent="0.3">
      <c r="D20" s="55" t="s">
        <v>2772</v>
      </c>
      <c r="E20" s="55">
        <v>107</v>
      </c>
      <c r="F20" s="55" t="s">
        <v>2807</v>
      </c>
      <c r="G20" s="55" t="s">
        <v>2774</v>
      </c>
      <c r="H20" s="55" t="s">
        <v>2775</v>
      </c>
      <c r="I20" s="55" t="s">
        <v>2776</v>
      </c>
      <c r="J20" s="55" t="s">
        <v>2808</v>
      </c>
      <c r="K20" s="55" t="s">
        <v>2809</v>
      </c>
      <c r="N20" t="s">
        <v>2810</v>
      </c>
    </row>
    <row r="21" spans="1:16" x14ac:dyDescent="0.3">
      <c r="D21" s="55" t="s">
        <v>2777</v>
      </c>
      <c r="E21" s="55">
        <v>4</v>
      </c>
      <c r="F21" s="55"/>
      <c r="G21" s="55"/>
      <c r="H21" s="55"/>
      <c r="I21" s="55"/>
      <c r="J21" s="55"/>
      <c r="K21" s="55"/>
    </row>
    <row r="22" spans="1:16" x14ac:dyDescent="0.3">
      <c r="D22" s="55" t="s">
        <v>2778</v>
      </c>
      <c r="E22" s="55" t="s">
        <v>1518</v>
      </c>
      <c r="F22" s="55" t="s">
        <v>2418</v>
      </c>
      <c r="G22" s="55" t="s">
        <v>2779</v>
      </c>
      <c r="H22" s="55" t="s">
        <v>2780</v>
      </c>
      <c r="I22" s="55"/>
      <c r="J22" s="55"/>
      <c r="K22" s="55"/>
    </row>
    <row r="23" spans="1:16" ht="230.4" customHeight="1" x14ac:dyDescent="0.3">
      <c r="D23" s="55"/>
      <c r="E23" s="54">
        <v>0</v>
      </c>
      <c r="F23" s="228" t="s">
        <v>2811</v>
      </c>
      <c r="G23" s="228">
        <v>1</v>
      </c>
      <c r="H23" s="461" t="s">
        <v>2812</v>
      </c>
      <c r="I23" s="462"/>
      <c r="J23" s="192" t="s">
        <v>3854</v>
      </c>
      <c r="K23" s="55"/>
    </row>
    <row r="24" spans="1:16" ht="124.8" x14ac:dyDescent="0.3">
      <c r="D24" s="55"/>
      <c r="E24" s="54">
        <v>1</v>
      </c>
      <c r="F24" s="228" t="s">
        <v>2813</v>
      </c>
      <c r="G24" s="228">
        <v>1</v>
      </c>
      <c r="H24" s="461" t="s">
        <v>2814</v>
      </c>
      <c r="I24" s="462"/>
      <c r="J24" s="192" t="s">
        <v>2815</v>
      </c>
      <c r="K24" s="55"/>
    </row>
    <row r="25" spans="1:16" ht="218.4" x14ac:dyDescent="0.3">
      <c r="D25" s="55"/>
      <c r="E25" s="54">
        <v>2</v>
      </c>
      <c r="F25" s="228" t="s">
        <v>2816</v>
      </c>
      <c r="G25" s="228">
        <v>1</v>
      </c>
      <c r="H25" s="461" t="s">
        <v>2817</v>
      </c>
      <c r="I25" s="462"/>
      <c r="J25" s="192" t="s">
        <v>3861</v>
      </c>
      <c r="K25" s="229" t="s">
        <v>2818</v>
      </c>
    </row>
    <row r="26" spans="1:16" ht="124.8" x14ac:dyDescent="0.3">
      <c r="D26" s="55"/>
      <c r="E26" s="54">
        <v>3</v>
      </c>
      <c r="F26" s="228" t="s">
        <v>437</v>
      </c>
      <c r="G26" s="228">
        <v>1</v>
      </c>
      <c r="H26" s="461" t="s">
        <v>2819</v>
      </c>
      <c r="I26" s="462"/>
      <c r="J26" s="192" t="s">
        <v>438</v>
      </c>
    </row>
    <row r="29" spans="1:16" x14ac:dyDescent="0.3">
      <c r="D29" s="230" t="s">
        <v>2820</v>
      </c>
      <c r="E29" s="230"/>
      <c r="F29" s="230"/>
      <c r="G29" s="230"/>
      <c r="H29" s="230"/>
      <c r="I29" s="230"/>
      <c r="J29" s="231"/>
      <c r="K29" s="231"/>
      <c r="L29" s="231"/>
      <c r="M29" s="231"/>
      <c r="O29" t="s">
        <v>3838</v>
      </c>
    </row>
    <row r="30" spans="1:16" x14ac:dyDescent="0.3">
      <c r="A30" t="s">
        <v>3864</v>
      </c>
      <c r="B30" t="s">
        <v>3865</v>
      </c>
      <c r="C30" t="s">
        <v>3863</v>
      </c>
      <c r="D30" s="55" t="s">
        <v>2821</v>
      </c>
      <c r="E30" s="55" t="s">
        <v>2822</v>
      </c>
      <c r="F30" s="54" t="s">
        <v>2823</v>
      </c>
      <c r="G30" s="54" t="s">
        <v>2824</v>
      </c>
      <c r="H30" s="54" t="s">
        <v>2825</v>
      </c>
      <c r="I30" s="54" t="s">
        <v>2826</v>
      </c>
      <c r="J30" s="54" t="s">
        <v>2827</v>
      </c>
      <c r="K30" s="54" t="s">
        <v>2828</v>
      </c>
      <c r="L30" s="54" t="s">
        <v>2829</v>
      </c>
      <c r="M30" s="54" t="s">
        <v>2829</v>
      </c>
      <c r="N30" s="54" t="s">
        <v>2830</v>
      </c>
      <c r="O30" s="54" t="s">
        <v>2830</v>
      </c>
      <c r="P30" s="55"/>
    </row>
    <row r="31" spans="1:16" x14ac:dyDescent="0.3">
      <c r="A31" t="s">
        <v>3866</v>
      </c>
      <c r="B31" t="s">
        <v>3866</v>
      </c>
      <c r="C31" t="s">
        <v>3866</v>
      </c>
      <c r="D31" s="54">
        <v>1</v>
      </c>
      <c r="E31" s="411" t="s">
        <v>2831</v>
      </c>
      <c r="F31" s="54">
        <v>107</v>
      </c>
      <c r="G31" s="56">
        <v>4</v>
      </c>
      <c r="H31" s="54">
        <v>117</v>
      </c>
      <c r="I31" s="54">
        <v>40</v>
      </c>
      <c r="J31" s="54">
        <v>120</v>
      </c>
      <c r="K31" s="54">
        <v>1</v>
      </c>
      <c r="L31" s="54">
        <v>199</v>
      </c>
      <c r="M31" s="54">
        <v>0</v>
      </c>
      <c r="N31" s="54">
        <v>198</v>
      </c>
      <c r="O31" s="54">
        <v>0</v>
      </c>
      <c r="P31" s="55" t="s">
        <v>2832</v>
      </c>
    </row>
    <row r="32" spans="1:16" x14ac:dyDescent="0.3">
      <c r="A32" t="s">
        <v>3866</v>
      </c>
      <c r="B32" t="s">
        <v>3866</v>
      </c>
      <c r="C32" t="s">
        <v>3866</v>
      </c>
      <c r="D32" s="54">
        <v>2</v>
      </c>
      <c r="E32" s="411" t="s">
        <v>2833</v>
      </c>
      <c r="F32" s="54">
        <v>2</v>
      </c>
      <c r="G32" s="54">
        <v>1</v>
      </c>
      <c r="H32" s="54">
        <v>50</v>
      </c>
      <c r="I32" s="54">
        <v>1</v>
      </c>
      <c r="J32" s="54">
        <v>120</v>
      </c>
      <c r="K32" s="54">
        <v>1</v>
      </c>
      <c r="L32" s="54">
        <v>199</v>
      </c>
      <c r="M32" s="54">
        <v>0</v>
      </c>
      <c r="N32" s="54">
        <v>198</v>
      </c>
      <c r="O32" s="54">
        <v>0</v>
      </c>
      <c r="P32" s="55" t="s">
        <v>2832</v>
      </c>
    </row>
    <row r="33" spans="1:16" x14ac:dyDescent="0.3">
      <c r="A33" t="s">
        <v>3866</v>
      </c>
      <c r="B33" t="s">
        <v>3866</v>
      </c>
      <c r="C33" t="s">
        <v>3866</v>
      </c>
      <c r="D33" s="54">
        <v>3</v>
      </c>
      <c r="E33" s="411" t="s">
        <v>2834</v>
      </c>
      <c r="F33" s="54">
        <v>2</v>
      </c>
      <c r="G33" s="54">
        <v>1</v>
      </c>
      <c r="H33" s="54">
        <v>51</v>
      </c>
      <c r="I33" s="54">
        <v>1</v>
      </c>
      <c r="J33" s="54">
        <v>120</v>
      </c>
      <c r="K33" s="54">
        <v>1</v>
      </c>
      <c r="L33" s="54">
        <v>199</v>
      </c>
      <c r="M33" s="54">
        <v>0</v>
      </c>
      <c r="N33" s="54">
        <v>198</v>
      </c>
      <c r="O33" s="54">
        <v>0</v>
      </c>
      <c r="P33" s="55" t="s">
        <v>2832</v>
      </c>
    </row>
    <row r="34" spans="1:16" x14ac:dyDescent="0.3">
      <c r="A34" t="s">
        <v>3866</v>
      </c>
      <c r="B34" t="s">
        <v>3866</v>
      </c>
      <c r="D34" s="54">
        <v>4</v>
      </c>
      <c r="E34" s="411" t="s">
        <v>2835</v>
      </c>
      <c r="F34" s="54">
        <v>3</v>
      </c>
      <c r="G34" s="54">
        <v>1</v>
      </c>
      <c r="H34" s="54">
        <v>52</v>
      </c>
      <c r="I34" s="54">
        <v>1</v>
      </c>
      <c r="J34" s="54">
        <v>120</v>
      </c>
      <c r="K34" s="54">
        <v>1</v>
      </c>
      <c r="L34" s="54">
        <v>199</v>
      </c>
      <c r="M34" s="54">
        <v>0</v>
      </c>
      <c r="N34" s="54">
        <v>198</v>
      </c>
      <c r="O34" s="54">
        <v>0</v>
      </c>
      <c r="P34" s="55" t="s">
        <v>2832</v>
      </c>
    </row>
    <row r="35" spans="1:16" x14ac:dyDescent="0.3">
      <c r="B35" t="s">
        <v>3866</v>
      </c>
      <c r="D35" s="54">
        <v>5</v>
      </c>
      <c r="E35" s="55" t="s">
        <v>2836</v>
      </c>
      <c r="F35" s="54">
        <v>4</v>
      </c>
      <c r="G35" s="54">
        <v>1</v>
      </c>
      <c r="H35" s="54">
        <v>53</v>
      </c>
      <c r="I35" s="54">
        <v>1</v>
      </c>
      <c r="J35" s="54">
        <v>120</v>
      </c>
      <c r="K35" s="54">
        <v>1</v>
      </c>
      <c r="L35" s="54">
        <v>199</v>
      </c>
      <c r="M35" s="54">
        <v>0</v>
      </c>
      <c r="N35" s="54">
        <v>198</v>
      </c>
      <c r="O35" s="54">
        <v>0</v>
      </c>
      <c r="P35" s="55" t="s">
        <v>2832</v>
      </c>
    </row>
    <row r="36" spans="1:16" x14ac:dyDescent="0.3">
      <c r="B36" t="s">
        <v>3866</v>
      </c>
      <c r="D36" s="54">
        <v>6</v>
      </c>
      <c r="E36" s="55" t="s">
        <v>2837</v>
      </c>
      <c r="F36" s="54">
        <v>4</v>
      </c>
      <c r="G36" s="54">
        <v>1</v>
      </c>
      <c r="H36" s="54">
        <v>54</v>
      </c>
      <c r="I36" s="54">
        <v>1</v>
      </c>
      <c r="J36" s="54">
        <v>120</v>
      </c>
      <c r="K36" s="54">
        <v>1</v>
      </c>
      <c r="L36" s="54">
        <v>199</v>
      </c>
      <c r="M36" s="54">
        <v>0</v>
      </c>
      <c r="N36" s="54">
        <v>198</v>
      </c>
      <c r="O36" s="54">
        <v>0</v>
      </c>
      <c r="P36" s="55" t="s">
        <v>2832</v>
      </c>
    </row>
    <row r="37" spans="1:16" x14ac:dyDescent="0.3">
      <c r="B37" t="s">
        <v>3866</v>
      </c>
      <c r="D37" s="54">
        <v>7</v>
      </c>
      <c r="E37" s="55" t="s">
        <v>2838</v>
      </c>
      <c r="F37" s="54">
        <v>5</v>
      </c>
      <c r="G37" s="54">
        <v>1</v>
      </c>
      <c r="H37" s="54">
        <v>54</v>
      </c>
      <c r="I37" s="54">
        <v>1</v>
      </c>
      <c r="J37" s="54">
        <v>120</v>
      </c>
      <c r="K37" s="54">
        <v>1</v>
      </c>
      <c r="L37" s="54">
        <v>199</v>
      </c>
      <c r="M37" s="54">
        <v>0</v>
      </c>
      <c r="N37" s="54">
        <v>198</v>
      </c>
      <c r="O37" s="54">
        <v>0</v>
      </c>
      <c r="P37" s="55" t="s">
        <v>2832</v>
      </c>
    </row>
    <row r="38" spans="1:16" x14ac:dyDescent="0.3">
      <c r="D38" s="54">
        <v>8</v>
      </c>
      <c r="E38" s="55" t="s">
        <v>2839</v>
      </c>
      <c r="F38" s="54">
        <v>100</v>
      </c>
      <c r="G38" s="54">
        <v>6</v>
      </c>
      <c r="H38" s="54">
        <v>110</v>
      </c>
      <c r="I38" s="54">
        <v>8</v>
      </c>
      <c r="J38" s="54">
        <v>120</v>
      </c>
      <c r="K38" s="54">
        <v>1</v>
      </c>
      <c r="L38" s="54">
        <v>199</v>
      </c>
      <c r="M38" s="54">
        <v>0</v>
      </c>
      <c r="N38" s="54">
        <v>198</v>
      </c>
      <c r="O38" s="54">
        <v>0</v>
      </c>
      <c r="P38" s="55" t="s">
        <v>2832</v>
      </c>
    </row>
    <row r="39" spans="1:16" x14ac:dyDescent="0.3">
      <c r="B39" t="s">
        <v>3866</v>
      </c>
      <c r="D39" s="54">
        <v>9</v>
      </c>
      <c r="E39" s="55" t="s">
        <v>2840</v>
      </c>
      <c r="F39" s="54">
        <v>101</v>
      </c>
      <c r="G39" s="54">
        <v>8</v>
      </c>
      <c r="H39" s="54">
        <v>111</v>
      </c>
      <c r="I39" s="54">
        <v>8</v>
      </c>
      <c r="J39" s="54">
        <v>120</v>
      </c>
      <c r="K39" s="54">
        <v>1</v>
      </c>
      <c r="L39" s="54">
        <v>199</v>
      </c>
      <c r="M39" s="54">
        <v>0</v>
      </c>
      <c r="N39" s="54">
        <v>198</v>
      </c>
      <c r="O39" s="54">
        <v>0</v>
      </c>
      <c r="P39" s="55" t="s">
        <v>2832</v>
      </c>
    </row>
    <row r="40" spans="1:16" x14ac:dyDescent="0.3">
      <c r="D40" s="54">
        <v>10</v>
      </c>
      <c r="E40" s="55" t="s">
        <v>2841</v>
      </c>
      <c r="F40" s="54">
        <v>102</v>
      </c>
      <c r="G40" s="54">
        <v>10</v>
      </c>
      <c r="H40" s="54">
        <v>112</v>
      </c>
      <c r="I40" s="54">
        <v>10</v>
      </c>
      <c r="J40" s="54">
        <v>120</v>
      </c>
      <c r="K40" s="54">
        <v>1</v>
      </c>
      <c r="L40" s="54">
        <v>199</v>
      </c>
      <c r="M40" s="54">
        <v>0</v>
      </c>
      <c r="N40" s="54">
        <v>198</v>
      </c>
      <c r="O40" s="54">
        <v>0</v>
      </c>
      <c r="P40" s="55" t="s">
        <v>2832</v>
      </c>
    </row>
    <row r="41" spans="1:16" x14ac:dyDescent="0.3">
      <c r="D41" s="54">
        <v>11</v>
      </c>
      <c r="E41" s="55" t="s">
        <v>2842</v>
      </c>
      <c r="F41" s="54">
        <v>103</v>
      </c>
      <c r="G41" s="54">
        <v>14</v>
      </c>
      <c r="H41" s="54">
        <v>113</v>
      </c>
      <c r="I41" s="54">
        <v>16</v>
      </c>
      <c r="J41" s="54">
        <v>120</v>
      </c>
      <c r="K41" s="54">
        <v>1</v>
      </c>
      <c r="L41" s="54">
        <v>199</v>
      </c>
      <c r="M41" s="54">
        <v>0</v>
      </c>
      <c r="N41" s="54">
        <v>198</v>
      </c>
      <c r="O41" s="54">
        <v>0</v>
      </c>
      <c r="P41" s="55" t="s">
        <v>2832</v>
      </c>
    </row>
    <row r="42" spans="1:16" x14ac:dyDescent="0.3">
      <c r="D42" s="54">
        <v>12</v>
      </c>
      <c r="E42" s="55" t="s">
        <v>2843</v>
      </c>
      <c r="F42" s="54">
        <v>105</v>
      </c>
      <c r="G42" s="54">
        <v>6</v>
      </c>
      <c r="H42" s="54">
        <v>115</v>
      </c>
      <c r="I42" s="54">
        <v>12</v>
      </c>
      <c r="J42" s="54">
        <v>120</v>
      </c>
      <c r="K42" s="54">
        <v>1</v>
      </c>
      <c r="L42" s="54">
        <v>199</v>
      </c>
      <c r="M42" s="54">
        <v>0</v>
      </c>
      <c r="N42" s="54">
        <v>198</v>
      </c>
      <c r="O42" s="54">
        <v>0</v>
      </c>
      <c r="P42" s="55" t="s">
        <v>2832</v>
      </c>
    </row>
    <row r="43" spans="1:16" x14ac:dyDescent="0.3">
      <c r="D43" s="54">
        <v>13</v>
      </c>
      <c r="E43" s="55" t="s">
        <v>2844</v>
      </c>
      <c r="F43" s="54">
        <v>106</v>
      </c>
      <c r="G43" s="54">
        <v>10</v>
      </c>
      <c r="H43" s="54">
        <v>116</v>
      </c>
      <c r="I43" s="54">
        <v>128</v>
      </c>
      <c r="J43" s="54">
        <v>120</v>
      </c>
      <c r="K43" s="54">
        <v>1</v>
      </c>
      <c r="L43" s="54">
        <v>199</v>
      </c>
      <c r="M43" s="54">
        <v>0</v>
      </c>
      <c r="N43" s="54">
        <v>198</v>
      </c>
      <c r="O43" s="54">
        <v>0</v>
      </c>
      <c r="P43" s="55" t="s">
        <v>2832</v>
      </c>
    </row>
    <row r="45" spans="1:16" x14ac:dyDescent="0.3">
      <c r="E45" s="135" t="s">
        <v>2845</v>
      </c>
      <c r="F45" s="135" t="s">
        <v>2846</v>
      </c>
      <c r="G45" s="135"/>
      <c r="H45" s="135"/>
      <c r="I45" s="135" t="s">
        <v>2847</v>
      </c>
    </row>
    <row r="46" spans="1:16" ht="17.399999999999999" x14ac:dyDescent="0.3">
      <c r="D46" s="232" t="s">
        <v>2848</v>
      </c>
      <c r="E46" s="55"/>
      <c r="F46" s="55"/>
      <c r="G46" s="55"/>
      <c r="H46" s="55"/>
      <c r="I46" s="55"/>
    </row>
    <row r="47" spans="1:16" x14ac:dyDescent="0.3">
      <c r="D47" s="233" t="s">
        <v>2849</v>
      </c>
      <c r="E47" s="55"/>
      <c r="F47" s="55" t="s">
        <v>2850</v>
      </c>
      <c r="G47" s="55"/>
      <c r="H47" s="55"/>
      <c r="I47" s="55"/>
    </row>
    <row r="48" spans="1:16" ht="15" thickBot="1" x14ac:dyDescent="0.35">
      <c r="D48" s="234"/>
    </row>
    <row r="49" spans="4:13" ht="15" thickBot="1" x14ac:dyDescent="0.35">
      <c r="D49" s="235" t="s">
        <v>2851</v>
      </c>
      <c r="E49" s="236" t="s">
        <v>2583</v>
      </c>
      <c r="F49" s="236" t="s">
        <v>2582</v>
      </c>
      <c r="G49" s="236" t="s">
        <v>2581</v>
      </c>
      <c r="H49" s="236" t="s">
        <v>2580</v>
      </c>
      <c r="I49" s="236" t="s">
        <v>2579</v>
      </c>
      <c r="J49" s="236" t="s">
        <v>2578</v>
      </c>
      <c r="K49" s="236" t="s">
        <v>2577</v>
      </c>
      <c r="L49" s="236" t="s">
        <v>2575</v>
      </c>
      <c r="M49" s="237"/>
    </row>
    <row r="50" spans="4:13" ht="15" thickBot="1" x14ac:dyDescent="0.35">
      <c r="D50" s="238">
        <v>0</v>
      </c>
      <c r="E50" s="239" t="s">
        <v>320</v>
      </c>
      <c r="F50" s="239" t="s">
        <v>320</v>
      </c>
      <c r="G50" s="239" t="s">
        <v>320</v>
      </c>
      <c r="H50" s="239" t="s">
        <v>320</v>
      </c>
      <c r="I50" s="239" t="s">
        <v>320</v>
      </c>
      <c r="J50" s="240" t="s">
        <v>2852</v>
      </c>
      <c r="K50" s="239" t="s">
        <v>320</v>
      </c>
      <c r="L50" s="239" t="s">
        <v>320</v>
      </c>
      <c r="M50" s="241"/>
    </row>
    <row r="51" spans="4:13" x14ac:dyDescent="0.3">
      <c r="D51" s="242" t="s">
        <v>2853</v>
      </c>
    </row>
    <row r="52" spans="4:13" ht="15" thickBot="1" x14ac:dyDescent="0.35">
      <c r="D52" s="234"/>
    </row>
    <row r="53" spans="4:13" ht="15" thickBot="1" x14ac:dyDescent="0.35">
      <c r="D53" s="235" t="s">
        <v>2851</v>
      </c>
      <c r="E53" s="236" t="s">
        <v>2583</v>
      </c>
      <c r="F53" s="236" t="s">
        <v>2582</v>
      </c>
      <c r="G53" s="236" t="s">
        <v>2581</v>
      </c>
      <c r="H53" s="236" t="s">
        <v>2580</v>
      </c>
      <c r="I53" s="236" t="s">
        <v>2579</v>
      </c>
      <c r="J53" s="236" t="s">
        <v>2578</v>
      </c>
      <c r="K53" s="236" t="s">
        <v>2577</v>
      </c>
      <c r="L53" s="236" t="s">
        <v>2575</v>
      </c>
      <c r="M53" s="237"/>
    </row>
    <row r="54" spans="4:13" ht="15" thickBot="1" x14ac:dyDescent="0.35">
      <c r="D54" s="238">
        <v>0</v>
      </c>
      <c r="E54" s="239" t="s">
        <v>320</v>
      </c>
      <c r="F54" s="239" t="s">
        <v>320</v>
      </c>
      <c r="G54" s="239" t="s">
        <v>320</v>
      </c>
      <c r="H54" s="239" t="s">
        <v>320</v>
      </c>
      <c r="I54" s="239" t="s">
        <v>320</v>
      </c>
      <c r="J54" s="240" t="s">
        <v>2852</v>
      </c>
      <c r="K54" s="239" t="s">
        <v>320</v>
      </c>
      <c r="L54" s="240" t="s">
        <v>2854</v>
      </c>
      <c r="M54" s="243"/>
    </row>
    <row r="55" spans="4:13" x14ac:dyDescent="0.3">
      <c r="D55" s="242" t="s">
        <v>2855</v>
      </c>
    </row>
    <row r="56" spans="4:13" ht="15" thickBot="1" x14ac:dyDescent="0.35">
      <c r="D56" s="234"/>
    </row>
    <row r="57" spans="4:13" ht="15" thickBot="1" x14ac:dyDescent="0.35">
      <c r="D57" s="235" t="s">
        <v>2851</v>
      </c>
      <c r="E57" s="236" t="s">
        <v>2583</v>
      </c>
      <c r="F57" s="236" t="s">
        <v>2582</v>
      </c>
      <c r="G57" s="236" t="s">
        <v>2581</v>
      </c>
      <c r="H57" s="236" t="s">
        <v>2580</v>
      </c>
      <c r="I57" s="236" t="s">
        <v>2579</v>
      </c>
      <c r="J57" s="236" t="s">
        <v>2578</v>
      </c>
      <c r="K57" s="236" t="s">
        <v>2577</v>
      </c>
      <c r="L57" s="236" t="s">
        <v>2575</v>
      </c>
      <c r="M57" s="237"/>
    </row>
    <row r="58" spans="4:13" ht="15" thickBot="1" x14ac:dyDescent="0.35">
      <c r="D58" s="238">
        <v>0</v>
      </c>
      <c r="E58" s="239" t="s">
        <v>320</v>
      </c>
      <c r="F58" s="239" t="s">
        <v>320</v>
      </c>
      <c r="G58" s="239" t="s">
        <v>320</v>
      </c>
      <c r="H58" s="239" t="s">
        <v>320</v>
      </c>
      <c r="I58" s="239" t="s">
        <v>320</v>
      </c>
      <c r="J58" s="239" t="s">
        <v>320</v>
      </c>
      <c r="K58" s="240" t="s">
        <v>2856</v>
      </c>
      <c r="L58" s="240" t="s">
        <v>2854</v>
      </c>
      <c r="M58" s="243"/>
    </row>
    <row r="60" spans="4:13" x14ac:dyDescent="0.3">
      <c r="D60" s="244"/>
    </row>
    <row r="61" spans="4:13" x14ac:dyDescent="0.3">
      <c r="D61" s="233" t="s">
        <v>2857</v>
      </c>
    </row>
    <row r="62" spans="4:13" ht="15" thickBot="1" x14ac:dyDescent="0.35">
      <c r="D62" s="234"/>
    </row>
    <row r="63" spans="4:13" ht="15" thickBot="1" x14ac:dyDescent="0.35">
      <c r="D63" s="235" t="s">
        <v>2851</v>
      </c>
      <c r="E63" s="236" t="s">
        <v>2583</v>
      </c>
      <c r="F63" s="236" t="s">
        <v>2582</v>
      </c>
      <c r="G63" s="236" t="s">
        <v>2581</v>
      </c>
      <c r="H63" s="236" t="s">
        <v>2580</v>
      </c>
      <c r="I63" s="236" t="s">
        <v>2579</v>
      </c>
      <c r="J63" s="236" t="s">
        <v>2578</v>
      </c>
      <c r="K63" s="236" t="s">
        <v>2577</v>
      </c>
      <c r="L63" s="236" t="s">
        <v>2575</v>
      </c>
      <c r="M63" s="237"/>
    </row>
    <row r="64" spans="4:13" ht="15" thickBot="1" x14ac:dyDescent="0.35">
      <c r="D64" s="238">
        <v>0</v>
      </c>
      <c r="E64" s="239" t="s">
        <v>320</v>
      </c>
      <c r="F64" s="239" t="s">
        <v>320</v>
      </c>
      <c r="G64" s="239" t="s">
        <v>320</v>
      </c>
      <c r="H64" s="239" t="s">
        <v>320</v>
      </c>
      <c r="I64" s="239" t="s">
        <v>320</v>
      </c>
      <c r="J64" s="240" t="s">
        <v>2852</v>
      </c>
      <c r="K64" s="240" t="s">
        <v>2856</v>
      </c>
      <c r="L64" s="240" t="s">
        <v>2854</v>
      </c>
      <c r="M64" s="243"/>
    </row>
    <row r="65" spans="4:11" x14ac:dyDescent="0.3">
      <c r="D65" s="242" t="s">
        <v>2858</v>
      </c>
    </row>
    <row r="66" spans="4:11" x14ac:dyDescent="0.3">
      <c r="D66" s="233" t="s">
        <v>2859</v>
      </c>
    </row>
    <row r="67" spans="4:11" x14ac:dyDescent="0.3">
      <c r="D67" s="245" t="s">
        <v>2860</v>
      </c>
    </row>
    <row r="68" spans="4:11" ht="15" thickBot="1" x14ac:dyDescent="0.35">
      <c r="D68" s="246"/>
    </row>
    <row r="69" spans="4:11" ht="15" thickBot="1" x14ac:dyDescent="0.35">
      <c r="D69" s="235" t="s">
        <v>2781</v>
      </c>
      <c r="E69" s="236" t="s">
        <v>2861</v>
      </c>
      <c r="F69" s="236" t="s">
        <v>2862</v>
      </c>
      <c r="G69" s="236" t="s">
        <v>2863</v>
      </c>
      <c r="H69" s="236" t="s">
        <v>2783</v>
      </c>
      <c r="I69" s="236" t="s">
        <v>2864</v>
      </c>
    </row>
    <row r="70" spans="4:11" x14ac:dyDescent="0.3">
      <c r="D70" s="463" t="s">
        <v>2865</v>
      </c>
      <c r="E70" s="464"/>
      <c r="F70" s="463" t="s">
        <v>2866</v>
      </c>
      <c r="G70" s="464"/>
      <c r="H70" s="463" t="s">
        <v>2867</v>
      </c>
      <c r="I70" s="464"/>
    </row>
    <row r="71" spans="4:11" ht="15" thickBot="1" x14ac:dyDescent="0.35">
      <c r="D71" s="465" t="s">
        <v>2868</v>
      </c>
      <c r="E71" s="466"/>
      <c r="F71" s="465" t="s">
        <v>2869</v>
      </c>
      <c r="G71" s="466"/>
      <c r="H71" s="465" t="s">
        <v>2870</v>
      </c>
      <c r="I71" s="466"/>
    </row>
    <row r="72" spans="4:11" ht="31.2" thickBot="1" x14ac:dyDescent="0.35">
      <c r="D72" s="238" t="s">
        <v>2871</v>
      </c>
      <c r="E72" s="240" t="s">
        <v>2872</v>
      </c>
      <c r="F72" s="240" t="s">
        <v>2873</v>
      </c>
      <c r="G72" s="240" t="s">
        <v>2874</v>
      </c>
      <c r="H72" s="240" t="s">
        <v>2875</v>
      </c>
      <c r="I72" s="240" t="s">
        <v>2876</v>
      </c>
    </row>
    <row r="73" spans="4:11" x14ac:dyDescent="0.3">
      <c r="D73" s="233" t="s">
        <v>2877</v>
      </c>
      <c r="J73" t="s">
        <v>2878</v>
      </c>
    </row>
    <row r="74" spans="4:11" x14ac:dyDescent="0.3">
      <c r="D74" s="245" t="s">
        <v>2879</v>
      </c>
    </row>
    <row r="75" spans="4:11" ht="15" thickBot="1" x14ac:dyDescent="0.35">
      <c r="D75" s="247"/>
    </row>
    <row r="76" spans="4:11" ht="15" thickBot="1" x14ac:dyDescent="0.35">
      <c r="D76" s="235" t="s">
        <v>2781</v>
      </c>
      <c r="E76" s="236" t="s">
        <v>2861</v>
      </c>
      <c r="F76" s="236" t="s">
        <v>2862</v>
      </c>
      <c r="G76" s="236" t="s">
        <v>2863</v>
      </c>
      <c r="H76" s="236" t="s">
        <v>2783</v>
      </c>
      <c r="I76" s="236" t="s">
        <v>2864</v>
      </c>
      <c r="J76" s="236" t="s">
        <v>2880</v>
      </c>
      <c r="K76" s="236" t="s">
        <v>2881</v>
      </c>
    </row>
    <row r="77" spans="4:11" ht="15" thickBot="1" x14ac:dyDescent="0.35">
      <c r="D77" s="467"/>
      <c r="E77" s="468"/>
      <c r="F77" s="468"/>
      <c r="G77" s="468"/>
      <c r="H77" s="468"/>
      <c r="I77" s="468"/>
      <c r="J77" s="468"/>
      <c r="K77" s="469"/>
    </row>
    <row r="78" spans="4:11" ht="15" thickBot="1" x14ac:dyDescent="0.35">
      <c r="D78" s="233" t="s">
        <v>2882</v>
      </c>
    </row>
    <row r="79" spans="4:11" ht="15" thickBot="1" x14ac:dyDescent="0.35">
      <c r="D79" s="235" t="s">
        <v>2883</v>
      </c>
      <c r="E79" s="236" t="s">
        <v>2785</v>
      </c>
      <c r="F79" s="236" t="s">
        <v>2884</v>
      </c>
    </row>
    <row r="80" spans="4:11" ht="31.2" thickBot="1" x14ac:dyDescent="0.35">
      <c r="D80" s="238" t="s">
        <v>2885</v>
      </c>
      <c r="E80" s="240" t="s">
        <v>2886</v>
      </c>
      <c r="F80" s="240" t="s">
        <v>2887</v>
      </c>
    </row>
    <row r="81" spans="4:9" ht="15" thickBot="1" x14ac:dyDescent="0.35">
      <c r="D81" s="233" t="s">
        <v>2888</v>
      </c>
    </row>
    <row r="82" spans="4:9" ht="15" thickBot="1" x14ac:dyDescent="0.35">
      <c r="D82" s="235" t="s">
        <v>2883</v>
      </c>
      <c r="E82" s="236" t="s">
        <v>2889</v>
      </c>
    </row>
    <row r="83" spans="4:9" ht="31.2" thickBot="1" x14ac:dyDescent="0.35">
      <c r="D83" s="238" t="s">
        <v>2885</v>
      </c>
      <c r="E83" s="240" t="s">
        <v>2890</v>
      </c>
    </row>
    <row r="84" spans="4:9" x14ac:dyDescent="0.3">
      <c r="D84" s="233" t="s">
        <v>2891</v>
      </c>
    </row>
    <row r="85" spans="4:9" x14ac:dyDescent="0.3">
      <c r="D85" s="245" t="s">
        <v>2892</v>
      </c>
    </row>
    <row r="86" spans="4:9" ht="15" thickBot="1" x14ac:dyDescent="0.35">
      <c r="D86" s="247"/>
    </row>
    <row r="87" spans="4:9" ht="15" thickBot="1" x14ac:dyDescent="0.35">
      <c r="D87" s="235" t="s">
        <v>2781</v>
      </c>
      <c r="E87" s="236" t="s">
        <v>2861</v>
      </c>
      <c r="F87" s="236" t="s">
        <v>2862</v>
      </c>
      <c r="G87" s="236" t="s">
        <v>2863</v>
      </c>
      <c r="H87" s="236" t="s">
        <v>2783</v>
      </c>
      <c r="I87" s="236" t="s">
        <v>2864</v>
      </c>
    </row>
    <row r="88" spans="4:9" x14ac:dyDescent="0.3">
      <c r="D88" s="463" t="s">
        <v>2893</v>
      </c>
      <c r="E88" s="464"/>
      <c r="F88" s="463" t="s">
        <v>2894</v>
      </c>
      <c r="G88" s="464"/>
      <c r="H88" s="463" t="s">
        <v>2895</v>
      </c>
      <c r="I88" s="464"/>
    </row>
    <row r="89" spans="4:9" ht="15" thickBot="1" x14ac:dyDescent="0.35">
      <c r="D89" s="465" t="s">
        <v>2896</v>
      </c>
      <c r="E89" s="466"/>
      <c r="F89" s="465" t="s">
        <v>2897</v>
      </c>
      <c r="G89" s="466"/>
      <c r="H89" s="465" t="s">
        <v>2898</v>
      </c>
      <c r="I89" s="466"/>
    </row>
    <row r="91" spans="4:9" x14ac:dyDescent="0.3">
      <c r="D91" s="244"/>
    </row>
    <row r="92" spans="4:9" x14ac:dyDescent="0.3">
      <c r="D92" s="233" t="s">
        <v>2899</v>
      </c>
    </row>
    <row r="93" spans="4:9" x14ac:dyDescent="0.3">
      <c r="D93" s="245" t="s">
        <v>2892</v>
      </c>
    </row>
    <row r="94" spans="4:9" ht="15" thickBot="1" x14ac:dyDescent="0.35">
      <c r="D94" s="247"/>
    </row>
    <row r="95" spans="4:9" ht="15" thickBot="1" x14ac:dyDescent="0.35">
      <c r="D95" s="235" t="s">
        <v>2781</v>
      </c>
      <c r="E95" s="236" t="s">
        <v>2861</v>
      </c>
      <c r="F95" s="236" t="s">
        <v>2862</v>
      </c>
      <c r="G95" s="236" t="s">
        <v>2863</v>
      </c>
      <c r="H95" s="236" t="s">
        <v>2783</v>
      </c>
      <c r="I95" s="236" t="s">
        <v>2864</v>
      </c>
    </row>
    <row r="96" spans="4:9" x14ac:dyDescent="0.3">
      <c r="D96" s="463" t="s">
        <v>2867</v>
      </c>
      <c r="E96" s="464"/>
      <c r="F96" s="463" t="s">
        <v>2900</v>
      </c>
      <c r="G96" s="464"/>
      <c r="H96" s="463" t="s">
        <v>2901</v>
      </c>
      <c r="I96" s="464"/>
    </row>
    <row r="97" spans="4:13" ht="15" thickBot="1" x14ac:dyDescent="0.35">
      <c r="D97" s="465" t="s">
        <v>2870</v>
      </c>
      <c r="E97" s="466"/>
      <c r="F97" s="465" t="s">
        <v>2902</v>
      </c>
      <c r="G97" s="466"/>
      <c r="H97" s="465" t="s">
        <v>2902</v>
      </c>
      <c r="I97" s="466"/>
    </row>
    <row r="98" spans="4:13" ht="15" thickBot="1" x14ac:dyDescent="0.35">
      <c r="D98" s="248"/>
    </row>
    <row r="99" spans="4:13" ht="15" thickBot="1" x14ac:dyDescent="0.35">
      <c r="D99" s="235" t="s">
        <v>2880</v>
      </c>
      <c r="E99" s="236" t="s">
        <v>2881</v>
      </c>
      <c r="F99" s="236" t="s">
        <v>2785</v>
      </c>
      <c r="G99" s="236" t="s">
        <v>2884</v>
      </c>
    </row>
    <row r="100" spans="4:13" x14ac:dyDescent="0.3">
      <c r="D100" s="463" t="s">
        <v>2866</v>
      </c>
      <c r="E100" s="464"/>
      <c r="F100" s="463" t="s">
        <v>2865</v>
      </c>
      <c r="G100" s="464"/>
    </row>
    <row r="101" spans="4:13" ht="15" thickBot="1" x14ac:dyDescent="0.35">
      <c r="D101" s="465" t="s">
        <v>2902</v>
      </c>
      <c r="E101" s="466"/>
      <c r="F101" s="465" t="s">
        <v>2868</v>
      </c>
      <c r="G101" s="466"/>
    </row>
    <row r="102" spans="4:13" x14ac:dyDescent="0.3">
      <c r="D102" s="243"/>
      <c r="E102" s="243"/>
      <c r="F102" s="243"/>
      <c r="G102" s="243"/>
    </row>
    <row r="103" spans="4:13" x14ac:dyDescent="0.3">
      <c r="D103" s="243"/>
      <c r="E103" s="410" t="s">
        <v>3855</v>
      </c>
      <c r="F103" s="243"/>
      <c r="G103" s="243"/>
    </row>
    <row r="104" spans="4:13" x14ac:dyDescent="0.3">
      <c r="D104" s="243"/>
      <c r="E104" s="410" t="s">
        <v>3856</v>
      </c>
      <c r="F104" s="243"/>
      <c r="G104" s="243"/>
    </row>
    <row r="105" spans="4:13" x14ac:dyDescent="0.3">
      <c r="D105" s="243"/>
      <c r="E105" s="410"/>
      <c r="F105" s="243"/>
      <c r="G105" s="243"/>
    </row>
    <row r="106" spans="4:13" x14ac:dyDescent="0.3">
      <c r="D106" s="244"/>
    </row>
    <row r="107" spans="4:13" ht="17.399999999999999" x14ac:dyDescent="0.3">
      <c r="D107" s="232" t="s">
        <v>2903</v>
      </c>
    </row>
    <row r="108" spans="4:13" x14ac:dyDescent="0.3">
      <c r="D108" s="233" t="s">
        <v>2904</v>
      </c>
    </row>
    <row r="109" spans="4:13" ht="15" thickBot="1" x14ac:dyDescent="0.35">
      <c r="D109" s="234"/>
    </row>
    <row r="110" spans="4:13" ht="15" thickBot="1" x14ac:dyDescent="0.35">
      <c r="D110" s="235" t="s">
        <v>2851</v>
      </c>
      <c r="E110" s="236" t="s">
        <v>2583</v>
      </c>
      <c r="F110" s="236" t="s">
        <v>2582</v>
      </c>
      <c r="G110" s="236" t="s">
        <v>2581</v>
      </c>
      <c r="H110" s="236" t="s">
        <v>2580</v>
      </c>
      <c r="I110" s="236" t="s">
        <v>2579</v>
      </c>
      <c r="J110" s="236" t="s">
        <v>2578</v>
      </c>
      <c r="K110" s="236" t="s">
        <v>2577</v>
      </c>
      <c r="L110" s="236" t="s">
        <v>2575</v>
      </c>
      <c r="M110" s="237"/>
    </row>
    <row r="111" spans="4:13" ht="15" thickBot="1" x14ac:dyDescent="0.35">
      <c r="D111" s="238">
        <v>0</v>
      </c>
      <c r="E111" s="239" t="s">
        <v>320</v>
      </c>
      <c r="F111" s="239" t="s">
        <v>320</v>
      </c>
      <c r="G111" s="239" t="s">
        <v>320</v>
      </c>
      <c r="H111" s="239" t="s">
        <v>320</v>
      </c>
      <c r="I111" s="239" t="s">
        <v>320</v>
      </c>
      <c r="J111" s="239" t="s">
        <v>320</v>
      </c>
      <c r="K111" s="239" t="s">
        <v>320</v>
      </c>
      <c r="L111" s="240" t="s">
        <v>2905</v>
      </c>
      <c r="M111" s="243"/>
    </row>
    <row r="112" spans="4:13" x14ac:dyDescent="0.3">
      <c r="D112" s="242" t="s">
        <v>2906</v>
      </c>
    </row>
    <row r="113" spans="4:13" ht="15" thickBot="1" x14ac:dyDescent="0.35">
      <c r="D113" s="234"/>
    </row>
    <row r="114" spans="4:13" ht="15" thickBot="1" x14ac:dyDescent="0.35">
      <c r="D114" s="235" t="s">
        <v>2851</v>
      </c>
      <c r="E114" s="236" t="s">
        <v>2583</v>
      </c>
      <c r="F114" s="236" t="s">
        <v>2582</v>
      </c>
      <c r="G114" s="236" t="s">
        <v>2581</v>
      </c>
      <c r="H114" s="236" t="s">
        <v>2580</v>
      </c>
      <c r="I114" s="236" t="s">
        <v>2579</v>
      </c>
      <c r="J114" s="236" t="s">
        <v>2578</v>
      </c>
      <c r="K114" s="236" t="s">
        <v>2577</v>
      </c>
      <c r="L114" s="236" t="s">
        <v>2575</v>
      </c>
      <c r="M114" s="237"/>
    </row>
    <row r="115" spans="4:13" ht="15" thickBot="1" x14ac:dyDescent="0.35">
      <c r="D115" s="238">
        <v>0</v>
      </c>
      <c r="E115" s="239" t="s">
        <v>320</v>
      </c>
      <c r="F115" s="239" t="s">
        <v>320</v>
      </c>
      <c r="G115" s="239" t="s">
        <v>320</v>
      </c>
      <c r="H115" s="239" t="s">
        <v>320</v>
      </c>
      <c r="I115" s="239" t="s">
        <v>320</v>
      </c>
      <c r="J115" s="239" t="s">
        <v>320</v>
      </c>
      <c r="K115" s="240" t="s">
        <v>857</v>
      </c>
      <c r="L115" s="240" t="s">
        <v>2905</v>
      </c>
      <c r="M115" s="243"/>
    </row>
    <row r="116" spans="4:13" x14ac:dyDescent="0.3">
      <c r="D116" s="242" t="s">
        <v>2907</v>
      </c>
    </row>
    <row r="117" spans="4:13" ht="15" thickBot="1" x14ac:dyDescent="0.35">
      <c r="D117" s="234"/>
    </row>
    <row r="118" spans="4:13" ht="15" thickBot="1" x14ac:dyDescent="0.35">
      <c r="D118" s="235" t="s">
        <v>2851</v>
      </c>
      <c r="E118" s="236" t="s">
        <v>2583</v>
      </c>
      <c r="F118" s="236" t="s">
        <v>2582</v>
      </c>
      <c r="G118" s="236" t="s">
        <v>2581</v>
      </c>
      <c r="H118" s="236" t="s">
        <v>2580</v>
      </c>
      <c r="I118" s="236" t="s">
        <v>2579</v>
      </c>
      <c r="J118" s="236" t="s">
        <v>2578</v>
      </c>
      <c r="K118" s="236" t="s">
        <v>2577</v>
      </c>
      <c r="L118" s="236" t="s">
        <v>2575</v>
      </c>
      <c r="M118" s="237"/>
    </row>
    <row r="119" spans="4:13" ht="15" thickBot="1" x14ac:dyDescent="0.35">
      <c r="D119" s="238">
        <v>0</v>
      </c>
      <c r="E119" s="239" t="s">
        <v>320</v>
      </c>
      <c r="F119" s="239" t="s">
        <v>320</v>
      </c>
      <c r="G119" s="239" t="s">
        <v>320</v>
      </c>
      <c r="H119" s="239" t="s">
        <v>320</v>
      </c>
      <c r="I119" s="239" t="s">
        <v>320</v>
      </c>
      <c r="J119" s="240" t="s">
        <v>2908</v>
      </c>
      <c r="K119" s="239" t="s">
        <v>320</v>
      </c>
      <c r="L119" s="240" t="s">
        <v>2905</v>
      </c>
      <c r="M119" s="243"/>
    </row>
    <row r="120" spans="4:13" x14ac:dyDescent="0.3">
      <c r="D120" s="242" t="s">
        <v>2909</v>
      </c>
    </row>
    <row r="121" spans="4:13" ht="15" thickBot="1" x14ac:dyDescent="0.35">
      <c r="D121" s="234"/>
    </row>
    <row r="122" spans="4:13" ht="15" thickBot="1" x14ac:dyDescent="0.35">
      <c r="D122" s="235" t="s">
        <v>2851</v>
      </c>
      <c r="E122" s="236" t="s">
        <v>2583</v>
      </c>
      <c r="F122" s="236" t="s">
        <v>2582</v>
      </c>
      <c r="G122" s="236" t="s">
        <v>2581</v>
      </c>
      <c r="H122" s="236" t="s">
        <v>2580</v>
      </c>
      <c r="I122" s="236" t="s">
        <v>2579</v>
      </c>
      <c r="J122" s="236" t="s">
        <v>2578</v>
      </c>
      <c r="K122" s="236" t="s">
        <v>2577</v>
      </c>
      <c r="L122" s="236" t="s">
        <v>2575</v>
      </c>
      <c r="M122" s="237"/>
    </row>
    <row r="123" spans="4:13" ht="15" thickBot="1" x14ac:dyDescent="0.35">
      <c r="D123" s="238">
        <v>0</v>
      </c>
      <c r="E123" s="239" t="s">
        <v>320</v>
      </c>
      <c r="F123" s="239" t="s">
        <v>320</v>
      </c>
      <c r="G123" s="240" t="s">
        <v>2910</v>
      </c>
      <c r="H123" s="240" t="s">
        <v>2911</v>
      </c>
      <c r="I123" s="239" t="s">
        <v>320</v>
      </c>
      <c r="J123" s="240" t="s">
        <v>2908</v>
      </c>
      <c r="K123" s="240" t="s">
        <v>857</v>
      </c>
      <c r="L123" s="240" t="s">
        <v>2905</v>
      </c>
      <c r="M123" s="243"/>
    </row>
    <row r="124" spans="4:13" x14ac:dyDescent="0.3">
      <c r="D124" s="242" t="s">
        <v>2912</v>
      </c>
    </row>
    <row r="125" spans="4:13" ht="15" thickBot="1" x14ac:dyDescent="0.35">
      <c r="D125" s="234"/>
    </row>
    <row r="126" spans="4:13" ht="15" thickBot="1" x14ac:dyDescent="0.35">
      <c r="D126" s="235" t="s">
        <v>2851</v>
      </c>
      <c r="E126" s="236" t="s">
        <v>2583</v>
      </c>
      <c r="F126" s="236" t="s">
        <v>2582</v>
      </c>
      <c r="G126" s="236" t="s">
        <v>2581</v>
      </c>
      <c r="H126" s="236" t="s">
        <v>2580</v>
      </c>
      <c r="I126" s="236" t="s">
        <v>2579</v>
      </c>
      <c r="J126" s="236" t="s">
        <v>2578</v>
      </c>
      <c r="K126" s="236" t="s">
        <v>2577</v>
      </c>
      <c r="L126" s="236" t="s">
        <v>2575</v>
      </c>
      <c r="M126" s="237"/>
    </row>
    <row r="127" spans="4:13" ht="15" thickBot="1" x14ac:dyDescent="0.35">
      <c r="D127" s="238">
        <v>0</v>
      </c>
      <c r="E127" s="239" t="s">
        <v>320</v>
      </c>
      <c r="F127" s="239" t="s">
        <v>320</v>
      </c>
      <c r="G127" s="240" t="s">
        <v>2910</v>
      </c>
      <c r="H127" s="240" t="s">
        <v>2911</v>
      </c>
      <c r="I127" s="240" t="s">
        <v>2913</v>
      </c>
      <c r="J127" s="240" t="s">
        <v>2908</v>
      </c>
      <c r="K127" s="240" t="s">
        <v>857</v>
      </c>
      <c r="L127" s="240" t="s">
        <v>2905</v>
      </c>
      <c r="M127" s="243"/>
    </row>
    <row r="128" spans="4:13" x14ac:dyDescent="0.3">
      <c r="D128" s="242" t="s">
        <v>2914</v>
      </c>
    </row>
    <row r="129" spans="4:11" x14ac:dyDescent="0.3">
      <c r="D129" s="245" t="s">
        <v>2915</v>
      </c>
    </row>
    <row r="130" spans="4:11" x14ac:dyDescent="0.3">
      <c r="D130" s="245" t="s">
        <v>2916</v>
      </c>
    </row>
    <row r="131" spans="4:11" x14ac:dyDescent="0.3">
      <c r="D131" s="245" t="s">
        <v>2917</v>
      </c>
    </row>
    <row r="132" spans="4:11" x14ac:dyDescent="0.3">
      <c r="D132" s="245" t="s">
        <v>2918</v>
      </c>
    </row>
    <row r="133" spans="4:11" x14ac:dyDescent="0.3">
      <c r="D133" s="245" t="s">
        <v>2919</v>
      </c>
    </row>
    <row r="134" spans="4:11" x14ac:dyDescent="0.3">
      <c r="D134" s="245" t="s">
        <v>2920</v>
      </c>
    </row>
    <row r="136" spans="4:11" x14ac:dyDescent="0.3">
      <c r="D136" s="244"/>
    </row>
    <row r="137" spans="4:11" x14ac:dyDescent="0.3">
      <c r="D137" s="233" t="s">
        <v>2921</v>
      </c>
    </row>
    <row r="138" spans="4:11" x14ac:dyDescent="0.3">
      <c r="D138" s="249" t="s">
        <v>2922</v>
      </c>
    </row>
    <row r="139" spans="4:11" ht="15" thickBot="1" x14ac:dyDescent="0.35">
      <c r="D139" s="246"/>
    </row>
    <row r="140" spans="4:11" ht="15" thickBot="1" x14ac:dyDescent="0.35">
      <c r="D140" s="235" t="s">
        <v>2781</v>
      </c>
      <c r="E140" s="236" t="s">
        <v>2861</v>
      </c>
      <c r="F140" s="236" t="s">
        <v>2862</v>
      </c>
      <c r="G140" s="236" t="s">
        <v>2863</v>
      </c>
      <c r="H140" s="236" t="s">
        <v>2783</v>
      </c>
      <c r="I140" s="236" t="s">
        <v>2864</v>
      </c>
      <c r="J140" s="236" t="s">
        <v>2880</v>
      </c>
      <c r="K140" s="236" t="s">
        <v>2881</v>
      </c>
    </row>
    <row r="141" spans="4:11" x14ac:dyDescent="0.3">
      <c r="D141" s="463" t="s">
        <v>2923</v>
      </c>
      <c r="E141" s="464"/>
      <c r="F141" s="463" t="s">
        <v>2924</v>
      </c>
      <c r="G141" s="464"/>
      <c r="H141" s="463" t="s">
        <v>2925</v>
      </c>
      <c r="I141" s="464"/>
      <c r="J141" s="463" t="s">
        <v>2926</v>
      </c>
      <c r="K141" s="464"/>
    </row>
    <row r="142" spans="4:11" ht="15" thickBot="1" x14ac:dyDescent="0.35">
      <c r="D142" s="465" t="s">
        <v>2927</v>
      </c>
      <c r="E142" s="466"/>
      <c r="F142" s="465" t="s">
        <v>2928</v>
      </c>
      <c r="G142" s="466"/>
      <c r="H142" s="465" t="s">
        <v>2929</v>
      </c>
      <c r="I142" s="466"/>
      <c r="J142" s="465" t="s">
        <v>2930</v>
      </c>
      <c r="K142" s="466"/>
    </row>
    <row r="143" spans="4:11" ht="15" thickBot="1" x14ac:dyDescent="0.35">
      <c r="D143" s="238" t="s">
        <v>2875</v>
      </c>
      <c r="E143" s="240" t="s">
        <v>2876</v>
      </c>
      <c r="F143" s="240" t="s">
        <v>2875</v>
      </c>
      <c r="G143" s="240" t="s">
        <v>2876</v>
      </c>
      <c r="H143" s="240" t="s">
        <v>2875</v>
      </c>
      <c r="I143" s="240" t="s">
        <v>2876</v>
      </c>
      <c r="J143" s="240" t="s">
        <v>2875</v>
      </c>
      <c r="K143" s="240" t="s">
        <v>2876</v>
      </c>
    </row>
    <row r="144" spans="4:11" x14ac:dyDescent="0.3">
      <c r="D144" s="233" t="s">
        <v>2931</v>
      </c>
    </row>
    <row r="145" spans="4:11" x14ac:dyDescent="0.3">
      <c r="D145" s="245" t="s">
        <v>2932</v>
      </c>
    </row>
    <row r="146" spans="4:11" ht="15" thickBot="1" x14ac:dyDescent="0.35">
      <c r="D146" s="247"/>
    </row>
    <row r="147" spans="4:11" ht="15" thickBot="1" x14ac:dyDescent="0.35">
      <c r="D147" s="235" t="s">
        <v>2781</v>
      </c>
      <c r="E147" s="236" t="s">
        <v>2861</v>
      </c>
      <c r="F147" s="236" t="s">
        <v>2862</v>
      </c>
      <c r="G147" s="236" t="s">
        <v>2863</v>
      </c>
      <c r="H147" s="236" t="s">
        <v>2783</v>
      </c>
      <c r="I147" s="236" t="s">
        <v>2864</v>
      </c>
      <c r="J147" s="236" t="s">
        <v>2880</v>
      </c>
      <c r="K147" s="236" t="s">
        <v>2881</v>
      </c>
    </row>
    <row r="148" spans="4:11" ht="15" thickBot="1" x14ac:dyDescent="0.35">
      <c r="D148" s="467" t="s">
        <v>2933</v>
      </c>
      <c r="E148" s="468"/>
      <c r="F148" s="468"/>
      <c r="G148" s="468"/>
      <c r="H148" s="468"/>
      <c r="I148" s="468"/>
      <c r="J148" s="468"/>
      <c r="K148" s="469"/>
    </row>
    <row r="149" spans="4:11" ht="15" thickBot="1" x14ac:dyDescent="0.35">
      <c r="D149" s="233" t="s">
        <v>2934</v>
      </c>
    </row>
    <row r="150" spans="4:11" ht="15" thickBot="1" x14ac:dyDescent="0.35">
      <c r="D150" s="235" t="s">
        <v>2883</v>
      </c>
      <c r="E150" s="236" t="s">
        <v>2785</v>
      </c>
      <c r="F150" s="236" t="s">
        <v>2884</v>
      </c>
    </row>
    <row r="151" spans="4:11" ht="31.2" thickBot="1" x14ac:dyDescent="0.35">
      <c r="D151" s="238" t="s">
        <v>2935</v>
      </c>
      <c r="E151" s="240" t="s">
        <v>2886</v>
      </c>
      <c r="F151" s="240" t="s">
        <v>2936</v>
      </c>
    </row>
    <row r="152" spans="4:11" ht="15" thickBot="1" x14ac:dyDescent="0.35">
      <c r="D152" s="233" t="s">
        <v>2937</v>
      </c>
    </row>
    <row r="153" spans="4:11" ht="15" thickBot="1" x14ac:dyDescent="0.35">
      <c r="D153" s="235" t="s">
        <v>2883</v>
      </c>
      <c r="E153" s="236" t="s">
        <v>2938</v>
      </c>
    </row>
    <row r="154" spans="4:11" ht="31.2" thickBot="1" x14ac:dyDescent="0.35">
      <c r="D154" s="238" t="s">
        <v>2935</v>
      </c>
      <c r="E154" s="240" t="s">
        <v>2939</v>
      </c>
    </row>
    <row r="155" spans="4:11" x14ac:dyDescent="0.3">
      <c r="D155" s="233" t="s">
        <v>2940</v>
      </c>
    </row>
    <row r="156" spans="4:11" x14ac:dyDescent="0.3">
      <c r="D156" s="245" t="s">
        <v>2892</v>
      </c>
    </row>
    <row r="157" spans="4:11" ht="15" thickBot="1" x14ac:dyDescent="0.35">
      <c r="D157" s="247"/>
    </row>
    <row r="158" spans="4:11" ht="15" thickBot="1" x14ac:dyDescent="0.35">
      <c r="D158" s="235" t="s">
        <v>2781</v>
      </c>
      <c r="E158" s="236" t="s">
        <v>2861</v>
      </c>
      <c r="F158" s="236" t="s">
        <v>2862</v>
      </c>
      <c r="G158" s="236" t="s">
        <v>2863</v>
      </c>
      <c r="H158" s="236" t="s">
        <v>2783</v>
      </c>
      <c r="I158" s="236" t="s">
        <v>2864</v>
      </c>
    </row>
    <row r="159" spans="4:11" x14ac:dyDescent="0.3">
      <c r="D159" s="463" t="s">
        <v>2941</v>
      </c>
      <c r="E159" s="464"/>
      <c r="F159" s="463" t="s">
        <v>2942</v>
      </c>
      <c r="G159" s="464"/>
      <c r="H159" s="463" t="s">
        <v>2943</v>
      </c>
      <c r="I159" s="464"/>
    </row>
    <row r="160" spans="4:11" ht="15" thickBot="1" x14ac:dyDescent="0.35">
      <c r="D160" s="465" t="s">
        <v>2944</v>
      </c>
      <c r="E160" s="466"/>
      <c r="F160" s="465" t="s">
        <v>2945</v>
      </c>
      <c r="G160" s="466"/>
      <c r="H160" s="465" t="s">
        <v>2946</v>
      </c>
      <c r="I160" s="466"/>
    </row>
    <row r="161" spans="4:11" ht="15" thickBot="1" x14ac:dyDescent="0.35">
      <c r="D161" s="248"/>
    </row>
    <row r="162" spans="4:11" ht="15" thickBot="1" x14ac:dyDescent="0.35">
      <c r="D162" s="235" t="s">
        <v>2880</v>
      </c>
      <c r="E162" s="236" t="s">
        <v>2881</v>
      </c>
      <c r="F162" s="236" t="s">
        <v>2785</v>
      </c>
      <c r="G162" s="236" t="s">
        <v>2884</v>
      </c>
      <c r="H162" s="236" t="s">
        <v>2947</v>
      </c>
      <c r="I162" s="236" t="s">
        <v>2948</v>
      </c>
    </row>
    <row r="163" spans="4:11" x14ac:dyDescent="0.3">
      <c r="D163" s="463" t="s">
        <v>2949</v>
      </c>
      <c r="E163" s="464"/>
      <c r="F163" s="463" t="s">
        <v>2950</v>
      </c>
      <c r="G163" s="464"/>
      <c r="H163" s="463" t="s">
        <v>2951</v>
      </c>
      <c r="I163" s="464"/>
    </row>
    <row r="164" spans="4:11" ht="15" thickBot="1" x14ac:dyDescent="0.35">
      <c r="D164" s="465" t="s">
        <v>2952</v>
      </c>
      <c r="E164" s="466"/>
      <c r="F164" s="465" t="s">
        <v>2953</v>
      </c>
      <c r="G164" s="466"/>
      <c r="H164" s="465" t="s">
        <v>2954</v>
      </c>
      <c r="I164" s="466"/>
    </row>
    <row r="165" spans="4:11" x14ac:dyDescent="0.3">
      <c r="D165" s="233" t="s">
        <v>2955</v>
      </c>
    </row>
    <row r="166" spans="4:11" x14ac:dyDescent="0.3">
      <c r="D166" s="245" t="s">
        <v>2956</v>
      </c>
    </row>
    <row r="167" spans="4:11" ht="15" thickBot="1" x14ac:dyDescent="0.35">
      <c r="D167" s="247"/>
    </row>
    <row r="168" spans="4:11" ht="15" thickBot="1" x14ac:dyDescent="0.35">
      <c r="D168" s="235" t="s">
        <v>2781</v>
      </c>
      <c r="E168" s="236" t="s">
        <v>2861</v>
      </c>
      <c r="F168" s="236" t="s">
        <v>2862</v>
      </c>
      <c r="G168" s="236" t="s">
        <v>2863</v>
      </c>
      <c r="H168" s="236" t="s">
        <v>2783</v>
      </c>
      <c r="I168" s="236" t="s">
        <v>2864</v>
      </c>
      <c r="J168" s="236" t="s">
        <v>2880</v>
      </c>
      <c r="K168" s="236" t="s">
        <v>2881</v>
      </c>
    </row>
    <row r="169" spans="4:11" x14ac:dyDescent="0.3">
      <c r="D169" s="463" t="s">
        <v>2957</v>
      </c>
      <c r="E169" s="464"/>
      <c r="F169" s="463" t="s">
        <v>2958</v>
      </c>
      <c r="G169" s="464"/>
      <c r="H169" s="463" t="s">
        <v>2959</v>
      </c>
      <c r="I169" s="464"/>
      <c r="J169" s="463" t="s">
        <v>2960</v>
      </c>
      <c r="K169" s="464"/>
    </row>
    <row r="170" spans="4:11" ht="15" thickBot="1" x14ac:dyDescent="0.35">
      <c r="D170" s="465" t="s">
        <v>2961</v>
      </c>
      <c r="E170" s="466"/>
      <c r="F170" s="465" t="s">
        <v>2962</v>
      </c>
      <c r="G170" s="466"/>
      <c r="H170" s="465" t="s">
        <v>2963</v>
      </c>
      <c r="I170" s="466"/>
      <c r="J170" s="465" t="s">
        <v>2964</v>
      </c>
      <c r="K170" s="466"/>
    </row>
    <row r="172" spans="4:11" ht="15" thickBot="1" x14ac:dyDescent="0.35">
      <c r="D172" s="250"/>
    </row>
    <row r="173" spans="4:11" ht="15" thickBot="1" x14ac:dyDescent="0.35">
      <c r="D173" s="235" t="s">
        <v>2785</v>
      </c>
      <c r="E173" s="236" t="s">
        <v>2884</v>
      </c>
      <c r="F173" s="236" t="s">
        <v>2947</v>
      </c>
      <c r="G173" s="236" t="s">
        <v>2948</v>
      </c>
      <c r="H173" s="236" t="s">
        <v>2787</v>
      </c>
      <c r="I173" s="236" t="s">
        <v>2965</v>
      </c>
      <c r="J173" s="236" t="s">
        <v>2790</v>
      </c>
      <c r="K173" s="236" t="s">
        <v>2966</v>
      </c>
    </row>
    <row r="174" spans="4:11" x14ac:dyDescent="0.3">
      <c r="D174" s="463" t="s">
        <v>2967</v>
      </c>
      <c r="E174" s="464"/>
      <c r="F174" s="463" t="s">
        <v>2968</v>
      </c>
      <c r="G174" s="464"/>
      <c r="H174" s="463" t="s">
        <v>2969</v>
      </c>
      <c r="I174" s="464"/>
      <c r="J174" s="463" t="s">
        <v>2970</v>
      </c>
      <c r="K174" s="464"/>
    </row>
    <row r="175" spans="4:11" ht="15" thickBot="1" x14ac:dyDescent="0.35">
      <c r="D175" s="465" t="s">
        <v>2971</v>
      </c>
      <c r="E175" s="466"/>
      <c r="F175" s="465" t="s">
        <v>2972</v>
      </c>
      <c r="G175" s="466"/>
      <c r="H175" s="465" t="s">
        <v>2973</v>
      </c>
      <c r="I175" s="466"/>
      <c r="J175" s="465" t="s">
        <v>2974</v>
      </c>
      <c r="K175" s="466"/>
    </row>
    <row r="176" spans="4:11" ht="15" thickBot="1" x14ac:dyDescent="0.35">
      <c r="D176" s="248"/>
    </row>
    <row r="177" spans="4:11" ht="15" thickBot="1" x14ac:dyDescent="0.35">
      <c r="D177" s="235" t="s">
        <v>2793</v>
      </c>
      <c r="E177" s="236" t="s">
        <v>2975</v>
      </c>
      <c r="F177" s="236" t="s">
        <v>2976</v>
      </c>
      <c r="G177" s="236" t="s">
        <v>2977</v>
      </c>
      <c r="H177" s="236" t="s">
        <v>2795</v>
      </c>
      <c r="I177" s="236" t="s">
        <v>2978</v>
      </c>
      <c r="J177" s="236" t="s">
        <v>2979</v>
      </c>
      <c r="K177" s="236" t="s">
        <v>2980</v>
      </c>
    </row>
    <row r="178" spans="4:11" x14ac:dyDescent="0.3">
      <c r="D178" s="463" t="s">
        <v>2981</v>
      </c>
      <c r="E178" s="464"/>
      <c r="F178" s="463" t="s">
        <v>2982</v>
      </c>
      <c r="G178" s="464"/>
      <c r="H178" s="463" t="s">
        <v>2983</v>
      </c>
      <c r="I178" s="464"/>
      <c r="J178" s="463" t="s">
        <v>2984</v>
      </c>
      <c r="K178" s="464"/>
    </row>
    <row r="179" spans="4:11" ht="15" thickBot="1" x14ac:dyDescent="0.35">
      <c r="D179" s="465" t="s">
        <v>2985</v>
      </c>
      <c r="E179" s="466"/>
      <c r="F179" s="465" t="s">
        <v>2986</v>
      </c>
      <c r="G179" s="466"/>
      <c r="H179" s="465" t="s">
        <v>2987</v>
      </c>
      <c r="I179" s="466"/>
      <c r="J179" s="465" t="s">
        <v>2988</v>
      </c>
      <c r="K179" s="466"/>
    </row>
    <row r="180" spans="4:11" ht="15" thickBot="1" x14ac:dyDescent="0.35">
      <c r="D180" s="248"/>
    </row>
    <row r="181" spans="4:11" ht="15" thickBot="1" x14ac:dyDescent="0.35">
      <c r="D181" s="235" t="s">
        <v>2797</v>
      </c>
      <c r="E181" s="236" t="s">
        <v>2989</v>
      </c>
      <c r="F181" s="236" t="s">
        <v>2799</v>
      </c>
      <c r="G181" s="236" t="s">
        <v>2990</v>
      </c>
      <c r="H181" s="236" t="s">
        <v>2801</v>
      </c>
      <c r="I181" s="236" t="s">
        <v>2991</v>
      </c>
      <c r="J181" s="236" t="s">
        <v>2992</v>
      </c>
      <c r="K181" s="236" t="s">
        <v>2993</v>
      </c>
    </row>
    <row r="182" spans="4:11" x14ac:dyDescent="0.3">
      <c r="D182" s="463" t="s">
        <v>2994</v>
      </c>
      <c r="E182" s="464"/>
      <c r="F182" s="463" t="s">
        <v>2995</v>
      </c>
      <c r="G182" s="464"/>
      <c r="H182" s="463" t="s">
        <v>2996</v>
      </c>
      <c r="I182" s="464"/>
      <c r="J182" s="463" t="s">
        <v>2997</v>
      </c>
      <c r="K182" s="464"/>
    </row>
    <row r="183" spans="4:11" ht="15" thickBot="1" x14ac:dyDescent="0.35">
      <c r="D183" s="465" t="s">
        <v>2998</v>
      </c>
      <c r="E183" s="466"/>
      <c r="F183" s="465" t="s">
        <v>2999</v>
      </c>
      <c r="G183" s="466"/>
      <c r="H183" s="465" t="s">
        <v>3000</v>
      </c>
      <c r="I183" s="466"/>
      <c r="J183" s="465" t="s">
        <v>3001</v>
      </c>
      <c r="K183" s="466"/>
    </row>
    <row r="184" spans="4:11" ht="15" thickBot="1" x14ac:dyDescent="0.35">
      <c r="D184" s="248"/>
    </row>
    <row r="185" spans="4:11" ht="15" thickBot="1" x14ac:dyDescent="0.35">
      <c r="D185" s="235" t="s">
        <v>2803</v>
      </c>
      <c r="E185" s="236" t="s">
        <v>3002</v>
      </c>
      <c r="F185" s="236" t="s">
        <v>3003</v>
      </c>
      <c r="G185" s="236" t="s">
        <v>3004</v>
      </c>
      <c r="H185" s="236" t="s">
        <v>2805</v>
      </c>
      <c r="I185" s="236" t="s">
        <v>3005</v>
      </c>
      <c r="J185" s="236" t="s">
        <v>3006</v>
      </c>
      <c r="K185" s="236" t="s">
        <v>3007</v>
      </c>
    </row>
    <row r="186" spans="4:11" x14ac:dyDescent="0.3">
      <c r="D186" s="463" t="s">
        <v>3008</v>
      </c>
      <c r="E186" s="464"/>
      <c r="F186" s="463" t="s">
        <v>3009</v>
      </c>
      <c r="G186" s="464"/>
      <c r="H186" s="463" t="s">
        <v>3010</v>
      </c>
      <c r="I186" s="464"/>
      <c r="J186" s="463" t="s">
        <v>3011</v>
      </c>
      <c r="K186" s="464"/>
    </row>
    <row r="187" spans="4:11" ht="15" thickBot="1" x14ac:dyDescent="0.35">
      <c r="D187" s="465" t="s">
        <v>3012</v>
      </c>
      <c r="E187" s="466"/>
      <c r="F187" s="465" t="s">
        <v>3013</v>
      </c>
      <c r="G187" s="466"/>
      <c r="H187" s="465" t="s">
        <v>3014</v>
      </c>
      <c r="I187" s="466"/>
      <c r="J187" s="465" t="s">
        <v>3015</v>
      </c>
      <c r="K187" s="466"/>
    </row>
    <row r="188" spans="4:11" ht="15" thickBot="1" x14ac:dyDescent="0.35">
      <c r="D188" s="248"/>
    </row>
    <row r="189" spans="4:11" ht="15" thickBot="1" x14ac:dyDescent="0.35">
      <c r="D189" s="235" t="s">
        <v>3016</v>
      </c>
      <c r="E189" s="236" t="s">
        <v>3017</v>
      </c>
      <c r="F189" s="236" t="s">
        <v>3018</v>
      </c>
      <c r="G189" s="236" t="s">
        <v>3019</v>
      </c>
      <c r="H189" s="236" t="s">
        <v>3020</v>
      </c>
      <c r="I189" s="236" t="s">
        <v>3021</v>
      </c>
      <c r="J189" s="236" t="s">
        <v>3022</v>
      </c>
      <c r="K189" s="236" t="s">
        <v>3023</v>
      </c>
    </row>
    <row r="190" spans="4:11" x14ac:dyDescent="0.3">
      <c r="D190" s="463" t="s">
        <v>3024</v>
      </c>
      <c r="E190" s="464"/>
      <c r="F190" s="463" t="s">
        <v>3025</v>
      </c>
      <c r="G190" s="464"/>
      <c r="H190" s="463" t="s">
        <v>3026</v>
      </c>
      <c r="I190" s="464"/>
      <c r="J190" s="463" t="s">
        <v>3027</v>
      </c>
      <c r="K190" s="464"/>
    </row>
    <row r="191" spans="4:11" ht="15" thickBot="1" x14ac:dyDescent="0.35">
      <c r="D191" s="465" t="s">
        <v>3028</v>
      </c>
      <c r="E191" s="466"/>
      <c r="F191" s="465" t="s">
        <v>3029</v>
      </c>
      <c r="G191" s="466"/>
      <c r="H191" s="465" t="s">
        <v>3030</v>
      </c>
      <c r="I191" s="466"/>
      <c r="J191" s="465" t="s">
        <v>3031</v>
      </c>
      <c r="K191" s="466"/>
    </row>
    <row r="192" spans="4:11" ht="15" thickBot="1" x14ac:dyDescent="0.35">
      <c r="D192" s="248"/>
    </row>
    <row r="193" spans="4:11" ht="15" thickBot="1" x14ac:dyDescent="0.35">
      <c r="D193" s="235" t="s">
        <v>3032</v>
      </c>
      <c r="E193" s="236" t="s">
        <v>3033</v>
      </c>
      <c r="F193" s="236" t="s">
        <v>3034</v>
      </c>
      <c r="G193" s="236" t="s">
        <v>3035</v>
      </c>
      <c r="H193" s="236" t="s">
        <v>3036</v>
      </c>
      <c r="I193" s="236" t="s">
        <v>3037</v>
      </c>
      <c r="J193" s="236" t="s">
        <v>3038</v>
      </c>
      <c r="K193" s="236" t="s">
        <v>3039</v>
      </c>
    </row>
    <row r="194" spans="4:11" x14ac:dyDescent="0.3">
      <c r="D194" s="463" t="s">
        <v>3040</v>
      </c>
      <c r="E194" s="464"/>
      <c r="F194" s="463" t="s">
        <v>3041</v>
      </c>
      <c r="G194" s="464"/>
      <c r="H194" s="463" t="s">
        <v>3042</v>
      </c>
      <c r="I194" s="464"/>
      <c r="J194" s="463" t="s">
        <v>3043</v>
      </c>
      <c r="K194" s="464"/>
    </row>
    <row r="195" spans="4:11" ht="15" thickBot="1" x14ac:dyDescent="0.35">
      <c r="D195" s="465" t="s">
        <v>3044</v>
      </c>
      <c r="E195" s="466"/>
      <c r="F195" s="465" t="s">
        <v>3045</v>
      </c>
      <c r="G195" s="466"/>
      <c r="H195" s="465" t="s">
        <v>3046</v>
      </c>
      <c r="I195" s="466"/>
      <c r="J195" s="465" t="s">
        <v>3047</v>
      </c>
      <c r="K195" s="466"/>
    </row>
    <row r="196" spans="4:11" ht="15" thickBot="1" x14ac:dyDescent="0.35">
      <c r="D196" s="248"/>
    </row>
    <row r="197" spans="4:11" ht="15" thickBot="1" x14ac:dyDescent="0.35">
      <c r="D197" s="235" t="s">
        <v>3048</v>
      </c>
      <c r="E197" s="236" t="s">
        <v>3049</v>
      </c>
      <c r="F197" s="236" t="s">
        <v>3050</v>
      </c>
      <c r="G197" s="236" t="s">
        <v>3051</v>
      </c>
      <c r="H197" s="236" t="s">
        <v>3052</v>
      </c>
      <c r="I197" s="236" t="s">
        <v>3053</v>
      </c>
      <c r="J197" s="236" t="s">
        <v>3054</v>
      </c>
      <c r="K197" s="236" t="s">
        <v>3055</v>
      </c>
    </row>
    <row r="198" spans="4:11" x14ac:dyDescent="0.3">
      <c r="D198" s="463" t="s">
        <v>3056</v>
      </c>
      <c r="E198" s="464"/>
      <c r="F198" s="463" t="s">
        <v>3057</v>
      </c>
      <c r="G198" s="464"/>
      <c r="H198" s="463" t="s">
        <v>3058</v>
      </c>
      <c r="I198" s="464"/>
      <c r="J198" s="463" t="s">
        <v>3059</v>
      </c>
      <c r="K198" s="464"/>
    </row>
    <row r="199" spans="4:11" ht="15" thickBot="1" x14ac:dyDescent="0.35">
      <c r="D199" s="465" t="s">
        <v>3060</v>
      </c>
      <c r="E199" s="466"/>
      <c r="F199" s="465" t="s">
        <v>3061</v>
      </c>
      <c r="G199" s="466"/>
      <c r="H199" s="465" t="s">
        <v>3062</v>
      </c>
      <c r="I199" s="466"/>
      <c r="J199" s="465" t="s">
        <v>3063</v>
      </c>
      <c r="K199" s="466"/>
    </row>
    <row r="200" spans="4:11" ht="15" thickBot="1" x14ac:dyDescent="0.35">
      <c r="D200" s="248"/>
    </row>
    <row r="201" spans="4:11" ht="15" thickBot="1" x14ac:dyDescent="0.35">
      <c r="D201" s="235" t="s">
        <v>3064</v>
      </c>
      <c r="E201" s="236" t="s">
        <v>3065</v>
      </c>
      <c r="F201" s="236" t="s">
        <v>3066</v>
      </c>
      <c r="G201" s="236" t="s">
        <v>3067</v>
      </c>
      <c r="H201" s="236" t="s">
        <v>3068</v>
      </c>
      <c r="I201" s="236" t="s">
        <v>3069</v>
      </c>
      <c r="J201" s="236" t="s">
        <v>3070</v>
      </c>
      <c r="K201" s="236" t="s">
        <v>3071</v>
      </c>
    </row>
    <row r="202" spans="4:11" x14ac:dyDescent="0.3">
      <c r="D202" s="463" t="s">
        <v>3072</v>
      </c>
      <c r="E202" s="464"/>
      <c r="F202" s="463" t="s">
        <v>3073</v>
      </c>
      <c r="G202" s="464"/>
      <c r="H202" s="463" t="s">
        <v>3074</v>
      </c>
      <c r="I202" s="464"/>
      <c r="J202" s="463" t="s">
        <v>3075</v>
      </c>
      <c r="K202" s="464"/>
    </row>
    <row r="203" spans="4:11" ht="15" thickBot="1" x14ac:dyDescent="0.35">
      <c r="D203" s="465" t="s">
        <v>3076</v>
      </c>
      <c r="E203" s="466"/>
      <c r="F203" s="465" t="s">
        <v>3077</v>
      </c>
      <c r="G203" s="466"/>
      <c r="H203" s="465" t="s">
        <v>3078</v>
      </c>
      <c r="I203" s="466"/>
      <c r="J203" s="465" t="s">
        <v>3079</v>
      </c>
      <c r="K203" s="466"/>
    </row>
    <row r="204" spans="4:11" ht="15" thickBot="1" x14ac:dyDescent="0.35">
      <c r="D204" s="248"/>
    </row>
    <row r="205" spans="4:11" ht="15" thickBot="1" x14ac:dyDescent="0.35">
      <c r="D205" s="235" t="s">
        <v>3080</v>
      </c>
      <c r="E205" s="236" t="s">
        <v>3081</v>
      </c>
      <c r="F205" s="236" t="s">
        <v>3082</v>
      </c>
      <c r="G205" s="236" t="s">
        <v>3083</v>
      </c>
      <c r="H205" s="236" t="s">
        <v>3084</v>
      </c>
      <c r="I205" s="236" t="s">
        <v>3085</v>
      </c>
      <c r="J205" s="236" t="s">
        <v>3086</v>
      </c>
      <c r="K205" s="236" t="s">
        <v>3087</v>
      </c>
    </row>
    <row r="206" spans="4:11" x14ac:dyDescent="0.3">
      <c r="D206" s="463" t="s">
        <v>3088</v>
      </c>
      <c r="E206" s="464"/>
      <c r="F206" s="463" t="s">
        <v>3089</v>
      </c>
      <c r="G206" s="464"/>
      <c r="H206" s="463" t="s">
        <v>3090</v>
      </c>
      <c r="I206" s="464"/>
      <c r="J206" s="463" t="s">
        <v>3091</v>
      </c>
      <c r="K206" s="464"/>
    </row>
    <row r="207" spans="4:11" ht="15" thickBot="1" x14ac:dyDescent="0.35">
      <c r="D207" s="465" t="s">
        <v>3092</v>
      </c>
      <c r="E207" s="466"/>
      <c r="F207" s="465" t="s">
        <v>3093</v>
      </c>
      <c r="G207" s="466"/>
      <c r="H207" s="465" t="s">
        <v>3094</v>
      </c>
      <c r="I207" s="466"/>
      <c r="J207" s="465" t="s">
        <v>3095</v>
      </c>
      <c r="K207" s="466"/>
    </row>
    <row r="208" spans="4:11" ht="15" thickBot="1" x14ac:dyDescent="0.35">
      <c r="D208" s="248"/>
    </row>
    <row r="209" spans="4:11" ht="15" thickBot="1" x14ac:dyDescent="0.35">
      <c r="D209" s="235" t="s">
        <v>3096</v>
      </c>
      <c r="E209" s="236" t="s">
        <v>3097</v>
      </c>
      <c r="F209" s="236" t="s">
        <v>3098</v>
      </c>
      <c r="G209" s="236" t="s">
        <v>3099</v>
      </c>
      <c r="H209" s="236" t="s">
        <v>3100</v>
      </c>
      <c r="I209" s="236" t="s">
        <v>3101</v>
      </c>
      <c r="J209" s="236" t="s">
        <v>3102</v>
      </c>
      <c r="K209" s="236" t="s">
        <v>3103</v>
      </c>
    </row>
    <row r="210" spans="4:11" x14ac:dyDescent="0.3">
      <c r="D210" s="463" t="s">
        <v>3104</v>
      </c>
      <c r="E210" s="464"/>
      <c r="F210" s="463" t="s">
        <v>3105</v>
      </c>
      <c r="G210" s="464"/>
      <c r="H210" s="463" t="s">
        <v>3106</v>
      </c>
      <c r="I210" s="464"/>
      <c r="J210" s="463" t="s">
        <v>3107</v>
      </c>
      <c r="K210" s="464"/>
    </row>
    <row r="211" spans="4:11" ht="15" thickBot="1" x14ac:dyDescent="0.35">
      <c r="D211" s="465" t="s">
        <v>3108</v>
      </c>
      <c r="E211" s="466"/>
      <c r="F211" s="465" t="s">
        <v>3109</v>
      </c>
      <c r="G211" s="466"/>
      <c r="H211" s="465" t="s">
        <v>3110</v>
      </c>
      <c r="I211" s="466"/>
      <c r="J211" s="465" t="s">
        <v>3111</v>
      </c>
      <c r="K211" s="466"/>
    </row>
    <row r="212" spans="4:11" ht="15" thickBot="1" x14ac:dyDescent="0.35">
      <c r="D212" s="248"/>
    </row>
    <row r="213" spans="4:11" ht="15" thickBot="1" x14ac:dyDescent="0.35">
      <c r="D213" s="235" t="s">
        <v>3112</v>
      </c>
      <c r="E213" s="236" t="s">
        <v>3113</v>
      </c>
      <c r="F213" s="236" t="s">
        <v>3114</v>
      </c>
      <c r="G213" s="236" t="s">
        <v>3115</v>
      </c>
      <c r="H213" s="236" t="s">
        <v>3116</v>
      </c>
      <c r="I213" s="236" t="s">
        <v>3117</v>
      </c>
      <c r="J213" s="236" t="s">
        <v>3118</v>
      </c>
      <c r="K213" s="236" t="s">
        <v>3119</v>
      </c>
    </row>
    <row r="214" spans="4:11" x14ac:dyDescent="0.3">
      <c r="D214" s="463" t="s">
        <v>3120</v>
      </c>
      <c r="E214" s="464"/>
      <c r="F214" s="463" t="s">
        <v>3121</v>
      </c>
      <c r="G214" s="464"/>
      <c r="H214" s="463" t="s">
        <v>3122</v>
      </c>
      <c r="I214" s="464"/>
      <c r="J214" s="463" t="s">
        <v>3123</v>
      </c>
      <c r="K214" s="464"/>
    </row>
    <row r="215" spans="4:11" ht="15" thickBot="1" x14ac:dyDescent="0.35">
      <c r="D215" s="465" t="s">
        <v>3124</v>
      </c>
      <c r="E215" s="466"/>
      <c r="F215" s="465" t="s">
        <v>3125</v>
      </c>
      <c r="G215" s="466"/>
      <c r="H215" s="465" t="s">
        <v>3126</v>
      </c>
      <c r="I215" s="466"/>
      <c r="J215" s="465" t="s">
        <v>3127</v>
      </c>
      <c r="K215" s="466"/>
    </row>
    <row r="217" spans="4:11" ht="15" thickBot="1" x14ac:dyDescent="0.35">
      <c r="D217" s="250"/>
    </row>
    <row r="218" spans="4:11" ht="15" thickBot="1" x14ac:dyDescent="0.35">
      <c r="D218" s="235" t="s">
        <v>3128</v>
      </c>
      <c r="E218" s="236" t="s">
        <v>3129</v>
      </c>
      <c r="F218" s="236" t="s">
        <v>3130</v>
      </c>
      <c r="G218" s="236" t="s">
        <v>3131</v>
      </c>
      <c r="H218" s="236" t="s">
        <v>3132</v>
      </c>
      <c r="I218" s="236" t="s">
        <v>3133</v>
      </c>
      <c r="J218" s="236" t="s">
        <v>3134</v>
      </c>
      <c r="K218" s="236" t="s">
        <v>3135</v>
      </c>
    </row>
    <row r="219" spans="4:11" x14ac:dyDescent="0.3">
      <c r="D219" s="463" t="s">
        <v>3136</v>
      </c>
      <c r="E219" s="464"/>
      <c r="F219" s="463" t="s">
        <v>3137</v>
      </c>
      <c r="G219" s="464"/>
      <c r="H219" s="463" t="s">
        <v>3138</v>
      </c>
      <c r="I219" s="464"/>
      <c r="J219" s="463" t="s">
        <v>3139</v>
      </c>
      <c r="K219" s="464"/>
    </row>
    <row r="220" spans="4:11" ht="15" thickBot="1" x14ac:dyDescent="0.35">
      <c r="D220" s="465" t="s">
        <v>3140</v>
      </c>
      <c r="E220" s="466"/>
      <c r="F220" s="465" t="s">
        <v>3141</v>
      </c>
      <c r="G220" s="466"/>
      <c r="H220" s="465" t="s">
        <v>3142</v>
      </c>
      <c r="I220" s="466"/>
      <c r="J220" s="465" t="s">
        <v>3143</v>
      </c>
      <c r="K220" s="466"/>
    </row>
    <row r="221" spans="4:11" ht="15" thickBot="1" x14ac:dyDescent="0.35">
      <c r="D221" s="248"/>
    </row>
    <row r="222" spans="4:11" ht="15" thickBot="1" x14ac:dyDescent="0.35">
      <c r="D222" s="235" t="s">
        <v>3144</v>
      </c>
      <c r="E222" s="236" t="s">
        <v>3145</v>
      </c>
      <c r="F222" s="236" t="s">
        <v>3146</v>
      </c>
      <c r="G222" s="236" t="s">
        <v>3147</v>
      </c>
      <c r="H222" s="236" t="s">
        <v>3148</v>
      </c>
      <c r="I222" s="236" t="s">
        <v>3149</v>
      </c>
      <c r="J222" s="236" t="s">
        <v>3150</v>
      </c>
      <c r="K222" s="236" t="s">
        <v>3151</v>
      </c>
    </row>
    <row r="223" spans="4:11" x14ac:dyDescent="0.3">
      <c r="D223" s="463" t="s">
        <v>3152</v>
      </c>
      <c r="E223" s="464"/>
      <c r="F223" s="463" t="s">
        <v>3153</v>
      </c>
      <c r="G223" s="464"/>
      <c r="H223" s="463" t="s">
        <v>3154</v>
      </c>
      <c r="I223" s="464"/>
      <c r="J223" s="463" t="s">
        <v>3155</v>
      </c>
      <c r="K223" s="464"/>
    </row>
    <row r="224" spans="4:11" ht="15" thickBot="1" x14ac:dyDescent="0.35">
      <c r="D224" s="465" t="s">
        <v>3156</v>
      </c>
      <c r="E224" s="466"/>
      <c r="F224" s="465" t="s">
        <v>3157</v>
      </c>
      <c r="G224" s="466"/>
      <c r="H224" s="465" t="s">
        <v>3158</v>
      </c>
      <c r="I224" s="466"/>
      <c r="J224" s="465" t="s">
        <v>3159</v>
      </c>
      <c r="K224" s="466"/>
    </row>
    <row r="225" spans="4:11" ht="15" thickBot="1" x14ac:dyDescent="0.35">
      <c r="D225" s="248"/>
    </row>
    <row r="226" spans="4:11" ht="15" thickBot="1" x14ac:dyDescent="0.35">
      <c r="D226" s="235" t="s">
        <v>3160</v>
      </c>
      <c r="E226" s="236" t="s">
        <v>3161</v>
      </c>
      <c r="F226" s="236" t="s">
        <v>3162</v>
      </c>
      <c r="G226" s="236" t="s">
        <v>3163</v>
      </c>
      <c r="H226" s="236" t="s">
        <v>3164</v>
      </c>
      <c r="I226" s="236" t="s">
        <v>3165</v>
      </c>
      <c r="J226" s="236" t="s">
        <v>3166</v>
      </c>
      <c r="K226" s="236" t="s">
        <v>3167</v>
      </c>
    </row>
    <row r="227" spans="4:11" x14ac:dyDescent="0.3">
      <c r="D227" s="463" t="s">
        <v>3168</v>
      </c>
      <c r="E227" s="464"/>
      <c r="F227" s="463" t="s">
        <v>3169</v>
      </c>
      <c r="G227" s="464"/>
      <c r="H227" s="463" t="s">
        <v>3170</v>
      </c>
      <c r="I227" s="464"/>
      <c r="J227" s="463" t="s">
        <v>3171</v>
      </c>
      <c r="K227" s="464"/>
    </row>
    <row r="228" spans="4:11" ht="15" thickBot="1" x14ac:dyDescent="0.35">
      <c r="D228" s="465" t="s">
        <v>3172</v>
      </c>
      <c r="E228" s="466"/>
      <c r="F228" s="465" t="s">
        <v>3173</v>
      </c>
      <c r="G228" s="466"/>
      <c r="H228" s="465" t="s">
        <v>3174</v>
      </c>
      <c r="I228" s="466"/>
      <c r="J228" s="465" t="s">
        <v>3175</v>
      </c>
      <c r="K228" s="466"/>
    </row>
    <row r="229" spans="4:11" ht="15" thickBot="1" x14ac:dyDescent="0.35">
      <c r="D229" s="248"/>
    </row>
    <row r="230" spans="4:11" ht="15" thickBot="1" x14ac:dyDescent="0.35">
      <c r="D230" s="235" t="s">
        <v>3176</v>
      </c>
      <c r="E230" s="236" t="s">
        <v>3177</v>
      </c>
      <c r="F230" s="236" t="s">
        <v>3178</v>
      </c>
      <c r="G230" s="236" t="s">
        <v>3179</v>
      </c>
      <c r="H230" s="236" t="s">
        <v>3180</v>
      </c>
      <c r="I230" s="236" t="s">
        <v>3181</v>
      </c>
      <c r="J230" s="236" t="s">
        <v>3182</v>
      </c>
      <c r="K230" s="236" t="s">
        <v>3183</v>
      </c>
    </row>
    <row r="231" spans="4:11" x14ac:dyDescent="0.3">
      <c r="D231" s="463" t="s">
        <v>3184</v>
      </c>
      <c r="E231" s="464"/>
      <c r="F231" s="463" t="s">
        <v>3185</v>
      </c>
      <c r="G231" s="464"/>
      <c r="H231" s="463" t="s">
        <v>3186</v>
      </c>
      <c r="I231" s="464"/>
      <c r="J231" s="463" t="s">
        <v>3187</v>
      </c>
      <c r="K231" s="464"/>
    </row>
    <row r="232" spans="4:11" ht="15" thickBot="1" x14ac:dyDescent="0.35">
      <c r="D232" s="465" t="s">
        <v>3188</v>
      </c>
      <c r="E232" s="466"/>
      <c r="F232" s="465" t="s">
        <v>3189</v>
      </c>
      <c r="G232" s="466"/>
      <c r="H232" s="465" t="s">
        <v>3190</v>
      </c>
      <c r="I232" s="466"/>
      <c r="J232" s="465" t="s">
        <v>3191</v>
      </c>
      <c r="K232" s="466"/>
    </row>
  </sheetData>
  <mergeCells count="177">
    <mergeCell ref="D231:E231"/>
    <mergeCell ref="F231:G231"/>
    <mergeCell ref="H231:I231"/>
    <mergeCell ref="J231:K231"/>
    <mergeCell ref="D232:E232"/>
    <mergeCell ref="F232:G232"/>
    <mergeCell ref="H232:I232"/>
    <mergeCell ref="J232:K232"/>
    <mergeCell ref="D227:E227"/>
    <mergeCell ref="F227:G227"/>
    <mergeCell ref="H227:I227"/>
    <mergeCell ref="J227:K227"/>
    <mergeCell ref="D228:E228"/>
    <mergeCell ref="F228:G228"/>
    <mergeCell ref="H228:I228"/>
    <mergeCell ref="J228:K228"/>
    <mergeCell ref="D223:E223"/>
    <mergeCell ref="F223:G223"/>
    <mergeCell ref="H223:I223"/>
    <mergeCell ref="J223:K223"/>
    <mergeCell ref="D224:E224"/>
    <mergeCell ref="F224:G224"/>
    <mergeCell ref="H224:I224"/>
    <mergeCell ref="J224:K224"/>
    <mergeCell ref="D219:E219"/>
    <mergeCell ref="F219:G219"/>
    <mergeCell ref="H219:I219"/>
    <mergeCell ref="J219:K219"/>
    <mergeCell ref="D220:E220"/>
    <mergeCell ref="F220:G220"/>
    <mergeCell ref="H220:I220"/>
    <mergeCell ref="J220:K220"/>
    <mergeCell ref="D214:E214"/>
    <mergeCell ref="F214:G214"/>
    <mergeCell ref="H214:I214"/>
    <mergeCell ref="J214:K214"/>
    <mergeCell ref="D215:E215"/>
    <mergeCell ref="F215:G215"/>
    <mergeCell ref="H215:I215"/>
    <mergeCell ref="J215:K215"/>
    <mergeCell ref="D210:E210"/>
    <mergeCell ref="F210:G210"/>
    <mergeCell ref="H210:I210"/>
    <mergeCell ref="J210:K210"/>
    <mergeCell ref="D211:E211"/>
    <mergeCell ref="F211:G211"/>
    <mergeCell ref="H211:I211"/>
    <mergeCell ref="J211:K211"/>
    <mergeCell ref="D206:E206"/>
    <mergeCell ref="F206:G206"/>
    <mergeCell ref="H206:I206"/>
    <mergeCell ref="J206:K206"/>
    <mergeCell ref="D207:E207"/>
    <mergeCell ref="F207:G207"/>
    <mergeCell ref="H207:I207"/>
    <mergeCell ref="J207:K207"/>
    <mergeCell ref="D202:E202"/>
    <mergeCell ref="F202:G202"/>
    <mergeCell ref="H202:I202"/>
    <mergeCell ref="J202:K202"/>
    <mergeCell ref="D203:E203"/>
    <mergeCell ref="F203:G203"/>
    <mergeCell ref="H203:I203"/>
    <mergeCell ref="J203:K203"/>
    <mergeCell ref="D198:E198"/>
    <mergeCell ref="F198:G198"/>
    <mergeCell ref="H198:I198"/>
    <mergeCell ref="J198:K198"/>
    <mergeCell ref="D199:E199"/>
    <mergeCell ref="F199:G199"/>
    <mergeCell ref="H199:I199"/>
    <mergeCell ref="J199:K199"/>
    <mergeCell ref="D194:E194"/>
    <mergeCell ref="F194:G194"/>
    <mergeCell ref="H194:I194"/>
    <mergeCell ref="J194:K194"/>
    <mergeCell ref="D195:E195"/>
    <mergeCell ref="F195:G195"/>
    <mergeCell ref="H195:I195"/>
    <mergeCell ref="J195:K195"/>
    <mergeCell ref="D190:E190"/>
    <mergeCell ref="F190:G190"/>
    <mergeCell ref="H190:I190"/>
    <mergeCell ref="J190:K190"/>
    <mergeCell ref="D191:E191"/>
    <mergeCell ref="F191:G191"/>
    <mergeCell ref="H191:I191"/>
    <mergeCell ref="J191:K191"/>
    <mergeCell ref="D186:E186"/>
    <mergeCell ref="F186:G186"/>
    <mergeCell ref="H186:I186"/>
    <mergeCell ref="J186:K186"/>
    <mergeCell ref="D187:E187"/>
    <mergeCell ref="F187:G187"/>
    <mergeCell ref="H187:I187"/>
    <mergeCell ref="J187:K187"/>
    <mergeCell ref="D182:E182"/>
    <mergeCell ref="F182:G182"/>
    <mergeCell ref="H182:I182"/>
    <mergeCell ref="J182:K182"/>
    <mergeCell ref="D183:E183"/>
    <mergeCell ref="F183:G183"/>
    <mergeCell ref="H183:I183"/>
    <mergeCell ref="J183:K183"/>
    <mergeCell ref="D178:E178"/>
    <mergeCell ref="F178:G178"/>
    <mergeCell ref="H178:I178"/>
    <mergeCell ref="J178:K178"/>
    <mergeCell ref="D179:E179"/>
    <mergeCell ref="F179:G179"/>
    <mergeCell ref="H179:I179"/>
    <mergeCell ref="J179:K179"/>
    <mergeCell ref="D174:E174"/>
    <mergeCell ref="F174:G174"/>
    <mergeCell ref="H174:I174"/>
    <mergeCell ref="J174:K174"/>
    <mergeCell ref="D175:E175"/>
    <mergeCell ref="F175:G175"/>
    <mergeCell ref="H175:I175"/>
    <mergeCell ref="J175:K175"/>
    <mergeCell ref="D169:E169"/>
    <mergeCell ref="F169:G169"/>
    <mergeCell ref="H169:I169"/>
    <mergeCell ref="J169:K169"/>
    <mergeCell ref="D170:E170"/>
    <mergeCell ref="F170:G170"/>
    <mergeCell ref="H170:I170"/>
    <mergeCell ref="J170:K170"/>
    <mergeCell ref="D163:E163"/>
    <mergeCell ref="F163:G163"/>
    <mergeCell ref="H163:I163"/>
    <mergeCell ref="D164:E164"/>
    <mergeCell ref="F164:G164"/>
    <mergeCell ref="H164:I164"/>
    <mergeCell ref="D148:K148"/>
    <mergeCell ref="D159:E159"/>
    <mergeCell ref="F159:G159"/>
    <mergeCell ref="H159:I159"/>
    <mergeCell ref="D160:E160"/>
    <mergeCell ref="F160:G160"/>
    <mergeCell ref="H160:I160"/>
    <mergeCell ref="D141:E141"/>
    <mergeCell ref="F141:G141"/>
    <mergeCell ref="H141:I141"/>
    <mergeCell ref="J141:K141"/>
    <mergeCell ref="D142:E142"/>
    <mergeCell ref="F142:G142"/>
    <mergeCell ref="H142:I142"/>
    <mergeCell ref="J142:K142"/>
    <mergeCell ref="D97:E97"/>
    <mergeCell ref="F97:G97"/>
    <mergeCell ref="H97:I97"/>
    <mergeCell ref="D100:E100"/>
    <mergeCell ref="F100:G100"/>
    <mergeCell ref="D101:E101"/>
    <mergeCell ref="F101:G101"/>
    <mergeCell ref="D96:E96"/>
    <mergeCell ref="F96:G96"/>
    <mergeCell ref="H96:I96"/>
    <mergeCell ref="D71:E71"/>
    <mergeCell ref="F71:G71"/>
    <mergeCell ref="H71:I71"/>
    <mergeCell ref="D77:K77"/>
    <mergeCell ref="D88:E88"/>
    <mergeCell ref="F88:G88"/>
    <mergeCell ref="H88:I88"/>
    <mergeCell ref="D2:L2"/>
    <mergeCell ref="H23:I23"/>
    <mergeCell ref="H24:I24"/>
    <mergeCell ref="H25:I25"/>
    <mergeCell ref="H26:I26"/>
    <mergeCell ref="D70:E70"/>
    <mergeCell ref="F70:G70"/>
    <mergeCell ref="H70:I70"/>
    <mergeCell ref="D89:E89"/>
    <mergeCell ref="F89:G89"/>
    <mergeCell ref="H89:I89"/>
  </mergeCells>
  <conditionalFormatting sqref="J23:J26">
    <cfRule type="cellIs" dxfId="503" priority="1" stopIfTrue="1" operator="notEqual">
      <formula>INDIRECT("Dummy_for_Comparison2!"&amp;ADDRESS(ROW(),COLUMN()))</formula>
    </cfRule>
  </conditionalFormatting>
  <hyperlinks>
    <hyperlink ref="D138" location="_bookmark116" display="_bookmark116" xr:uid="{93FFA612-AA1E-47B8-BF89-5783FD2526E3}"/>
    <hyperlink ref="D148" location="_bookmark114" display="_bookmark114" xr:uid="{B4B4BCA7-9445-479B-8C05-5E9FF49019F4}"/>
  </hyperlinks>
  <pageMargins left="0.7" right="0.7" top="0.75" bottom="0.75" header="0.3" footer="0.3"/>
  <pageSetup paperSize="9" orientation="portrait" r:id="rId1"/>
  <headerFooter>
    <oddFooter>&amp;C_x000D_&amp;1#&amp;"Calibri"&amp;6&amp;K626469 General</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AU576"/>
  <sheetViews>
    <sheetView zoomScale="64" zoomScaleNormal="70" workbookViewId="0">
      <pane ySplit="2" topLeftCell="A3" activePane="bottomLeft" state="frozen"/>
      <selection pane="bottomLeft" activeCell="O10" sqref="O10"/>
    </sheetView>
  </sheetViews>
  <sheetFormatPr defaultColWidth="9.44140625" defaultRowHeight="14.4" x14ac:dyDescent="0.3"/>
  <cols>
    <col min="1" max="1" width="9.44140625" style="26"/>
    <col min="2" max="2" width="35" style="29" bestFit="1" customWidth="1"/>
    <col min="3" max="3" width="18.77734375" style="29" customWidth="1"/>
    <col min="4" max="4" width="6.5546875" style="56" bestFit="1" customWidth="1"/>
    <col min="5" max="5" width="7.44140625" style="56" bestFit="1" customWidth="1"/>
    <col min="6" max="6" width="11.44140625" style="56" customWidth="1"/>
    <col min="7" max="7" width="11.5546875" style="56" bestFit="1" customWidth="1"/>
    <col min="8" max="8" width="7" style="56" bestFit="1" customWidth="1"/>
    <col min="9" max="9" width="13.44140625" style="56" customWidth="1"/>
    <col min="10" max="10" width="18.5546875" style="56" customWidth="1"/>
    <col min="11" max="13" width="11.5546875" style="56" customWidth="1"/>
    <col min="14" max="14" width="16.44140625" style="26" bestFit="1" customWidth="1"/>
    <col min="15" max="15" width="16.44140625" style="26" customWidth="1"/>
    <col min="16" max="16" width="14.44140625" style="26" customWidth="1"/>
    <col min="17" max="17" width="15.44140625" style="26" customWidth="1"/>
    <col min="18" max="18" width="32.44140625" style="29" customWidth="1"/>
    <col min="19" max="19" width="9.44140625" style="26" customWidth="1"/>
    <col min="20" max="20" width="10.5546875" style="56" customWidth="1"/>
    <col min="21" max="21" width="11.5546875" style="56" customWidth="1"/>
    <col min="22" max="22" width="11.44140625" style="16" customWidth="1"/>
    <col min="23" max="23" width="11.5546875" style="16" customWidth="1"/>
    <col min="24" max="24" width="12.5546875" style="16" customWidth="1"/>
    <col min="25" max="25" width="13.44140625" style="16" customWidth="1"/>
    <col min="26" max="26" width="11.5546875" style="56" customWidth="1"/>
    <col min="27" max="27" width="13.44140625" style="26" customWidth="1"/>
    <col min="28" max="28" width="11.5546875" style="26" customWidth="1"/>
    <col min="29" max="16384" width="9.44140625" style="26"/>
  </cols>
  <sheetData>
    <row r="1" spans="1:47" customFormat="1" ht="15" thickBot="1" x14ac:dyDescent="0.35">
      <c r="R1" s="29"/>
    </row>
    <row r="2" spans="1:47" s="31" customFormat="1" ht="64.8" x14ac:dyDescent="0.3">
      <c r="A2" s="28"/>
      <c r="B2" s="196" t="s">
        <v>303</v>
      </c>
      <c r="C2" s="196" t="s">
        <v>304</v>
      </c>
      <c r="D2" s="197" t="s">
        <v>305</v>
      </c>
      <c r="E2" s="197" t="s">
        <v>306</v>
      </c>
      <c r="F2" s="197" t="s">
        <v>307</v>
      </c>
      <c r="G2" s="197" t="s">
        <v>308</v>
      </c>
      <c r="H2" s="197" t="s">
        <v>309</v>
      </c>
      <c r="I2" s="197" t="s">
        <v>310</v>
      </c>
      <c r="J2" s="197" t="s">
        <v>311</v>
      </c>
      <c r="K2" s="197" t="s">
        <v>745</v>
      </c>
      <c r="L2" s="197" t="s">
        <v>312</v>
      </c>
      <c r="M2" s="76" t="s">
        <v>313</v>
      </c>
      <c r="N2" s="198" t="s">
        <v>314</v>
      </c>
      <c r="O2" s="198" t="s">
        <v>315</v>
      </c>
      <c r="P2" s="76" t="s">
        <v>316</v>
      </c>
      <c r="Q2" s="76" t="s">
        <v>317</v>
      </c>
      <c r="R2" s="199" t="s">
        <v>318</v>
      </c>
      <c r="S2" s="26"/>
      <c r="T2" s="56"/>
      <c r="U2" s="56"/>
      <c r="V2" s="16"/>
      <c r="W2" s="16"/>
      <c r="X2" s="16"/>
      <c r="Y2" s="16"/>
      <c r="Z2" s="56"/>
      <c r="AA2" s="26"/>
      <c r="AB2" s="26"/>
      <c r="AC2" s="26"/>
      <c r="AD2" s="26"/>
      <c r="AE2" s="26"/>
      <c r="AF2" s="26"/>
      <c r="AG2" s="26"/>
      <c r="AH2" s="26"/>
      <c r="AI2" s="26"/>
      <c r="AJ2" s="26"/>
      <c r="AK2" s="26"/>
      <c r="AL2" s="26"/>
      <c r="AM2" s="26"/>
      <c r="AN2" s="26"/>
      <c r="AO2" s="26"/>
      <c r="AP2" s="26"/>
      <c r="AQ2" s="26"/>
      <c r="AR2" s="26"/>
      <c r="AS2" s="26"/>
      <c r="AT2" s="26"/>
      <c r="AU2" s="30"/>
    </row>
    <row r="3" spans="1:47" ht="21" x14ac:dyDescent="0.3">
      <c r="B3" s="478" t="s">
        <v>746</v>
      </c>
      <c r="C3" s="478"/>
      <c r="D3" s="478"/>
      <c r="E3" s="478"/>
      <c r="F3" s="478"/>
      <c r="G3" s="478"/>
      <c r="H3" s="478"/>
      <c r="I3" s="478"/>
      <c r="J3" s="478"/>
      <c r="K3" s="478"/>
      <c r="L3" s="478"/>
      <c r="M3" s="478"/>
      <c r="N3" s="478"/>
      <c r="O3" s="478"/>
      <c r="P3" s="478"/>
      <c r="Q3" s="478"/>
      <c r="R3" s="478"/>
    </row>
    <row r="5" spans="1:47" x14ac:dyDescent="0.3">
      <c r="B5" s="470" t="s">
        <v>747</v>
      </c>
      <c r="C5" s="471"/>
      <c r="D5" s="471"/>
      <c r="E5" s="471">
        <f t="shared" ref="E5:E29" si="0">D5/2</f>
        <v>0</v>
      </c>
      <c r="F5" s="471">
        <v>0</v>
      </c>
      <c r="G5" s="471">
        <v>0</v>
      </c>
      <c r="H5" s="471">
        <v>0</v>
      </c>
      <c r="I5" s="471">
        <v>1</v>
      </c>
      <c r="J5" s="471" t="s">
        <v>418</v>
      </c>
      <c r="K5" s="471" t="e">
        <f>#REF!+#REF!</f>
        <v>#REF!</v>
      </c>
      <c r="L5" s="471"/>
      <c r="M5" s="471"/>
      <c r="N5" s="471" t="s">
        <v>323</v>
      </c>
      <c r="O5" s="471"/>
      <c r="P5" s="471"/>
      <c r="Q5" s="471"/>
      <c r="R5" s="472"/>
      <c r="S5" s="29"/>
      <c r="AA5" s="56"/>
      <c r="AB5" s="56"/>
    </row>
    <row r="6" spans="1:47" ht="62.4" x14ac:dyDescent="0.3">
      <c r="B6" s="10" t="s">
        <v>748</v>
      </c>
      <c r="C6" s="10" t="s">
        <v>321</v>
      </c>
      <c r="D6" s="10">
        <v>2</v>
      </c>
      <c r="E6" s="10">
        <f t="shared" si="0"/>
        <v>1</v>
      </c>
      <c r="F6" s="117">
        <v>0</v>
      </c>
      <c r="G6" s="10">
        <v>3</v>
      </c>
      <c r="H6" s="10">
        <v>1</v>
      </c>
      <c r="I6" s="10">
        <v>1</v>
      </c>
      <c r="J6" s="10" t="s">
        <v>418</v>
      </c>
      <c r="K6" s="10">
        <v>43501</v>
      </c>
      <c r="L6" s="10">
        <f>K6-40000</f>
        <v>3501</v>
      </c>
      <c r="M6" s="10">
        <f>L6-1</f>
        <v>3500</v>
      </c>
      <c r="N6" s="10" t="s">
        <v>419</v>
      </c>
      <c r="O6" s="10" t="s">
        <v>327</v>
      </c>
      <c r="P6" s="10">
        <v>3</v>
      </c>
      <c r="Q6" s="10"/>
      <c r="R6" s="116" t="s">
        <v>749</v>
      </c>
      <c r="S6" s="29"/>
      <c r="AA6" s="56"/>
      <c r="AB6" s="56"/>
    </row>
    <row r="7" spans="1:47" ht="15.6" x14ac:dyDescent="0.3">
      <c r="B7" s="10" t="s">
        <v>750</v>
      </c>
      <c r="C7" s="10" t="s">
        <v>321</v>
      </c>
      <c r="D7" s="10">
        <v>2</v>
      </c>
      <c r="E7" s="10">
        <f t="shared" ref="E7:E16" si="1">D7/2</f>
        <v>1</v>
      </c>
      <c r="F7" s="10">
        <v>100</v>
      </c>
      <c r="G7" s="10">
        <v>150</v>
      </c>
      <c r="H7" s="10">
        <v>5</v>
      </c>
      <c r="I7" s="10" t="s">
        <v>403</v>
      </c>
      <c r="J7" s="10" t="s">
        <v>418</v>
      </c>
      <c r="K7" s="10">
        <f>K6+E6</f>
        <v>43502</v>
      </c>
      <c r="L7" s="10">
        <f t="shared" ref="L7:L23" si="2">K7-40000</f>
        <v>3502</v>
      </c>
      <c r="M7" s="10">
        <f t="shared" ref="M7:M23" si="3">L7-1</f>
        <v>3501</v>
      </c>
      <c r="N7" s="10" t="s">
        <v>419</v>
      </c>
      <c r="O7" s="10" t="s">
        <v>327</v>
      </c>
      <c r="P7" s="10">
        <v>115</v>
      </c>
      <c r="Q7" s="10"/>
      <c r="R7" s="111"/>
      <c r="S7" s="29"/>
      <c r="AA7" s="56"/>
      <c r="AB7" s="56"/>
    </row>
    <row r="8" spans="1:47" ht="15.6" x14ac:dyDescent="0.3">
      <c r="B8" s="10" t="s">
        <v>751</v>
      </c>
      <c r="C8" s="10" t="s">
        <v>321</v>
      </c>
      <c r="D8" s="10">
        <v>2</v>
      </c>
      <c r="E8" s="10">
        <f t="shared" si="1"/>
        <v>1</v>
      </c>
      <c r="F8" s="10">
        <v>5</v>
      </c>
      <c r="G8" s="10">
        <v>40</v>
      </c>
      <c r="H8" s="10">
        <v>5</v>
      </c>
      <c r="I8" s="10">
        <v>1</v>
      </c>
      <c r="J8" s="10" t="s">
        <v>418</v>
      </c>
      <c r="K8" s="10">
        <f t="shared" ref="K8:K22" si="4">K7+E7</f>
        <v>43503</v>
      </c>
      <c r="L8" s="10">
        <f t="shared" si="2"/>
        <v>3503</v>
      </c>
      <c r="M8" s="10">
        <f t="shared" si="3"/>
        <v>3502</v>
      </c>
      <c r="N8" s="10" t="s">
        <v>419</v>
      </c>
      <c r="O8" s="10" t="s">
        <v>327</v>
      </c>
      <c r="P8" s="10">
        <v>10</v>
      </c>
      <c r="Q8" s="10"/>
      <c r="R8" s="111"/>
      <c r="S8" s="29"/>
      <c r="AA8" s="56"/>
      <c r="AB8" s="56"/>
    </row>
    <row r="9" spans="1:47" ht="15.6" x14ac:dyDescent="0.3">
      <c r="B9" s="10" t="s">
        <v>752</v>
      </c>
      <c r="C9" s="10" t="s">
        <v>321</v>
      </c>
      <c r="D9" s="10">
        <v>2</v>
      </c>
      <c r="E9" s="10">
        <f t="shared" si="1"/>
        <v>1</v>
      </c>
      <c r="F9" s="10">
        <v>80</v>
      </c>
      <c r="G9" s="10">
        <v>100</v>
      </c>
      <c r="H9" s="10">
        <v>5</v>
      </c>
      <c r="I9" s="10">
        <v>1</v>
      </c>
      <c r="J9" s="10" t="s">
        <v>418</v>
      </c>
      <c r="K9" s="10">
        <f t="shared" si="4"/>
        <v>43504</v>
      </c>
      <c r="L9" s="10">
        <f t="shared" si="2"/>
        <v>3504</v>
      </c>
      <c r="M9" s="10">
        <f t="shared" si="3"/>
        <v>3503</v>
      </c>
      <c r="N9" s="10" t="s">
        <v>419</v>
      </c>
      <c r="O9" s="10" t="s">
        <v>327</v>
      </c>
      <c r="P9" s="10">
        <v>80</v>
      </c>
      <c r="Q9" s="10" t="s">
        <v>379</v>
      </c>
      <c r="R9" s="111"/>
      <c r="S9" s="29"/>
      <c r="AA9" s="56"/>
      <c r="AB9" s="56"/>
    </row>
    <row r="10" spans="1:47" ht="62.4" x14ac:dyDescent="0.3">
      <c r="B10" s="10" t="s">
        <v>753</v>
      </c>
      <c r="C10" s="10" t="s">
        <v>359</v>
      </c>
      <c r="D10" s="10">
        <v>2</v>
      </c>
      <c r="E10" s="10">
        <f t="shared" si="1"/>
        <v>1</v>
      </c>
      <c r="F10" s="10">
        <v>1</v>
      </c>
      <c r="G10" s="352">
        <v>8</v>
      </c>
      <c r="H10" s="10">
        <v>1</v>
      </c>
      <c r="I10" s="10">
        <v>1</v>
      </c>
      <c r="J10" s="10" t="s">
        <v>418</v>
      </c>
      <c r="K10" s="10">
        <f t="shared" si="4"/>
        <v>43505</v>
      </c>
      <c r="L10" s="10">
        <f t="shared" si="2"/>
        <v>3505</v>
      </c>
      <c r="M10" s="10">
        <f t="shared" si="3"/>
        <v>3504</v>
      </c>
      <c r="N10" s="10" t="s">
        <v>419</v>
      </c>
      <c r="O10" s="10" t="s">
        <v>327</v>
      </c>
      <c r="P10" s="10">
        <v>8</v>
      </c>
      <c r="Q10" s="10"/>
      <c r="R10" s="222" t="s">
        <v>754</v>
      </c>
      <c r="S10" s="29"/>
      <c r="AA10" s="56"/>
      <c r="AB10" s="56"/>
    </row>
    <row r="11" spans="1:47" ht="15.75" customHeight="1" x14ac:dyDescent="0.3">
      <c r="B11" s="10" t="s">
        <v>755</v>
      </c>
      <c r="C11" s="10" t="s">
        <v>321</v>
      </c>
      <c r="D11" s="10">
        <v>2</v>
      </c>
      <c r="E11" s="10">
        <f t="shared" si="1"/>
        <v>1</v>
      </c>
      <c r="F11" s="10">
        <v>30</v>
      </c>
      <c r="G11" s="10">
        <v>95</v>
      </c>
      <c r="H11" s="10">
        <v>5</v>
      </c>
      <c r="I11" s="10">
        <v>1</v>
      </c>
      <c r="J11" s="10" t="s">
        <v>418</v>
      </c>
      <c r="K11" s="10">
        <f t="shared" si="4"/>
        <v>43506</v>
      </c>
      <c r="L11" s="10">
        <f t="shared" si="2"/>
        <v>3506</v>
      </c>
      <c r="M11" s="10">
        <f t="shared" si="3"/>
        <v>3505</v>
      </c>
      <c r="N11" s="10" t="s">
        <v>419</v>
      </c>
      <c r="O11" s="10" t="s">
        <v>327</v>
      </c>
      <c r="P11" s="10">
        <v>90</v>
      </c>
      <c r="Q11" s="10" t="s">
        <v>379</v>
      </c>
      <c r="R11" s="111"/>
      <c r="S11" s="29"/>
      <c r="AA11" s="56"/>
      <c r="AB11" s="56"/>
    </row>
    <row r="12" spans="1:47" ht="15.6" x14ac:dyDescent="0.3">
      <c r="B12" s="10" t="s">
        <v>756</v>
      </c>
      <c r="C12" s="10" t="s">
        <v>321</v>
      </c>
      <c r="D12" s="10">
        <v>2</v>
      </c>
      <c r="E12" s="10">
        <f t="shared" si="1"/>
        <v>1</v>
      </c>
      <c r="F12" s="10">
        <v>5</v>
      </c>
      <c r="G12" s="10">
        <v>100</v>
      </c>
      <c r="H12" s="10">
        <v>5</v>
      </c>
      <c r="I12" s="10">
        <v>1</v>
      </c>
      <c r="J12" s="10" t="s">
        <v>418</v>
      </c>
      <c r="K12" s="10">
        <f t="shared" si="4"/>
        <v>43507</v>
      </c>
      <c r="L12" s="10">
        <f t="shared" si="2"/>
        <v>3507</v>
      </c>
      <c r="M12" s="10">
        <f t="shared" si="3"/>
        <v>3506</v>
      </c>
      <c r="N12" s="10" t="s">
        <v>419</v>
      </c>
      <c r="O12" s="10" t="s">
        <v>327</v>
      </c>
      <c r="P12" s="10">
        <v>90</v>
      </c>
      <c r="Q12" s="10" t="s">
        <v>379</v>
      </c>
      <c r="R12" s="111"/>
      <c r="S12" s="29"/>
      <c r="AA12" s="56"/>
      <c r="AB12" s="56"/>
    </row>
    <row r="13" spans="1:47" ht="31.2" x14ac:dyDescent="0.3">
      <c r="B13" s="10" t="s">
        <v>757</v>
      </c>
      <c r="C13" s="10" t="s">
        <v>321</v>
      </c>
      <c r="D13" s="10">
        <v>2</v>
      </c>
      <c r="E13" s="10">
        <f t="shared" si="1"/>
        <v>1</v>
      </c>
      <c r="F13" s="10">
        <v>0</v>
      </c>
      <c r="G13" s="10">
        <v>1</v>
      </c>
      <c r="H13" s="10">
        <v>1</v>
      </c>
      <c r="I13" s="10">
        <v>1</v>
      </c>
      <c r="J13" s="10" t="s">
        <v>418</v>
      </c>
      <c r="K13" s="10">
        <f t="shared" si="4"/>
        <v>43508</v>
      </c>
      <c r="L13" s="10">
        <f t="shared" si="2"/>
        <v>3508</v>
      </c>
      <c r="M13" s="10">
        <f t="shared" si="3"/>
        <v>3507</v>
      </c>
      <c r="N13" s="10" t="s">
        <v>419</v>
      </c>
      <c r="O13" s="10" t="s">
        <v>327</v>
      </c>
      <c r="P13" s="10">
        <v>0</v>
      </c>
      <c r="Q13" s="10"/>
      <c r="R13" s="110" t="s">
        <v>758</v>
      </c>
      <c r="S13" s="29"/>
      <c r="AA13" s="56"/>
      <c r="AB13" s="56"/>
    </row>
    <row r="14" spans="1:47" ht="15.6" x14ac:dyDescent="0.3">
      <c r="B14" s="10" t="s">
        <v>759</v>
      </c>
      <c r="C14" s="10" t="s">
        <v>321</v>
      </c>
      <c r="D14" s="10">
        <v>2</v>
      </c>
      <c r="E14" s="10">
        <f t="shared" si="1"/>
        <v>1</v>
      </c>
      <c r="F14" s="10">
        <v>0</v>
      </c>
      <c r="G14" s="10">
        <v>60000</v>
      </c>
      <c r="H14" s="10">
        <v>1</v>
      </c>
      <c r="I14" s="64" t="s">
        <v>386</v>
      </c>
      <c r="J14" s="10" t="s">
        <v>418</v>
      </c>
      <c r="K14" s="10">
        <f t="shared" si="4"/>
        <v>43509</v>
      </c>
      <c r="L14" s="10">
        <f t="shared" si="2"/>
        <v>3509</v>
      </c>
      <c r="M14" s="10">
        <f t="shared" si="3"/>
        <v>3508</v>
      </c>
      <c r="N14" s="10" t="s">
        <v>419</v>
      </c>
      <c r="O14" s="10" t="s">
        <v>327</v>
      </c>
      <c r="P14" s="10">
        <v>0</v>
      </c>
      <c r="Q14" s="10" t="s">
        <v>760</v>
      </c>
      <c r="R14" s="111"/>
      <c r="S14" s="29"/>
      <c r="AA14" s="56"/>
      <c r="AB14" s="56"/>
    </row>
    <row r="15" spans="1:47" ht="31.2" x14ac:dyDescent="0.3">
      <c r="B15" s="10" t="s">
        <v>761</v>
      </c>
      <c r="C15" s="10" t="s">
        <v>321</v>
      </c>
      <c r="D15" s="10">
        <v>2</v>
      </c>
      <c r="E15" s="10">
        <f t="shared" si="1"/>
        <v>1</v>
      </c>
      <c r="F15" s="10">
        <v>0</v>
      </c>
      <c r="G15" s="10">
        <v>1</v>
      </c>
      <c r="H15" s="10">
        <v>1</v>
      </c>
      <c r="I15" s="10">
        <v>1</v>
      </c>
      <c r="J15" s="10" t="s">
        <v>418</v>
      </c>
      <c r="K15" s="10">
        <f t="shared" si="4"/>
        <v>43510</v>
      </c>
      <c r="L15" s="10">
        <f t="shared" si="2"/>
        <v>3510</v>
      </c>
      <c r="M15" s="10">
        <f t="shared" si="3"/>
        <v>3509</v>
      </c>
      <c r="N15" s="10" t="s">
        <v>419</v>
      </c>
      <c r="O15" s="10" t="s">
        <v>327</v>
      </c>
      <c r="P15" s="10">
        <v>0</v>
      </c>
      <c r="Q15" s="10"/>
      <c r="R15" s="110" t="s">
        <v>758</v>
      </c>
      <c r="S15" s="29"/>
      <c r="AA15" s="56"/>
      <c r="AB15" s="56"/>
    </row>
    <row r="16" spans="1:47" ht="15.6" x14ac:dyDescent="0.3">
      <c r="B16" s="10" t="s">
        <v>762</v>
      </c>
      <c r="C16" s="10" t="s">
        <v>321</v>
      </c>
      <c r="D16" s="10">
        <v>2</v>
      </c>
      <c r="E16" s="10">
        <f t="shared" si="1"/>
        <v>1</v>
      </c>
      <c r="F16" s="10">
        <v>0</v>
      </c>
      <c r="G16" s="10">
        <v>60000</v>
      </c>
      <c r="H16" s="10">
        <v>1</v>
      </c>
      <c r="I16" s="64" t="s">
        <v>386</v>
      </c>
      <c r="J16" s="10" t="s">
        <v>418</v>
      </c>
      <c r="K16" s="10">
        <f t="shared" si="4"/>
        <v>43511</v>
      </c>
      <c r="L16" s="10">
        <f t="shared" si="2"/>
        <v>3511</v>
      </c>
      <c r="M16" s="10">
        <f t="shared" si="3"/>
        <v>3510</v>
      </c>
      <c r="N16" s="10" t="s">
        <v>419</v>
      </c>
      <c r="O16" s="10" t="s">
        <v>327</v>
      </c>
      <c r="P16" s="10">
        <v>0</v>
      </c>
      <c r="Q16" s="10" t="s">
        <v>329</v>
      </c>
      <c r="R16" s="111"/>
      <c r="S16" s="29"/>
      <c r="AA16" s="56"/>
      <c r="AB16" s="56"/>
    </row>
    <row r="17" spans="2:28" ht="31.2" x14ac:dyDescent="0.3">
      <c r="B17" s="10" t="s">
        <v>763</v>
      </c>
      <c r="C17" s="10" t="s">
        <v>321</v>
      </c>
      <c r="D17" s="10">
        <v>2</v>
      </c>
      <c r="E17" s="10">
        <f t="shared" ref="E17:E22" si="5">D17/2</f>
        <v>1</v>
      </c>
      <c r="F17" s="10">
        <v>0</v>
      </c>
      <c r="G17" s="10">
        <v>1</v>
      </c>
      <c r="H17" s="10">
        <v>1</v>
      </c>
      <c r="I17" s="10">
        <v>1</v>
      </c>
      <c r="J17" s="10" t="s">
        <v>418</v>
      </c>
      <c r="K17" s="10">
        <f t="shared" si="4"/>
        <v>43512</v>
      </c>
      <c r="L17" s="10">
        <f t="shared" si="2"/>
        <v>3512</v>
      </c>
      <c r="M17" s="10">
        <f t="shared" si="3"/>
        <v>3511</v>
      </c>
      <c r="N17" s="10" t="s">
        <v>419</v>
      </c>
      <c r="O17" s="10" t="s">
        <v>327</v>
      </c>
      <c r="P17" s="10">
        <v>0</v>
      </c>
      <c r="Q17" s="10"/>
      <c r="R17" s="110" t="s">
        <v>758</v>
      </c>
      <c r="S17" s="29"/>
      <c r="AA17" s="56"/>
      <c r="AB17" s="56"/>
    </row>
    <row r="18" spans="2:28" ht="15.6" x14ac:dyDescent="0.3">
      <c r="B18" s="10" t="s">
        <v>764</v>
      </c>
      <c r="C18" s="10" t="s">
        <v>321</v>
      </c>
      <c r="D18" s="10">
        <v>2</v>
      </c>
      <c r="E18" s="10">
        <f t="shared" si="5"/>
        <v>1</v>
      </c>
      <c r="F18" s="10">
        <v>80</v>
      </c>
      <c r="G18" s="10">
        <v>95</v>
      </c>
      <c r="H18" s="10">
        <v>5</v>
      </c>
      <c r="I18" s="10">
        <v>1</v>
      </c>
      <c r="J18" s="10" t="s">
        <v>418</v>
      </c>
      <c r="K18" s="10">
        <f t="shared" si="4"/>
        <v>43513</v>
      </c>
      <c r="L18" s="10">
        <f t="shared" si="2"/>
        <v>3513</v>
      </c>
      <c r="M18" s="10">
        <f t="shared" si="3"/>
        <v>3512</v>
      </c>
      <c r="N18" s="10" t="s">
        <v>419</v>
      </c>
      <c r="O18" s="10" t="s">
        <v>327</v>
      </c>
      <c r="P18" s="10">
        <v>80</v>
      </c>
      <c r="Q18" s="10" t="s">
        <v>379</v>
      </c>
      <c r="R18" s="111"/>
      <c r="S18" s="29"/>
      <c r="AA18" s="56"/>
      <c r="AB18" s="56"/>
    </row>
    <row r="19" spans="2:28" ht="15.6" x14ac:dyDescent="0.3">
      <c r="B19" s="10" t="s">
        <v>765</v>
      </c>
      <c r="C19" s="10" t="s">
        <v>321</v>
      </c>
      <c r="D19" s="10">
        <v>2</v>
      </c>
      <c r="E19" s="10">
        <f t="shared" si="5"/>
        <v>1</v>
      </c>
      <c r="F19" s="10">
        <v>0</v>
      </c>
      <c r="G19" s="10">
        <v>60000</v>
      </c>
      <c r="H19" s="10">
        <v>1</v>
      </c>
      <c r="I19" s="10" t="s">
        <v>386</v>
      </c>
      <c r="J19" s="10" t="s">
        <v>418</v>
      </c>
      <c r="K19" s="10">
        <f t="shared" si="4"/>
        <v>43514</v>
      </c>
      <c r="L19" s="10">
        <f t="shared" si="2"/>
        <v>3514</v>
      </c>
      <c r="M19" s="10">
        <f t="shared" ref="M19:M22" si="6">L19-1</f>
        <v>3513</v>
      </c>
      <c r="N19" s="10" t="s">
        <v>419</v>
      </c>
      <c r="O19" s="10" t="s">
        <v>327</v>
      </c>
      <c r="P19" s="10">
        <v>0</v>
      </c>
      <c r="Q19" s="10" t="s">
        <v>329</v>
      </c>
      <c r="R19" s="111"/>
      <c r="S19" s="29"/>
      <c r="AA19" s="56"/>
      <c r="AB19" s="56"/>
    </row>
    <row r="20" spans="2:28" ht="31.2" x14ac:dyDescent="0.3">
      <c r="B20" s="10" t="s">
        <v>766</v>
      </c>
      <c r="C20" s="10" t="s">
        <v>321</v>
      </c>
      <c r="D20" s="10">
        <v>2</v>
      </c>
      <c r="E20" s="10">
        <f t="shared" ref="E20:E21" si="7">D20/2</f>
        <v>1</v>
      </c>
      <c r="F20" s="10">
        <v>0</v>
      </c>
      <c r="G20" s="10">
        <v>1</v>
      </c>
      <c r="H20" s="10">
        <v>1</v>
      </c>
      <c r="I20" s="10">
        <v>1</v>
      </c>
      <c r="J20" s="10" t="s">
        <v>418</v>
      </c>
      <c r="K20" s="10">
        <f t="shared" si="4"/>
        <v>43515</v>
      </c>
      <c r="L20" s="10">
        <f t="shared" si="2"/>
        <v>3515</v>
      </c>
      <c r="M20" s="10">
        <f t="shared" ref="M20:M21" si="8">L20-1</f>
        <v>3514</v>
      </c>
      <c r="N20" s="10" t="s">
        <v>419</v>
      </c>
      <c r="O20" s="10" t="s">
        <v>327</v>
      </c>
      <c r="P20" s="10">
        <v>0</v>
      </c>
      <c r="Q20" s="10"/>
      <c r="R20" s="110" t="s">
        <v>758</v>
      </c>
      <c r="S20" s="29"/>
      <c r="AA20" s="56"/>
      <c r="AB20" s="56"/>
    </row>
    <row r="21" spans="2:28" ht="15.6" x14ac:dyDescent="0.3">
      <c r="B21" s="10" t="s">
        <v>320</v>
      </c>
      <c r="C21" s="10" t="s">
        <v>321</v>
      </c>
      <c r="D21" s="10">
        <v>2</v>
      </c>
      <c r="E21" s="10">
        <f t="shared" si="7"/>
        <v>1</v>
      </c>
      <c r="F21" s="10">
        <v>0</v>
      </c>
      <c r="G21" s="10">
        <v>0</v>
      </c>
      <c r="H21" s="10">
        <v>0</v>
      </c>
      <c r="I21" s="10">
        <v>0</v>
      </c>
      <c r="J21" s="10" t="s">
        <v>418</v>
      </c>
      <c r="K21" s="10">
        <f t="shared" si="4"/>
        <v>43516</v>
      </c>
      <c r="L21" s="10">
        <f t="shared" si="2"/>
        <v>3516</v>
      </c>
      <c r="M21" s="10">
        <f t="shared" si="8"/>
        <v>3515</v>
      </c>
      <c r="N21" s="10" t="s">
        <v>419</v>
      </c>
      <c r="O21" s="10" t="s">
        <v>327</v>
      </c>
      <c r="P21" s="10">
        <v>0</v>
      </c>
      <c r="Q21" s="10"/>
      <c r="R21" s="111"/>
      <c r="S21" s="29"/>
      <c r="AA21" s="56"/>
      <c r="AB21" s="56"/>
    </row>
    <row r="22" spans="2:28" ht="15.6" x14ac:dyDescent="0.3">
      <c r="B22" s="10" t="s">
        <v>320</v>
      </c>
      <c r="C22" s="10" t="s">
        <v>321</v>
      </c>
      <c r="D22" s="10">
        <v>2</v>
      </c>
      <c r="E22" s="10">
        <f t="shared" si="5"/>
        <v>1</v>
      </c>
      <c r="F22" s="10">
        <v>0</v>
      </c>
      <c r="G22" s="10">
        <v>0</v>
      </c>
      <c r="H22" s="10">
        <v>0</v>
      </c>
      <c r="I22" s="10">
        <v>0</v>
      </c>
      <c r="J22" s="10" t="s">
        <v>418</v>
      </c>
      <c r="K22" s="10">
        <f t="shared" si="4"/>
        <v>43517</v>
      </c>
      <c r="L22" s="10">
        <f t="shared" si="2"/>
        <v>3517</v>
      </c>
      <c r="M22" s="10">
        <f t="shared" si="6"/>
        <v>3516</v>
      </c>
      <c r="N22" s="10" t="s">
        <v>419</v>
      </c>
      <c r="O22" s="10" t="s">
        <v>327</v>
      </c>
      <c r="P22" s="10">
        <v>0</v>
      </c>
      <c r="Q22" s="10"/>
      <c r="R22" s="111"/>
      <c r="S22" s="29"/>
      <c r="AA22" s="56"/>
      <c r="AB22" s="56"/>
    </row>
    <row r="23" spans="2:28" ht="15.6" x14ac:dyDescent="0.3">
      <c r="B23" s="10" t="s">
        <v>320</v>
      </c>
      <c r="C23" s="10" t="s">
        <v>321</v>
      </c>
      <c r="D23" s="10">
        <v>2</v>
      </c>
      <c r="E23" s="10">
        <f t="shared" si="0"/>
        <v>1</v>
      </c>
      <c r="F23" s="10">
        <v>0</v>
      </c>
      <c r="G23" s="10">
        <v>0</v>
      </c>
      <c r="H23" s="10">
        <v>0</v>
      </c>
      <c r="I23" s="10">
        <v>0</v>
      </c>
      <c r="J23" s="10" t="s">
        <v>418</v>
      </c>
      <c r="K23" s="10">
        <f>K22+E22</f>
        <v>43518</v>
      </c>
      <c r="L23" s="10">
        <f t="shared" si="2"/>
        <v>3518</v>
      </c>
      <c r="M23" s="10">
        <f t="shared" si="3"/>
        <v>3517</v>
      </c>
      <c r="N23" s="10" t="s">
        <v>419</v>
      </c>
      <c r="O23" s="10" t="s">
        <v>327</v>
      </c>
      <c r="P23" s="10">
        <v>0</v>
      </c>
      <c r="Q23" s="10"/>
      <c r="R23" s="111"/>
      <c r="S23" s="29"/>
      <c r="AA23" s="56"/>
      <c r="AB23" s="56"/>
    </row>
    <row r="24" spans="2:28" x14ac:dyDescent="0.3">
      <c r="B24" s="470" t="s">
        <v>767</v>
      </c>
      <c r="C24" s="471"/>
      <c r="D24" s="471"/>
      <c r="E24" s="471">
        <f t="shared" si="0"/>
        <v>0</v>
      </c>
      <c r="F24" s="471">
        <v>0</v>
      </c>
      <c r="G24" s="471">
        <v>0</v>
      </c>
      <c r="H24" s="471">
        <v>0</v>
      </c>
      <c r="I24" s="471">
        <v>1</v>
      </c>
      <c r="J24" s="471" t="s">
        <v>418</v>
      </c>
      <c r="K24" s="471" t="e">
        <f>#REF!+#REF!</f>
        <v>#REF!</v>
      </c>
      <c r="L24" s="471"/>
      <c r="M24" s="471"/>
      <c r="N24" s="471" t="s">
        <v>323</v>
      </c>
      <c r="O24" s="471"/>
      <c r="P24" s="471"/>
      <c r="Q24" s="471"/>
      <c r="R24" s="472"/>
      <c r="S24" s="29"/>
      <c r="AA24" s="56"/>
      <c r="AB24" s="56"/>
    </row>
    <row r="25" spans="2:28" ht="62.4" x14ac:dyDescent="0.3">
      <c r="B25" s="10" t="s">
        <v>748</v>
      </c>
      <c r="C25" s="10" t="s">
        <v>321</v>
      </c>
      <c r="D25" s="10">
        <v>2</v>
      </c>
      <c r="E25" s="10">
        <f t="shared" si="0"/>
        <v>1</v>
      </c>
      <c r="F25" s="10">
        <v>0</v>
      </c>
      <c r="G25" s="10">
        <v>3</v>
      </c>
      <c r="H25" s="10">
        <v>1</v>
      </c>
      <c r="I25" s="10">
        <v>1</v>
      </c>
      <c r="J25" s="10" t="s">
        <v>418</v>
      </c>
      <c r="K25" s="10">
        <f>K23+E23</f>
        <v>43519</v>
      </c>
      <c r="L25" s="10">
        <f>K25-40000</f>
        <v>3519</v>
      </c>
      <c r="M25" s="10">
        <f>L25-1</f>
        <v>3518</v>
      </c>
      <c r="N25" s="10" t="s">
        <v>419</v>
      </c>
      <c r="O25" s="10" t="s">
        <v>327</v>
      </c>
      <c r="P25" s="10">
        <v>2</v>
      </c>
      <c r="Q25" s="10"/>
      <c r="R25" s="110" t="s">
        <v>749</v>
      </c>
      <c r="S25" s="29"/>
      <c r="V25" s="56"/>
      <c r="W25" s="18"/>
      <c r="X25" s="18"/>
      <c r="Y25" s="18"/>
      <c r="AA25" s="56"/>
      <c r="AB25" s="56"/>
    </row>
    <row r="26" spans="2:28" ht="15.6" x14ac:dyDescent="0.3">
      <c r="B26" s="10" t="s">
        <v>768</v>
      </c>
      <c r="C26" s="10" t="s">
        <v>321</v>
      </c>
      <c r="D26" s="10">
        <v>2</v>
      </c>
      <c r="E26" s="10">
        <f t="shared" si="0"/>
        <v>1</v>
      </c>
      <c r="F26" s="10">
        <v>50</v>
      </c>
      <c r="G26" s="10">
        <v>1000</v>
      </c>
      <c r="H26" s="10">
        <v>1</v>
      </c>
      <c r="I26" s="10">
        <v>1</v>
      </c>
      <c r="J26" s="10" t="s">
        <v>418</v>
      </c>
      <c r="K26" s="10">
        <f>K25+E25</f>
        <v>43520</v>
      </c>
      <c r="L26" s="10">
        <f t="shared" ref="L26:L30" si="9">K26-40000</f>
        <v>3520</v>
      </c>
      <c r="M26" s="10">
        <f t="shared" ref="M26:M30" si="10">L26-1</f>
        <v>3519</v>
      </c>
      <c r="N26" s="10" t="s">
        <v>419</v>
      </c>
      <c r="O26" s="10" t="s">
        <v>327</v>
      </c>
      <c r="P26" s="10">
        <v>200</v>
      </c>
      <c r="Q26" s="10" t="s">
        <v>381</v>
      </c>
      <c r="R26" s="111"/>
      <c r="S26" s="29"/>
      <c r="V26" s="56"/>
      <c r="W26" s="19"/>
      <c r="X26" s="19"/>
      <c r="Y26" s="19"/>
      <c r="AA26" s="56"/>
      <c r="AB26" s="56"/>
    </row>
    <row r="27" spans="2:28" ht="15.6" x14ac:dyDescent="0.3">
      <c r="B27" s="10" t="s">
        <v>769</v>
      </c>
      <c r="C27" s="10" t="s">
        <v>321</v>
      </c>
      <c r="D27" s="10">
        <v>2</v>
      </c>
      <c r="E27" s="10">
        <f t="shared" si="0"/>
        <v>1</v>
      </c>
      <c r="F27" s="10">
        <v>1</v>
      </c>
      <c r="G27" s="10">
        <v>60000</v>
      </c>
      <c r="H27" s="10">
        <v>1</v>
      </c>
      <c r="I27" s="64" t="s">
        <v>386</v>
      </c>
      <c r="J27" s="10" t="s">
        <v>418</v>
      </c>
      <c r="K27" s="10">
        <f>K26+E26</f>
        <v>43521</v>
      </c>
      <c r="L27" s="10">
        <f t="shared" si="9"/>
        <v>3521</v>
      </c>
      <c r="M27" s="10">
        <f t="shared" si="10"/>
        <v>3520</v>
      </c>
      <c r="N27" s="10" t="s">
        <v>419</v>
      </c>
      <c r="O27" s="10" t="s">
        <v>327</v>
      </c>
      <c r="P27" s="10">
        <v>20</v>
      </c>
      <c r="Q27" s="10" t="s">
        <v>329</v>
      </c>
      <c r="R27" s="111"/>
      <c r="S27" s="29"/>
      <c r="V27" s="56"/>
      <c r="W27" s="20"/>
      <c r="X27" s="20"/>
      <c r="Y27" s="20"/>
      <c r="AA27" s="56"/>
      <c r="AB27" s="56"/>
    </row>
    <row r="28" spans="2:28" ht="15.6" x14ac:dyDescent="0.3">
      <c r="B28" s="10" t="s">
        <v>752</v>
      </c>
      <c r="C28" s="10" t="s">
        <v>321</v>
      </c>
      <c r="D28" s="10">
        <v>2</v>
      </c>
      <c r="E28" s="10">
        <f t="shared" si="0"/>
        <v>1</v>
      </c>
      <c r="F28" s="10">
        <v>50</v>
      </c>
      <c r="G28" s="10">
        <v>1000</v>
      </c>
      <c r="H28" s="10">
        <v>1</v>
      </c>
      <c r="I28" s="10">
        <v>1</v>
      </c>
      <c r="J28" s="10" t="s">
        <v>418</v>
      </c>
      <c r="K28" s="10">
        <f>K27+E27</f>
        <v>43522</v>
      </c>
      <c r="L28" s="10">
        <f t="shared" ref="L28" si="11">K28-40000</f>
        <v>3522</v>
      </c>
      <c r="M28" s="10">
        <f t="shared" ref="M28" si="12">L28-1</f>
        <v>3521</v>
      </c>
      <c r="N28" s="10" t="s">
        <v>419</v>
      </c>
      <c r="O28" s="10" t="s">
        <v>327</v>
      </c>
      <c r="P28" s="10">
        <v>200</v>
      </c>
      <c r="Q28" s="10" t="s">
        <v>381</v>
      </c>
      <c r="R28" s="111"/>
      <c r="S28" s="29"/>
      <c r="V28" s="56"/>
      <c r="AA28" s="56"/>
      <c r="AB28" s="56"/>
    </row>
    <row r="29" spans="2:28" ht="62.4" x14ac:dyDescent="0.3">
      <c r="B29" s="10" t="s">
        <v>753</v>
      </c>
      <c r="C29" s="10" t="s">
        <v>359</v>
      </c>
      <c r="D29" s="10">
        <v>2</v>
      </c>
      <c r="E29" s="10">
        <f t="shared" si="0"/>
        <v>1</v>
      </c>
      <c r="F29" s="10">
        <v>1</v>
      </c>
      <c r="G29" s="10">
        <v>15</v>
      </c>
      <c r="H29" s="10">
        <v>1</v>
      </c>
      <c r="I29" s="10">
        <v>1</v>
      </c>
      <c r="J29" s="10" t="s">
        <v>418</v>
      </c>
      <c r="K29" s="10">
        <f t="shared" ref="K29:K30" si="13">K28+E28</f>
        <v>43523</v>
      </c>
      <c r="L29" s="10">
        <f t="shared" si="9"/>
        <v>3523</v>
      </c>
      <c r="M29" s="10">
        <f t="shared" si="10"/>
        <v>3522</v>
      </c>
      <c r="N29" s="10" t="s">
        <v>419</v>
      </c>
      <c r="O29" s="10" t="s">
        <v>327</v>
      </c>
      <c r="P29" s="10">
        <v>3</v>
      </c>
      <c r="Q29" s="10"/>
      <c r="R29" s="222" t="s">
        <v>754</v>
      </c>
      <c r="V29" s="11"/>
      <c r="W29" s="15"/>
      <c r="X29" s="17"/>
      <c r="Y29" s="15"/>
    </row>
    <row r="30" spans="2:28" ht="15.6" x14ac:dyDescent="0.3">
      <c r="B30" s="10" t="s">
        <v>770</v>
      </c>
      <c r="C30" s="10" t="s">
        <v>321</v>
      </c>
      <c r="D30" s="10">
        <v>2</v>
      </c>
      <c r="E30" s="10">
        <f t="shared" ref="E30" si="14">D30/2</f>
        <v>1</v>
      </c>
      <c r="F30" s="10">
        <v>0</v>
      </c>
      <c r="G30" s="10">
        <v>60000</v>
      </c>
      <c r="H30" s="10">
        <v>1</v>
      </c>
      <c r="I30" s="64" t="s">
        <v>386</v>
      </c>
      <c r="J30" s="10" t="s">
        <v>418</v>
      </c>
      <c r="K30" s="10">
        <f t="shared" si="13"/>
        <v>43524</v>
      </c>
      <c r="L30" s="10">
        <f t="shared" si="9"/>
        <v>3524</v>
      </c>
      <c r="M30" s="10">
        <f t="shared" si="10"/>
        <v>3523</v>
      </c>
      <c r="N30" s="10" t="s">
        <v>419</v>
      </c>
      <c r="O30" s="10" t="s">
        <v>327</v>
      </c>
      <c r="P30" s="10">
        <v>0</v>
      </c>
      <c r="Q30" s="10" t="s">
        <v>760</v>
      </c>
      <c r="R30" s="111"/>
      <c r="S30" s="29"/>
      <c r="AA30" s="56"/>
      <c r="AB30" s="56"/>
    </row>
    <row r="31" spans="2:28" s="27" customFormat="1" x14ac:dyDescent="0.3">
      <c r="B31" s="470" t="s">
        <v>771</v>
      </c>
      <c r="C31" s="471"/>
      <c r="D31" s="471"/>
      <c r="E31" s="471"/>
      <c r="F31" s="471"/>
      <c r="G31" s="471"/>
      <c r="H31" s="471"/>
      <c r="I31" s="471"/>
      <c r="J31" s="471"/>
      <c r="K31" s="471"/>
      <c r="L31" s="471"/>
      <c r="M31" s="471"/>
      <c r="N31" s="471"/>
      <c r="O31" s="471"/>
      <c r="P31" s="471"/>
      <c r="Q31" s="471"/>
      <c r="R31" s="472"/>
      <c r="V31" s="17"/>
      <c r="W31" s="17"/>
      <c r="X31" s="17"/>
      <c r="Y31" s="17"/>
    </row>
    <row r="32" spans="2:28" s="27" customFormat="1" ht="62.4" x14ac:dyDescent="0.3">
      <c r="B32" s="10" t="s">
        <v>748</v>
      </c>
      <c r="C32" s="10" t="s">
        <v>321</v>
      </c>
      <c r="D32" s="10">
        <v>2</v>
      </c>
      <c r="E32" s="10">
        <f t="shared" ref="E32:E37" si="15">D32/2</f>
        <v>1</v>
      </c>
      <c r="F32" s="10">
        <v>0</v>
      </c>
      <c r="G32" s="10">
        <v>3</v>
      </c>
      <c r="H32" s="10">
        <v>1</v>
      </c>
      <c r="I32" s="10">
        <v>1</v>
      </c>
      <c r="J32" s="10" t="s">
        <v>418</v>
      </c>
      <c r="K32" s="10">
        <f>K30+E30</f>
        <v>43525</v>
      </c>
      <c r="L32" s="10">
        <f>K32-40000</f>
        <v>3525</v>
      </c>
      <c r="M32" s="10">
        <f>L32-1</f>
        <v>3524</v>
      </c>
      <c r="N32" s="10" t="s">
        <v>419</v>
      </c>
      <c r="O32" s="10" t="s">
        <v>327</v>
      </c>
      <c r="P32" s="10">
        <v>2</v>
      </c>
      <c r="Q32" s="10"/>
      <c r="R32" s="110" t="s">
        <v>749</v>
      </c>
      <c r="T32" s="56"/>
      <c r="U32" s="56"/>
      <c r="V32" s="17"/>
      <c r="W32" s="17"/>
      <c r="X32" s="17"/>
      <c r="Y32" s="17"/>
    </row>
    <row r="33" spans="2:28" s="27" customFormat="1" ht="15.6" x14ac:dyDescent="0.3">
      <c r="B33" s="10" t="s">
        <v>772</v>
      </c>
      <c r="C33" s="10" t="s">
        <v>321</v>
      </c>
      <c r="D33" s="10">
        <v>2</v>
      </c>
      <c r="E33" s="10">
        <f t="shared" si="15"/>
        <v>1</v>
      </c>
      <c r="F33" s="10">
        <v>150</v>
      </c>
      <c r="G33" s="10">
        <v>1000</v>
      </c>
      <c r="H33" s="10">
        <v>1</v>
      </c>
      <c r="I33" s="10">
        <v>1</v>
      </c>
      <c r="J33" s="10" t="s">
        <v>418</v>
      </c>
      <c r="K33" s="10">
        <f t="shared" ref="K33:K37" si="16">K32+E32</f>
        <v>43526</v>
      </c>
      <c r="L33" s="10">
        <f t="shared" ref="L33:L37" si="17">K33-40000</f>
        <v>3526</v>
      </c>
      <c r="M33" s="10">
        <f t="shared" ref="M33:M37" si="18">L33-1</f>
        <v>3525</v>
      </c>
      <c r="N33" s="10" t="s">
        <v>419</v>
      </c>
      <c r="O33" s="10" t="s">
        <v>327</v>
      </c>
      <c r="P33" s="10">
        <v>200</v>
      </c>
      <c r="Q33" s="10" t="s">
        <v>381</v>
      </c>
      <c r="R33" s="111"/>
      <c r="T33" s="56"/>
      <c r="U33" s="56"/>
      <c r="V33" s="17"/>
      <c r="W33" s="17"/>
      <c r="X33" s="17"/>
      <c r="Y33" s="17"/>
    </row>
    <row r="34" spans="2:28" s="27" customFormat="1" ht="15.6" x14ac:dyDescent="0.3">
      <c r="B34" s="10" t="s">
        <v>769</v>
      </c>
      <c r="C34" s="10" t="s">
        <v>321</v>
      </c>
      <c r="D34" s="10">
        <v>2</v>
      </c>
      <c r="E34" s="10">
        <f t="shared" si="15"/>
        <v>1</v>
      </c>
      <c r="F34" s="10">
        <v>1</v>
      </c>
      <c r="G34" s="10">
        <v>60000</v>
      </c>
      <c r="H34" s="10">
        <v>1</v>
      </c>
      <c r="I34" s="10" t="s">
        <v>386</v>
      </c>
      <c r="J34" s="10" t="s">
        <v>418</v>
      </c>
      <c r="K34" s="10">
        <f t="shared" si="16"/>
        <v>43527</v>
      </c>
      <c r="L34" s="10">
        <f t="shared" si="17"/>
        <v>3527</v>
      </c>
      <c r="M34" s="10">
        <f t="shared" si="18"/>
        <v>3526</v>
      </c>
      <c r="N34" s="10" t="s">
        <v>419</v>
      </c>
      <c r="O34" s="10" t="s">
        <v>327</v>
      </c>
      <c r="P34" s="10">
        <v>100</v>
      </c>
      <c r="Q34" s="10" t="s">
        <v>760</v>
      </c>
      <c r="R34" s="111"/>
      <c r="T34" s="56"/>
      <c r="U34" s="56"/>
      <c r="V34" s="17"/>
      <c r="W34" s="17"/>
      <c r="X34" s="17"/>
      <c r="Y34" s="17"/>
    </row>
    <row r="35" spans="2:28" ht="15.6" x14ac:dyDescent="0.3">
      <c r="B35" s="10" t="s">
        <v>752</v>
      </c>
      <c r="C35" s="10" t="s">
        <v>321</v>
      </c>
      <c r="D35" s="10">
        <v>2</v>
      </c>
      <c r="E35" s="10">
        <f t="shared" si="15"/>
        <v>1</v>
      </c>
      <c r="F35" s="10">
        <v>150</v>
      </c>
      <c r="G35" s="10">
        <v>1000</v>
      </c>
      <c r="H35" s="10">
        <v>1</v>
      </c>
      <c r="I35" s="10">
        <v>1</v>
      </c>
      <c r="J35" s="10" t="s">
        <v>418</v>
      </c>
      <c r="K35" s="10">
        <f t="shared" ref="K35" si="19">K34+E34</f>
        <v>43528</v>
      </c>
      <c r="L35" s="10">
        <f t="shared" ref="L35" si="20">K35-40000</f>
        <v>3528</v>
      </c>
      <c r="M35" s="10">
        <f t="shared" ref="M35" si="21">L35-1</f>
        <v>3527</v>
      </c>
      <c r="N35" s="10" t="s">
        <v>419</v>
      </c>
      <c r="O35" s="10" t="s">
        <v>327</v>
      </c>
      <c r="P35" s="10">
        <v>200</v>
      </c>
      <c r="Q35" s="10" t="s">
        <v>381</v>
      </c>
      <c r="R35" s="111"/>
      <c r="Z35" s="26"/>
    </row>
    <row r="36" spans="2:28" ht="62.4" x14ac:dyDescent="0.3">
      <c r="B36" s="10" t="s">
        <v>753</v>
      </c>
      <c r="C36" s="10" t="s">
        <v>359</v>
      </c>
      <c r="D36" s="10">
        <v>2</v>
      </c>
      <c r="E36" s="10">
        <f t="shared" si="15"/>
        <v>1</v>
      </c>
      <c r="F36" s="10">
        <v>1</v>
      </c>
      <c r="G36" s="10">
        <v>15</v>
      </c>
      <c r="H36" s="10">
        <v>1</v>
      </c>
      <c r="I36" s="10">
        <v>1</v>
      </c>
      <c r="J36" s="10" t="s">
        <v>418</v>
      </c>
      <c r="K36" s="10">
        <f t="shared" si="16"/>
        <v>43529</v>
      </c>
      <c r="L36" s="10">
        <f t="shared" si="17"/>
        <v>3529</v>
      </c>
      <c r="M36" s="10">
        <f t="shared" si="18"/>
        <v>3528</v>
      </c>
      <c r="N36" s="10" t="s">
        <v>419</v>
      </c>
      <c r="O36" s="10" t="s">
        <v>327</v>
      </c>
      <c r="P36" s="10">
        <v>3</v>
      </c>
      <c r="Q36" s="10"/>
      <c r="R36" s="222" t="s">
        <v>754</v>
      </c>
      <c r="V36" s="11"/>
      <c r="W36" s="15"/>
      <c r="X36" s="17"/>
      <c r="Y36" s="15"/>
    </row>
    <row r="37" spans="2:28" ht="15.6" x14ac:dyDescent="0.3">
      <c r="B37" s="10" t="s">
        <v>770</v>
      </c>
      <c r="C37" s="10" t="s">
        <v>321</v>
      </c>
      <c r="D37" s="10">
        <v>2</v>
      </c>
      <c r="E37" s="10">
        <f t="shared" si="15"/>
        <v>1</v>
      </c>
      <c r="F37" s="10">
        <v>0</v>
      </c>
      <c r="G37" s="10">
        <v>60000</v>
      </c>
      <c r="H37" s="10">
        <v>1</v>
      </c>
      <c r="I37" s="64" t="s">
        <v>386</v>
      </c>
      <c r="J37" s="10" t="s">
        <v>418</v>
      </c>
      <c r="K37" s="10">
        <f t="shared" si="16"/>
        <v>43530</v>
      </c>
      <c r="L37" s="10">
        <f t="shared" si="17"/>
        <v>3530</v>
      </c>
      <c r="M37" s="10">
        <f t="shared" si="18"/>
        <v>3529</v>
      </c>
      <c r="N37" s="10" t="s">
        <v>419</v>
      </c>
      <c r="O37" s="10" t="s">
        <v>327</v>
      </c>
      <c r="P37" s="10">
        <v>0</v>
      </c>
      <c r="Q37" s="10" t="s">
        <v>760</v>
      </c>
      <c r="R37" s="111"/>
      <c r="S37" s="29"/>
      <c r="AA37" s="56"/>
      <c r="AB37" s="56"/>
    </row>
    <row r="38" spans="2:28" x14ac:dyDescent="0.3">
      <c r="B38" s="470" t="s">
        <v>773</v>
      </c>
      <c r="C38" s="471"/>
      <c r="D38" s="471"/>
      <c r="E38" s="471"/>
      <c r="F38" s="471"/>
      <c r="G38" s="471"/>
      <c r="H38" s="471"/>
      <c r="I38" s="471"/>
      <c r="J38" s="471"/>
      <c r="K38" s="471"/>
      <c r="L38" s="471"/>
      <c r="M38" s="471"/>
      <c r="N38" s="471"/>
      <c r="O38" s="471"/>
      <c r="P38" s="471"/>
      <c r="Q38" s="471"/>
      <c r="R38" s="472"/>
      <c r="S38" s="29"/>
      <c r="AA38" s="56"/>
      <c r="AB38" s="56"/>
    </row>
    <row r="39" spans="2:28" ht="62.4" x14ac:dyDescent="0.3">
      <c r="B39" s="10" t="s">
        <v>748</v>
      </c>
      <c r="C39" s="10" t="s">
        <v>321</v>
      </c>
      <c r="D39" s="10">
        <v>2</v>
      </c>
      <c r="E39" s="10">
        <f t="shared" ref="E39:E46" si="22">D39/2</f>
        <v>1</v>
      </c>
      <c r="F39" s="10">
        <v>0</v>
      </c>
      <c r="G39" s="10">
        <v>3</v>
      </c>
      <c r="H39" s="10">
        <v>1</v>
      </c>
      <c r="I39" s="10">
        <v>1</v>
      </c>
      <c r="J39" s="10" t="s">
        <v>418</v>
      </c>
      <c r="K39" s="10">
        <f>K37+E37</f>
        <v>43531</v>
      </c>
      <c r="L39" s="10">
        <f>K39-40000</f>
        <v>3531</v>
      </c>
      <c r="M39" s="10">
        <f>L39-1</f>
        <v>3530</v>
      </c>
      <c r="N39" s="10" t="s">
        <v>419</v>
      </c>
      <c r="O39" s="10" t="s">
        <v>327</v>
      </c>
      <c r="P39" s="10">
        <v>2</v>
      </c>
      <c r="Q39" s="10"/>
      <c r="R39" s="110" t="s">
        <v>749</v>
      </c>
      <c r="S39" s="29"/>
      <c r="V39" s="56"/>
      <c r="W39" s="18"/>
      <c r="X39" s="18"/>
      <c r="Y39" s="18"/>
      <c r="AA39" s="56"/>
      <c r="AB39" s="56"/>
    </row>
    <row r="40" spans="2:28" ht="15.6" x14ac:dyDescent="0.3">
      <c r="B40" s="10" t="s">
        <v>768</v>
      </c>
      <c r="C40" s="10" t="s">
        <v>321</v>
      </c>
      <c r="D40" s="10">
        <v>2</v>
      </c>
      <c r="E40" s="10">
        <f t="shared" si="22"/>
        <v>1</v>
      </c>
      <c r="F40" s="10">
        <v>20</v>
      </c>
      <c r="G40" s="10">
        <v>1000</v>
      </c>
      <c r="H40" s="10">
        <v>1</v>
      </c>
      <c r="I40" s="10">
        <v>1</v>
      </c>
      <c r="J40" s="10" t="s">
        <v>418</v>
      </c>
      <c r="K40" s="10">
        <f t="shared" ref="K40:K45" si="23">K39+E39</f>
        <v>43532</v>
      </c>
      <c r="L40" s="10">
        <f t="shared" ref="L40:L46" si="24">K40-40000</f>
        <v>3532</v>
      </c>
      <c r="M40" s="10">
        <f t="shared" ref="M40:M46" si="25">L40-1</f>
        <v>3531</v>
      </c>
      <c r="N40" s="10" t="s">
        <v>419</v>
      </c>
      <c r="O40" s="10" t="s">
        <v>327</v>
      </c>
      <c r="P40" s="10">
        <v>110</v>
      </c>
      <c r="Q40" s="10" t="s">
        <v>381</v>
      </c>
      <c r="R40" s="111"/>
      <c r="S40" s="29"/>
      <c r="V40" s="56"/>
      <c r="W40" s="19"/>
      <c r="X40" s="19"/>
      <c r="Y40" s="19"/>
      <c r="AA40" s="56"/>
      <c r="AB40" s="56"/>
    </row>
    <row r="41" spans="2:28" ht="15.6" x14ac:dyDescent="0.3">
      <c r="B41" s="10" t="s">
        <v>774</v>
      </c>
      <c r="C41" s="10" t="s">
        <v>321</v>
      </c>
      <c r="D41" s="10">
        <v>2</v>
      </c>
      <c r="E41" s="10">
        <f t="shared" si="22"/>
        <v>1</v>
      </c>
      <c r="F41" s="10">
        <v>1</v>
      </c>
      <c r="G41" s="10">
        <v>60000</v>
      </c>
      <c r="H41" s="10">
        <v>1</v>
      </c>
      <c r="I41" s="64" t="s">
        <v>386</v>
      </c>
      <c r="J41" s="10" t="s">
        <v>418</v>
      </c>
      <c r="K41" s="10">
        <f t="shared" si="23"/>
        <v>43533</v>
      </c>
      <c r="L41" s="10">
        <f t="shared" si="24"/>
        <v>3533</v>
      </c>
      <c r="M41" s="10">
        <f t="shared" si="25"/>
        <v>3532</v>
      </c>
      <c r="N41" s="10" t="s">
        <v>419</v>
      </c>
      <c r="O41" s="10" t="s">
        <v>327</v>
      </c>
      <c r="P41" s="10">
        <v>300</v>
      </c>
      <c r="Q41" s="10" t="s">
        <v>329</v>
      </c>
      <c r="R41" s="111"/>
      <c r="S41" s="29"/>
      <c r="V41" s="56"/>
      <c r="W41" s="20"/>
      <c r="X41" s="20"/>
      <c r="Y41" s="20"/>
      <c r="AA41" s="56"/>
      <c r="AB41" s="56"/>
    </row>
    <row r="42" spans="2:28" ht="15.6" x14ac:dyDescent="0.3">
      <c r="B42" s="10" t="s">
        <v>775</v>
      </c>
      <c r="C42" s="10" t="s">
        <v>321</v>
      </c>
      <c r="D42" s="72">
        <v>2</v>
      </c>
      <c r="E42" s="56">
        <v>1</v>
      </c>
      <c r="F42" s="10">
        <v>1</v>
      </c>
      <c r="G42" s="10">
        <v>60000</v>
      </c>
      <c r="H42" s="10">
        <v>1</v>
      </c>
      <c r="I42" s="64" t="s">
        <v>386</v>
      </c>
      <c r="J42" s="10" t="s">
        <v>418</v>
      </c>
      <c r="K42" s="10">
        <f t="shared" ref="K42:K46" si="26">K41+E41</f>
        <v>43534</v>
      </c>
      <c r="L42" s="10">
        <f t="shared" si="24"/>
        <v>3534</v>
      </c>
      <c r="M42" s="10">
        <f t="shared" si="25"/>
        <v>3533</v>
      </c>
      <c r="N42" s="10" t="s">
        <v>419</v>
      </c>
      <c r="O42" s="10" t="s">
        <v>327</v>
      </c>
      <c r="P42" s="10">
        <v>200</v>
      </c>
      <c r="Q42" s="10" t="s">
        <v>329</v>
      </c>
      <c r="R42" s="111"/>
      <c r="S42" s="29"/>
      <c r="V42" s="56"/>
      <c r="W42" s="20"/>
      <c r="X42" s="20"/>
      <c r="Y42" s="20"/>
      <c r="AA42" s="56"/>
      <c r="AB42" s="56"/>
    </row>
    <row r="43" spans="2:28" ht="15.6" x14ac:dyDescent="0.3">
      <c r="B43" s="10" t="s">
        <v>752</v>
      </c>
      <c r="C43" s="10" t="s">
        <v>321</v>
      </c>
      <c r="D43" s="10">
        <v>2</v>
      </c>
      <c r="E43" s="10">
        <f t="shared" si="22"/>
        <v>1</v>
      </c>
      <c r="F43" s="10">
        <v>20</v>
      </c>
      <c r="G43" s="10">
        <v>1000</v>
      </c>
      <c r="H43" s="10">
        <v>1</v>
      </c>
      <c r="I43" s="10">
        <v>1</v>
      </c>
      <c r="J43" s="10" t="s">
        <v>418</v>
      </c>
      <c r="K43" s="10">
        <f t="shared" si="26"/>
        <v>43535</v>
      </c>
      <c r="L43" s="10">
        <f t="shared" ref="L43" si="27">K43-40000</f>
        <v>3535</v>
      </c>
      <c r="M43" s="10">
        <f t="shared" ref="M43" si="28">L43-1</f>
        <v>3534</v>
      </c>
      <c r="N43" s="10" t="s">
        <v>419</v>
      </c>
      <c r="O43" s="10" t="s">
        <v>327</v>
      </c>
      <c r="P43" s="10">
        <v>110</v>
      </c>
      <c r="Q43" s="10" t="s">
        <v>381</v>
      </c>
      <c r="R43" s="111"/>
      <c r="S43" s="29"/>
      <c r="V43" s="56"/>
      <c r="AA43" s="56"/>
      <c r="AB43" s="56"/>
    </row>
    <row r="44" spans="2:28" ht="62.4" x14ac:dyDescent="0.3">
      <c r="B44" s="10" t="s">
        <v>753</v>
      </c>
      <c r="C44" s="10" t="s">
        <v>359</v>
      </c>
      <c r="D44" s="10">
        <v>2</v>
      </c>
      <c r="E44" s="10">
        <f t="shared" si="22"/>
        <v>1</v>
      </c>
      <c r="F44" s="10">
        <v>1</v>
      </c>
      <c r="G44" s="10">
        <v>15</v>
      </c>
      <c r="H44" s="10">
        <v>1</v>
      </c>
      <c r="I44" s="10">
        <v>1</v>
      </c>
      <c r="J44" s="10" t="s">
        <v>418</v>
      </c>
      <c r="K44" s="10">
        <f t="shared" si="26"/>
        <v>43536</v>
      </c>
      <c r="L44" s="10">
        <f t="shared" si="24"/>
        <v>3536</v>
      </c>
      <c r="M44" s="10">
        <f t="shared" si="25"/>
        <v>3535</v>
      </c>
      <c r="N44" s="10" t="s">
        <v>419</v>
      </c>
      <c r="O44" s="10" t="s">
        <v>327</v>
      </c>
      <c r="P44" s="10">
        <v>3</v>
      </c>
      <c r="Q44" s="10"/>
      <c r="R44" s="222" t="s">
        <v>754</v>
      </c>
      <c r="V44" s="11"/>
      <c r="W44" s="15"/>
      <c r="X44" s="17"/>
      <c r="Y44" s="15"/>
    </row>
    <row r="45" spans="2:28" ht="15.6" x14ac:dyDescent="0.3">
      <c r="B45" s="10" t="s">
        <v>770</v>
      </c>
      <c r="C45" s="10" t="s">
        <v>321</v>
      </c>
      <c r="D45" s="10">
        <v>2</v>
      </c>
      <c r="E45" s="10">
        <f t="shared" si="22"/>
        <v>1</v>
      </c>
      <c r="F45" s="10">
        <v>0</v>
      </c>
      <c r="G45" s="10">
        <v>60000</v>
      </c>
      <c r="H45" s="10">
        <v>1</v>
      </c>
      <c r="I45" s="64" t="s">
        <v>386</v>
      </c>
      <c r="J45" s="10" t="s">
        <v>418</v>
      </c>
      <c r="K45" s="10">
        <f t="shared" si="23"/>
        <v>43537</v>
      </c>
      <c r="L45" s="10">
        <f t="shared" si="24"/>
        <v>3537</v>
      </c>
      <c r="M45" s="10">
        <f t="shared" si="25"/>
        <v>3536</v>
      </c>
      <c r="N45" s="10" t="s">
        <v>419</v>
      </c>
      <c r="O45" s="10" t="s">
        <v>327</v>
      </c>
      <c r="P45" s="10">
        <v>0</v>
      </c>
      <c r="Q45" s="10" t="s">
        <v>760</v>
      </c>
      <c r="R45" s="111"/>
      <c r="S45" s="29"/>
      <c r="AA45" s="56"/>
      <c r="AB45" s="56"/>
    </row>
    <row r="46" spans="2:28" ht="15.6" x14ac:dyDescent="0.3">
      <c r="B46" s="10" t="s">
        <v>320</v>
      </c>
      <c r="C46" s="10" t="s">
        <v>321</v>
      </c>
      <c r="D46" s="10">
        <v>2</v>
      </c>
      <c r="E46" s="10">
        <f t="shared" si="22"/>
        <v>1</v>
      </c>
      <c r="F46" s="10">
        <v>0</v>
      </c>
      <c r="G46" s="10">
        <v>0</v>
      </c>
      <c r="H46" s="10">
        <v>0</v>
      </c>
      <c r="I46" s="10">
        <v>0</v>
      </c>
      <c r="J46" s="10" t="s">
        <v>418</v>
      </c>
      <c r="K46" s="10">
        <f t="shared" si="26"/>
        <v>43538</v>
      </c>
      <c r="L46" s="10">
        <f t="shared" si="24"/>
        <v>3538</v>
      </c>
      <c r="M46" s="10">
        <f t="shared" si="25"/>
        <v>3537</v>
      </c>
      <c r="N46" s="10" t="s">
        <v>419</v>
      </c>
      <c r="O46" s="10" t="s">
        <v>324</v>
      </c>
      <c r="P46" s="10">
        <v>0</v>
      </c>
      <c r="Q46" s="10"/>
      <c r="R46" s="111"/>
      <c r="S46" s="29"/>
      <c r="AA46" s="56"/>
      <c r="AB46" s="56"/>
    </row>
    <row r="47" spans="2:28" x14ac:dyDescent="0.3">
      <c r="B47" s="470" t="s">
        <v>776</v>
      </c>
      <c r="C47" s="471"/>
      <c r="D47" s="471"/>
      <c r="E47" s="471"/>
      <c r="F47" s="471"/>
      <c r="G47" s="471"/>
      <c r="H47" s="471"/>
      <c r="I47" s="471"/>
      <c r="J47" s="471"/>
      <c r="K47" s="471"/>
      <c r="L47" s="471"/>
      <c r="M47" s="471"/>
      <c r="N47" s="471"/>
      <c r="O47" s="471"/>
      <c r="P47" s="471"/>
      <c r="Q47" s="471"/>
      <c r="R47" s="472"/>
      <c r="S47" s="29"/>
      <c r="AA47" s="56"/>
      <c r="AB47" s="56"/>
    </row>
    <row r="48" spans="2:28" ht="62.4" x14ac:dyDescent="0.3">
      <c r="B48" s="10" t="s">
        <v>748</v>
      </c>
      <c r="C48" s="10" t="s">
        <v>321</v>
      </c>
      <c r="D48" s="10">
        <v>2</v>
      </c>
      <c r="E48" s="10">
        <f t="shared" ref="E48:E54" si="29">D48/2</f>
        <v>1</v>
      </c>
      <c r="F48" s="10">
        <v>0</v>
      </c>
      <c r="G48" s="10">
        <v>3</v>
      </c>
      <c r="H48" s="10">
        <v>1</v>
      </c>
      <c r="I48" s="10">
        <v>1</v>
      </c>
      <c r="J48" s="10" t="s">
        <v>418</v>
      </c>
      <c r="K48" s="10">
        <f>K46+E46</f>
        <v>43539</v>
      </c>
      <c r="L48" s="10">
        <f>K48-40000</f>
        <v>3539</v>
      </c>
      <c r="M48" s="10">
        <f>L48-1</f>
        <v>3538</v>
      </c>
      <c r="N48" s="10" t="s">
        <v>419</v>
      </c>
      <c r="O48" s="10" t="s">
        <v>327</v>
      </c>
      <c r="P48" s="10">
        <v>0</v>
      </c>
      <c r="Q48" s="10"/>
      <c r="R48" s="110" t="s">
        <v>749</v>
      </c>
      <c r="S48" s="29"/>
      <c r="V48" s="56"/>
      <c r="W48" s="18"/>
      <c r="X48" s="18"/>
      <c r="Y48" s="18"/>
      <c r="AA48" s="56"/>
      <c r="AB48" s="56"/>
    </row>
    <row r="49" spans="2:28" ht="15.6" x14ac:dyDescent="0.3">
      <c r="B49" s="10" t="s">
        <v>768</v>
      </c>
      <c r="C49" s="10" t="s">
        <v>321</v>
      </c>
      <c r="D49" s="10">
        <v>2</v>
      </c>
      <c r="E49" s="10">
        <f t="shared" si="29"/>
        <v>1</v>
      </c>
      <c r="F49" s="10">
        <v>20</v>
      </c>
      <c r="G49" s="10">
        <v>1000</v>
      </c>
      <c r="H49" s="10">
        <v>1</v>
      </c>
      <c r="I49" s="10">
        <v>1</v>
      </c>
      <c r="J49" s="10" t="s">
        <v>418</v>
      </c>
      <c r="K49" s="10">
        <f t="shared" ref="K49:K54" si="30">K48+E48</f>
        <v>43540</v>
      </c>
      <c r="L49" s="10">
        <f t="shared" ref="L49:L54" si="31">K49-40000</f>
        <v>3540</v>
      </c>
      <c r="M49" s="10">
        <f t="shared" ref="M49:M54" si="32">L49-1</f>
        <v>3539</v>
      </c>
      <c r="N49" s="10" t="s">
        <v>419</v>
      </c>
      <c r="O49" s="10" t="s">
        <v>327</v>
      </c>
      <c r="P49" s="10">
        <v>50</v>
      </c>
      <c r="Q49" s="10" t="s">
        <v>381</v>
      </c>
      <c r="R49" s="111"/>
      <c r="S49" s="29"/>
      <c r="V49" s="56"/>
      <c r="W49" s="19"/>
      <c r="X49" s="19"/>
      <c r="Y49" s="19"/>
      <c r="AA49" s="56"/>
      <c r="AB49" s="56"/>
    </row>
    <row r="50" spans="2:28" ht="15.6" x14ac:dyDescent="0.3">
      <c r="B50" s="117" t="s">
        <v>777</v>
      </c>
      <c r="C50" s="10" t="s">
        <v>321</v>
      </c>
      <c r="D50" s="10">
        <v>2</v>
      </c>
      <c r="E50" s="10">
        <f t="shared" si="29"/>
        <v>1</v>
      </c>
      <c r="F50" s="10">
        <v>1</v>
      </c>
      <c r="G50" s="10">
        <v>200</v>
      </c>
      <c r="H50" s="10">
        <v>1</v>
      </c>
      <c r="I50" s="10" t="s">
        <v>386</v>
      </c>
      <c r="J50" s="10" t="s">
        <v>418</v>
      </c>
      <c r="K50" s="10">
        <f t="shared" si="30"/>
        <v>43541</v>
      </c>
      <c r="L50" s="10">
        <f t="shared" si="31"/>
        <v>3541</v>
      </c>
      <c r="M50" s="10">
        <f t="shared" si="32"/>
        <v>3540</v>
      </c>
      <c r="N50" s="10" t="s">
        <v>419</v>
      </c>
      <c r="O50" s="10" t="s">
        <v>327</v>
      </c>
      <c r="P50" s="10">
        <v>1</v>
      </c>
      <c r="Q50" s="117"/>
      <c r="R50" s="111"/>
      <c r="S50" s="29"/>
      <c r="V50" s="56"/>
      <c r="W50" s="20"/>
      <c r="X50" s="20"/>
      <c r="Y50" s="20"/>
      <c r="AA50" s="56"/>
      <c r="AB50" s="56"/>
    </row>
    <row r="51" spans="2:28" ht="15.6" x14ac:dyDescent="0.3">
      <c r="B51" s="10" t="s">
        <v>752</v>
      </c>
      <c r="C51" s="10" t="s">
        <v>321</v>
      </c>
      <c r="D51" s="10">
        <v>2</v>
      </c>
      <c r="E51" s="10">
        <f t="shared" si="29"/>
        <v>1</v>
      </c>
      <c r="F51" s="10">
        <v>20</v>
      </c>
      <c r="G51" s="10">
        <v>1000</v>
      </c>
      <c r="H51" s="10">
        <v>1</v>
      </c>
      <c r="I51" s="10">
        <v>1</v>
      </c>
      <c r="J51" s="10" t="s">
        <v>418</v>
      </c>
      <c r="K51" s="10">
        <f t="shared" ref="K51" si="33">K50+E50</f>
        <v>43542</v>
      </c>
      <c r="L51" s="10">
        <f t="shared" ref="L51" si="34">K51-40000</f>
        <v>3542</v>
      </c>
      <c r="M51" s="10">
        <f t="shared" ref="M51" si="35">L51-1</f>
        <v>3541</v>
      </c>
      <c r="N51" s="10" t="s">
        <v>419</v>
      </c>
      <c r="O51" s="10" t="s">
        <v>327</v>
      </c>
      <c r="P51" s="10">
        <v>50</v>
      </c>
      <c r="Q51" s="10" t="s">
        <v>381</v>
      </c>
      <c r="R51" s="111"/>
      <c r="S51" s="29"/>
      <c r="V51" s="56"/>
      <c r="AA51" s="56"/>
      <c r="AB51" s="56"/>
    </row>
    <row r="52" spans="2:28" ht="62.4" x14ac:dyDescent="0.3">
      <c r="B52" s="10" t="s">
        <v>753</v>
      </c>
      <c r="C52" s="10" t="s">
        <v>359</v>
      </c>
      <c r="D52" s="10">
        <v>2</v>
      </c>
      <c r="E52" s="10">
        <f t="shared" si="29"/>
        <v>1</v>
      </c>
      <c r="F52" s="10">
        <v>1</v>
      </c>
      <c r="G52" s="10">
        <v>15</v>
      </c>
      <c r="H52" s="10">
        <v>1</v>
      </c>
      <c r="I52" s="10">
        <v>1</v>
      </c>
      <c r="J52" s="10" t="s">
        <v>418</v>
      </c>
      <c r="K52" s="10">
        <f t="shared" si="30"/>
        <v>43543</v>
      </c>
      <c r="L52" s="10">
        <f t="shared" si="31"/>
        <v>3543</v>
      </c>
      <c r="M52" s="10">
        <f t="shared" si="32"/>
        <v>3542</v>
      </c>
      <c r="N52" s="10" t="s">
        <v>419</v>
      </c>
      <c r="O52" s="10" t="s">
        <v>327</v>
      </c>
      <c r="P52" s="10">
        <v>3</v>
      </c>
      <c r="Q52" s="10"/>
      <c r="R52" s="222" t="s">
        <v>754</v>
      </c>
      <c r="V52" s="11"/>
      <c r="W52" s="15"/>
      <c r="X52" s="17"/>
      <c r="Y52" s="15"/>
    </row>
    <row r="53" spans="2:28" ht="15.6" x14ac:dyDescent="0.3">
      <c r="B53" s="10" t="s">
        <v>770</v>
      </c>
      <c r="C53" s="10" t="s">
        <v>321</v>
      </c>
      <c r="D53" s="10">
        <v>2</v>
      </c>
      <c r="E53" s="10">
        <f t="shared" si="29"/>
        <v>1</v>
      </c>
      <c r="F53" s="10">
        <v>0</v>
      </c>
      <c r="G53" s="10">
        <v>60000</v>
      </c>
      <c r="H53" s="10">
        <v>1</v>
      </c>
      <c r="I53" s="10" t="s">
        <v>386</v>
      </c>
      <c r="J53" s="10" t="s">
        <v>418</v>
      </c>
      <c r="K53" s="10">
        <f t="shared" si="30"/>
        <v>43544</v>
      </c>
      <c r="L53" s="10">
        <f t="shared" si="31"/>
        <v>3544</v>
      </c>
      <c r="M53" s="10">
        <f t="shared" si="32"/>
        <v>3543</v>
      </c>
      <c r="N53" s="10" t="s">
        <v>419</v>
      </c>
      <c r="O53" s="10" t="s">
        <v>327</v>
      </c>
      <c r="P53" s="10">
        <v>0</v>
      </c>
      <c r="Q53" s="10" t="s">
        <v>760</v>
      </c>
      <c r="R53" s="111"/>
      <c r="S53" s="29"/>
      <c r="AA53" s="56"/>
      <c r="AB53" s="56"/>
    </row>
    <row r="54" spans="2:28" ht="15.6" x14ac:dyDescent="0.3">
      <c r="B54" s="10" t="s">
        <v>320</v>
      </c>
      <c r="C54" s="10" t="s">
        <v>321</v>
      </c>
      <c r="D54" s="10">
        <v>2</v>
      </c>
      <c r="E54" s="10">
        <f t="shared" si="29"/>
        <v>1</v>
      </c>
      <c r="F54" s="10">
        <v>0</v>
      </c>
      <c r="G54" s="10">
        <v>0</v>
      </c>
      <c r="H54" s="10">
        <v>0</v>
      </c>
      <c r="I54" s="10">
        <v>0</v>
      </c>
      <c r="J54" s="10" t="s">
        <v>418</v>
      </c>
      <c r="K54" s="10">
        <f t="shared" si="30"/>
        <v>43545</v>
      </c>
      <c r="L54" s="10">
        <f t="shared" si="31"/>
        <v>3545</v>
      </c>
      <c r="M54" s="10">
        <f t="shared" si="32"/>
        <v>3544</v>
      </c>
      <c r="N54" s="10" t="s">
        <v>419</v>
      </c>
      <c r="O54" s="10" t="s">
        <v>324</v>
      </c>
      <c r="P54" s="10">
        <v>0</v>
      </c>
      <c r="Q54" s="10"/>
      <c r="R54" s="111"/>
      <c r="S54" s="29"/>
      <c r="AA54" s="56"/>
      <c r="AB54" s="56"/>
    </row>
    <row r="55" spans="2:28" x14ac:dyDescent="0.3">
      <c r="B55" s="470" t="s">
        <v>778</v>
      </c>
      <c r="C55" s="471"/>
      <c r="D55" s="471"/>
      <c r="E55" s="471"/>
      <c r="F55" s="471"/>
      <c r="G55" s="471"/>
      <c r="H55" s="471"/>
      <c r="I55" s="471"/>
      <c r="J55" s="471"/>
      <c r="K55" s="471"/>
      <c r="L55" s="471"/>
      <c r="M55" s="471"/>
      <c r="N55" s="471"/>
      <c r="O55" s="471"/>
      <c r="P55" s="471"/>
      <c r="Q55" s="471"/>
      <c r="R55" s="472"/>
      <c r="S55" s="29"/>
      <c r="AA55" s="56"/>
      <c r="AB55" s="56"/>
    </row>
    <row r="56" spans="2:28" ht="62.4" x14ac:dyDescent="0.3">
      <c r="B56" s="10" t="s">
        <v>748</v>
      </c>
      <c r="C56" s="10" t="s">
        <v>321</v>
      </c>
      <c r="D56" s="10">
        <v>2</v>
      </c>
      <c r="E56" s="10">
        <f t="shared" ref="E56:E62" si="36">D56/2</f>
        <v>1</v>
      </c>
      <c r="F56" s="10">
        <v>0</v>
      </c>
      <c r="G56" s="10">
        <v>3</v>
      </c>
      <c r="H56" s="10">
        <v>1</v>
      </c>
      <c r="I56" s="10">
        <v>1</v>
      </c>
      <c r="J56" s="10" t="s">
        <v>418</v>
      </c>
      <c r="K56" s="10">
        <f>K54+E54</f>
        <v>43546</v>
      </c>
      <c r="L56" s="10">
        <f>K56-40000</f>
        <v>3546</v>
      </c>
      <c r="M56" s="10">
        <f>L56-1</f>
        <v>3545</v>
      </c>
      <c r="N56" s="10" t="s">
        <v>419</v>
      </c>
      <c r="O56" s="10" t="s">
        <v>327</v>
      </c>
      <c r="P56" s="10">
        <v>0</v>
      </c>
      <c r="Q56" s="10"/>
      <c r="R56" s="110" t="s">
        <v>749</v>
      </c>
      <c r="S56" s="29"/>
      <c r="V56" s="56"/>
      <c r="W56" s="18"/>
      <c r="X56" s="18"/>
      <c r="Y56" s="18"/>
      <c r="AA56" s="56"/>
      <c r="AB56" s="56"/>
    </row>
    <row r="57" spans="2:28" ht="15.6" x14ac:dyDescent="0.3">
      <c r="B57" s="10" t="s">
        <v>768</v>
      </c>
      <c r="C57" s="10" t="s">
        <v>321</v>
      </c>
      <c r="D57" s="10">
        <v>2</v>
      </c>
      <c r="E57" s="10">
        <f t="shared" si="36"/>
        <v>1</v>
      </c>
      <c r="F57" s="10">
        <v>100</v>
      </c>
      <c r="G57" s="10">
        <v>1000</v>
      </c>
      <c r="H57" s="10">
        <v>1</v>
      </c>
      <c r="I57" s="10">
        <v>1</v>
      </c>
      <c r="J57" s="10" t="s">
        <v>418</v>
      </c>
      <c r="K57" s="10">
        <f t="shared" ref="K57:K62" si="37">K56+E56</f>
        <v>43547</v>
      </c>
      <c r="L57" s="10">
        <f t="shared" ref="L57:L62" si="38">K57-40000</f>
        <v>3547</v>
      </c>
      <c r="M57" s="10">
        <f t="shared" ref="M57:M62" si="39">L57-1</f>
        <v>3546</v>
      </c>
      <c r="N57" s="10" t="s">
        <v>419</v>
      </c>
      <c r="O57" s="10" t="s">
        <v>327</v>
      </c>
      <c r="P57" s="10">
        <v>100</v>
      </c>
      <c r="Q57" s="10" t="s">
        <v>381</v>
      </c>
      <c r="R57" s="111"/>
      <c r="S57" s="29"/>
      <c r="V57" s="56"/>
      <c r="W57" s="19"/>
      <c r="X57" s="19"/>
      <c r="Y57" s="19"/>
      <c r="AA57" s="56"/>
      <c r="AB57" s="56"/>
    </row>
    <row r="58" spans="2:28" ht="15.6" x14ac:dyDescent="0.3">
      <c r="B58" s="10" t="s">
        <v>769</v>
      </c>
      <c r="C58" s="10" t="s">
        <v>321</v>
      </c>
      <c r="D58" s="10">
        <v>2</v>
      </c>
      <c r="E58" s="10">
        <f t="shared" si="36"/>
        <v>1</v>
      </c>
      <c r="F58" s="10">
        <v>5</v>
      </c>
      <c r="G58" s="10">
        <v>1000</v>
      </c>
      <c r="H58" s="10">
        <v>1</v>
      </c>
      <c r="I58" s="10" t="s">
        <v>403</v>
      </c>
      <c r="J58" s="10" t="s">
        <v>418</v>
      </c>
      <c r="K58" s="10">
        <f t="shared" si="37"/>
        <v>43548</v>
      </c>
      <c r="L58" s="10">
        <f t="shared" si="38"/>
        <v>3548</v>
      </c>
      <c r="M58" s="10">
        <f t="shared" si="39"/>
        <v>3547</v>
      </c>
      <c r="N58" s="10" t="s">
        <v>419</v>
      </c>
      <c r="O58" s="10" t="s">
        <v>327</v>
      </c>
      <c r="P58" s="10">
        <v>5</v>
      </c>
      <c r="Q58" s="10" t="s">
        <v>329</v>
      </c>
      <c r="R58" s="111"/>
      <c r="S58" s="29"/>
      <c r="V58" s="56"/>
      <c r="W58" s="20"/>
      <c r="X58" s="20"/>
      <c r="Y58" s="20"/>
      <c r="AA58" s="56"/>
      <c r="AB58" s="56"/>
    </row>
    <row r="59" spans="2:28" ht="15.6" x14ac:dyDescent="0.3">
      <c r="B59" s="10" t="s">
        <v>752</v>
      </c>
      <c r="C59" s="10" t="s">
        <v>321</v>
      </c>
      <c r="D59" s="10">
        <v>2</v>
      </c>
      <c r="E59" s="10">
        <f t="shared" si="36"/>
        <v>1</v>
      </c>
      <c r="F59" s="10">
        <v>100</v>
      </c>
      <c r="G59" s="10">
        <v>1000</v>
      </c>
      <c r="H59" s="10">
        <v>1</v>
      </c>
      <c r="I59" s="10">
        <v>1</v>
      </c>
      <c r="J59" s="10" t="s">
        <v>418</v>
      </c>
      <c r="K59" s="10">
        <f t="shared" ref="K59" si="40">K58+E58</f>
        <v>43549</v>
      </c>
      <c r="L59" s="10">
        <f t="shared" ref="L59" si="41">K59-40000</f>
        <v>3549</v>
      </c>
      <c r="M59" s="10">
        <f t="shared" ref="M59" si="42">L59-1</f>
        <v>3548</v>
      </c>
      <c r="N59" s="10" t="s">
        <v>419</v>
      </c>
      <c r="O59" s="10" t="s">
        <v>327</v>
      </c>
      <c r="P59" s="10">
        <v>100</v>
      </c>
      <c r="Q59" s="10" t="s">
        <v>381</v>
      </c>
      <c r="R59" s="111"/>
      <c r="S59" s="29"/>
      <c r="V59" s="56"/>
      <c r="AA59" s="56"/>
      <c r="AB59" s="56"/>
    </row>
    <row r="60" spans="2:28" ht="62.4" x14ac:dyDescent="0.3">
      <c r="B60" s="10" t="s">
        <v>753</v>
      </c>
      <c r="C60" s="10" t="s">
        <v>359</v>
      </c>
      <c r="D60" s="10">
        <v>2</v>
      </c>
      <c r="E60" s="10">
        <f t="shared" si="36"/>
        <v>1</v>
      </c>
      <c r="F60" s="10">
        <v>1</v>
      </c>
      <c r="G60" s="10">
        <v>15</v>
      </c>
      <c r="H60" s="10">
        <v>1</v>
      </c>
      <c r="I60" s="10">
        <v>1</v>
      </c>
      <c r="J60" s="10" t="s">
        <v>418</v>
      </c>
      <c r="K60" s="10">
        <f t="shared" si="37"/>
        <v>43550</v>
      </c>
      <c r="L60" s="10">
        <f t="shared" si="38"/>
        <v>3550</v>
      </c>
      <c r="M60" s="10">
        <f t="shared" si="39"/>
        <v>3549</v>
      </c>
      <c r="N60" s="10" t="s">
        <v>419</v>
      </c>
      <c r="O60" s="10" t="s">
        <v>327</v>
      </c>
      <c r="P60" s="10">
        <v>3</v>
      </c>
      <c r="Q60" s="10"/>
      <c r="R60" s="222" t="s">
        <v>754</v>
      </c>
      <c r="V60" s="11"/>
      <c r="W60" s="15"/>
      <c r="X60" s="17"/>
      <c r="Y60" s="15"/>
    </row>
    <row r="61" spans="2:28" ht="15.6" x14ac:dyDescent="0.3">
      <c r="B61" s="10" t="s">
        <v>770</v>
      </c>
      <c r="C61" s="10" t="s">
        <v>321</v>
      </c>
      <c r="D61" s="10">
        <v>2</v>
      </c>
      <c r="E61" s="10">
        <f t="shared" si="36"/>
        <v>1</v>
      </c>
      <c r="F61" s="10">
        <v>0</v>
      </c>
      <c r="G61" s="10">
        <v>60000</v>
      </c>
      <c r="H61" s="10">
        <v>1</v>
      </c>
      <c r="I61" s="10" t="s">
        <v>386</v>
      </c>
      <c r="J61" s="10" t="s">
        <v>418</v>
      </c>
      <c r="K61" s="10">
        <f t="shared" si="37"/>
        <v>43551</v>
      </c>
      <c r="L61" s="10">
        <f t="shared" si="38"/>
        <v>3551</v>
      </c>
      <c r="M61" s="10">
        <f t="shared" si="39"/>
        <v>3550</v>
      </c>
      <c r="N61" s="10" t="s">
        <v>419</v>
      </c>
      <c r="O61" s="10" t="s">
        <v>327</v>
      </c>
      <c r="P61" s="10">
        <v>0</v>
      </c>
      <c r="Q61" s="10" t="s">
        <v>760</v>
      </c>
      <c r="R61" s="111"/>
      <c r="S61" s="29"/>
      <c r="AA61" s="56"/>
      <c r="AB61" s="56"/>
    </row>
    <row r="62" spans="2:28" ht="15.6" x14ac:dyDescent="0.3">
      <c r="B62" s="10" t="s">
        <v>320</v>
      </c>
      <c r="C62" s="10" t="s">
        <v>321</v>
      </c>
      <c r="D62" s="10">
        <v>2</v>
      </c>
      <c r="E62" s="10">
        <f t="shared" si="36"/>
        <v>1</v>
      </c>
      <c r="F62" s="10">
        <v>0</v>
      </c>
      <c r="G62" s="10">
        <v>0</v>
      </c>
      <c r="H62" s="10">
        <v>0</v>
      </c>
      <c r="I62" s="10">
        <v>0</v>
      </c>
      <c r="J62" s="10" t="s">
        <v>418</v>
      </c>
      <c r="K62" s="10">
        <f t="shared" si="37"/>
        <v>43552</v>
      </c>
      <c r="L62" s="10">
        <f t="shared" si="38"/>
        <v>3552</v>
      </c>
      <c r="M62" s="10">
        <f t="shared" si="39"/>
        <v>3551</v>
      </c>
      <c r="N62" s="10" t="s">
        <v>419</v>
      </c>
      <c r="O62" s="10" t="s">
        <v>324</v>
      </c>
      <c r="P62" s="10">
        <v>0</v>
      </c>
      <c r="Q62" s="10"/>
      <c r="R62" s="111"/>
      <c r="S62" s="29"/>
      <c r="AA62" s="56"/>
      <c r="AB62" s="56"/>
    </row>
    <row r="63" spans="2:28" x14ac:dyDescent="0.3">
      <c r="B63" s="470" t="s">
        <v>779</v>
      </c>
      <c r="C63" s="471"/>
      <c r="D63" s="471"/>
      <c r="E63" s="471"/>
      <c r="F63" s="471"/>
      <c r="G63" s="471"/>
      <c r="H63" s="471"/>
      <c r="I63" s="471"/>
      <c r="J63" s="471"/>
      <c r="K63" s="471"/>
      <c r="L63" s="471"/>
      <c r="M63" s="471"/>
      <c r="N63" s="471"/>
      <c r="O63" s="471"/>
      <c r="P63" s="471"/>
      <c r="Q63" s="471"/>
      <c r="R63" s="472"/>
      <c r="S63" s="29"/>
      <c r="AA63" s="56"/>
      <c r="AB63" s="56"/>
    </row>
    <row r="64" spans="2:28" ht="62.4" x14ac:dyDescent="0.3">
      <c r="B64" s="10" t="s">
        <v>748</v>
      </c>
      <c r="C64" s="10" t="s">
        <v>321</v>
      </c>
      <c r="D64" s="10">
        <v>2</v>
      </c>
      <c r="E64" s="10">
        <f t="shared" ref="E64:E70" si="43">D64/2</f>
        <v>1</v>
      </c>
      <c r="F64" s="10">
        <v>0</v>
      </c>
      <c r="G64" s="10">
        <v>3</v>
      </c>
      <c r="H64" s="10">
        <v>1</v>
      </c>
      <c r="I64" s="10">
        <v>1</v>
      </c>
      <c r="J64" s="10" t="s">
        <v>418</v>
      </c>
      <c r="K64" s="10">
        <f>K62+E62</f>
        <v>43553</v>
      </c>
      <c r="L64" s="10">
        <f>K64-40000</f>
        <v>3553</v>
      </c>
      <c r="M64" s="10">
        <f>L64-1</f>
        <v>3552</v>
      </c>
      <c r="N64" s="10" t="s">
        <v>419</v>
      </c>
      <c r="O64" s="10" t="s">
        <v>327</v>
      </c>
      <c r="P64" s="10">
        <v>2</v>
      </c>
      <c r="Q64" s="10"/>
      <c r="R64" s="110" t="s">
        <v>749</v>
      </c>
      <c r="S64" s="29"/>
      <c r="V64" s="56"/>
      <c r="W64" s="18"/>
      <c r="X64" s="18"/>
      <c r="Y64" s="18"/>
      <c r="AA64" s="56"/>
      <c r="AB64" s="56"/>
    </row>
    <row r="65" spans="2:28" ht="15.6" x14ac:dyDescent="0.3">
      <c r="B65" s="10" t="s">
        <v>768</v>
      </c>
      <c r="C65" s="10" t="s">
        <v>321</v>
      </c>
      <c r="D65" s="10">
        <v>2</v>
      </c>
      <c r="E65" s="10">
        <f t="shared" si="43"/>
        <v>1</v>
      </c>
      <c r="F65" s="10">
        <v>10</v>
      </c>
      <c r="G65" s="10">
        <v>500</v>
      </c>
      <c r="H65" s="10">
        <v>1</v>
      </c>
      <c r="I65" s="10">
        <v>1</v>
      </c>
      <c r="J65" s="10" t="s">
        <v>418</v>
      </c>
      <c r="K65" s="10">
        <f t="shared" ref="K65:K70" si="44">K64+E65</f>
        <v>43554</v>
      </c>
      <c r="L65" s="10">
        <f t="shared" ref="L65:L70" si="45">K65-40000</f>
        <v>3554</v>
      </c>
      <c r="M65" s="10">
        <f t="shared" ref="M65:M70" si="46">L65-1</f>
        <v>3553</v>
      </c>
      <c r="N65" s="10" t="s">
        <v>419</v>
      </c>
      <c r="O65" s="10" t="s">
        <v>327</v>
      </c>
      <c r="P65" s="10">
        <v>20</v>
      </c>
      <c r="Q65" s="10" t="s">
        <v>381</v>
      </c>
      <c r="R65" s="111"/>
      <c r="S65" s="29"/>
      <c r="V65" s="56"/>
      <c r="W65" s="19"/>
      <c r="X65" s="19"/>
      <c r="Y65" s="19"/>
      <c r="AA65" s="56"/>
      <c r="AB65" s="56"/>
    </row>
    <row r="66" spans="2:28" ht="15.6" x14ac:dyDescent="0.3">
      <c r="B66" s="10" t="s">
        <v>769</v>
      </c>
      <c r="C66" s="10" t="s">
        <v>321</v>
      </c>
      <c r="D66" s="10">
        <v>2</v>
      </c>
      <c r="E66" s="10">
        <f t="shared" si="43"/>
        <v>1</v>
      </c>
      <c r="F66" s="10">
        <v>5</v>
      </c>
      <c r="G66" s="10">
        <v>60000</v>
      </c>
      <c r="H66" s="10">
        <v>1</v>
      </c>
      <c r="I66" s="64" t="s">
        <v>403</v>
      </c>
      <c r="J66" s="10" t="s">
        <v>418</v>
      </c>
      <c r="K66" s="10">
        <f t="shared" si="44"/>
        <v>43555</v>
      </c>
      <c r="L66" s="10">
        <f t="shared" si="45"/>
        <v>3555</v>
      </c>
      <c r="M66" s="10">
        <f t="shared" si="46"/>
        <v>3554</v>
      </c>
      <c r="N66" s="10" t="s">
        <v>419</v>
      </c>
      <c r="O66" s="10" t="s">
        <v>327</v>
      </c>
      <c r="P66" s="10">
        <v>20</v>
      </c>
      <c r="Q66" s="10" t="s">
        <v>329</v>
      </c>
      <c r="R66" s="111"/>
      <c r="S66" s="29"/>
      <c r="V66" s="56"/>
      <c r="W66" s="20"/>
      <c r="X66" s="20"/>
      <c r="Y66" s="20"/>
      <c r="AA66" s="56"/>
      <c r="AB66" s="56"/>
    </row>
    <row r="67" spans="2:28" ht="15.6" x14ac:dyDescent="0.3">
      <c r="B67" s="10" t="s">
        <v>752</v>
      </c>
      <c r="C67" s="10" t="s">
        <v>321</v>
      </c>
      <c r="D67" s="10">
        <v>2</v>
      </c>
      <c r="E67" s="10">
        <f t="shared" si="43"/>
        <v>1</v>
      </c>
      <c r="F67" s="10">
        <v>10</v>
      </c>
      <c r="G67" s="10">
        <v>500</v>
      </c>
      <c r="H67" s="10">
        <v>1</v>
      </c>
      <c r="I67" s="10">
        <v>1</v>
      </c>
      <c r="J67" s="10" t="s">
        <v>418</v>
      </c>
      <c r="K67" s="10">
        <f t="shared" ref="K67" si="47">K66+E67</f>
        <v>43556</v>
      </c>
      <c r="L67" s="10">
        <f t="shared" ref="L67" si="48">K67-40000</f>
        <v>3556</v>
      </c>
      <c r="M67" s="10">
        <f t="shared" ref="M67" si="49">L67-1</f>
        <v>3555</v>
      </c>
      <c r="N67" s="10" t="s">
        <v>419</v>
      </c>
      <c r="O67" s="10" t="s">
        <v>327</v>
      </c>
      <c r="P67" s="10">
        <v>20</v>
      </c>
      <c r="Q67" s="10" t="s">
        <v>381</v>
      </c>
      <c r="R67" s="111"/>
      <c r="S67" s="29"/>
      <c r="V67" s="56"/>
      <c r="AA67" s="56"/>
      <c r="AB67" s="56"/>
    </row>
    <row r="68" spans="2:28" ht="62.4" x14ac:dyDescent="0.3">
      <c r="B68" s="10" t="s">
        <v>753</v>
      </c>
      <c r="C68" s="10" t="s">
        <v>359</v>
      </c>
      <c r="D68" s="10">
        <v>2</v>
      </c>
      <c r="E68" s="10">
        <f t="shared" si="43"/>
        <v>1</v>
      </c>
      <c r="F68" s="10">
        <v>1</v>
      </c>
      <c r="G68" s="10">
        <v>15</v>
      </c>
      <c r="H68" s="10">
        <v>1</v>
      </c>
      <c r="I68" s="10">
        <v>1</v>
      </c>
      <c r="J68" s="10" t="s">
        <v>418</v>
      </c>
      <c r="K68" s="10">
        <f t="shared" si="44"/>
        <v>43557</v>
      </c>
      <c r="L68" s="10">
        <f t="shared" si="45"/>
        <v>3557</v>
      </c>
      <c r="M68" s="10">
        <f t="shared" si="46"/>
        <v>3556</v>
      </c>
      <c r="N68" s="10" t="s">
        <v>419</v>
      </c>
      <c r="O68" s="10" t="s">
        <v>327</v>
      </c>
      <c r="P68" s="10">
        <v>3</v>
      </c>
      <c r="Q68" s="10"/>
      <c r="R68" s="222" t="s">
        <v>754</v>
      </c>
      <c r="V68" s="11"/>
      <c r="W68" s="15"/>
      <c r="X68" s="17"/>
      <c r="Y68" s="15"/>
    </row>
    <row r="69" spans="2:28" ht="15.6" x14ac:dyDescent="0.3">
      <c r="B69" s="10" t="s">
        <v>770</v>
      </c>
      <c r="C69" s="10" t="s">
        <v>321</v>
      </c>
      <c r="D69" s="10">
        <v>2</v>
      </c>
      <c r="E69" s="10">
        <f t="shared" si="43"/>
        <v>1</v>
      </c>
      <c r="F69" s="10">
        <v>0</v>
      </c>
      <c r="G69" s="10">
        <v>60000</v>
      </c>
      <c r="H69" s="10">
        <v>1</v>
      </c>
      <c r="I69" s="64" t="s">
        <v>386</v>
      </c>
      <c r="J69" s="10" t="s">
        <v>418</v>
      </c>
      <c r="K69" s="10">
        <f t="shared" si="44"/>
        <v>43558</v>
      </c>
      <c r="L69" s="10">
        <f t="shared" si="45"/>
        <v>3558</v>
      </c>
      <c r="M69" s="10">
        <f t="shared" si="46"/>
        <v>3557</v>
      </c>
      <c r="N69" s="10" t="s">
        <v>419</v>
      </c>
      <c r="O69" s="10" t="s">
        <v>327</v>
      </c>
      <c r="P69" s="10">
        <v>0</v>
      </c>
      <c r="Q69" s="10" t="s">
        <v>760</v>
      </c>
      <c r="R69" s="111"/>
      <c r="S69" s="29"/>
      <c r="AA69" s="56"/>
      <c r="AB69" s="56"/>
    </row>
    <row r="70" spans="2:28" ht="31.2" x14ac:dyDescent="0.3">
      <c r="B70" s="10" t="s">
        <v>780</v>
      </c>
      <c r="C70" s="10" t="s">
        <v>321</v>
      </c>
      <c r="D70" s="10">
        <v>2</v>
      </c>
      <c r="E70" s="10">
        <f t="shared" si="43"/>
        <v>1</v>
      </c>
      <c r="F70" s="10">
        <v>0</v>
      </c>
      <c r="G70" s="10">
        <v>1</v>
      </c>
      <c r="H70" s="10">
        <v>1</v>
      </c>
      <c r="I70" s="10">
        <v>1</v>
      </c>
      <c r="J70" s="10" t="s">
        <v>418</v>
      </c>
      <c r="K70" s="10">
        <f t="shared" si="44"/>
        <v>43559</v>
      </c>
      <c r="L70" s="10">
        <f t="shared" si="45"/>
        <v>3559</v>
      </c>
      <c r="M70" s="10">
        <f t="shared" si="46"/>
        <v>3558</v>
      </c>
      <c r="N70" s="10" t="s">
        <v>419</v>
      </c>
      <c r="O70" s="10" t="s">
        <v>324</v>
      </c>
      <c r="P70" s="10">
        <v>0</v>
      </c>
      <c r="Q70" s="10"/>
      <c r="R70" s="110" t="s">
        <v>758</v>
      </c>
      <c r="S70" s="29"/>
      <c r="AA70" s="56"/>
      <c r="AB70" s="56"/>
    </row>
    <row r="71" spans="2:28" x14ac:dyDescent="0.3">
      <c r="B71" s="470" t="s">
        <v>781</v>
      </c>
      <c r="C71" s="471"/>
      <c r="D71" s="471"/>
      <c r="E71" s="471"/>
      <c r="F71" s="471"/>
      <c r="G71" s="471"/>
      <c r="H71" s="471"/>
      <c r="I71" s="471"/>
      <c r="J71" s="471"/>
      <c r="K71" s="471"/>
      <c r="L71" s="471"/>
      <c r="M71" s="471"/>
      <c r="N71" s="471"/>
      <c r="O71" s="471"/>
      <c r="P71" s="471"/>
      <c r="Q71" s="471"/>
      <c r="R71" s="472"/>
      <c r="S71" s="29"/>
      <c r="AA71" s="56"/>
      <c r="AB71" s="56"/>
    </row>
    <row r="72" spans="2:28" ht="62.4" x14ac:dyDescent="0.3">
      <c r="B72" s="10" t="s">
        <v>748</v>
      </c>
      <c r="C72" s="10" t="s">
        <v>321</v>
      </c>
      <c r="D72" s="10">
        <v>2</v>
      </c>
      <c r="E72" s="10">
        <f t="shared" ref="E72:E78" si="50">D72/2</f>
        <v>1</v>
      </c>
      <c r="F72" s="10">
        <v>0</v>
      </c>
      <c r="G72" s="10">
        <v>3</v>
      </c>
      <c r="H72" s="10">
        <v>1</v>
      </c>
      <c r="I72" s="10">
        <v>1</v>
      </c>
      <c r="J72" s="10" t="s">
        <v>418</v>
      </c>
      <c r="K72" s="10">
        <f>K70+E70</f>
        <v>43560</v>
      </c>
      <c r="L72" s="10">
        <f>K72-40000</f>
        <v>3560</v>
      </c>
      <c r="M72" s="10">
        <f>L72-1</f>
        <v>3559</v>
      </c>
      <c r="N72" s="10" t="s">
        <v>419</v>
      </c>
      <c r="O72" s="10" t="s">
        <v>327</v>
      </c>
      <c r="P72" s="10">
        <v>0</v>
      </c>
      <c r="Q72" s="10"/>
      <c r="R72" s="110" t="s">
        <v>749</v>
      </c>
      <c r="S72" s="29"/>
      <c r="V72" s="56"/>
      <c r="W72" s="18"/>
      <c r="X72" s="18"/>
      <c r="Y72" s="18"/>
      <c r="AA72" s="56"/>
      <c r="AB72" s="56"/>
    </row>
    <row r="73" spans="2:28" ht="15.6" x14ac:dyDescent="0.3">
      <c r="B73" s="10" t="s">
        <v>768</v>
      </c>
      <c r="C73" s="10" t="s">
        <v>321</v>
      </c>
      <c r="D73" s="10">
        <v>2</v>
      </c>
      <c r="E73" s="10">
        <f t="shared" si="50"/>
        <v>1</v>
      </c>
      <c r="F73" s="10">
        <v>20</v>
      </c>
      <c r="G73" s="10">
        <v>20000</v>
      </c>
      <c r="H73" s="10">
        <v>10</v>
      </c>
      <c r="I73" s="10">
        <v>1</v>
      </c>
      <c r="J73" s="10" t="s">
        <v>418</v>
      </c>
      <c r="K73" s="10">
        <f t="shared" ref="K73:K78" si="51">K72+E73</f>
        <v>43561</v>
      </c>
      <c r="L73" s="10">
        <f t="shared" ref="L73:L78" si="52">K73-40000</f>
        <v>3561</v>
      </c>
      <c r="M73" s="10">
        <f t="shared" ref="M73:M78" si="53">L73-1</f>
        <v>3560</v>
      </c>
      <c r="N73" s="10" t="s">
        <v>419</v>
      </c>
      <c r="O73" s="10" t="s">
        <v>327</v>
      </c>
      <c r="P73" s="10">
        <v>30</v>
      </c>
      <c r="Q73" s="10" t="s">
        <v>782</v>
      </c>
      <c r="R73" s="111"/>
      <c r="S73" s="29"/>
      <c r="V73" s="56"/>
      <c r="W73" s="19"/>
      <c r="X73" s="19"/>
      <c r="Y73" s="19"/>
      <c r="AA73" s="56"/>
      <c r="AB73" s="56"/>
    </row>
    <row r="74" spans="2:28" ht="15.6" x14ac:dyDescent="0.3">
      <c r="B74" s="10" t="s">
        <v>769</v>
      </c>
      <c r="C74" s="10" t="s">
        <v>321</v>
      </c>
      <c r="D74" s="10">
        <v>2</v>
      </c>
      <c r="E74" s="10">
        <f t="shared" si="50"/>
        <v>1</v>
      </c>
      <c r="F74" s="10">
        <v>1</v>
      </c>
      <c r="G74" s="10">
        <v>60000</v>
      </c>
      <c r="H74" s="10">
        <v>1</v>
      </c>
      <c r="I74" s="64" t="s">
        <v>386</v>
      </c>
      <c r="J74" s="10" t="s">
        <v>418</v>
      </c>
      <c r="K74" s="10">
        <f t="shared" si="51"/>
        <v>43562</v>
      </c>
      <c r="L74" s="10">
        <f t="shared" si="52"/>
        <v>3562</v>
      </c>
      <c r="M74" s="10">
        <f t="shared" si="53"/>
        <v>3561</v>
      </c>
      <c r="N74" s="10" t="s">
        <v>419</v>
      </c>
      <c r="O74" s="10" t="s">
        <v>327</v>
      </c>
      <c r="P74" s="10">
        <v>1</v>
      </c>
      <c r="Q74" s="10" t="s">
        <v>329</v>
      </c>
      <c r="R74" s="111"/>
      <c r="S74" s="29"/>
      <c r="V74" s="56"/>
      <c r="W74" s="20"/>
      <c r="X74" s="20"/>
      <c r="Y74" s="20"/>
      <c r="AA74" s="56"/>
      <c r="AB74" s="56"/>
    </row>
    <row r="75" spans="2:28" ht="15.6" x14ac:dyDescent="0.3">
      <c r="B75" s="10" t="s">
        <v>752</v>
      </c>
      <c r="C75" s="10" t="s">
        <v>321</v>
      </c>
      <c r="D75" s="10">
        <v>2</v>
      </c>
      <c r="E75" s="10">
        <f t="shared" si="50"/>
        <v>1</v>
      </c>
      <c r="F75" s="10">
        <v>20</v>
      </c>
      <c r="G75" s="10">
        <v>20000</v>
      </c>
      <c r="H75" s="10">
        <v>10</v>
      </c>
      <c r="I75" s="10">
        <v>1</v>
      </c>
      <c r="J75" s="10" t="s">
        <v>418</v>
      </c>
      <c r="K75" s="10">
        <f t="shared" ref="K75" si="54">K74+E75</f>
        <v>43563</v>
      </c>
      <c r="L75" s="10">
        <f t="shared" ref="L75" si="55">K75-40000</f>
        <v>3563</v>
      </c>
      <c r="M75" s="10">
        <f t="shared" ref="M75" si="56">L75-1</f>
        <v>3562</v>
      </c>
      <c r="N75" s="10" t="s">
        <v>419</v>
      </c>
      <c r="O75" s="10" t="s">
        <v>327</v>
      </c>
      <c r="P75" s="10">
        <v>30</v>
      </c>
      <c r="Q75" s="10" t="s">
        <v>782</v>
      </c>
      <c r="R75" s="111"/>
      <c r="S75" s="29"/>
      <c r="V75" s="56"/>
      <c r="AA75" s="56"/>
      <c r="AB75" s="56"/>
    </row>
    <row r="76" spans="2:28" ht="62.4" x14ac:dyDescent="0.3">
      <c r="B76" s="10" t="s">
        <v>753</v>
      </c>
      <c r="C76" s="10" t="s">
        <v>359</v>
      </c>
      <c r="D76" s="10">
        <v>2</v>
      </c>
      <c r="E76" s="10">
        <f t="shared" si="50"/>
        <v>1</v>
      </c>
      <c r="F76" s="10">
        <v>1</v>
      </c>
      <c r="G76" s="10">
        <v>15</v>
      </c>
      <c r="H76" s="10">
        <v>1</v>
      </c>
      <c r="I76" s="10">
        <v>1</v>
      </c>
      <c r="J76" s="10" t="s">
        <v>418</v>
      </c>
      <c r="K76" s="10">
        <f t="shared" si="51"/>
        <v>43564</v>
      </c>
      <c r="L76" s="10">
        <f>K76-40000</f>
        <v>3564</v>
      </c>
      <c r="M76" s="10">
        <f>L76-1</f>
        <v>3563</v>
      </c>
      <c r="N76" s="10" t="s">
        <v>419</v>
      </c>
      <c r="O76" s="10" t="s">
        <v>327</v>
      </c>
      <c r="P76" s="10">
        <v>3</v>
      </c>
      <c r="Q76" s="10"/>
      <c r="R76" s="222" t="s">
        <v>754</v>
      </c>
      <c r="V76" s="11"/>
      <c r="W76" s="15"/>
      <c r="X76" s="17"/>
      <c r="Y76" s="15"/>
    </row>
    <row r="77" spans="2:28" ht="15.6" x14ac:dyDescent="0.3">
      <c r="B77" s="10" t="s">
        <v>770</v>
      </c>
      <c r="C77" s="10" t="s">
        <v>321</v>
      </c>
      <c r="D77" s="10">
        <v>2</v>
      </c>
      <c r="E77" s="10">
        <f t="shared" si="50"/>
        <v>1</v>
      </c>
      <c r="F77" s="10">
        <v>0</v>
      </c>
      <c r="G77" s="10">
        <v>60000</v>
      </c>
      <c r="H77" s="10">
        <v>1</v>
      </c>
      <c r="I77" s="64" t="s">
        <v>386</v>
      </c>
      <c r="J77" s="10" t="s">
        <v>418</v>
      </c>
      <c r="K77" s="10">
        <f t="shared" si="51"/>
        <v>43565</v>
      </c>
      <c r="L77" s="10">
        <f t="shared" si="52"/>
        <v>3565</v>
      </c>
      <c r="M77" s="10">
        <f t="shared" si="53"/>
        <v>3564</v>
      </c>
      <c r="N77" s="10" t="s">
        <v>419</v>
      </c>
      <c r="O77" s="10" t="s">
        <v>327</v>
      </c>
      <c r="P77" s="10">
        <v>0</v>
      </c>
      <c r="Q77" s="10" t="s">
        <v>760</v>
      </c>
      <c r="R77" s="111"/>
      <c r="S77" s="29"/>
      <c r="AA77" s="56"/>
      <c r="AB77" s="56"/>
    </row>
    <row r="78" spans="2:28" ht="31.2" x14ac:dyDescent="0.3">
      <c r="B78" s="10" t="s">
        <v>780</v>
      </c>
      <c r="C78" s="10" t="s">
        <v>321</v>
      </c>
      <c r="D78" s="10">
        <v>2</v>
      </c>
      <c r="E78" s="10">
        <f t="shared" si="50"/>
        <v>1</v>
      </c>
      <c r="F78" s="10">
        <v>0</v>
      </c>
      <c r="G78" s="10">
        <v>1</v>
      </c>
      <c r="H78" s="10">
        <v>1</v>
      </c>
      <c r="I78" s="10">
        <v>1</v>
      </c>
      <c r="J78" s="10" t="s">
        <v>418</v>
      </c>
      <c r="K78" s="10">
        <f t="shared" si="51"/>
        <v>43566</v>
      </c>
      <c r="L78" s="10">
        <f t="shared" si="52"/>
        <v>3566</v>
      </c>
      <c r="M78" s="10">
        <f t="shared" si="53"/>
        <v>3565</v>
      </c>
      <c r="N78" s="10" t="s">
        <v>419</v>
      </c>
      <c r="O78" s="10" t="s">
        <v>324</v>
      </c>
      <c r="P78" s="10">
        <v>0</v>
      </c>
      <c r="Q78" s="10"/>
      <c r="R78" s="110" t="s">
        <v>758</v>
      </c>
      <c r="S78" s="29"/>
      <c r="AA78" s="56"/>
      <c r="AB78" s="56"/>
    </row>
    <row r="79" spans="2:28" x14ac:dyDescent="0.3">
      <c r="B79" s="470" t="s">
        <v>783</v>
      </c>
      <c r="C79" s="471"/>
      <c r="D79" s="471"/>
      <c r="E79" s="471"/>
      <c r="F79" s="471"/>
      <c r="G79" s="471"/>
      <c r="H79" s="471"/>
      <c r="I79" s="471"/>
      <c r="J79" s="471"/>
      <c r="K79" s="471"/>
      <c r="L79" s="471"/>
      <c r="M79" s="471"/>
      <c r="N79" s="471"/>
      <c r="O79" s="471"/>
      <c r="P79" s="471"/>
      <c r="Q79" s="471"/>
      <c r="R79" s="472"/>
      <c r="S79" s="29"/>
    </row>
    <row r="80" spans="2:28" ht="62.4" x14ac:dyDescent="0.3">
      <c r="B80" s="10" t="s">
        <v>748</v>
      </c>
      <c r="C80" s="10" t="s">
        <v>321</v>
      </c>
      <c r="D80" s="10">
        <v>2</v>
      </c>
      <c r="E80" s="10">
        <f t="shared" ref="E80:E87" si="57">D80/2</f>
        <v>1</v>
      </c>
      <c r="F80" s="10">
        <v>0</v>
      </c>
      <c r="G80" s="10">
        <v>3</v>
      </c>
      <c r="H80" s="10">
        <v>1</v>
      </c>
      <c r="I80" s="10">
        <v>1</v>
      </c>
      <c r="J80" s="10" t="s">
        <v>418</v>
      </c>
      <c r="K80" s="10">
        <f>K78+E70</f>
        <v>43567</v>
      </c>
      <c r="L80" s="10">
        <f>K80-40000</f>
        <v>3567</v>
      </c>
      <c r="M80" s="10">
        <f>L80-1</f>
        <v>3566</v>
      </c>
      <c r="N80" s="10" t="s">
        <v>419</v>
      </c>
      <c r="O80" s="10" t="s">
        <v>327</v>
      </c>
      <c r="P80" s="10">
        <v>1</v>
      </c>
      <c r="Q80" s="10"/>
      <c r="R80" s="110" t="s">
        <v>749</v>
      </c>
      <c r="S80" s="29"/>
      <c r="V80" s="56"/>
      <c r="W80" s="18"/>
      <c r="X80" s="18"/>
      <c r="Y80" s="18"/>
      <c r="AA80" s="56"/>
      <c r="AB80" s="56"/>
    </row>
    <row r="81" spans="2:28" ht="15.6" x14ac:dyDescent="0.3">
      <c r="B81" s="10" t="s">
        <v>768</v>
      </c>
      <c r="C81" s="10" t="s">
        <v>321</v>
      </c>
      <c r="D81" s="10">
        <v>2</v>
      </c>
      <c r="E81" s="10">
        <f t="shared" ref="E81:E86" si="58">D81/2</f>
        <v>1</v>
      </c>
      <c r="F81" s="10">
        <v>15</v>
      </c>
      <c r="G81" s="10">
        <v>100</v>
      </c>
      <c r="H81" s="10">
        <v>1</v>
      </c>
      <c r="I81" s="10">
        <v>1</v>
      </c>
      <c r="J81" s="10" t="s">
        <v>418</v>
      </c>
      <c r="K81" s="10">
        <f t="shared" ref="K81:K87" si="59">K80+E80</f>
        <v>43568</v>
      </c>
      <c r="L81" s="10">
        <f t="shared" ref="L81:L87" si="60">K81-40000</f>
        <v>3568</v>
      </c>
      <c r="M81" s="10">
        <f t="shared" ref="M81:M87" si="61">L81-1</f>
        <v>3567</v>
      </c>
      <c r="N81" s="10" t="s">
        <v>419</v>
      </c>
      <c r="O81" s="10" t="s">
        <v>327</v>
      </c>
      <c r="P81" s="10">
        <v>50</v>
      </c>
      <c r="Q81" s="10" t="s">
        <v>381</v>
      </c>
      <c r="R81" s="111"/>
      <c r="S81" s="29"/>
      <c r="V81" s="56"/>
      <c r="W81" s="19"/>
      <c r="X81" s="19"/>
      <c r="Y81" s="19"/>
      <c r="AA81" s="56"/>
      <c r="AB81" s="56"/>
    </row>
    <row r="82" spans="2:28" ht="15.6" x14ac:dyDescent="0.3">
      <c r="B82" s="10" t="s">
        <v>769</v>
      </c>
      <c r="C82" s="10" t="s">
        <v>321</v>
      </c>
      <c r="D82" s="10">
        <v>2</v>
      </c>
      <c r="E82" s="10">
        <f t="shared" si="58"/>
        <v>1</v>
      </c>
      <c r="F82" s="10">
        <v>1</v>
      </c>
      <c r="G82" s="10">
        <v>60000</v>
      </c>
      <c r="H82" s="10">
        <v>1</v>
      </c>
      <c r="I82" s="64" t="s">
        <v>386</v>
      </c>
      <c r="J82" s="10" t="s">
        <v>418</v>
      </c>
      <c r="K82" s="10">
        <f t="shared" si="59"/>
        <v>43569</v>
      </c>
      <c r="L82" s="10">
        <f t="shared" si="60"/>
        <v>3569</v>
      </c>
      <c r="M82" s="10">
        <f t="shared" si="61"/>
        <v>3568</v>
      </c>
      <c r="N82" s="10" t="s">
        <v>419</v>
      </c>
      <c r="O82" s="10" t="s">
        <v>327</v>
      </c>
      <c r="P82" s="10">
        <v>100</v>
      </c>
      <c r="Q82" s="10" t="s">
        <v>329</v>
      </c>
      <c r="R82" s="111"/>
      <c r="S82" s="29"/>
      <c r="V82" s="56"/>
      <c r="W82" s="19"/>
      <c r="X82" s="19"/>
      <c r="Y82" s="19"/>
      <c r="AA82" s="56"/>
      <c r="AB82" s="56"/>
    </row>
    <row r="83" spans="2:28" ht="15.6" x14ac:dyDescent="0.3">
      <c r="B83" s="10" t="s">
        <v>752</v>
      </c>
      <c r="C83" s="10" t="s">
        <v>321</v>
      </c>
      <c r="D83" s="10">
        <v>2</v>
      </c>
      <c r="E83" s="10">
        <f t="shared" si="58"/>
        <v>1</v>
      </c>
      <c r="F83" s="10">
        <v>15</v>
      </c>
      <c r="G83" s="10">
        <v>100</v>
      </c>
      <c r="H83" s="10">
        <v>1</v>
      </c>
      <c r="I83" s="10">
        <v>1</v>
      </c>
      <c r="J83" s="10" t="s">
        <v>418</v>
      </c>
      <c r="K83" s="10">
        <f t="shared" ref="K83" si="62">K82+E82</f>
        <v>43570</v>
      </c>
      <c r="L83" s="10">
        <f t="shared" ref="L83" si="63">K83-40000</f>
        <v>3570</v>
      </c>
      <c r="M83" s="10">
        <f t="shared" ref="M83" si="64">L83-1</f>
        <v>3569</v>
      </c>
      <c r="N83" s="10" t="s">
        <v>419</v>
      </c>
      <c r="O83" s="10" t="s">
        <v>327</v>
      </c>
      <c r="P83" s="10">
        <v>50</v>
      </c>
      <c r="Q83" s="10" t="s">
        <v>381</v>
      </c>
      <c r="R83" s="111"/>
      <c r="S83" s="29"/>
      <c r="V83" s="56"/>
      <c r="W83" s="18"/>
      <c r="X83" s="18"/>
      <c r="Y83" s="18"/>
      <c r="AA83" s="56"/>
      <c r="AB83" s="56"/>
    </row>
    <row r="84" spans="2:28" ht="62.4" x14ac:dyDescent="0.3">
      <c r="B84" s="10" t="s">
        <v>753</v>
      </c>
      <c r="C84" s="10" t="s">
        <v>359</v>
      </c>
      <c r="D84" s="10">
        <v>2</v>
      </c>
      <c r="E84" s="10">
        <f t="shared" si="58"/>
        <v>1</v>
      </c>
      <c r="F84" s="10">
        <v>1</v>
      </c>
      <c r="G84" s="10">
        <v>15</v>
      </c>
      <c r="H84" s="10">
        <v>1</v>
      </c>
      <c r="I84" s="10">
        <v>1</v>
      </c>
      <c r="J84" s="10" t="s">
        <v>418</v>
      </c>
      <c r="K84" s="10">
        <f t="shared" si="59"/>
        <v>43571</v>
      </c>
      <c r="L84" s="10">
        <f t="shared" si="60"/>
        <v>3571</v>
      </c>
      <c r="M84" s="10">
        <f t="shared" si="61"/>
        <v>3570</v>
      </c>
      <c r="N84" s="10" t="s">
        <v>419</v>
      </c>
      <c r="O84" s="10" t="s">
        <v>327</v>
      </c>
      <c r="P84" s="10">
        <v>8</v>
      </c>
      <c r="Q84" s="10"/>
      <c r="R84" s="222" t="s">
        <v>754</v>
      </c>
      <c r="S84" s="29"/>
      <c r="V84" s="56"/>
      <c r="AA84" s="56"/>
      <c r="AB84" s="56"/>
    </row>
    <row r="85" spans="2:28" ht="15.6" x14ac:dyDescent="0.3">
      <c r="B85" s="10" t="s">
        <v>770</v>
      </c>
      <c r="C85" s="10" t="s">
        <v>321</v>
      </c>
      <c r="D85" s="10">
        <v>2</v>
      </c>
      <c r="E85" s="10">
        <f t="shared" si="58"/>
        <v>1</v>
      </c>
      <c r="F85" s="10">
        <v>0</v>
      </c>
      <c r="G85" s="10">
        <v>60000</v>
      </c>
      <c r="H85" s="10">
        <v>1</v>
      </c>
      <c r="I85" s="64" t="s">
        <v>386</v>
      </c>
      <c r="J85" s="10" t="s">
        <v>418</v>
      </c>
      <c r="K85" s="10">
        <f t="shared" si="59"/>
        <v>43572</v>
      </c>
      <c r="L85" s="10">
        <f t="shared" si="60"/>
        <v>3572</v>
      </c>
      <c r="M85" s="10">
        <f t="shared" si="61"/>
        <v>3571</v>
      </c>
      <c r="N85" s="10" t="s">
        <v>419</v>
      </c>
      <c r="O85" s="10" t="s">
        <v>327</v>
      </c>
      <c r="P85" s="10">
        <v>50</v>
      </c>
      <c r="Q85" s="10" t="s">
        <v>760</v>
      </c>
      <c r="R85" s="111"/>
      <c r="V85" s="11"/>
      <c r="W85" s="15"/>
      <c r="X85" s="17"/>
      <c r="Y85" s="15"/>
    </row>
    <row r="86" spans="2:28" ht="15.6" x14ac:dyDescent="0.3">
      <c r="B86" s="10" t="s">
        <v>320</v>
      </c>
      <c r="C86" s="10" t="s">
        <v>321</v>
      </c>
      <c r="D86" s="10">
        <v>2</v>
      </c>
      <c r="E86" s="10">
        <f t="shared" si="58"/>
        <v>1</v>
      </c>
      <c r="F86" s="10">
        <v>0</v>
      </c>
      <c r="G86" s="10">
        <v>0</v>
      </c>
      <c r="H86" s="10">
        <v>0</v>
      </c>
      <c r="I86" s="10">
        <v>0</v>
      </c>
      <c r="J86" s="10" t="s">
        <v>418</v>
      </c>
      <c r="K86" s="10">
        <f t="shared" si="59"/>
        <v>43573</v>
      </c>
      <c r="L86" s="10">
        <f t="shared" si="60"/>
        <v>3573</v>
      </c>
      <c r="M86" s="10">
        <f t="shared" si="61"/>
        <v>3572</v>
      </c>
      <c r="N86" s="10" t="s">
        <v>419</v>
      </c>
      <c r="O86" s="10" t="s">
        <v>324</v>
      </c>
      <c r="P86" s="10">
        <v>0</v>
      </c>
      <c r="Q86" s="10"/>
      <c r="R86" s="111"/>
      <c r="S86" s="29"/>
      <c r="AA86" s="56"/>
      <c r="AB86" s="56"/>
    </row>
    <row r="87" spans="2:28" ht="15.6" x14ac:dyDescent="0.3">
      <c r="B87" s="10" t="s">
        <v>320</v>
      </c>
      <c r="C87" s="10" t="s">
        <v>321</v>
      </c>
      <c r="D87" s="10">
        <v>2</v>
      </c>
      <c r="E87" s="10">
        <f t="shared" si="57"/>
        <v>1</v>
      </c>
      <c r="F87" s="10">
        <v>0</v>
      </c>
      <c r="G87" s="10">
        <v>0</v>
      </c>
      <c r="H87" s="10">
        <v>0</v>
      </c>
      <c r="I87" s="10">
        <v>0</v>
      </c>
      <c r="J87" s="10" t="s">
        <v>418</v>
      </c>
      <c r="K87" s="10">
        <f t="shared" si="59"/>
        <v>43574</v>
      </c>
      <c r="L87" s="10">
        <f t="shared" si="60"/>
        <v>3574</v>
      </c>
      <c r="M87" s="10">
        <f t="shared" si="61"/>
        <v>3573</v>
      </c>
      <c r="N87" s="10" t="s">
        <v>419</v>
      </c>
      <c r="O87" s="10" t="s">
        <v>324</v>
      </c>
      <c r="P87" s="10">
        <v>0</v>
      </c>
      <c r="Q87" s="10"/>
      <c r="R87" s="111"/>
      <c r="S87" s="29"/>
      <c r="AA87" s="56"/>
      <c r="AB87" s="56"/>
    </row>
    <row r="88" spans="2:28" x14ac:dyDescent="0.3">
      <c r="B88" s="470" t="s">
        <v>784</v>
      </c>
      <c r="C88" s="471"/>
      <c r="D88" s="471"/>
      <c r="E88" s="471"/>
      <c r="F88" s="471"/>
      <c r="G88" s="471"/>
      <c r="H88" s="471"/>
      <c r="I88" s="471"/>
      <c r="J88" s="471"/>
      <c r="K88" s="471"/>
      <c r="L88" s="471"/>
      <c r="M88" s="471"/>
      <c r="N88" s="471"/>
      <c r="O88" s="471"/>
      <c r="P88" s="471"/>
      <c r="Q88" s="471"/>
      <c r="R88" s="472"/>
      <c r="S88" s="29"/>
    </row>
    <row r="89" spans="2:28" ht="62.4" x14ac:dyDescent="0.3">
      <c r="B89" s="10" t="s">
        <v>748</v>
      </c>
      <c r="C89" s="10" t="s">
        <v>321</v>
      </c>
      <c r="D89" s="10">
        <v>2</v>
      </c>
      <c r="E89" s="10">
        <f t="shared" ref="E89:E95" si="65">D89/2</f>
        <v>1</v>
      </c>
      <c r="F89" s="10">
        <v>0</v>
      </c>
      <c r="G89" s="10">
        <v>3</v>
      </c>
      <c r="H89" s="10">
        <v>1</v>
      </c>
      <c r="I89" s="10">
        <v>1</v>
      </c>
      <c r="J89" s="10" t="s">
        <v>418</v>
      </c>
      <c r="K89" s="10">
        <f>K87+E87</f>
        <v>43575</v>
      </c>
      <c r="L89" s="10">
        <f>K89-40000</f>
        <v>3575</v>
      </c>
      <c r="M89" s="10">
        <f>L89-1</f>
        <v>3574</v>
      </c>
      <c r="N89" s="10" t="s">
        <v>419</v>
      </c>
      <c r="O89" s="10" t="s">
        <v>327</v>
      </c>
      <c r="P89" s="10">
        <v>3</v>
      </c>
      <c r="Q89" s="10"/>
      <c r="R89" s="110" t="s">
        <v>749</v>
      </c>
      <c r="S89" s="29"/>
      <c r="V89" s="56"/>
      <c r="W89" s="18"/>
      <c r="X89" s="18"/>
      <c r="Y89" s="18"/>
      <c r="AA89" s="56"/>
      <c r="AB89" s="56"/>
    </row>
    <row r="90" spans="2:28" ht="15.6" x14ac:dyDescent="0.3">
      <c r="B90" s="10" t="s">
        <v>768</v>
      </c>
      <c r="C90" s="10" t="s">
        <v>321</v>
      </c>
      <c r="D90" s="10">
        <v>2</v>
      </c>
      <c r="E90" s="10">
        <f t="shared" si="65"/>
        <v>1</v>
      </c>
      <c r="F90" s="10">
        <v>5</v>
      </c>
      <c r="G90" s="10">
        <v>100</v>
      </c>
      <c r="H90" s="10">
        <v>5</v>
      </c>
      <c r="I90" s="10">
        <v>1</v>
      </c>
      <c r="J90" s="10" t="s">
        <v>418</v>
      </c>
      <c r="K90" s="10">
        <f t="shared" ref="K90:K95" si="66">K89+E89</f>
        <v>43576</v>
      </c>
      <c r="L90" s="10">
        <f t="shared" ref="L90:L95" si="67">K90-40000</f>
        <v>3576</v>
      </c>
      <c r="M90" s="10">
        <f t="shared" ref="M90:M95" si="68">L90-1</f>
        <v>3575</v>
      </c>
      <c r="N90" s="10" t="s">
        <v>419</v>
      </c>
      <c r="O90" s="10" t="s">
        <v>327</v>
      </c>
      <c r="P90" s="10">
        <v>20</v>
      </c>
      <c r="Q90" s="10" t="s">
        <v>389</v>
      </c>
      <c r="R90" s="111"/>
      <c r="S90" s="29"/>
      <c r="V90" s="56"/>
      <c r="W90" s="19"/>
      <c r="X90" s="19"/>
      <c r="Y90" s="19"/>
      <c r="AA90" s="56"/>
      <c r="AB90" s="56"/>
    </row>
    <row r="91" spans="2:28" ht="15.6" x14ac:dyDescent="0.3">
      <c r="B91" s="10" t="s">
        <v>769</v>
      </c>
      <c r="C91" s="10" t="s">
        <v>321</v>
      </c>
      <c r="D91" s="10">
        <v>2</v>
      </c>
      <c r="E91" s="10">
        <f t="shared" si="65"/>
        <v>1</v>
      </c>
      <c r="F91" s="10">
        <v>1</v>
      </c>
      <c r="G91" s="10">
        <v>60000</v>
      </c>
      <c r="H91" s="10">
        <v>1</v>
      </c>
      <c r="I91" s="64" t="s">
        <v>386</v>
      </c>
      <c r="J91" s="10" t="s">
        <v>418</v>
      </c>
      <c r="K91" s="10">
        <f t="shared" si="66"/>
        <v>43577</v>
      </c>
      <c r="L91" s="10">
        <f t="shared" si="67"/>
        <v>3577</v>
      </c>
      <c r="M91" s="10">
        <f t="shared" si="68"/>
        <v>3576</v>
      </c>
      <c r="N91" s="10" t="s">
        <v>419</v>
      </c>
      <c r="O91" s="10" t="s">
        <v>327</v>
      </c>
      <c r="P91" s="10">
        <v>50</v>
      </c>
      <c r="Q91" s="10" t="s">
        <v>329</v>
      </c>
      <c r="R91" s="111"/>
      <c r="S91" s="29"/>
      <c r="V91" s="56"/>
      <c r="W91" s="20"/>
      <c r="X91" s="20"/>
      <c r="Y91" s="20"/>
      <c r="AA91" s="56"/>
      <c r="AB91" s="56"/>
    </row>
    <row r="92" spans="2:28" ht="15.6" x14ac:dyDescent="0.3">
      <c r="B92" s="193" t="s">
        <v>752</v>
      </c>
      <c r="C92" s="193" t="s">
        <v>321</v>
      </c>
      <c r="D92" s="193">
        <v>2</v>
      </c>
      <c r="E92" s="193">
        <f t="shared" ref="E92" si="69">D92/2</f>
        <v>1</v>
      </c>
      <c r="F92" s="193">
        <v>5</v>
      </c>
      <c r="G92" s="193">
        <v>100</v>
      </c>
      <c r="H92" s="193">
        <v>5</v>
      </c>
      <c r="I92" s="193">
        <v>1</v>
      </c>
      <c r="J92" s="193" t="s">
        <v>418</v>
      </c>
      <c r="K92" s="193">
        <f t="shared" si="66"/>
        <v>43578</v>
      </c>
      <c r="L92" s="193">
        <f t="shared" si="67"/>
        <v>3578</v>
      </c>
      <c r="M92" s="193">
        <f t="shared" si="68"/>
        <v>3577</v>
      </c>
      <c r="N92" s="193" t="s">
        <v>419</v>
      </c>
      <c r="O92" s="193" t="s">
        <v>327</v>
      </c>
      <c r="P92" s="193">
        <v>20</v>
      </c>
      <c r="Q92" s="193" t="s">
        <v>389</v>
      </c>
      <c r="R92" s="111"/>
      <c r="S92" s="29"/>
      <c r="V92" s="56"/>
      <c r="AA92" s="56"/>
      <c r="AB92" s="56"/>
    </row>
    <row r="93" spans="2:28" ht="62.4" x14ac:dyDescent="0.3">
      <c r="B93" s="10" t="s">
        <v>753</v>
      </c>
      <c r="C93" s="10" t="s">
        <v>359</v>
      </c>
      <c r="D93" s="10">
        <v>2</v>
      </c>
      <c r="E93" s="10">
        <f t="shared" si="65"/>
        <v>1</v>
      </c>
      <c r="F93" s="10">
        <v>1</v>
      </c>
      <c r="G93" s="10">
        <v>15</v>
      </c>
      <c r="H93" s="10">
        <v>1</v>
      </c>
      <c r="I93" s="10">
        <v>1</v>
      </c>
      <c r="J93" s="10" t="s">
        <v>418</v>
      </c>
      <c r="K93" s="10">
        <f t="shared" si="66"/>
        <v>43579</v>
      </c>
      <c r="L93" s="10">
        <f t="shared" si="67"/>
        <v>3579</v>
      </c>
      <c r="M93" s="10">
        <f t="shared" si="68"/>
        <v>3578</v>
      </c>
      <c r="N93" s="10" t="s">
        <v>419</v>
      </c>
      <c r="O93" s="10" t="s">
        <v>327</v>
      </c>
      <c r="P93" s="10">
        <v>3</v>
      </c>
      <c r="Q93" s="10"/>
      <c r="R93" s="222" t="s">
        <v>754</v>
      </c>
      <c r="V93" s="11"/>
      <c r="W93" s="15"/>
      <c r="X93" s="17"/>
      <c r="Y93" s="15"/>
    </row>
    <row r="94" spans="2:28" ht="15.6" x14ac:dyDescent="0.3">
      <c r="B94" s="10" t="s">
        <v>770</v>
      </c>
      <c r="C94" s="10" t="s">
        <v>321</v>
      </c>
      <c r="D94" s="10">
        <v>2</v>
      </c>
      <c r="E94" s="10">
        <f t="shared" si="65"/>
        <v>1</v>
      </c>
      <c r="F94" s="10">
        <v>0</v>
      </c>
      <c r="G94" s="10">
        <v>60000</v>
      </c>
      <c r="H94" s="10">
        <v>1</v>
      </c>
      <c r="I94" s="64" t="s">
        <v>386</v>
      </c>
      <c r="J94" s="10" t="s">
        <v>418</v>
      </c>
      <c r="K94" s="10">
        <f t="shared" si="66"/>
        <v>43580</v>
      </c>
      <c r="L94" s="10">
        <f t="shared" si="67"/>
        <v>3580</v>
      </c>
      <c r="M94" s="10">
        <f t="shared" si="68"/>
        <v>3579</v>
      </c>
      <c r="N94" s="10" t="s">
        <v>419</v>
      </c>
      <c r="O94" s="10" t="s">
        <v>327</v>
      </c>
      <c r="P94" s="10">
        <v>0</v>
      </c>
      <c r="Q94" s="10" t="s">
        <v>760</v>
      </c>
      <c r="R94" s="111"/>
      <c r="S94" s="29"/>
      <c r="AA94" s="56"/>
      <c r="AB94" s="56"/>
    </row>
    <row r="95" spans="2:28" ht="15.6" x14ac:dyDescent="0.3">
      <c r="B95" s="10" t="s">
        <v>320</v>
      </c>
      <c r="C95" s="10" t="s">
        <v>321</v>
      </c>
      <c r="D95" s="10">
        <v>2</v>
      </c>
      <c r="E95" s="10">
        <f t="shared" si="65"/>
        <v>1</v>
      </c>
      <c r="F95" s="10">
        <v>0</v>
      </c>
      <c r="G95" s="10">
        <v>0</v>
      </c>
      <c r="H95" s="10">
        <v>0</v>
      </c>
      <c r="I95" s="10">
        <v>0</v>
      </c>
      <c r="J95" s="10" t="s">
        <v>418</v>
      </c>
      <c r="K95" s="10">
        <f t="shared" si="66"/>
        <v>43581</v>
      </c>
      <c r="L95" s="10">
        <f t="shared" si="67"/>
        <v>3581</v>
      </c>
      <c r="M95" s="10">
        <f t="shared" si="68"/>
        <v>3580</v>
      </c>
      <c r="N95" s="10" t="s">
        <v>419</v>
      </c>
      <c r="O95" s="10" t="s">
        <v>324</v>
      </c>
      <c r="P95" s="10">
        <v>0</v>
      </c>
      <c r="Q95" s="10"/>
      <c r="R95" s="111"/>
      <c r="S95" s="29"/>
      <c r="AA95" s="56"/>
      <c r="AB95" s="56"/>
    </row>
    <row r="96" spans="2:28" x14ac:dyDescent="0.3">
      <c r="B96" s="470" t="s">
        <v>785</v>
      </c>
      <c r="C96" s="471"/>
      <c r="D96" s="471"/>
      <c r="E96" s="471">
        <f>D96/2</f>
        <v>0</v>
      </c>
      <c r="F96" s="471">
        <v>0</v>
      </c>
      <c r="G96" s="471">
        <v>0</v>
      </c>
      <c r="H96" s="471">
        <v>0</v>
      </c>
      <c r="I96" s="471">
        <v>1</v>
      </c>
      <c r="J96" s="471" t="s">
        <v>418</v>
      </c>
      <c r="K96" s="471" t="e">
        <f>#REF!+#REF!</f>
        <v>#REF!</v>
      </c>
      <c r="L96" s="471"/>
      <c r="M96" s="471"/>
      <c r="N96" s="471" t="s">
        <v>323</v>
      </c>
      <c r="O96" s="471"/>
      <c r="P96" s="471"/>
      <c r="Q96" s="471"/>
      <c r="R96" s="472"/>
      <c r="S96" s="29"/>
      <c r="AA96" s="56"/>
      <c r="AB96" s="56"/>
    </row>
    <row r="97" spans="2:28" ht="62.4" x14ac:dyDescent="0.3">
      <c r="B97" s="10" t="s">
        <v>748</v>
      </c>
      <c r="C97" s="10" t="s">
        <v>321</v>
      </c>
      <c r="D97" s="10">
        <v>2</v>
      </c>
      <c r="E97" s="10">
        <f t="shared" ref="E97" si="70">D97/2</f>
        <v>1</v>
      </c>
      <c r="F97" s="10">
        <v>0</v>
      </c>
      <c r="G97" s="10">
        <v>3</v>
      </c>
      <c r="H97" s="10">
        <v>1</v>
      </c>
      <c r="I97" s="10">
        <v>1</v>
      </c>
      <c r="J97" s="10" t="s">
        <v>418</v>
      </c>
      <c r="K97" s="10">
        <f>K95+E95</f>
        <v>43582</v>
      </c>
      <c r="L97" s="10">
        <f>K97-40000</f>
        <v>3582</v>
      </c>
      <c r="M97" s="10">
        <f>L97-1</f>
        <v>3581</v>
      </c>
      <c r="N97" s="10" t="s">
        <v>419</v>
      </c>
      <c r="O97" s="10" t="s">
        <v>327</v>
      </c>
      <c r="P97" s="10">
        <v>2</v>
      </c>
      <c r="Q97" s="10"/>
      <c r="R97" s="110" t="s">
        <v>749</v>
      </c>
      <c r="S97" s="29"/>
      <c r="V97" s="56"/>
      <c r="W97" s="18"/>
      <c r="X97" s="18"/>
      <c r="Y97" s="18"/>
      <c r="AA97" s="56"/>
      <c r="AB97" s="56"/>
    </row>
    <row r="98" spans="2:28" ht="15.6" x14ac:dyDescent="0.3">
      <c r="B98" s="10" t="s">
        <v>769</v>
      </c>
      <c r="C98" s="10" t="s">
        <v>321</v>
      </c>
      <c r="D98" s="10">
        <v>2</v>
      </c>
      <c r="E98" s="10">
        <f>D98/2</f>
        <v>1</v>
      </c>
      <c r="F98" s="10">
        <v>1</v>
      </c>
      <c r="G98" s="10">
        <v>60000</v>
      </c>
      <c r="H98" s="10">
        <v>1</v>
      </c>
      <c r="I98" s="64" t="s">
        <v>386</v>
      </c>
      <c r="J98" s="10" t="s">
        <v>418</v>
      </c>
      <c r="K98" s="10">
        <f>K97+E97</f>
        <v>43583</v>
      </c>
      <c r="L98" s="10">
        <f t="shared" ref="L98:L101" si="71">K98-40000</f>
        <v>3583</v>
      </c>
      <c r="M98" s="10">
        <f t="shared" ref="M98:M101" si="72">L98-1</f>
        <v>3582</v>
      </c>
      <c r="N98" s="10" t="s">
        <v>419</v>
      </c>
      <c r="O98" s="10" t="s">
        <v>327</v>
      </c>
      <c r="P98" s="10">
        <v>1</v>
      </c>
      <c r="Q98" s="10" t="s">
        <v>329</v>
      </c>
      <c r="R98" s="111"/>
      <c r="S98" s="29"/>
      <c r="V98" s="56"/>
      <c r="W98" s="20"/>
      <c r="X98" s="20"/>
      <c r="Y98" s="20"/>
      <c r="AA98" s="56"/>
      <c r="AB98" s="56"/>
    </row>
    <row r="99" spans="2:28" ht="62.4" x14ac:dyDescent="0.3">
      <c r="B99" s="10" t="s">
        <v>753</v>
      </c>
      <c r="C99" s="10" t="s">
        <v>359</v>
      </c>
      <c r="D99" s="10">
        <v>2</v>
      </c>
      <c r="E99" s="10">
        <f>D99/2</f>
        <v>1</v>
      </c>
      <c r="F99" s="10">
        <v>1</v>
      </c>
      <c r="G99" s="10">
        <v>15</v>
      </c>
      <c r="H99" s="10">
        <v>1</v>
      </c>
      <c r="I99" s="10">
        <v>1</v>
      </c>
      <c r="J99" s="10" t="s">
        <v>418</v>
      </c>
      <c r="K99" s="10">
        <f>K98+E98</f>
        <v>43584</v>
      </c>
      <c r="L99" s="10">
        <f t="shared" si="71"/>
        <v>3584</v>
      </c>
      <c r="M99" s="10">
        <f t="shared" si="72"/>
        <v>3583</v>
      </c>
      <c r="N99" s="10" t="s">
        <v>419</v>
      </c>
      <c r="O99" s="10" t="s">
        <v>327</v>
      </c>
      <c r="P99" s="10">
        <v>3</v>
      </c>
      <c r="Q99" s="10"/>
      <c r="R99" s="222" t="s">
        <v>754</v>
      </c>
      <c r="V99" s="11"/>
      <c r="W99" s="15"/>
      <c r="X99" s="17"/>
      <c r="Y99" s="15"/>
    </row>
    <row r="100" spans="2:28" ht="15.6" x14ac:dyDescent="0.3">
      <c r="B100" s="10" t="s">
        <v>770</v>
      </c>
      <c r="C100" s="10" t="s">
        <v>321</v>
      </c>
      <c r="D100" s="10">
        <v>2</v>
      </c>
      <c r="E100" s="10">
        <f t="shared" ref="E100:E101" si="73">D100/2</f>
        <v>1</v>
      </c>
      <c r="F100" s="10">
        <v>0</v>
      </c>
      <c r="G100" s="10">
        <v>60000</v>
      </c>
      <c r="H100" s="10">
        <v>1</v>
      </c>
      <c r="I100" s="64" t="s">
        <v>386</v>
      </c>
      <c r="J100" s="10" t="s">
        <v>418</v>
      </c>
      <c r="K100" s="10">
        <f>K99+E99</f>
        <v>43585</v>
      </c>
      <c r="L100" s="10">
        <f t="shared" si="71"/>
        <v>3585</v>
      </c>
      <c r="M100" s="10">
        <f t="shared" si="72"/>
        <v>3584</v>
      </c>
      <c r="N100" s="10" t="s">
        <v>419</v>
      </c>
      <c r="O100" s="10" t="s">
        <v>327</v>
      </c>
      <c r="P100" s="10">
        <v>0</v>
      </c>
      <c r="Q100" s="10" t="s">
        <v>760</v>
      </c>
      <c r="R100" s="111"/>
      <c r="S100" s="29"/>
      <c r="AA100" s="56"/>
      <c r="AB100" s="56"/>
    </row>
    <row r="101" spans="2:28" ht="15.6" x14ac:dyDescent="0.3">
      <c r="B101" s="10" t="s">
        <v>320</v>
      </c>
      <c r="C101" s="10" t="s">
        <v>321</v>
      </c>
      <c r="D101" s="10">
        <v>2</v>
      </c>
      <c r="E101" s="10">
        <f t="shared" si="73"/>
        <v>1</v>
      </c>
      <c r="F101" s="10">
        <v>0</v>
      </c>
      <c r="G101" s="10">
        <v>0</v>
      </c>
      <c r="H101" s="10">
        <v>0</v>
      </c>
      <c r="I101" s="10">
        <v>0</v>
      </c>
      <c r="J101" s="10" t="s">
        <v>418</v>
      </c>
      <c r="K101" s="10">
        <f t="shared" ref="K101" si="74">K100+E100</f>
        <v>43586</v>
      </c>
      <c r="L101" s="10">
        <f t="shared" si="71"/>
        <v>3586</v>
      </c>
      <c r="M101" s="10">
        <f t="shared" si="72"/>
        <v>3585</v>
      </c>
      <c r="N101" s="10" t="s">
        <v>419</v>
      </c>
      <c r="O101" s="10" t="s">
        <v>324</v>
      </c>
      <c r="P101" s="10">
        <v>0</v>
      </c>
      <c r="Q101" s="10"/>
      <c r="R101" s="111"/>
      <c r="S101" s="29"/>
      <c r="AA101" s="56"/>
      <c r="AB101" s="56"/>
    </row>
    <row r="102" spans="2:28" x14ac:dyDescent="0.3">
      <c r="B102" s="470" t="s">
        <v>786</v>
      </c>
      <c r="C102" s="471"/>
      <c r="D102" s="471"/>
      <c r="E102" s="471">
        <f>D102/2</f>
        <v>0</v>
      </c>
      <c r="F102" s="471">
        <v>0</v>
      </c>
      <c r="G102" s="471">
        <v>0</v>
      </c>
      <c r="H102" s="471">
        <v>0</v>
      </c>
      <c r="I102" s="471">
        <v>1</v>
      </c>
      <c r="J102" s="471" t="s">
        <v>418</v>
      </c>
      <c r="K102" s="471" t="e">
        <f>K149+E149</f>
        <v>#REF!</v>
      </c>
      <c r="L102" s="471"/>
      <c r="M102" s="471"/>
      <c r="N102" s="471" t="s">
        <v>323</v>
      </c>
      <c r="O102" s="471"/>
      <c r="P102" s="471"/>
      <c r="Q102" s="471"/>
      <c r="R102" s="472"/>
      <c r="S102" s="29"/>
      <c r="AA102" s="56"/>
      <c r="AB102" s="56"/>
    </row>
    <row r="103" spans="2:28" ht="62.4" x14ac:dyDescent="0.3">
      <c r="B103" s="10" t="s">
        <v>748</v>
      </c>
      <c r="C103" s="10" t="s">
        <v>321</v>
      </c>
      <c r="D103" s="10">
        <v>2</v>
      </c>
      <c r="E103" s="10">
        <f t="shared" ref="E103" si="75">D103/2</f>
        <v>1</v>
      </c>
      <c r="F103" s="10">
        <v>0</v>
      </c>
      <c r="G103" s="10">
        <v>3</v>
      </c>
      <c r="H103" s="10">
        <v>1</v>
      </c>
      <c r="I103" s="10">
        <v>1</v>
      </c>
      <c r="J103" s="10" t="s">
        <v>418</v>
      </c>
      <c r="K103" s="10">
        <f>K101+E101</f>
        <v>43587</v>
      </c>
      <c r="L103" s="10">
        <f>K103-40000</f>
        <v>3587</v>
      </c>
      <c r="M103" s="10">
        <f>L103-1</f>
        <v>3586</v>
      </c>
      <c r="N103" s="10" t="s">
        <v>419</v>
      </c>
      <c r="O103" s="10" t="s">
        <v>327</v>
      </c>
      <c r="P103" s="10">
        <v>2</v>
      </c>
      <c r="Q103" s="10"/>
      <c r="R103" s="110" t="s">
        <v>749</v>
      </c>
      <c r="S103" s="29"/>
      <c r="V103" s="56"/>
      <c r="W103" s="18"/>
      <c r="X103" s="18"/>
      <c r="Y103" s="18"/>
      <c r="AA103" s="56"/>
      <c r="AB103" s="56"/>
    </row>
    <row r="104" spans="2:28" ht="15.6" x14ac:dyDescent="0.3">
      <c r="B104" s="10" t="s">
        <v>769</v>
      </c>
      <c r="C104" s="10" t="s">
        <v>321</v>
      </c>
      <c r="D104" s="10">
        <v>2</v>
      </c>
      <c r="E104" s="10">
        <f>D104/2</f>
        <v>1</v>
      </c>
      <c r="F104" s="10">
        <v>1</v>
      </c>
      <c r="G104" s="10">
        <v>60000</v>
      </c>
      <c r="H104" s="10">
        <v>1</v>
      </c>
      <c r="I104" s="64" t="s">
        <v>386</v>
      </c>
      <c r="J104" s="10" t="s">
        <v>418</v>
      </c>
      <c r="K104" s="10">
        <f>K103+E103</f>
        <v>43588</v>
      </c>
      <c r="L104" s="10">
        <f t="shared" ref="L104:L107" si="76">K104-40000</f>
        <v>3588</v>
      </c>
      <c r="M104" s="10">
        <f t="shared" ref="M104:M107" si="77">L104-1</f>
        <v>3587</v>
      </c>
      <c r="N104" s="10" t="s">
        <v>419</v>
      </c>
      <c r="O104" s="10" t="s">
        <v>327</v>
      </c>
      <c r="P104" s="10">
        <v>1</v>
      </c>
      <c r="Q104" s="10" t="s">
        <v>329</v>
      </c>
      <c r="R104" s="111"/>
      <c r="S104" s="29"/>
      <c r="V104" s="56"/>
      <c r="W104" s="20"/>
      <c r="X104" s="20"/>
      <c r="Y104" s="20"/>
      <c r="AA104" s="56"/>
      <c r="AB104" s="56"/>
    </row>
    <row r="105" spans="2:28" ht="62.4" x14ac:dyDescent="0.3">
      <c r="B105" s="10" t="s">
        <v>753</v>
      </c>
      <c r="C105" s="10" t="s">
        <v>359</v>
      </c>
      <c r="D105" s="10">
        <v>2</v>
      </c>
      <c r="E105" s="10">
        <f>D105/2</f>
        <v>1</v>
      </c>
      <c r="F105" s="10">
        <v>1</v>
      </c>
      <c r="G105" s="10">
        <v>15</v>
      </c>
      <c r="H105" s="10">
        <v>1</v>
      </c>
      <c r="I105" s="10">
        <v>1</v>
      </c>
      <c r="J105" s="10" t="s">
        <v>418</v>
      </c>
      <c r="K105" s="10">
        <f>K104+E104</f>
        <v>43589</v>
      </c>
      <c r="L105" s="10">
        <f t="shared" si="76"/>
        <v>3589</v>
      </c>
      <c r="M105" s="10">
        <f t="shared" si="77"/>
        <v>3588</v>
      </c>
      <c r="N105" s="10" t="s">
        <v>419</v>
      </c>
      <c r="O105" s="10" t="s">
        <v>327</v>
      </c>
      <c r="P105" s="10">
        <v>3</v>
      </c>
      <c r="Q105" s="10"/>
      <c r="R105" s="222" t="s">
        <v>754</v>
      </c>
      <c r="V105" s="11"/>
      <c r="W105" s="15"/>
      <c r="X105" s="17"/>
      <c r="Y105" s="15"/>
    </row>
    <row r="106" spans="2:28" ht="15.6" x14ac:dyDescent="0.3">
      <c r="B106" s="10" t="s">
        <v>770</v>
      </c>
      <c r="C106" s="10" t="s">
        <v>321</v>
      </c>
      <c r="D106" s="10">
        <v>2</v>
      </c>
      <c r="E106" s="10">
        <f t="shared" ref="E106:E107" si="78">D106/2</f>
        <v>1</v>
      </c>
      <c r="F106" s="10">
        <v>0</v>
      </c>
      <c r="G106" s="10">
        <v>60000</v>
      </c>
      <c r="H106" s="10">
        <v>1</v>
      </c>
      <c r="I106" s="64" t="s">
        <v>386</v>
      </c>
      <c r="J106" s="10" t="s">
        <v>418</v>
      </c>
      <c r="K106" s="10">
        <f>K105+E105</f>
        <v>43590</v>
      </c>
      <c r="L106" s="10">
        <f t="shared" si="76"/>
        <v>3590</v>
      </c>
      <c r="M106" s="10">
        <f t="shared" si="77"/>
        <v>3589</v>
      </c>
      <c r="N106" s="10" t="s">
        <v>419</v>
      </c>
      <c r="O106" s="10" t="s">
        <v>327</v>
      </c>
      <c r="P106" s="10">
        <v>0</v>
      </c>
      <c r="Q106" s="10" t="s">
        <v>760</v>
      </c>
      <c r="R106" s="111"/>
      <c r="S106" s="29"/>
      <c r="AA106" s="56"/>
      <c r="AB106" s="56"/>
    </row>
    <row r="107" spans="2:28" ht="15.6" x14ac:dyDescent="0.3">
      <c r="B107" s="10" t="s">
        <v>320</v>
      </c>
      <c r="C107" s="10" t="s">
        <v>321</v>
      </c>
      <c r="D107" s="10">
        <v>2</v>
      </c>
      <c r="E107" s="10">
        <f t="shared" si="78"/>
        <v>1</v>
      </c>
      <c r="F107" s="10">
        <v>0</v>
      </c>
      <c r="G107" s="10">
        <v>0</v>
      </c>
      <c r="H107" s="10">
        <v>0</v>
      </c>
      <c r="I107" s="10">
        <v>0</v>
      </c>
      <c r="J107" s="10" t="s">
        <v>418</v>
      </c>
      <c r="K107" s="10">
        <f t="shared" ref="K107" si="79">K106+E106</f>
        <v>43591</v>
      </c>
      <c r="L107" s="10">
        <f t="shared" si="76"/>
        <v>3591</v>
      </c>
      <c r="M107" s="10">
        <f t="shared" si="77"/>
        <v>3590</v>
      </c>
      <c r="N107" s="10" t="s">
        <v>419</v>
      </c>
      <c r="O107" s="10" t="s">
        <v>324</v>
      </c>
      <c r="P107" s="10">
        <v>0</v>
      </c>
      <c r="Q107" s="10"/>
      <c r="R107" s="111"/>
      <c r="S107" s="29"/>
      <c r="AA107" s="56"/>
      <c r="AB107" s="56"/>
    </row>
    <row r="108" spans="2:28" x14ac:dyDescent="0.3">
      <c r="Z108" s="26"/>
    </row>
    <row r="110" spans="2:28" ht="21" x14ac:dyDescent="0.3">
      <c r="B110" s="474" t="s">
        <v>787</v>
      </c>
      <c r="C110" s="475"/>
      <c r="D110" s="475"/>
      <c r="E110" s="475"/>
      <c r="F110" s="475"/>
      <c r="G110" s="475"/>
      <c r="H110" s="475"/>
      <c r="I110" s="475"/>
      <c r="J110" s="475"/>
      <c r="K110" s="475"/>
      <c r="L110" s="475"/>
      <c r="M110" s="475"/>
      <c r="N110" s="475"/>
      <c r="O110" s="475"/>
      <c r="P110" s="475"/>
      <c r="Q110" s="475"/>
      <c r="R110" s="476"/>
    </row>
    <row r="112" spans="2:28" x14ac:dyDescent="0.3">
      <c r="B112" s="470" t="s">
        <v>788</v>
      </c>
      <c r="C112" s="471"/>
      <c r="D112" s="471"/>
      <c r="E112" s="471"/>
      <c r="F112" s="471"/>
      <c r="G112" s="471"/>
      <c r="H112" s="471"/>
      <c r="I112" s="471"/>
      <c r="J112" s="471"/>
      <c r="K112" s="471"/>
      <c r="L112" s="471"/>
      <c r="M112" s="471"/>
      <c r="N112" s="471"/>
      <c r="O112" s="471"/>
      <c r="P112" s="471"/>
      <c r="Q112" s="471"/>
      <c r="R112" s="472"/>
    </row>
    <row r="113" spans="2:28" ht="62.4" x14ac:dyDescent="0.3">
      <c r="B113" s="10" t="s">
        <v>748</v>
      </c>
      <c r="C113" s="10" t="s">
        <v>321</v>
      </c>
      <c r="D113" s="10">
        <v>2</v>
      </c>
      <c r="E113" s="10">
        <f t="shared" ref="E113:E120" si="80">D113/2</f>
        <v>1</v>
      </c>
      <c r="F113" s="10">
        <v>0</v>
      </c>
      <c r="G113" s="10">
        <v>3</v>
      </c>
      <c r="H113" s="10">
        <v>1</v>
      </c>
      <c r="I113" s="10">
        <v>1</v>
      </c>
      <c r="J113" s="10" t="s">
        <v>418</v>
      </c>
      <c r="K113" s="10">
        <v>43626</v>
      </c>
      <c r="L113" s="10">
        <f>K113-40000</f>
        <v>3626</v>
      </c>
      <c r="M113" s="10">
        <f>L113-1</f>
        <v>3625</v>
      </c>
      <c r="N113" s="10" t="s">
        <v>419</v>
      </c>
      <c r="O113" s="10" t="s">
        <v>327</v>
      </c>
      <c r="P113" s="10">
        <v>2</v>
      </c>
      <c r="Q113" s="10"/>
      <c r="R113" s="110" t="s">
        <v>749</v>
      </c>
      <c r="S113" s="29"/>
      <c r="V113" s="56"/>
      <c r="W113" s="18"/>
      <c r="X113" s="18"/>
      <c r="Y113" s="18"/>
      <c r="AA113" s="56"/>
      <c r="AB113" s="56"/>
    </row>
    <row r="114" spans="2:28" ht="15.6" x14ac:dyDescent="0.3">
      <c r="B114" s="10" t="s">
        <v>768</v>
      </c>
      <c r="C114" s="10" t="s">
        <v>321</v>
      </c>
      <c r="D114" s="10">
        <v>2</v>
      </c>
      <c r="E114" s="10">
        <f t="shared" ref="E114:E119" si="81">D114/2</f>
        <v>1</v>
      </c>
      <c r="F114" s="10">
        <v>20</v>
      </c>
      <c r="G114" s="10">
        <v>100</v>
      </c>
      <c r="H114" s="10">
        <v>1</v>
      </c>
      <c r="I114" s="10">
        <v>1</v>
      </c>
      <c r="J114" s="10" t="s">
        <v>418</v>
      </c>
      <c r="K114" s="10">
        <f t="shared" ref="K114:K120" si="82">K113+E113</f>
        <v>43627</v>
      </c>
      <c r="L114" s="10">
        <f t="shared" ref="L114:L120" si="83">K114-40000</f>
        <v>3627</v>
      </c>
      <c r="M114" s="10">
        <f t="shared" ref="M114:M120" si="84">L114-1</f>
        <v>3626</v>
      </c>
      <c r="N114" s="10" t="s">
        <v>419</v>
      </c>
      <c r="O114" s="10" t="s">
        <v>327</v>
      </c>
      <c r="P114" s="10">
        <v>80</v>
      </c>
      <c r="Q114" s="10" t="s">
        <v>789</v>
      </c>
      <c r="R114" s="111"/>
      <c r="S114" s="29"/>
      <c r="V114" s="56"/>
      <c r="W114" s="18"/>
      <c r="X114" s="18"/>
      <c r="Y114" s="18"/>
      <c r="AA114" s="56"/>
      <c r="AB114" s="56"/>
    </row>
    <row r="115" spans="2:28" ht="15.6" x14ac:dyDescent="0.3">
      <c r="B115" s="10" t="s">
        <v>769</v>
      </c>
      <c r="C115" s="10" t="s">
        <v>321</v>
      </c>
      <c r="D115" s="10">
        <v>2</v>
      </c>
      <c r="E115" s="10">
        <f t="shared" si="81"/>
        <v>1</v>
      </c>
      <c r="F115" s="10">
        <v>1</v>
      </c>
      <c r="G115" s="10">
        <v>60000</v>
      </c>
      <c r="H115" s="10">
        <v>1</v>
      </c>
      <c r="I115" s="64" t="s">
        <v>386</v>
      </c>
      <c r="J115" s="10" t="s">
        <v>418</v>
      </c>
      <c r="K115" s="10">
        <f>K114+E114</f>
        <v>43628</v>
      </c>
      <c r="L115" s="10">
        <f t="shared" si="83"/>
        <v>3628</v>
      </c>
      <c r="M115" s="10">
        <f t="shared" si="84"/>
        <v>3627</v>
      </c>
      <c r="N115" s="10" t="s">
        <v>419</v>
      </c>
      <c r="O115" s="10" t="s">
        <v>327</v>
      </c>
      <c r="P115" s="10">
        <v>100</v>
      </c>
      <c r="Q115" s="10" t="s">
        <v>329</v>
      </c>
      <c r="R115" s="111"/>
      <c r="S115" s="29"/>
      <c r="V115" s="56"/>
      <c r="W115" s="19"/>
      <c r="X115" s="19"/>
      <c r="Y115" s="19"/>
      <c r="AA115" s="56"/>
      <c r="AB115" s="56"/>
    </row>
    <row r="116" spans="2:28" ht="15.6" x14ac:dyDescent="0.3">
      <c r="B116" s="10" t="s">
        <v>752</v>
      </c>
      <c r="C116" s="10" t="s">
        <v>321</v>
      </c>
      <c r="D116" s="10">
        <v>2</v>
      </c>
      <c r="E116" s="10">
        <f t="shared" si="81"/>
        <v>1</v>
      </c>
      <c r="F116" s="10">
        <v>20</v>
      </c>
      <c r="G116" s="10">
        <v>100</v>
      </c>
      <c r="H116" s="10">
        <v>1</v>
      </c>
      <c r="I116" s="10">
        <v>1</v>
      </c>
      <c r="J116" s="10" t="s">
        <v>418</v>
      </c>
      <c r="K116" s="10">
        <f t="shared" ref="K116" si="85">K115+E115</f>
        <v>43629</v>
      </c>
      <c r="L116" s="10">
        <f t="shared" ref="L116" si="86">K116-40000</f>
        <v>3629</v>
      </c>
      <c r="M116" s="10">
        <f t="shared" ref="M116" si="87">L116-1</f>
        <v>3628</v>
      </c>
      <c r="N116" s="10" t="s">
        <v>419</v>
      </c>
      <c r="O116" s="10" t="s">
        <v>327</v>
      </c>
      <c r="P116" s="10">
        <v>80</v>
      </c>
      <c r="Q116" s="10" t="s">
        <v>789</v>
      </c>
      <c r="R116" s="111"/>
      <c r="S116" s="29"/>
      <c r="V116" s="56"/>
      <c r="W116" s="18"/>
      <c r="X116" s="18"/>
      <c r="Y116" s="18"/>
      <c r="AA116" s="56"/>
      <c r="AB116" s="56"/>
    </row>
    <row r="117" spans="2:28" ht="62.4" x14ac:dyDescent="0.3">
      <c r="B117" s="10" t="s">
        <v>753</v>
      </c>
      <c r="C117" s="10" t="s">
        <v>359</v>
      </c>
      <c r="D117" s="10">
        <v>2</v>
      </c>
      <c r="E117" s="10">
        <f t="shared" si="81"/>
        <v>1</v>
      </c>
      <c r="F117" s="10">
        <v>1</v>
      </c>
      <c r="G117" s="10">
        <v>15</v>
      </c>
      <c r="H117" s="10">
        <v>1</v>
      </c>
      <c r="I117" s="10">
        <v>1</v>
      </c>
      <c r="J117" s="10" t="s">
        <v>418</v>
      </c>
      <c r="K117" s="10">
        <f t="shared" si="82"/>
        <v>43630</v>
      </c>
      <c r="L117" s="10">
        <f t="shared" si="83"/>
        <v>3630</v>
      </c>
      <c r="M117" s="10">
        <f t="shared" si="84"/>
        <v>3629</v>
      </c>
      <c r="N117" s="10" t="s">
        <v>419</v>
      </c>
      <c r="O117" s="10" t="s">
        <v>327</v>
      </c>
      <c r="P117" s="10">
        <v>8</v>
      </c>
      <c r="Q117" s="10"/>
      <c r="R117" s="222" t="s">
        <v>754</v>
      </c>
      <c r="S117" s="29"/>
      <c r="V117" s="56"/>
      <c r="AA117" s="56"/>
      <c r="AB117" s="56"/>
    </row>
    <row r="118" spans="2:28" ht="15.6" x14ac:dyDescent="0.3">
      <c r="B118" s="10" t="s">
        <v>770</v>
      </c>
      <c r="C118" s="10" t="s">
        <v>321</v>
      </c>
      <c r="D118" s="10">
        <v>2</v>
      </c>
      <c r="E118" s="10">
        <f t="shared" si="81"/>
        <v>1</v>
      </c>
      <c r="F118" s="10">
        <v>0</v>
      </c>
      <c r="G118" s="10">
        <v>60000</v>
      </c>
      <c r="H118" s="10">
        <v>1</v>
      </c>
      <c r="I118" s="64" t="s">
        <v>386</v>
      </c>
      <c r="J118" s="10" t="s">
        <v>418</v>
      </c>
      <c r="K118" s="10">
        <f t="shared" si="82"/>
        <v>43631</v>
      </c>
      <c r="L118" s="10">
        <f>K118-40000</f>
        <v>3631</v>
      </c>
      <c r="M118" s="10">
        <f>L118-1</f>
        <v>3630</v>
      </c>
      <c r="N118" s="10" t="s">
        <v>419</v>
      </c>
      <c r="O118" s="10" t="s">
        <v>327</v>
      </c>
      <c r="P118" s="10">
        <v>0</v>
      </c>
      <c r="Q118" s="10" t="s">
        <v>760</v>
      </c>
      <c r="R118" s="111"/>
      <c r="V118" s="11"/>
      <c r="W118" s="15"/>
      <c r="X118" s="17"/>
      <c r="Y118" s="15"/>
    </row>
    <row r="119" spans="2:28" ht="15.6" x14ac:dyDescent="0.3">
      <c r="B119" s="10" t="s">
        <v>320</v>
      </c>
      <c r="C119" s="10" t="s">
        <v>321</v>
      </c>
      <c r="D119" s="10">
        <v>2</v>
      </c>
      <c r="E119" s="10">
        <f t="shared" si="81"/>
        <v>1</v>
      </c>
      <c r="F119" s="10">
        <v>0</v>
      </c>
      <c r="G119" s="10">
        <v>0</v>
      </c>
      <c r="H119" s="10">
        <v>0</v>
      </c>
      <c r="I119" s="10">
        <v>0</v>
      </c>
      <c r="J119" s="10" t="s">
        <v>418</v>
      </c>
      <c r="K119" s="10">
        <f t="shared" si="82"/>
        <v>43632</v>
      </c>
      <c r="L119" s="10">
        <f t="shared" si="83"/>
        <v>3632</v>
      </c>
      <c r="M119" s="10">
        <f t="shared" si="84"/>
        <v>3631</v>
      </c>
      <c r="N119" s="10" t="s">
        <v>419</v>
      </c>
      <c r="O119" s="10" t="s">
        <v>324</v>
      </c>
      <c r="P119" s="10">
        <v>0</v>
      </c>
      <c r="Q119" s="10"/>
      <c r="R119" s="111"/>
      <c r="S119" s="29"/>
      <c r="AA119" s="56"/>
      <c r="AB119" s="56"/>
    </row>
    <row r="120" spans="2:28" ht="15.6" x14ac:dyDescent="0.3">
      <c r="B120" s="10" t="s">
        <v>320</v>
      </c>
      <c r="C120" s="10" t="s">
        <v>321</v>
      </c>
      <c r="D120" s="10">
        <v>2</v>
      </c>
      <c r="E120" s="10">
        <f t="shared" si="80"/>
        <v>1</v>
      </c>
      <c r="F120" s="10">
        <v>0</v>
      </c>
      <c r="G120" s="10">
        <v>0</v>
      </c>
      <c r="H120" s="10">
        <v>0</v>
      </c>
      <c r="I120" s="10">
        <v>0</v>
      </c>
      <c r="J120" s="10" t="s">
        <v>418</v>
      </c>
      <c r="K120" s="10">
        <f t="shared" si="82"/>
        <v>43633</v>
      </c>
      <c r="L120" s="10">
        <f t="shared" si="83"/>
        <v>3633</v>
      </c>
      <c r="M120" s="10">
        <f t="shared" si="84"/>
        <v>3632</v>
      </c>
      <c r="N120" s="10" t="s">
        <v>419</v>
      </c>
      <c r="O120" s="10" t="s">
        <v>324</v>
      </c>
      <c r="P120" s="10">
        <v>0</v>
      </c>
      <c r="Q120" s="10"/>
      <c r="R120" s="111"/>
      <c r="S120" s="29"/>
      <c r="AA120" s="56"/>
      <c r="AB120" s="56"/>
    </row>
    <row r="121" spans="2:28" x14ac:dyDescent="0.3">
      <c r="B121" s="470" t="s">
        <v>790</v>
      </c>
      <c r="C121" s="471"/>
      <c r="D121" s="471"/>
      <c r="E121" s="471"/>
      <c r="F121" s="471"/>
      <c r="G121" s="471"/>
      <c r="H121" s="471"/>
      <c r="I121" s="471"/>
      <c r="J121" s="471"/>
      <c r="K121" s="471"/>
      <c r="L121" s="471"/>
      <c r="M121" s="471"/>
      <c r="N121" s="471"/>
      <c r="O121" s="471"/>
      <c r="P121" s="471"/>
      <c r="Q121" s="471"/>
      <c r="R121" s="472"/>
    </row>
    <row r="122" spans="2:28" ht="62.4" x14ac:dyDescent="0.3">
      <c r="B122" s="10" t="s">
        <v>748</v>
      </c>
      <c r="C122" s="10" t="s">
        <v>321</v>
      </c>
      <c r="D122" s="10">
        <v>2</v>
      </c>
      <c r="E122" s="10">
        <f t="shared" ref="E122:E128" si="88">D122/2</f>
        <v>1</v>
      </c>
      <c r="F122" s="10">
        <v>0</v>
      </c>
      <c r="G122" s="10">
        <v>3</v>
      </c>
      <c r="H122" s="10">
        <v>1</v>
      </c>
      <c r="I122" s="10">
        <v>1</v>
      </c>
      <c r="J122" s="10" t="s">
        <v>418</v>
      </c>
      <c r="K122" s="10">
        <f>K120+E120</f>
        <v>43634</v>
      </c>
      <c r="L122" s="10">
        <f>K122-40000</f>
        <v>3634</v>
      </c>
      <c r="M122" s="10">
        <f>L122-1</f>
        <v>3633</v>
      </c>
      <c r="N122" s="10" t="s">
        <v>419</v>
      </c>
      <c r="O122" s="10" t="s">
        <v>327</v>
      </c>
      <c r="P122" s="10">
        <v>2</v>
      </c>
      <c r="Q122" s="10"/>
      <c r="R122" s="110" t="s">
        <v>749</v>
      </c>
      <c r="S122" s="29"/>
      <c r="V122" s="56"/>
      <c r="W122" s="18"/>
      <c r="X122" s="18"/>
      <c r="Y122" s="18"/>
      <c r="AA122" s="56"/>
      <c r="AB122" s="56"/>
    </row>
    <row r="123" spans="2:28" ht="15.6" x14ac:dyDescent="0.3">
      <c r="B123" s="10" t="s">
        <v>768</v>
      </c>
      <c r="C123" s="10" t="s">
        <v>321</v>
      </c>
      <c r="D123" s="10">
        <v>2</v>
      </c>
      <c r="E123" s="10">
        <f t="shared" si="88"/>
        <v>1</v>
      </c>
      <c r="F123" s="10">
        <v>101</v>
      </c>
      <c r="G123" s="10">
        <v>130</v>
      </c>
      <c r="H123" s="10">
        <v>1</v>
      </c>
      <c r="I123" s="10">
        <v>1</v>
      </c>
      <c r="J123" s="10" t="s">
        <v>418</v>
      </c>
      <c r="K123" s="10">
        <f t="shared" ref="K123:K128" si="89">K122+E122</f>
        <v>43635</v>
      </c>
      <c r="L123" s="10">
        <f t="shared" ref="L123:L128" si="90">K123-40000</f>
        <v>3635</v>
      </c>
      <c r="M123" s="10">
        <f t="shared" ref="M123:M128" si="91">L123-1</f>
        <v>3634</v>
      </c>
      <c r="N123" s="10" t="s">
        <v>419</v>
      </c>
      <c r="O123" s="10" t="s">
        <v>327</v>
      </c>
      <c r="P123" s="10">
        <v>110</v>
      </c>
      <c r="Q123" s="10" t="s">
        <v>789</v>
      </c>
      <c r="R123" s="111"/>
      <c r="S123" s="29"/>
      <c r="V123" s="56"/>
      <c r="W123" s="19"/>
      <c r="X123" s="19"/>
      <c r="Y123" s="19"/>
      <c r="AA123" s="56"/>
      <c r="AB123" s="56"/>
    </row>
    <row r="124" spans="2:28" ht="15.6" x14ac:dyDescent="0.3">
      <c r="B124" s="10" t="s">
        <v>769</v>
      </c>
      <c r="C124" s="10" t="s">
        <v>321</v>
      </c>
      <c r="D124" s="10">
        <v>2</v>
      </c>
      <c r="E124" s="10">
        <f t="shared" si="88"/>
        <v>1</v>
      </c>
      <c r="F124" s="10">
        <v>1</v>
      </c>
      <c r="G124" s="10">
        <v>60000</v>
      </c>
      <c r="H124" s="10">
        <v>1</v>
      </c>
      <c r="I124" s="64" t="s">
        <v>386</v>
      </c>
      <c r="J124" s="10" t="s">
        <v>418</v>
      </c>
      <c r="K124" s="10">
        <f t="shared" si="89"/>
        <v>43636</v>
      </c>
      <c r="L124" s="10">
        <f t="shared" si="90"/>
        <v>3636</v>
      </c>
      <c r="M124" s="10">
        <f t="shared" si="91"/>
        <v>3635</v>
      </c>
      <c r="N124" s="10" t="s">
        <v>419</v>
      </c>
      <c r="O124" s="10" t="s">
        <v>327</v>
      </c>
      <c r="P124" s="10">
        <v>50</v>
      </c>
      <c r="Q124" s="10" t="s">
        <v>329</v>
      </c>
      <c r="R124" s="111"/>
      <c r="S124" s="29"/>
      <c r="V124" s="56"/>
      <c r="W124" s="20"/>
      <c r="X124" s="20"/>
      <c r="Y124" s="20"/>
      <c r="AA124" s="56"/>
      <c r="AB124" s="56"/>
    </row>
    <row r="125" spans="2:28" ht="15.6" x14ac:dyDescent="0.3">
      <c r="B125" s="10" t="s">
        <v>752</v>
      </c>
      <c r="C125" s="10" t="s">
        <v>321</v>
      </c>
      <c r="D125" s="10">
        <v>2</v>
      </c>
      <c r="E125" s="10">
        <f t="shared" si="88"/>
        <v>1</v>
      </c>
      <c r="F125" s="10">
        <v>101</v>
      </c>
      <c r="G125" s="10">
        <v>130</v>
      </c>
      <c r="H125" s="10">
        <v>1</v>
      </c>
      <c r="I125" s="10">
        <v>1</v>
      </c>
      <c r="J125" s="10" t="s">
        <v>418</v>
      </c>
      <c r="K125" s="10">
        <f t="shared" ref="K125" si="92">K124+E124</f>
        <v>43637</v>
      </c>
      <c r="L125" s="10">
        <f t="shared" ref="L125" si="93">K125-40000</f>
        <v>3637</v>
      </c>
      <c r="M125" s="10">
        <f t="shared" ref="M125" si="94">L125-1</f>
        <v>3636</v>
      </c>
      <c r="N125" s="10" t="s">
        <v>419</v>
      </c>
      <c r="O125" s="10" t="s">
        <v>327</v>
      </c>
      <c r="P125" s="10">
        <v>110</v>
      </c>
      <c r="Q125" s="10" t="s">
        <v>789</v>
      </c>
      <c r="R125" s="111"/>
      <c r="S125" s="29"/>
      <c r="V125" s="56"/>
      <c r="AA125" s="56"/>
      <c r="AB125" s="56"/>
    </row>
    <row r="126" spans="2:28" ht="62.4" x14ac:dyDescent="0.3">
      <c r="B126" s="10" t="s">
        <v>753</v>
      </c>
      <c r="C126" s="10" t="s">
        <v>359</v>
      </c>
      <c r="D126" s="10">
        <v>2</v>
      </c>
      <c r="E126" s="10">
        <f t="shared" si="88"/>
        <v>1</v>
      </c>
      <c r="F126" s="10">
        <v>1</v>
      </c>
      <c r="G126" s="10">
        <v>15</v>
      </c>
      <c r="H126" s="10">
        <v>1</v>
      </c>
      <c r="I126" s="10">
        <v>1</v>
      </c>
      <c r="J126" s="10" t="s">
        <v>418</v>
      </c>
      <c r="K126" s="10">
        <f t="shared" si="89"/>
        <v>43638</v>
      </c>
      <c r="L126" s="10">
        <f t="shared" si="90"/>
        <v>3638</v>
      </c>
      <c r="M126" s="10">
        <f t="shared" si="91"/>
        <v>3637</v>
      </c>
      <c r="N126" s="10" t="s">
        <v>419</v>
      </c>
      <c r="O126" s="10" t="s">
        <v>327</v>
      </c>
      <c r="P126" s="10">
        <v>3</v>
      </c>
      <c r="Q126" s="10"/>
      <c r="R126" s="222" t="s">
        <v>754</v>
      </c>
      <c r="V126" s="11"/>
      <c r="W126" s="15"/>
      <c r="X126" s="17"/>
      <c r="Y126" s="15"/>
    </row>
    <row r="127" spans="2:28" ht="15.6" x14ac:dyDescent="0.3">
      <c r="B127" s="10" t="s">
        <v>770</v>
      </c>
      <c r="C127" s="10" t="s">
        <v>321</v>
      </c>
      <c r="D127" s="10">
        <v>2</v>
      </c>
      <c r="E127" s="10">
        <f t="shared" si="88"/>
        <v>1</v>
      </c>
      <c r="F127" s="10">
        <v>0</v>
      </c>
      <c r="G127" s="10">
        <v>60000</v>
      </c>
      <c r="H127" s="10">
        <v>1</v>
      </c>
      <c r="I127" s="64" t="s">
        <v>386</v>
      </c>
      <c r="J127" s="10" t="s">
        <v>418</v>
      </c>
      <c r="K127" s="10">
        <f t="shared" si="89"/>
        <v>43639</v>
      </c>
      <c r="L127" s="10">
        <f t="shared" si="90"/>
        <v>3639</v>
      </c>
      <c r="M127" s="10">
        <f t="shared" si="91"/>
        <v>3638</v>
      </c>
      <c r="N127" s="10" t="s">
        <v>419</v>
      </c>
      <c r="O127" s="10" t="s">
        <v>327</v>
      </c>
      <c r="P127" s="10">
        <v>0</v>
      </c>
      <c r="Q127" s="10" t="s">
        <v>760</v>
      </c>
      <c r="R127" s="111"/>
      <c r="S127" s="29"/>
      <c r="AA127" s="56"/>
      <c r="AB127" s="56"/>
    </row>
    <row r="128" spans="2:28" ht="15.6" x14ac:dyDescent="0.3">
      <c r="B128" s="10" t="s">
        <v>320</v>
      </c>
      <c r="C128" s="10" t="s">
        <v>321</v>
      </c>
      <c r="D128" s="10">
        <v>2</v>
      </c>
      <c r="E128" s="10">
        <f t="shared" si="88"/>
        <v>1</v>
      </c>
      <c r="F128" s="10">
        <v>0</v>
      </c>
      <c r="G128" s="10">
        <v>0</v>
      </c>
      <c r="H128" s="10">
        <v>0</v>
      </c>
      <c r="I128" s="10">
        <v>0</v>
      </c>
      <c r="J128" s="10" t="s">
        <v>418</v>
      </c>
      <c r="K128" s="10">
        <f t="shared" si="89"/>
        <v>43640</v>
      </c>
      <c r="L128" s="10">
        <f t="shared" si="90"/>
        <v>3640</v>
      </c>
      <c r="M128" s="10">
        <f t="shared" si="91"/>
        <v>3639</v>
      </c>
      <c r="N128" s="10" t="s">
        <v>419</v>
      </c>
      <c r="O128" s="10" t="s">
        <v>324</v>
      </c>
      <c r="P128" s="10">
        <v>0</v>
      </c>
      <c r="Q128" s="10"/>
      <c r="R128" s="111"/>
      <c r="S128" s="29"/>
      <c r="AA128" s="56"/>
      <c r="AB128" s="56"/>
    </row>
    <row r="129" spans="2:28" x14ac:dyDescent="0.3">
      <c r="B129" s="470" t="s">
        <v>791</v>
      </c>
      <c r="C129" s="471"/>
      <c r="D129" s="471"/>
      <c r="E129" s="471">
        <f>D129/2</f>
        <v>0</v>
      </c>
      <c r="F129" s="471">
        <v>0</v>
      </c>
      <c r="G129" s="471">
        <v>0</v>
      </c>
      <c r="H129" s="471">
        <v>0</v>
      </c>
      <c r="I129" s="471">
        <v>1</v>
      </c>
      <c r="J129" s="471" t="s">
        <v>418</v>
      </c>
      <c r="K129" s="471" t="e">
        <f>#REF!+#REF!</f>
        <v>#REF!</v>
      </c>
      <c r="L129" s="471"/>
      <c r="M129" s="471"/>
      <c r="N129" s="471" t="s">
        <v>323</v>
      </c>
      <c r="O129" s="471"/>
      <c r="P129" s="471"/>
      <c r="Q129" s="471"/>
      <c r="R129" s="472"/>
      <c r="S129" s="29"/>
      <c r="AA129" s="56"/>
      <c r="AB129" s="56"/>
    </row>
    <row r="130" spans="2:28" ht="62.4" x14ac:dyDescent="0.3">
      <c r="B130" s="10" t="s">
        <v>748</v>
      </c>
      <c r="C130" s="10" t="s">
        <v>321</v>
      </c>
      <c r="D130" s="10">
        <v>2</v>
      </c>
      <c r="E130" s="10">
        <f t="shared" ref="E130" si="95">D130/2</f>
        <v>1</v>
      </c>
      <c r="F130" s="10">
        <v>0</v>
      </c>
      <c r="G130" s="10">
        <v>3</v>
      </c>
      <c r="H130" s="10">
        <v>1</v>
      </c>
      <c r="I130" s="10">
        <v>1</v>
      </c>
      <c r="J130" s="10" t="s">
        <v>418</v>
      </c>
      <c r="K130" s="10">
        <f>K128+E128</f>
        <v>43641</v>
      </c>
      <c r="L130" s="10">
        <f>K130-40000</f>
        <v>3641</v>
      </c>
      <c r="M130" s="10">
        <f>L130-1</f>
        <v>3640</v>
      </c>
      <c r="N130" s="10" t="s">
        <v>419</v>
      </c>
      <c r="O130" s="10" t="s">
        <v>327</v>
      </c>
      <c r="P130" s="10">
        <v>2</v>
      </c>
      <c r="Q130" s="10"/>
      <c r="R130" s="110" t="s">
        <v>749</v>
      </c>
      <c r="S130" s="29"/>
      <c r="V130" s="56"/>
      <c r="W130" s="18"/>
      <c r="X130" s="18"/>
      <c r="Y130" s="18"/>
      <c r="AA130" s="56"/>
      <c r="AB130" s="56"/>
    </row>
    <row r="131" spans="2:28" ht="15.6" x14ac:dyDescent="0.3">
      <c r="B131" s="10" t="s">
        <v>769</v>
      </c>
      <c r="C131" s="10" t="s">
        <v>321</v>
      </c>
      <c r="D131" s="10">
        <v>2</v>
      </c>
      <c r="E131" s="10">
        <f>D131/2</f>
        <v>1</v>
      </c>
      <c r="F131" s="10">
        <v>1</v>
      </c>
      <c r="G131" s="10">
        <v>60000</v>
      </c>
      <c r="H131" s="10">
        <v>1</v>
      </c>
      <c r="I131" s="64" t="s">
        <v>386</v>
      </c>
      <c r="J131" s="10" t="s">
        <v>418</v>
      </c>
      <c r="K131" s="10">
        <f>K130+E130</f>
        <v>43642</v>
      </c>
      <c r="L131" s="10">
        <f t="shared" ref="L131:L134" si="96">K131-40000</f>
        <v>3642</v>
      </c>
      <c r="M131" s="10">
        <f t="shared" ref="M131:M134" si="97">L131-1</f>
        <v>3641</v>
      </c>
      <c r="N131" s="10" t="s">
        <v>419</v>
      </c>
      <c r="O131" s="10" t="s">
        <v>327</v>
      </c>
      <c r="P131" s="10">
        <v>1</v>
      </c>
      <c r="Q131" s="10" t="s">
        <v>329</v>
      </c>
      <c r="R131" s="111"/>
      <c r="S131" s="29"/>
      <c r="V131" s="56"/>
      <c r="W131" s="20"/>
      <c r="X131" s="20"/>
      <c r="Y131" s="20"/>
      <c r="AA131" s="56"/>
      <c r="AB131" s="56"/>
    </row>
    <row r="132" spans="2:28" ht="62.4" x14ac:dyDescent="0.3">
      <c r="B132" s="10" t="s">
        <v>753</v>
      </c>
      <c r="C132" s="10" t="s">
        <v>359</v>
      </c>
      <c r="D132" s="10">
        <v>2</v>
      </c>
      <c r="E132" s="10">
        <f>D132/2</f>
        <v>1</v>
      </c>
      <c r="F132" s="10">
        <v>1</v>
      </c>
      <c r="G132" s="10">
        <v>15</v>
      </c>
      <c r="H132" s="10">
        <v>1</v>
      </c>
      <c r="I132" s="10">
        <v>1</v>
      </c>
      <c r="J132" s="10" t="s">
        <v>418</v>
      </c>
      <c r="K132" s="10">
        <f>K131+E131</f>
        <v>43643</v>
      </c>
      <c r="L132" s="10">
        <f t="shared" si="96"/>
        <v>3643</v>
      </c>
      <c r="M132" s="10">
        <f t="shared" si="97"/>
        <v>3642</v>
      </c>
      <c r="N132" s="10" t="s">
        <v>419</v>
      </c>
      <c r="O132" s="10" t="s">
        <v>327</v>
      </c>
      <c r="P132" s="10">
        <v>3</v>
      </c>
      <c r="Q132" s="10"/>
      <c r="R132" s="222" t="s">
        <v>754</v>
      </c>
      <c r="V132" s="11"/>
      <c r="W132" s="15"/>
      <c r="X132" s="17"/>
      <c r="Y132" s="15"/>
    </row>
    <row r="133" spans="2:28" ht="15.6" x14ac:dyDescent="0.3">
      <c r="B133" s="10" t="s">
        <v>770</v>
      </c>
      <c r="C133" s="10" t="s">
        <v>321</v>
      </c>
      <c r="D133" s="10">
        <v>2</v>
      </c>
      <c r="E133" s="10">
        <f t="shared" ref="E133" si="98">D133/2</f>
        <v>1</v>
      </c>
      <c r="F133" s="10">
        <v>0</v>
      </c>
      <c r="G133" s="10">
        <v>60000</v>
      </c>
      <c r="H133" s="10">
        <v>1</v>
      </c>
      <c r="I133" s="64" t="s">
        <v>386</v>
      </c>
      <c r="J133" s="10" t="s">
        <v>418</v>
      </c>
      <c r="K133" s="10">
        <f>K132+E132</f>
        <v>43644</v>
      </c>
      <c r="L133" s="10">
        <f t="shared" si="96"/>
        <v>3644</v>
      </c>
      <c r="M133" s="10">
        <f t="shared" si="97"/>
        <v>3643</v>
      </c>
      <c r="N133" s="10" t="s">
        <v>419</v>
      </c>
      <c r="O133" s="10" t="s">
        <v>327</v>
      </c>
      <c r="P133" s="10">
        <v>0</v>
      </c>
      <c r="Q133" s="10" t="s">
        <v>760</v>
      </c>
      <c r="R133" s="111"/>
      <c r="S133" s="29"/>
      <c r="AA133" s="56"/>
      <c r="AB133" s="56"/>
    </row>
    <row r="134" spans="2:28" ht="15.6" x14ac:dyDescent="0.3">
      <c r="B134" s="10" t="s">
        <v>320</v>
      </c>
      <c r="C134" s="10" t="s">
        <v>321</v>
      </c>
      <c r="D134" s="10">
        <v>2</v>
      </c>
      <c r="E134" s="10">
        <f t="shared" ref="E134" si="99">D134/2</f>
        <v>1</v>
      </c>
      <c r="F134" s="10">
        <v>0</v>
      </c>
      <c r="G134" s="10">
        <v>0</v>
      </c>
      <c r="H134" s="10">
        <v>0</v>
      </c>
      <c r="I134" s="10">
        <v>0</v>
      </c>
      <c r="J134" s="10" t="s">
        <v>418</v>
      </c>
      <c r="K134" s="10">
        <f t="shared" ref="K134" si="100">K133+E133</f>
        <v>43645</v>
      </c>
      <c r="L134" s="10">
        <f t="shared" si="96"/>
        <v>3645</v>
      </c>
      <c r="M134" s="10">
        <f t="shared" si="97"/>
        <v>3644</v>
      </c>
      <c r="N134" s="10" t="s">
        <v>419</v>
      </c>
      <c r="O134" s="10" t="s">
        <v>324</v>
      </c>
      <c r="P134" s="10">
        <v>0</v>
      </c>
      <c r="Q134" s="10"/>
      <c r="R134" s="111"/>
      <c r="S134" s="29"/>
      <c r="AA134" s="56"/>
      <c r="AB134" s="56"/>
    </row>
    <row r="135" spans="2:28" x14ac:dyDescent="0.3">
      <c r="B135" s="470" t="s">
        <v>792</v>
      </c>
      <c r="C135" s="471"/>
      <c r="D135" s="471"/>
      <c r="E135" s="471"/>
      <c r="F135" s="471"/>
      <c r="G135" s="471"/>
      <c r="H135" s="471"/>
      <c r="I135" s="471"/>
      <c r="J135" s="471"/>
      <c r="K135" s="471"/>
      <c r="L135" s="471"/>
      <c r="M135" s="471"/>
      <c r="N135" s="471"/>
      <c r="O135" s="471"/>
      <c r="P135" s="471"/>
      <c r="Q135" s="471"/>
      <c r="R135" s="472"/>
    </row>
    <row r="136" spans="2:28" ht="62.4" x14ac:dyDescent="0.3">
      <c r="B136" s="10" t="s">
        <v>748</v>
      </c>
      <c r="C136" s="10" t="s">
        <v>321</v>
      </c>
      <c r="D136" s="10">
        <v>2</v>
      </c>
      <c r="E136" s="10">
        <f t="shared" ref="E136:E142" si="101">D136/2</f>
        <v>1</v>
      </c>
      <c r="F136" s="10">
        <v>0</v>
      </c>
      <c r="G136" s="10">
        <v>3</v>
      </c>
      <c r="H136" s="10">
        <v>1</v>
      </c>
      <c r="I136" s="10">
        <v>1</v>
      </c>
      <c r="J136" s="10" t="s">
        <v>418</v>
      </c>
      <c r="K136" s="10">
        <f>K134+E134</f>
        <v>43646</v>
      </c>
      <c r="L136" s="10">
        <f>K136-40000</f>
        <v>3646</v>
      </c>
      <c r="M136" s="10">
        <f>L136-1</f>
        <v>3645</v>
      </c>
      <c r="N136" s="10" t="s">
        <v>419</v>
      </c>
      <c r="O136" s="10" t="s">
        <v>327</v>
      </c>
      <c r="P136" s="10">
        <v>3</v>
      </c>
      <c r="Q136" s="10"/>
      <c r="R136" s="110" t="s">
        <v>749</v>
      </c>
      <c r="S136" s="29"/>
      <c r="V136" s="56"/>
      <c r="W136" s="18"/>
      <c r="X136" s="18"/>
      <c r="Y136" s="18"/>
      <c r="AA136" s="56"/>
      <c r="AB136" s="56"/>
    </row>
    <row r="137" spans="2:28" ht="15.6" x14ac:dyDescent="0.3">
      <c r="B137" s="10" t="s">
        <v>768</v>
      </c>
      <c r="C137" s="10" t="s">
        <v>321</v>
      </c>
      <c r="D137" s="10">
        <v>2</v>
      </c>
      <c r="E137" s="10">
        <f t="shared" si="101"/>
        <v>1</v>
      </c>
      <c r="F137" s="10">
        <v>5</v>
      </c>
      <c r="G137" s="10">
        <v>50</v>
      </c>
      <c r="H137" s="10">
        <v>5</v>
      </c>
      <c r="I137" s="10">
        <v>1</v>
      </c>
      <c r="J137" s="10" t="s">
        <v>418</v>
      </c>
      <c r="K137" s="10">
        <f t="shared" ref="K137:K142" si="102">K136+E136</f>
        <v>43647</v>
      </c>
      <c r="L137" s="10">
        <f t="shared" ref="L137:L142" si="103">K137-40000</f>
        <v>3647</v>
      </c>
      <c r="M137" s="10">
        <f t="shared" ref="M137:M142" si="104">L137-1</f>
        <v>3646</v>
      </c>
      <c r="N137" s="10" t="s">
        <v>419</v>
      </c>
      <c r="O137" s="10" t="s">
        <v>327</v>
      </c>
      <c r="P137" s="10">
        <v>10</v>
      </c>
      <c r="Q137" s="10" t="s">
        <v>389</v>
      </c>
      <c r="R137" s="111"/>
      <c r="S137" s="29"/>
      <c r="V137" s="56"/>
      <c r="W137" s="19"/>
      <c r="X137" s="19"/>
      <c r="Y137" s="19"/>
      <c r="AA137" s="56"/>
      <c r="AB137" s="56"/>
    </row>
    <row r="138" spans="2:28" ht="15.6" x14ac:dyDescent="0.3">
      <c r="B138" s="10" t="s">
        <v>769</v>
      </c>
      <c r="C138" s="10" t="s">
        <v>321</v>
      </c>
      <c r="D138" s="10">
        <v>2</v>
      </c>
      <c r="E138" s="10">
        <f t="shared" si="101"/>
        <v>1</v>
      </c>
      <c r="F138" s="10">
        <v>1</v>
      </c>
      <c r="G138" s="10">
        <v>60000</v>
      </c>
      <c r="H138" s="10">
        <v>1</v>
      </c>
      <c r="I138" s="64" t="s">
        <v>386</v>
      </c>
      <c r="J138" s="10" t="s">
        <v>418</v>
      </c>
      <c r="K138" s="10">
        <f t="shared" si="102"/>
        <v>43648</v>
      </c>
      <c r="L138" s="10">
        <f t="shared" si="103"/>
        <v>3648</v>
      </c>
      <c r="M138" s="10">
        <f t="shared" si="104"/>
        <v>3647</v>
      </c>
      <c r="N138" s="10" t="s">
        <v>419</v>
      </c>
      <c r="O138" s="10" t="s">
        <v>327</v>
      </c>
      <c r="P138" s="10">
        <v>100</v>
      </c>
      <c r="Q138" s="10" t="s">
        <v>329</v>
      </c>
      <c r="R138" s="111"/>
      <c r="S138" s="29"/>
      <c r="V138" s="56"/>
      <c r="W138" s="20"/>
      <c r="X138" s="20"/>
      <c r="Y138" s="20"/>
      <c r="AA138" s="56"/>
      <c r="AB138" s="56"/>
    </row>
    <row r="139" spans="2:28" ht="15.6" x14ac:dyDescent="0.3">
      <c r="B139" s="193" t="s">
        <v>752</v>
      </c>
      <c r="C139" s="193" t="s">
        <v>321</v>
      </c>
      <c r="D139" s="193">
        <v>2</v>
      </c>
      <c r="E139" s="193">
        <f t="shared" si="101"/>
        <v>1</v>
      </c>
      <c r="F139" s="193">
        <v>5</v>
      </c>
      <c r="G139" s="193">
        <v>50</v>
      </c>
      <c r="H139" s="193">
        <v>5</v>
      </c>
      <c r="I139" s="193">
        <v>1</v>
      </c>
      <c r="J139" s="193" t="s">
        <v>418</v>
      </c>
      <c r="K139" s="193">
        <f t="shared" si="102"/>
        <v>43649</v>
      </c>
      <c r="L139" s="193">
        <f t="shared" si="103"/>
        <v>3649</v>
      </c>
      <c r="M139" s="193">
        <f t="shared" si="104"/>
        <v>3648</v>
      </c>
      <c r="N139" s="193" t="s">
        <v>419</v>
      </c>
      <c r="O139" s="193" t="s">
        <v>324</v>
      </c>
      <c r="P139" s="193">
        <v>10</v>
      </c>
      <c r="Q139" s="193" t="s">
        <v>389</v>
      </c>
      <c r="R139" s="111"/>
      <c r="S139" s="29"/>
      <c r="V139" s="56"/>
      <c r="AA139" s="56"/>
      <c r="AB139" s="56"/>
    </row>
    <row r="140" spans="2:28" ht="62.4" x14ac:dyDescent="0.3">
      <c r="B140" s="10" t="s">
        <v>753</v>
      </c>
      <c r="C140" s="10" t="s">
        <v>359</v>
      </c>
      <c r="D140" s="10">
        <v>2</v>
      </c>
      <c r="E140" s="10">
        <f t="shared" si="101"/>
        <v>1</v>
      </c>
      <c r="F140" s="10">
        <v>1</v>
      </c>
      <c r="G140" s="10">
        <v>15</v>
      </c>
      <c r="H140" s="10">
        <v>1</v>
      </c>
      <c r="I140" s="10">
        <v>1</v>
      </c>
      <c r="J140" s="10" t="s">
        <v>418</v>
      </c>
      <c r="K140" s="10">
        <f t="shared" si="102"/>
        <v>43650</v>
      </c>
      <c r="L140" s="10">
        <f t="shared" si="103"/>
        <v>3650</v>
      </c>
      <c r="M140" s="10">
        <f t="shared" si="104"/>
        <v>3649</v>
      </c>
      <c r="N140" s="10" t="s">
        <v>419</v>
      </c>
      <c r="O140" s="10" t="s">
        <v>327</v>
      </c>
      <c r="P140" s="10">
        <v>3</v>
      </c>
      <c r="Q140" s="10"/>
      <c r="R140" s="222" t="s">
        <v>754</v>
      </c>
      <c r="V140" s="11"/>
      <c r="W140" s="15"/>
      <c r="X140" s="17"/>
      <c r="Y140" s="15"/>
    </row>
    <row r="141" spans="2:28" ht="15.6" x14ac:dyDescent="0.3">
      <c r="B141" s="10" t="s">
        <v>770</v>
      </c>
      <c r="C141" s="10" t="s">
        <v>321</v>
      </c>
      <c r="D141" s="10">
        <v>2</v>
      </c>
      <c r="E141" s="10">
        <f t="shared" si="101"/>
        <v>1</v>
      </c>
      <c r="F141" s="10">
        <v>0</v>
      </c>
      <c r="G141" s="10">
        <v>60000</v>
      </c>
      <c r="H141" s="10">
        <v>1</v>
      </c>
      <c r="I141" s="64" t="s">
        <v>386</v>
      </c>
      <c r="J141" s="10" t="s">
        <v>418</v>
      </c>
      <c r="K141" s="10">
        <f t="shared" si="102"/>
        <v>43651</v>
      </c>
      <c r="L141" s="10">
        <f t="shared" si="103"/>
        <v>3651</v>
      </c>
      <c r="M141" s="10">
        <f t="shared" si="104"/>
        <v>3650</v>
      </c>
      <c r="N141" s="10" t="s">
        <v>419</v>
      </c>
      <c r="O141" s="10" t="s">
        <v>327</v>
      </c>
      <c r="P141" s="10">
        <v>0</v>
      </c>
      <c r="Q141" s="10" t="s">
        <v>760</v>
      </c>
      <c r="R141" s="111"/>
      <c r="S141" s="29"/>
      <c r="AA141" s="56"/>
      <c r="AB141" s="56"/>
    </row>
    <row r="142" spans="2:28" ht="15.6" x14ac:dyDescent="0.3">
      <c r="B142" s="10" t="s">
        <v>320</v>
      </c>
      <c r="C142" s="10" t="s">
        <v>321</v>
      </c>
      <c r="D142" s="10">
        <v>2</v>
      </c>
      <c r="E142" s="10">
        <f t="shared" si="101"/>
        <v>1</v>
      </c>
      <c r="F142" s="10">
        <v>0</v>
      </c>
      <c r="G142" s="10">
        <v>0</v>
      </c>
      <c r="H142" s="10">
        <v>0</v>
      </c>
      <c r="I142" s="10">
        <v>0</v>
      </c>
      <c r="J142" s="10" t="s">
        <v>418</v>
      </c>
      <c r="K142" s="10">
        <f t="shared" si="102"/>
        <v>43652</v>
      </c>
      <c r="L142" s="10">
        <f t="shared" si="103"/>
        <v>3652</v>
      </c>
      <c r="M142" s="10">
        <f t="shared" si="104"/>
        <v>3651</v>
      </c>
      <c r="N142" s="10" t="s">
        <v>419</v>
      </c>
      <c r="O142" s="10" t="s">
        <v>324</v>
      </c>
      <c r="P142" s="10">
        <v>0</v>
      </c>
      <c r="Q142" s="10"/>
      <c r="R142" s="111"/>
      <c r="S142" s="29"/>
      <c r="AA142" s="56"/>
      <c r="AB142" s="56"/>
    </row>
    <row r="143" spans="2:28" x14ac:dyDescent="0.3">
      <c r="B143" s="470" t="s">
        <v>786</v>
      </c>
      <c r="C143" s="471"/>
      <c r="D143" s="471"/>
      <c r="E143" s="471">
        <f>D143/2</f>
        <v>0</v>
      </c>
      <c r="F143" s="471">
        <v>0</v>
      </c>
      <c r="G143" s="471">
        <v>0</v>
      </c>
      <c r="H143" s="471">
        <v>0</v>
      </c>
      <c r="I143" s="471">
        <v>1</v>
      </c>
      <c r="J143" s="471" t="s">
        <v>418</v>
      </c>
      <c r="K143" s="471">
        <f>K221+E221</f>
        <v>43776</v>
      </c>
      <c r="L143" s="471"/>
      <c r="M143" s="471"/>
      <c r="N143" s="471" t="s">
        <v>323</v>
      </c>
      <c r="O143" s="471"/>
      <c r="P143" s="471"/>
      <c r="Q143" s="471"/>
      <c r="R143" s="472"/>
      <c r="S143" s="29"/>
      <c r="AA143" s="56"/>
      <c r="AB143" s="56"/>
    </row>
    <row r="144" spans="2:28" ht="62.4" x14ac:dyDescent="0.3">
      <c r="B144" s="10" t="s">
        <v>748</v>
      </c>
      <c r="C144" s="10" t="s">
        <v>321</v>
      </c>
      <c r="D144" s="10">
        <v>2</v>
      </c>
      <c r="E144" s="10">
        <f t="shared" ref="E144" si="105">D144/2</f>
        <v>1</v>
      </c>
      <c r="F144" s="10">
        <v>0</v>
      </c>
      <c r="G144" s="10">
        <v>3</v>
      </c>
      <c r="H144" s="10">
        <v>1</v>
      </c>
      <c r="I144" s="10">
        <v>1</v>
      </c>
      <c r="J144" s="10" t="s">
        <v>418</v>
      </c>
      <c r="K144" s="10">
        <f>K142+E142</f>
        <v>43653</v>
      </c>
      <c r="L144" s="10">
        <f>K144-40000</f>
        <v>3653</v>
      </c>
      <c r="M144" s="10">
        <f>L144-1</f>
        <v>3652</v>
      </c>
      <c r="N144" s="10" t="s">
        <v>419</v>
      </c>
      <c r="O144" s="10" t="s">
        <v>327</v>
      </c>
      <c r="P144" s="10">
        <v>2</v>
      </c>
      <c r="Q144" s="10"/>
      <c r="R144" s="110" t="s">
        <v>749</v>
      </c>
      <c r="S144" s="29"/>
      <c r="V144" s="56"/>
      <c r="W144" s="18"/>
      <c r="X144" s="18"/>
      <c r="Y144" s="18"/>
      <c r="AA144" s="56"/>
      <c r="AB144" s="56"/>
    </row>
    <row r="145" spans="2:28" ht="15.6" x14ac:dyDescent="0.3">
      <c r="B145" s="10" t="s">
        <v>769</v>
      </c>
      <c r="C145" s="10" t="s">
        <v>321</v>
      </c>
      <c r="D145" s="10">
        <v>2</v>
      </c>
      <c r="E145" s="10">
        <f>D145/2</f>
        <v>1</v>
      </c>
      <c r="F145" s="10">
        <v>1</v>
      </c>
      <c r="G145" s="10">
        <v>60000</v>
      </c>
      <c r="H145" s="10">
        <v>1</v>
      </c>
      <c r="I145" s="64" t="s">
        <v>386</v>
      </c>
      <c r="J145" s="10" t="s">
        <v>418</v>
      </c>
      <c r="K145" s="10">
        <f>K144+E144</f>
        <v>43654</v>
      </c>
      <c r="L145" s="10">
        <f t="shared" ref="L145:L148" si="106">K145-40000</f>
        <v>3654</v>
      </c>
      <c r="M145" s="10">
        <f t="shared" ref="M145:M148" si="107">L145-1</f>
        <v>3653</v>
      </c>
      <c r="N145" s="10" t="s">
        <v>419</v>
      </c>
      <c r="O145" s="10" t="s">
        <v>327</v>
      </c>
      <c r="P145" s="10">
        <v>1</v>
      </c>
      <c r="Q145" s="10" t="s">
        <v>329</v>
      </c>
      <c r="R145" s="111"/>
      <c r="S145" s="29"/>
      <c r="V145" s="56"/>
      <c r="W145" s="20"/>
      <c r="X145" s="20"/>
      <c r="Y145" s="20"/>
      <c r="AA145" s="56"/>
      <c r="AB145" s="56"/>
    </row>
    <row r="146" spans="2:28" ht="62.4" x14ac:dyDescent="0.3">
      <c r="B146" s="10" t="s">
        <v>753</v>
      </c>
      <c r="C146" s="10" t="s">
        <v>359</v>
      </c>
      <c r="D146" s="10">
        <v>2</v>
      </c>
      <c r="E146" s="10">
        <f>D146/2</f>
        <v>1</v>
      </c>
      <c r="F146" s="10">
        <v>1</v>
      </c>
      <c r="G146" s="10">
        <v>15</v>
      </c>
      <c r="H146" s="10">
        <v>1</v>
      </c>
      <c r="I146" s="10">
        <v>1</v>
      </c>
      <c r="J146" s="10" t="s">
        <v>418</v>
      </c>
      <c r="K146" s="10">
        <f>K145+E145</f>
        <v>43655</v>
      </c>
      <c r="L146" s="10">
        <f t="shared" si="106"/>
        <v>3655</v>
      </c>
      <c r="M146" s="10">
        <f t="shared" si="107"/>
        <v>3654</v>
      </c>
      <c r="N146" s="10" t="s">
        <v>419</v>
      </c>
      <c r="O146" s="10" t="s">
        <v>327</v>
      </c>
      <c r="P146" s="10">
        <v>3</v>
      </c>
      <c r="Q146" s="10"/>
      <c r="R146" s="222" t="s">
        <v>754</v>
      </c>
      <c r="V146" s="11"/>
      <c r="W146" s="15"/>
      <c r="X146" s="17"/>
      <c r="Y146" s="15"/>
    </row>
    <row r="147" spans="2:28" ht="15.6" x14ac:dyDescent="0.3">
      <c r="B147" s="10" t="s">
        <v>770</v>
      </c>
      <c r="C147" s="10" t="s">
        <v>321</v>
      </c>
      <c r="D147" s="10">
        <v>2</v>
      </c>
      <c r="E147" s="10">
        <f t="shared" ref="E147" si="108">D147/2</f>
        <v>1</v>
      </c>
      <c r="F147" s="10">
        <v>0</v>
      </c>
      <c r="G147" s="10">
        <v>60000</v>
      </c>
      <c r="H147" s="10">
        <v>1</v>
      </c>
      <c r="I147" s="64" t="s">
        <v>386</v>
      </c>
      <c r="J147" s="10" t="s">
        <v>418</v>
      </c>
      <c r="K147" s="10">
        <f>K146+E146</f>
        <v>43656</v>
      </c>
      <c r="L147" s="10">
        <f t="shared" si="106"/>
        <v>3656</v>
      </c>
      <c r="M147" s="10">
        <f t="shared" si="107"/>
        <v>3655</v>
      </c>
      <c r="N147" s="10" t="s">
        <v>419</v>
      </c>
      <c r="O147" s="10" t="s">
        <v>327</v>
      </c>
      <c r="P147" s="10">
        <v>0</v>
      </c>
      <c r="Q147" s="10" t="s">
        <v>760</v>
      </c>
      <c r="R147" s="111"/>
      <c r="S147" s="29"/>
      <c r="AA147" s="56"/>
      <c r="AB147" s="56"/>
    </row>
    <row r="148" spans="2:28" ht="15.6" x14ac:dyDescent="0.3">
      <c r="B148" s="10" t="s">
        <v>320</v>
      </c>
      <c r="C148" s="10" t="s">
        <v>321</v>
      </c>
      <c r="D148" s="10">
        <v>2</v>
      </c>
      <c r="E148" s="10">
        <f t="shared" ref="E148:E164" si="109">D148/2</f>
        <v>1</v>
      </c>
      <c r="F148" s="10">
        <v>0</v>
      </c>
      <c r="G148" s="10">
        <v>0</v>
      </c>
      <c r="H148" s="10">
        <v>0</v>
      </c>
      <c r="I148" s="10">
        <v>0</v>
      </c>
      <c r="J148" s="10" t="s">
        <v>418</v>
      </c>
      <c r="K148" s="10">
        <f t="shared" ref="K148" si="110">K147+E147</f>
        <v>43657</v>
      </c>
      <c r="L148" s="10">
        <f t="shared" si="106"/>
        <v>3657</v>
      </c>
      <c r="M148" s="10">
        <f t="shared" si="107"/>
        <v>3656</v>
      </c>
      <c r="N148" s="10" t="s">
        <v>419</v>
      </c>
      <c r="O148" s="10" t="s">
        <v>324</v>
      </c>
      <c r="P148" s="10">
        <v>0</v>
      </c>
      <c r="Q148" s="10"/>
      <c r="R148" s="111"/>
      <c r="S148" s="29"/>
      <c r="AA148" s="56"/>
      <c r="AB148" s="56"/>
    </row>
    <row r="149" spans="2:28" x14ac:dyDescent="0.3">
      <c r="B149" s="470" t="s">
        <v>793</v>
      </c>
      <c r="C149" s="471"/>
      <c r="D149" s="471"/>
      <c r="E149" s="471">
        <f t="shared" si="109"/>
        <v>0</v>
      </c>
      <c r="F149" s="471">
        <v>0</v>
      </c>
      <c r="G149" s="471">
        <v>0</v>
      </c>
      <c r="H149" s="471">
        <v>0</v>
      </c>
      <c r="I149" s="471">
        <v>1</v>
      </c>
      <c r="J149" s="471" t="s">
        <v>418</v>
      </c>
      <c r="K149" s="471" t="e">
        <f>#REF!+#REF!</f>
        <v>#REF!</v>
      </c>
      <c r="L149" s="471"/>
      <c r="M149" s="471"/>
      <c r="N149" s="471" t="s">
        <v>323</v>
      </c>
      <c r="O149" s="471"/>
      <c r="P149" s="471"/>
      <c r="Q149" s="471"/>
      <c r="R149" s="472"/>
    </row>
    <row r="150" spans="2:28" ht="62.4" x14ac:dyDescent="0.3">
      <c r="B150" s="10" t="s">
        <v>748</v>
      </c>
      <c r="C150" s="10" t="s">
        <v>321</v>
      </c>
      <c r="D150" s="10">
        <v>2</v>
      </c>
      <c r="E150" s="10">
        <f t="shared" si="109"/>
        <v>1</v>
      </c>
      <c r="F150" s="10">
        <v>0</v>
      </c>
      <c r="G150" s="10">
        <v>3</v>
      </c>
      <c r="H150" s="10">
        <v>1</v>
      </c>
      <c r="I150" s="10">
        <v>1</v>
      </c>
      <c r="J150" s="10" t="s">
        <v>418</v>
      </c>
      <c r="K150" s="10">
        <f>K148+E148</f>
        <v>43658</v>
      </c>
      <c r="L150" s="10">
        <f>K150-40000</f>
        <v>3658</v>
      </c>
      <c r="M150" s="10">
        <f>L150-1</f>
        <v>3657</v>
      </c>
      <c r="N150" s="10" t="s">
        <v>419</v>
      </c>
      <c r="O150" s="10" t="s">
        <v>327</v>
      </c>
      <c r="P150" s="10">
        <v>0</v>
      </c>
      <c r="Q150" s="10"/>
      <c r="R150" s="110" t="s">
        <v>749</v>
      </c>
      <c r="S150" s="29"/>
      <c r="V150" s="56"/>
      <c r="W150" s="18"/>
      <c r="X150" s="18"/>
      <c r="Y150" s="18"/>
      <c r="AA150" s="56"/>
      <c r="AB150" s="56"/>
    </row>
    <row r="151" spans="2:28" ht="15.6" x14ac:dyDescent="0.3">
      <c r="B151" s="10" t="s">
        <v>768</v>
      </c>
      <c r="C151" s="10" t="s">
        <v>321</v>
      </c>
      <c r="D151" s="10">
        <v>2</v>
      </c>
      <c r="E151" s="10">
        <f t="shared" si="109"/>
        <v>1</v>
      </c>
      <c r="F151" s="10">
        <v>90</v>
      </c>
      <c r="G151" s="10">
        <v>100</v>
      </c>
      <c r="H151" s="10">
        <v>1</v>
      </c>
      <c r="I151" s="10">
        <v>1</v>
      </c>
      <c r="J151" s="10" t="s">
        <v>418</v>
      </c>
      <c r="K151" s="10">
        <f t="shared" ref="K151:K156" si="111">K150+E150</f>
        <v>43659</v>
      </c>
      <c r="L151" s="10">
        <f t="shared" ref="L151:L156" si="112">K151-40000</f>
        <v>3659</v>
      </c>
      <c r="M151" s="10">
        <f t="shared" ref="M151:M156" si="113">L151-1</f>
        <v>3658</v>
      </c>
      <c r="N151" s="10" t="s">
        <v>419</v>
      </c>
      <c r="O151" s="10" t="s">
        <v>327</v>
      </c>
      <c r="P151" s="10">
        <v>94</v>
      </c>
      <c r="Q151" s="10" t="s">
        <v>794</v>
      </c>
      <c r="R151" s="111"/>
      <c r="S151" s="29"/>
      <c r="V151" s="56"/>
      <c r="W151" s="19"/>
      <c r="X151" s="19"/>
      <c r="Y151" s="19"/>
      <c r="AA151" s="56"/>
      <c r="AB151" s="56"/>
    </row>
    <row r="152" spans="2:28" ht="15.6" x14ac:dyDescent="0.3">
      <c r="B152" s="10" t="s">
        <v>769</v>
      </c>
      <c r="C152" s="10" t="s">
        <v>321</v>
      </c>
      <c r="D152" s="10">
        <v>2</v>
      </c>
      <c r="E152" s="10">
        <f t="shared" si="109"/>
        <v>1</v>
      </c>
      <c r="F152" s="10">
        <v>1</v>
      </c>
      <c r="G152" s="10">
        <v>60000</v>
      </c>
      <c r="H152" s="10">
        <v>1</v>
      </c>
      <c r="I152" s="64" t="s">
        <v>386</v>
      </c>
      <c r="J152" s="10" t="s">
        <v>418</v>
      </c>
      <c r="K152" s="10">
        <f t="shared" si="111"/>
        <v>43660</v>
      </c>
      <c r="L152" s="10">
        <f t="shared" si="112"/>
        <v>3660</v>
      </c>
      <c r="M152" s="10">
        <f t="shared" si="113"/>
        <v>3659</v>
      </c>
      <c r="N152" s="10" t="s">
        <v>419</v>
      </c>
      <c r="O152" s="10" t="s">
        <v>327</v>
      </c>
      <c r="P152" s="10">
        <v>1</v>
      </c>
      <c r="Q152" s="10" t="s">
        <v>329</v>
      </c>
      <c r="R152" s="111"/>
      <c r="S152" s="29"/>
      <c r="V152" s="56"/>
      <c r="W152" s="20"/>
      <c r="X152" s="20"/>
      <c r="Y152" s="20"/>
      <c r="AA152" s="56"/>
      <c r="AB152" s="56"/>
    </row>
    <row r="153" spans="2:28" ht="15.6" x14ac:dyDescent="0.3">
      <c r="B153" s="10" t="s">
        <v>752</v>
      </c>
      <c r="C153" s="10" t="s">
        <v>321</v>
      </c>
      <c r="D153" s="10">
        <v>2</v>
      </c>
      <c r="E153" s="10">
        <f t="shared" si="109"/>
        <v>1</v>
      </c>
      <c r="F153" s="10">
        <v>90</v>
      </c>
      <c r="G153" s="10">
        <v>100</v>
      </c>
      <c r="H153" s="10">
        <v>1</v>
      </c>
      <c r="I153" s="10">
        <v>1</v>
      </c>
      <c r="J153" s="10" t="s">
        <v>418</v>
      </c>
      <c r="K153" s="10">
        <f t="shared" ref="K153" si="114">K152+E152</f>
        <v>43661</v>
      </c>
      <c r="L153" s="10">
        <f t="shared" ref="L153" si="115">K153-40000</f>
        <v>3661</v>
      </c>
      <c r="M153" s="10">
        <f t="shared" ref="M153" si="116">L153-1</f>
        <v>3660</v>
      </c>
      <c r="N153" s="10" t="s">
        <v>419</v>
      </c>
      <c r="O153" s="10" t="s">
        <v>327</v>
      </c>
      <c r="P153" s="10">
        <v>94</v>
      </c>
      <c r="Q153" s="10" t="s">
        <v>794</v>
      </c>
      <c r="R153" s="111"/>
      <c r="S153" s="29"/>
      <c r="V153" s="56"/>
      <c r="AA153" s="56"/>
      <c r="AB153" s="56"/>
    </row>
    <row r="154" spans="2:28" ht="62.4" x14ac:dyDescent="0.3">
      <c r="B154" s="10" t="s">
        <v>753</v>
      </c>
      <c r="C154" s="10" t="s">
        <v>359</v>
      </c>
      <c r="D154" s="10">
        <v>2</v>
      </c>
      <c r="E154" s="10">
        <f t="shared" si="109"/>
        <v>1</v>
      </c>
      <c r="F154" s="10">
        <v>1</v>
      </c>
      <c r="G154" s="10">
        <v>15</v>
      </c>
      <c r="H154" s="10">
        <v>1</v>
      </c>
      <c r="I154" s="10">
        <v>1</v>
      </c>
      <c r="J154" s="10" t="s">
        <v>418</v>
      </c>
      <c r="K154" s="10">
        <f t="shared" si="111"/>
        <v>43662</v>
      </c>
      <c r="L154" s="10">
        <f t="shared" si="112"/>
        <v>3662</v>
      </c>
      <c r="M154" s="10">
        <f t="shared" si="113"/>
        <v>3661</v>
      </c>
      <c r="N154" s="10" t="s">
        <v>419</v>
      </c>
      <c r="O154" s="10" t="s">
        <v>327</v>
      </c>
      <c r="P154" s="10">
        <v>3</v>
      </c>
      <c r="Q154" s="10"/>
      <c r="R154" s="222" t="s">
        <v>754</v>
      </c>
      <c r="V154" s="11"/>
      <c r="W154" s="15"/>
      <c r="X154" s="17"/>
      <c r="Y154" s="15"/>
    </row>
    <row r="155" spans="2:28" ht="15.6" x14ac:dyDescent="0.3">
      <c r="B155" s="10" t="s">
        <v>770</v>
      </c>
      <c r="C155" s="10" t="s">
        <v>321</v>
      </c>
      <c r="D155" s="10">
        <v>2</v>
      </c>
      <c r="E155" s="10">
        <f t="shared" si="109"/>
        <v>1</v>
      </c>
      <c r="F155" s="10">
        <v>0</v>
      </c>
      <c r="G155" s="10">
        <v>60000</v>
      </c>
      <c r="H155" s="10">
        <v>1</v>
      </c>
      <c r="I155" s="64" t="s">
        <v>386</v>
      </c>
      <c r="J155" s="10" t="s">
        <v>418</v>
      </c>
      <c r="K155" s="10">
        <f t="shared" si="111"/>
        <v>43663</v>
      </c>
      <c r="L155" s="10">
        <f t="shared" si="112"/>
        <v>3663</v>
      </c>
      <c r="M155" s="10">
        <f t="shared" si="113"/>
        <v>3662</v>
      </c>
      <c r="N155" s="10" t="s">
        <v>419</v>
      </c>
      <c r="O155" s="10" t="s">
        <v>327</v>
      </c>
      <c r="P155" s="10">
        <v>0</v>
      </c>
      <c r="Q155" s="10" t="s">
        <v>760</v>
      </c>
      <c r="R155" s="111"/>
      <c r="S155" s="29"/>
      <c r="AA155" s="56"/>
      <c r="AB155" s="56"/>
    </row>
    <row r="156" spans="2:28" ht="15.6" x14ac:dyDescent="0.3">
      <c r="B156" s="10" t="s">
        <v>320</v>
      </c>
      <c r="C156" s="10" t="s">
        <v>321</v>
      </c>
      <c r="D156" s="10">
        <v>2</v>
      </c>
      <c r="E156" s="10">
        <f t="shared" si="109"/>
        <v>1</v>
      </c>
      <c r="F156" s="10">
        <v>0</v>
      </c>
      <c r="G156" s="10">
        <v>0</v>
      </c>
      <c r="H156" s="10">
        <v>0</v>
      </c>
      <c r="I156" s="10">
        <v>0</v>
      </c>
      <c r="J156" s="10" t="s">
        <v>418</v>
      </c>
      <c r="K156" s="10">
        <f t="shared" si="111"/>
        <v>43664</v>
      </c>
      <c r="L156" s="10">
        <f t="shared" si="112"/>
        <v>3664</v>
      </c>
      <c r="M156" s="10">
        <f t="shared" si="113"/>
        <v>3663</v>
      </c>
      <c r="N156" s="10" t="s">
        <v>419</v>
      </c>
      <c r="O156" s="10" t="s">
        <v>324</v>
      </c>
      <c r="P156" s="10">
        <v>0</v>
      </c>
      <c r="Q156" s="10"/>
      <c r="R156" s="111"/>
      <c r="S156" s="29"/>
      <c r="AA156" s="56"/>
      <c r="AB156" s="56"/>
    </row>
    <row r="157" spans="2:28" x14ac:dyDescent="0.3">
      <c r="B157" s="470" t="s">
        <v>795</v>
      </c>
      <c r="C157" s="471"/>
      <c r="D157" s="471"/>
      <c r="E157" s="471">
        <f t="shared" si="109"/>
        <v>0</v>
      </c>
      <c r="F157" s="471">
        <v>0</v>
      </c>
      <c r="G157" s="471">
        <v>0</v>
      </c>
      <c r="H157" s="471">
        <v>0</v>
      </c>
      <c r="I157" s="471">
        <v>1</v>
      </c>
      <c r="J157" s="471" t="s">
        <v>418</v>
      </c>
      <c r="K157" s="471" t="e">
        <f>#REF!+#REF!</f>
        <v>#REF!</v>
      </c>
      <c r="L157" s="471"/>
      <c r="M157" s="471"/>
      <c r="N157" s="471" t="s">
        <v>323</v>
      </c>
      <c r="O157" s="471"/>
      <c r="P157" s="471"/>
      <c r="Q157" s="471"/>
      <c r="R157" s="472"/>
    </row>
    <row r="158" spans="2:28" ht="62.4" x14ac:dyDescent="0.3">
      <c r="B158" s="10" t="s">
        <v>748</v>
      </c>
      <c r="C158" s="10" t="s">
        <v>321</v>
      </c>
      <c r="D158" s="10">
        <v>2</v>
      </c>
      <c r="E158" s="10">
        <f t="shared" si="109"/>
        <v>1</v>
      </c>
      <c r="F158" s="10">
        <v>0</v>
      </c>
      <c r="G158" s="10">
        <v>3</v>
      </c>
      <c r="H158" s="10">
        <v>1</v>
      </c>
      <c r="I158" s="10">
        <v>1</v>
      </c>
      <c r="J158" s="10" t="s">
        <v>418</v>
      </c>
      <c r="K158" s="10">
        <f>K156+E156</f>
        <v>43665</v>
      </c>
      <c r="L158" s="10">
        <f>K158-40000</f>
        <v>3665</v>
      </c>
      <c r="M158" s="10">
        <f>L158-1</f>
        <v>3664</v>
      </c>
      <c r="N158" s="10" t="s">
        <v>419</v>
      </c>
      <c r="O158" s="10" t="s">
        <v>327</v>
      </c>
      <c r="P158" s="10">
        <v>0</v>
      </c>
      <c r="Q158" s="10"/>
      <c r="R158" s="110" t="s">
        <v>749</v>
      </c>
      <c r="S158" s="29"/>
      <c r="V158" s="56"/>
      <c r="W158" s="18"/>
      <c r="X158" s="18"/>
      <c r="Y158" s="18"/>
      <c r="AA158" s="56"/>
      <c r="AB158" s="56"/>
    </row>
    <row r="159" spans="2:28" ht="15.6" x14ac:dyDescent="0.3">
      <c r="B159" s="10" t="s">
        <v>768</v>
      </c>
      <c r="C159" s="10" t="s">
        <v>321</v>
      </c>
      <c r="D159" s="10">
        <v>2</v>
      </c>
      <c r="E159" s="10">
        <f t="shared" si="109"/>
        <v>1</v>
      </c>
      <c r="F159" s="10">
        <v>100</v>
      </c>
      <c r="G159" s="10">
        <v>110</v>
      </c>
      <c r="H159" s="10">
        <v>1</v>
      </c>
      <c r="I159" s="10">
        <v>1</v>
      </c>
      <c r="J159" s="10" t="s">
        <v>418</v>
      </c>
      <c r="K159" s="10">
        <f t="shared" ref="K159:K164" si="117">K158+E158</f>
        <v>43666</v>
      </c>
      <c r="L159" s="10">
        <f t="shared" ref="L159:L164" si="118">K159-40000</f>
        <v>3666</v>
      </c>
      <c r="M159" s="10">
        <f t="shared" ref="M159:M164" si="119">L159-1</f>
        <v>3665</v>
      </c>
      <c r="N159" s="10" t="s">
        <v>419</v>
      </c>
      <c r="O159" s="10" t="s">
        <v>327</v>
      </c>
      <c r="P159" s="10">
        <v>105</v>
      </c>
      <c r="Q159" s="10" t="s">
        <v>794</v>
      </c>
      <c r="R159" s="111"/>
      <c r="S159" s="29"/>
      <c r="V159" s="56"/>
      <c r="W159" s="19"/>
      <c r="X159" s="19"/>
      <c r="Y159" s="19"/>
      <c r="AA159" s="56"/>
      <c r="AB159" s="56"/>
    </row>
    <row r="160" spans="2:28" ht="15.6" x14ac:dyDescent="0.3">
      <c r="B160" s="10" t="s">
        <v>769</v>
      </c>
      <c r="C160" s="10" t="s">
        <v>321</v>
      </c>
      <c r="D160" s="10">
        <v>2</v>
      </c>
      <c r="E160" s="10">
        <f t="shared" si="109"/>
        <v>1</v>
      </c>
      <c r="F160" s="10">
        <v>1</v>
      </c>
      <c r="G160" s="10">
        <v>60000</v>
      </c>
      <c r="H160" s="10">
        <v>1</v>
      </c>
      <c r="I160" s="64" t="s">
        <v>386</v>
      </c>
      <c r="J160" s="10" t="s">
        <v>418</v>
      </c>
      <c r="K160" s="10">
        <f t="shared" si="117"/>
        <v>43667</v>
      </c>
      <c r="L160" s="10">
        <f t="shared" si="118"/>
        <v>3667</v>
      </c>
      <c r="M160" s="10">
        <f t="shared" si="119"/>
        <v>3666</v>
      </c>
      <c r="N160" s="10" t="s">
        <v>419</v>
      </c>
      <c r="O160" s="10" t="s">
        <v>327</v>
      </c>
      <c r="P160" s="10">
        <v>1</v>
      </c>
      <c r="Q160" s="10" t="s">
        <v>329</v>
      </c>
      <c r="R160" s="111"/>
      <c r="S160" s="29"/>
      <c r="V160" s="56"/>
      <c r="W160" s="20"/>
      <c r="X160" s="20"/>
      <c r="Y160" s="20"/>
      <c r="AA160" s="56"/>
      <c r="AB160" s="56"/>
    </row>
    <row r="161" spans="2:28" ht="15.6" x14ac:dyDescent="0.3">
      <c r="B161" s="10" t="s">
        <v>752</v>
      </c>
      <c r="C161" s="10" t="s">
        <v>321</v>
      </c>
      <c r="D161" s="10">
        <v>2</v>
      </c>
      <c r="E161" s="10">
        <f t="shared" si="109"/>
        <v>1</v>
      </c>
      <c r="F161" s="10">
        <v>100</v>
      </c>
      <c r="G161" s="10">
        <v>110</v>
      </c>
      <c r="H161" s="10">
        <v>1</v>
      </c>
      <c r="I161" s="10">
        <v>1</v>
      </c>
      <c r="J161" s="10" t="s">
        <v>418</v>
      </c>
      <c r="K161" s="10">
        <f t="shared" ref="K161" si="120">K160+E160</f>
        <v>43668</v>
      </c>
      <c r="L161" s="10">
        <f t="shared" ref="L161" si="121">K161-40000</f>
        <v>3668</v>
      </c>
      <c r="M161" s="10">
        <f t="shared" ref="M161" si="122">L161-1</f>
        <v>3667</v>
      </c>
      <c r="N161" s="10" t="s">
        <v>419</v>
      </c>
      <c r="O161" s="10" t="s">
        <v>327</v>
      </c>
      <c r="P161" s="10">
        <v>105</v>
      </c>
      <c r="Q161" s="10" t="s">
        <v>794</v>
      </c>
      <c r="R161" s="111"/>
      <c r="S161" s="29"/>
      <c r="V161" s="56"/>
      <c r="AA161" s="56"/>
      <c r="AB161" s="56"/>
    </row>
    <row r="162" spans="2:28" ht="62.4" x14ac:dyDescent="0.3">
      <c r="B162" s="10" t="s">
        <v>753</v>
      </c>
      <c r="C162" s="10" t="s">
        <v>359</v>
      </c>
      <c r="D162" s="10">
        <v>2</v>
      </c>
      <c r="E162" s="10">
        <f t="shared" si="109"/>
        <v>1</v>
      </c>
      <c r="F162" s="10">
        <v>1</v>
      </c>
      <c r="G162" s="10">
        <v>15</v>
      </c>
      <c r="H162" s="10">
        <v>1</v>
      </c>
      <c r="I162" s="10">
        <v>1</v>
      </c>
      <c r="J162" s="10" t="s">
        <v>418</v>
      </c>
      <c r="K162" s="10">
        <f t="shared" si="117"/>
        <v>43669</v>
      </c>
      <c r="L162" s="10">
        <f t="shared" si="118"/>
        <v>3669</v>
      </c>
      <c r="M162" s="10">
        <f t="shared" si="119"/>
        <v>3668</v>
      </c>
      <c r="N162" s="10" t="s">
        <v>419</v>
      </c>
      <c r="O162" s="10" t="s">
        <v>327</v>
      </c>
      <c r="P162" s="10">
        <v>3</v>
      </c>
      <c r="Q162" s="10"/>
      <c r="R162" s="222" t="s">
        <v>754</v>
      </c>
      <c r="V162" s="11"/>
      <c r="W162" s="15"/>
      <c r="X162" s="17"/>
      <c r="Y162" s="15"/>
    </row>
    <row r="163" spans="2:28" ht="15.6" x14ac:dyDescent="0.3">
      <c r="B163" s="10" t="s">
        <v>770</v>
      </c>
      <c r="C163" s="10" t="s">
        <v>321</v>
      </c>
      <c r="D163" s="10">
        <v>2</v>
      </c>
      <c r="E163" s="10">
        <f t="shared" si="109"/>
        <v>1</v>
      </c>
      <c r="F163" s="10">
        <v>0</v>
      </c>
      <c r="G163" s="10">
        <v>60000</v>
      </c>
      <c r="H163" s="10">
        <v>1</v>
      </c>
      <c r="I163" s="64" t="s">
        <v>386</v>
      </c>
      <c r="J163" s="10" t="s">
        <v>418</v>
      </c>
      <c r="K163" s="10">
        <f t="shared" si="117"/>
        <v>43670</v>
      </c>
      <c r="L163" s="10">
        <f t="shared" si="118"/>
        <v>3670</v>
      </c>
      <c r="M163" s="10">
        <f t="shared" si="119"/>
        <v>3669</v>
      </c>
      <c r="N163" s="10" t="s">
        <v>419</v>
      </c>
      <c r="O163" s="10" t="s">
        <v>327</v>
      </c>
      <c r="P163" s="10">
        <v>0</v>
      </c>
      <c r="Q163" s="10" t="s">
        <v>760</v>
      </c>
      <c r="R163" s="111"/>
      <c r="S163" s="29"/>
      <c r="AA163" s="56"/>
      <c r="AB163" s="56"/>
    </row>
    <row r="164" spans="2:28" ht="15.6" x14ac:dyDescent="0.3">
      <c r="B164" s="10" t="s">
        <v>320</v>
      </c>
      <c r="C164" s="10" t="s">
        <v>321</v>
      </c>
      <c r="D164" s="10">
        <v>2</v>
      </c>
      <c r="E164" s="10">
        <f t="shared" si="109"/>
        <v>1</v>
      </c>
      <c r="F164" s="10">
        <v>0</v>
      </c>
      <c r="G164" s="10">
        <v>0</v>
      </c>
      <c r="H164" s="10">
        <v>0</v>
      </c>
      <c r="I164" s="10">
        <v>0</v>
      </c>
      <c r="J164" s="10" t="s">
        <v>418</v>
      </c>
      <c r="K164" s="10">
        <f t="shared" si="117"/>
        <v>43671</v>
      </c>
      <c r="L164" s="10">
        <f t="shared" si="118"/>
        <v>3671</v>
      </c>
      <c r="M164" s="10">
        <f t="shared" si="119"/>
        <v>3670</v>
      </c>
      <c r="N164" s="10" t="s">
        <v>419</v>
      </c>
      <c r="O164" s="10" t="s">
        <v>324</v>
      </c>
      <c r="P164" s="10">
        <v>0</v>
      </c>
      <c r="Q164" s="10"/>
      <c r="R164" s="111"/>
      <c r="S164" s="29"/>
      <c r="AA164" s="56"/>
      <c r="AB164" s="56"/>
    </row>
    <row r="165" spans="2:28" x14ac:dyDescent="0.3">
      <c r="B165" s="470" t="s">
        <v>796</v>
      </c>
      <c r="C165" s="471"/>
      <c r="D165" s="471"/>
      <c r="E165" s="471">
        <f t="shared" ref="E165:E180" si="123">D165/2</f>
        <v>0</v>
      </c>
      <c r="F165" s="471">
        <v>0</v>
      </c>
      <c r="G165" s="471">
        <v>0</v>
      </c>
      <c r="H165" s="471">
        <v>0</v>
      </c>
      <c r="I165" s="471">
        <v>1</v>
      </c>
      <c r="J165" s="471" t="s">
        <v>418</v>
      </c>
      <c r="K165" s="471" t="e">
        <f>#REF!+#REF!</f>
        <v>#REF!</v>
      </c>
      <c r="L165" s="471"/>
      <c r="M165" s="471"/>
      <c r="N165" s="471" t="s">
        <v>323</v>
      </c>
      <c r="O165" s="471"/>
      <c r="P165" s="471"/>
      <c r="Q165" s="471"/>
      <c r="R165" s="472"/>
    </row>
    <row r="166" spans="2:28" ht="62.4" x14ac:dyDescent="0.3">
      <c r="B166" s="10" t="s">
        <v>748</v>
      </c>
      <c r="C166" s="10" t="s">
        <v>321</v>
      </c>
      <c r="D166" s="10">
        <v>2</v>
      </c>
      <c r="E166" s="10">
        <f t="shared" si="123"/>
        <v>1</v>
      </c>
      <c r="F166" s="10">
        <v>0</v>
      </c>
      <c r="G166" s="10">
        <v>3</v>
      </c>
      <c r="H166" s="10">
        <v>1</v>
      </c>
      <c r="I166" s="10">
        <v>1</v>
      </c>
      <c r="J166" s="10" t="s">
        <v>418</v>
      </c>
      <c r="K166" s="10">
        <f>K164+E164</f>
        <v>43672</v>
      </c>
      <c r="L166" s="10">
        <f>K166-40000</f>
        <v>3672</v>
      </c>
      <c r="M166" s="10">
        <f>L166-1</f>
        <v>3671</v>
      </c>
      <c r="N166" s="10" t="s">
        <v>419</v>
      </c>
      <c r="O166" s="10" t="s">
        <v>327</v>
      </c>
      <c r="P166" s="10">
        <v>0</v>
      </c>
      <c r="Q166" s="10"/>
      <c r="R166" s="110" t="s">
        <v>749</v>
      </c>
      <c r="S166" s="29"/>
      <c r="V166" s="56"/>
      <c r="W166" s="18"/>
      <c r="X166" s="18"/>
      <c r="Y166" s="18"/>
      <c r="AA166" s="56"/>
      <c r="AB166" s="56"/>
    </row>
    <row r="167" spans="2:28" ht="15.6" x14ac:dyDescent="0.3">
      <c r="B167" s="10" t="s">
        <v>768</v>
      </c>
      <c r="C167" s="10" t="s">
        <v>321</v>
      </c>
      <c r="D167" s="10">
        <v>2</v>
      </c>
      <c r="E167" s="10">
        <f t="shared" si="123"/>
        <v>1</v>
      </c>
      <c r="F167" s="10">
        <v>20</v>
      </c>
      <c r="G167" s="10">
        <v>1000</v>
      </c>
      <c r="H167" s="10">
        <v>1</v>
      </c>
      <c r="I167" s="10">
        <v>1</v>
      </c>
      <c r="J167" s="10" t="s">
        <v>418</v>
      </c>
      <c r="K167" s="10">
        <f t="shared" ref="K167:K172" si="124">K166+E166</f>
        <v>43673</v>
      </c>
      <c r="L167" s="10">
        <f t="shared" ref="L167:L172" si="125">K167-40000</f>
        <v>3673</v>
      </c>
      <c r="M167" s="10">
        <f t="shared" ref="M167:M172" si="126">L167-1</f>
        <v>3672</v>
      </c>
      <c r="N167" s="10" t="s">
        <v>419</v>
      </c>
      <c r="O167" s="10" t="s">
        <v>327</v>
      </c>
      <c r="P167" s="10">
        <v>60</v>
      </c>
      <c r="Q167" s="10" t="s">
        <v>797</v>
      </c>
      <c r="R167" s="111"/>
      <c r="S167" s="29"/>
      <c r="V167" s="56"/>
      <c r="W167" s="19"/>
      <c r="X167" s="19"/>
      <c r="Y167" s="19"/>
      <c r="AA167" s="56"/>
      <c r="AB167" s="56"/>
    </row>
    <row r="168" spans="2:28" ht="15.6" x14ac:dyDescent="0.3">
      <c r="B168" s="10" t="s">
        <v>769</v>
      </c>
      <c r="C168" s="10" t="s">
        <v>321</v>
      </c>
      <c r="D168" s="10">
        <v>2</v>
      </c>
      <c r="E168" s="10">
        <f t="shared" si="123"/>
        <v>1</v>
      </c>
      <c r="F168" s="10">
        <v>1</v>
      </c>
      <c r="G168" s="10">
        <v>60000</v>
      </c>
      <c r="H168" s="10">
        <v>1</v>
      </c>
      <c r="I168" s="64" t="s">
        <v>386</v>
      </c>
      <c r="J168" s="10" t="s">
        <v>418</v>
      </c>
      <c r="K168" s="10">
        <f t="shared" si="124"/>
        <v>43674</v>
      </c>
      <c r="L168" s="10">
        <f t="shared" si="125"/>
        <v>3674</v>
      </c>
      <c r="M168" s="10">
        <f t="shared" si="126"/>
        <v>3673</v>
      </c>
      <c r="N168" s="10" t="s">
        <v>419</v>
      </c>
      <c r="O168" s="10" t="s">
        <v>327</v>
      </c>
      <c r="P168" s="10">
        <v>1</v>
      </c>
      <c r="Q168" s="10" t="s">
        <v>329</v>
      </c>
      <c r="R168" s="111"/>
      <c r="S168" s="29"/>
      <c r="V168" s="56"/>
      <c r="W168" s="20"/>
      <c r="X168" s="20"/>
      <c r="Y168" s="20"/>
      <c r="AA168" s="56"/>
      <c r="AB168" s="56"/>
    </row>
    <row r="169" spans="2:28" ht="15.6" x14ac:dyDescent="0.3">
      <c r="B169" s="10" t="s">
        <v>752</v>
      </c>
      <c r="C169" s="10" t="s">
        <v>321</v>
      </c>
      <c r="D169" s="10">
        <v>2</v>
      </c>
      <c r="E169" s="10">
        <f t="shared" si="123"/>
        <v>1</v>
      </c>
      <c r="F169" s="10">
        <v>20</v>
      </c>
      <c r="G169" s="10">
        <v>1000</v>
      </c>
      <c r="H169" s="10">
        <v>1</v>
      </c>
      <c r="I169" s="10">
        <v>1</v>
      </c>
      <c r="J169" s="10" t="s">
        <v>418</v>
      </c>
      <c r="K169" s="10">
        <f t="shared" si="124"/>
        <v>43675</v>
      </c>
      <c r="L169" s="10">
        <f t="shared" si="125"/>
        <v>3675</v>
      </c>
      <c r="M169" s="10">
        <f t="shared" si="126"/>
        <v>3674</v>
      </c>
      <c r="N169" s="10" t="s">
        <v>419</v>
      </c>
      <c r="O169" s="10" t="s">
        <v>327</v>
      </c>
      <c r="P169" s="10">
        <v>60</v>
      </c>
      <c r="Q169" s="10" t="s">
        <v>797</v>
      </c>
      <c r="R169" s="111"/>
      <c r="S169" s="29"/>
      <c r="V169" s="56"/>
      <c r="AA169" s="56"/>
      <c r="AB169" s="56"/>
    </row>
    <row r="170" spans="2:28" ht="62.4" x14ac:dyDescent="0.3">
      <c r="B170" s="10" t="s">
        <v>753</v>
      </c>
      <c r="C170" s="10" t="s">
        <v>359</v>
      </c>
      <c r="D170" s="10">
        <v>2</v>
      </c>
      <c r="E170" s="10">
        <f t="shared" si="123"/>
        <v>1</v>
      </c>
      <c r="F170" s="10">
        <v>1</v>
      </c>
      <c r="G170" s="10">
        <v>15</v>
      </c>
      <c r="H170" s="10">
        <v>1</v>
      </c>
      <c r="I170" s="10">
        <v>1</v>
      </c>
      <c r="J170" s="10" t="s">
        <v>418</v>
      </c>
      <c r="K170" s="10">
        <f t="shared" si="124"/>
        <v>43676</v>
      </c>
      <c r="L170" s="10">
        <f t="shared" si="125"/>
        <v>3676</v>
      </c>
      <c r="M170" s="10">
        <f t="shared" si="126"/>
        <v>3675</v>
      </c>
      <c r="N170" s="10" t="s">
        <v>419</v>
      </c>
      <c r="O170" s="10" t="s">
        <v>327</v>
      </c>
      <c r="P170" s="10">
        <v>3</v>
      </c>
      <c r="Q170" s="10"/>
      <c r="R170" s="222" t="s">
        <v>754</v>
      </c>
      <c r="V170" s="11"/>
      <c r="W170" s="15"/>
      <c r="X170" s="17"/>
      <c r="Y170" s="15"/>
    </row>
    <row r="171" spans="2:28" ht="15.6" x14ac:dyDescent="0.3">
      <c r="B171" s="10" t="s">
        <v>770</v>
      </c>
      <c r="C171" s="10" t="s">
        <v>321</v>
      </c>
      <c r="D171" s="10">
        <v>2</v>
      </c>
      <c r="E171" s="10">
        <f t="shared" si="123"/>
        <v>1</v>
      </c>
      <c r="F171" s="10">
        <v>0</v>
      </c>
      <c r="G171" s="10">
        <v>60000</v>
      </c>
      <c r="H171" s="10">
        <v>1</v>
      </c>
      <c r="I171" s="64" t="s">
        <v>386</v>
      </c>
      <c r="J171" s="10" t="s">
        <v>418</v>
      </c>
      <c r="K171" s="10">
        <f t="shared" si="124"/>
        <v>43677</v>
      </c>
      <c r="L171" s="10">
        <f t="shared" si="125"/>
        <v>3677</v>
      </c>
      <c r="M171" s="10">
        <f t="shared" si="126"/>
        <v>3676</v>
      </c>
      <c r="N171" s="10" t="s">
        <v>419</v>
      </c>
      <c r="O171" s="10" t="s">
        <v>327</v>
      </c>
      <c r="P171" s="10">
        <v>0</v>
      </c>
      <c r="Q171" s="10" t="s">
        <v>760</v>
      </c>
      <c r="R171" s="111"/>
      <c r="S171" s="29"/>
      <c r="AA171" s="56"/>
      <c r="AB171" s="56"/>
    </row>
    <row r="172" spans="2:28" ht="15.6" x14ac:dyDescent="0.3">
      <c r="B172" s="10" t="s">
        <v>320</v>
      </c>
      <c r="C172" s="10" t="s">
        <v>321</v>
      </c>
      <c r="D172" s="10">
        <v>2</v>
      </c>
      <c r="E172" s="10">
        <f t="shared" si="123"/>
        <v>1</v>
      </c>
      <c r="F172" s="10">
        <v>0</v>
      </c>
      <c r="G172" s="10">
        <v>0</v>
      </c>
      <c r="H172" s="10">
        <v>0</v>
      </c>
      <c r="I172" s="10">
        <v>0</v>
      </c>
      <c r="J172" s="10" t="s">
        <v>418</v>
      </c>
      <c r="K172" s="10">
        <f t="shared" si="124"/>
        <v>43678</v>
      </c>
      <c r="L172" s="10">
        <f t="shared" si="125"/>
        <v>3678</v>
      </c>
      <c r="M172" s="10">
        <f t="shared" si="126"/>
        <v>3677</v>
      </c>
      <c r="N172" s="10" t="s">
        <v>419</v>
      </c>
      <c r="O172" s="10" t="s">
        <v>324</v>
      </c>
      <c r="P172" s="10">
        <v>0</v>
      </c>
      <c r="Q172" s="10"/>
      <c r="R172" s="111"/>
      <c r="S172" s="29"/>
      <c r="AA172" s="56"/>
      <c r="AB172" s="56"/>
    </row>
    <row r="173" spans="2:28" x14ac:dyDescent="0.3">
      <c r="B173" s="470" t="s">
        <v>798</v>
      </c>
      <c r="C173" s="471"/>
      <c r="D173" s="471"/>
      <c r="E173" s="471">
        <f t="shared" si="123"/>
        <v>0</v>
      </c>
      <c r="F173" s="471">
        <v>0</v>
      </c>
      <c r="G173" s="471">
        <v>0</v>
      </c>
      <c r="H173" s="471">
        <v>0</v>
      </c>
      <c r="I173" s="471">
        <v>1</v>
      </c>
      <c r="J173" s="471" t="s">
        <v>418</v>
      </c>
      <c r="K173" s="471" t="e">
        <f>#REF!+#REF!</f>
        <v>#REF!</v>
      </c>
      <c r="L173" s="471"/>
      <c r="M173" s="471"/>
      <c r="N173" s="471" t="s">
        <v>323</v>
      </c>
      <c r="O173" s="471"/>
      <c r="P173" s="471"/>
      <c r="Q173" s="471"/>
      <c r="R173" s="472"/>
    </row>
    <row r="174" spans="2:28" ht="62.4" x14ac:dyDescent="0.3">
      <c r="B174" s="10" t="s">
        <v>748</v>
      </c>
      <c r="C174" s="10" t="s">
        <v>321</v>
      </c>
      <c r="D174" s="10">
        <v>2</v>
      </c>
      <c r="E174" s="10">
        <f t="shared" si="123"/>
        <v>1</v>
      </c>
      <c r="F174" s="10">
        <v>0</v>
      </c>
      <c r="G174" s="10">
        <v>3</v>
      </c>
      <c r="H174" s="10">
        <v>1</v>
      </c>
      <c r="I174" s="10">
        <v>1</v>
      </c>
      <c r="J174" s="10" t="s">
        <v>418</v>
      </c>
      <c r="K174" s="10">
        <f>K172+E172</f>
        <v>43679</v>
      </c>
      <c r="L174" s="10">
        <f>K174-40000</f>
        <v>3679</v>
      </c>
      <c r="M174" s="10">
        <f>L174-1</f>
        <v>3678</v>
      </c>
      <c r="N174" s="10" t="s">
        <v>419</v>
      </c>
      <c r="O174" s="10" t="s">
        <v>327</v>
      </c>
      <c r="P174" s="10">
        <v>0</v>
      </c>
      <c r="Q174" s="10"/>
      <c r="R174" s="110" t="s">
        <v>749</v>
      </c>
      <c r="S174" s="29"/>
      <c r="V174" s="56"/>
      <c r="W174" s="18"/>
      <c r="X174" s="18"/>
      <c r="Y174" s="18"/>
      <c r="AA174" s="56"/>
      <c r="AB174" s="56"/>
    </row>
    <row r="175" spans="2:28" ht="15.6" x14ac:dyDescent="0.3">
      <c r="B175" s="10" t="s">
        <v>768</v>
      </c>
      <c r="C175" s="10" t="s">
        <v>321</v>
      </c>
      <c r="D175" s="10">
        <v>2</v>
      </c>
      <c r="E175" s="10">
        <f t="shared" si="123"/>
        <v>1</v>
      </c>
      <c r="F175" s="10">
        <v>20</v>
      </c>
      <c r="G175" s="10">
        <v>1000</v>
      </c>
      <c r="H175" s="10">
        <v>1</v>
      </c>
      <c r="I175" s="10">
        <v>1</v>
      </c>
      <c r="J175" s="10" t="s">
        <v>418</v>
      </c>
      <c r="K175" s="10">
        <f t="shared" ref="K175:K180" si="127">K174+E174</f>
        <v>43680</v>
      </c>
      <c r="L175" s="10">
        <f t="shared" ref="L175:L180" si="128">K175-40000</f>
        <v>3680</v>
      </c>
      <c r="M175" s="10">
        <f t="shared" ref="M175:M180" si="129">L175-1</f>
        <v>3679</v>
      </c>
      <c r="N175" s="10" t="s">
        <v>419</v>
      </c>
      <c r="O175" s="10" t="s">
        <v>327</v>
      </c>
      <c r="P175" s="10">
        <v>110</v>
      </c>
      <c r="Q175" s="10" t="s">
        <v>797</v>
      </c>
      <c r="R175" s="111"/>
      <c r="S175" s="29"/>
      <c r="V175" s="56"/>
      <c r="W175" s="19"/>
      <c r="X175" s="19"/>
      <c r="Y175" s="19"/>
      <c r="AA175" s="56"/>
      <c r="AB175" s="56"/>
    </row>
    <row r="176" spans="2:28" ht="15.6" x14ac:dyDescent="0.3">
      <c r="B176" s="10" t="s">
        <v>769</v>
      </c>
      <c r="C176" s="10" t="s">
        <v>321</v>
      </c>
      <c r="D176" s="10">
        <v>2</v>
      </c>
      <c r="E176" s="10">
        <f t="shared" si="123"/>
        <v>1</v>
      </c>
      <c r="F176" s="10">
        <v>1</v>
      </c>
      <c r="G176" s="10">
        <v>60000</v>
      </c>
      <c r="H176" s="10">
        <v>1</v>
      </c>
      <c r="I176" s="64" t="s">
        <v>386</v>
      </c>
      <c r="J176" s="10" t="s">
        <v>418</v>
      </c>
      <c r="K176" s="10">
        <f t="shared" si="127"/>
        <v>43681</v>
      </c>
      <c r="L176" s="10">
        <f t="shared" si="128"/>
        <v>3681</v>
      </c>
      <c r="M176" s="10">
        <f t="shared" si="129"/>
        <v>3680</v>
      </c>
      <c r="N176" s="10" t="s">
        <v>419</v>
      </c>
      <c r="O176" s="10" t="s">
        <v>327</v>
      </c>
      <c r="P176" s="10">
        <v>1</v>
      </c>
      <c r="Q176" s="10" t="s">
        <v>329</v>
      </c>
      <c r="R176" s="111"/>
      <c r="S176" s="29"/>
      <c r="V176" s="56"/>
      <c r="W176" s="20"/>
      <c r="X176" s="20"/>
      <c r="Y176" s="20"/>
      <c r="AA176" s="56"/>
      <c r="AB176" s="56"/>
    </row>
    <row r="177" spans="2:28" ht="15.6" x14ac:dyDescent="0.3">
      <c r="B177" s="10" t="s">
        <v>752</v>
      </c>
      <c r="C177" s="10" t="s">
        <v>321</v>
      </c>
      <c r="D177" s="10">
        <v>2</v>
      </c>
      <c r="E177" s="10">
        <f t="shared" si="123"/>
        <v>1</v>
      </c>
      <c r="F177" s="10">
        <v>20</v>
      </c>
      <c r="G177" s="10">
        <v>1000</v>
      </c>
      <c r="H177" s="10">
        <v>1</v>
      </c>
      <c r="I177" s="10">
        <v>1</v>
      </c>
      <c r="J177" s="10" t="s">
        <v>418</v>
      </c>
      <c r="K177" s="10">
        <f t="shared" si="127"/>
        <v>43682</v>
      </c>
      <c r="L177" s="10">
        <f t="shared" si="128"/>
        <v>3682</v>
      </c>
      <c r="M177" s="10">
        <f t="shared" si="129"/>
        <v>3681</v>
      </c>
      <c r="N177" s="10" t="s">
        <v>419</v>
      </c>
      <c r="O177" s="10" t="s">
        <v>327</v>
      </c>
      <c r="P177" s="10">
        <v>110</v>
      </c>
      <c r="Q177" s="10" t="s">
        <v>797</v>
      </c>
      <c r="R177" s="111"/>
      <c r="S177" s="29"/>
      <c r="V177" s="56"/>
      <c r="AA177" s="56"/>
      <c r="AB177" s="56"/>
    </row>
    <row r="178" spans="2:28" ht="62.4" x14ac:dyDescent="0.3">
      <c r="B178" s="10" t="s">
        <v>753</v>
      </c>
      <c r="C178" s="10" t="s">
        <v>359</v>
      </c>
      <c r="D178" s="10">
        <v>2</v>
      </c>
      <c r="E178" s="10">
        <f t="shared" si="123"/>
        <v>1</v>
      </c>
      <c r="F178" s="10">
        <v>1</v>
      </c>
      <c r="G178" s="10">
        <v>15</v>
      </c>
      <c r="H178" s="10">
        <v>1</v>
      </c>
      <c r="I178" s="10">
        <v>1</v>
      </c>
      <c r="J178" s="10" t="s">
        <v>418</v>
      </c>
      <c r="K178" s="10">
        <f t="shared" si="127"/>
        <v>43683</v>
      </c>
      <c r="L178" s="10">
        <f t="shared" si="128"/>
        <v>3683</v>
      </c>
      <c r="M178" s="10">
        <f t="shared" si="129"/>
        <v>3682</v>
      </c>
      <c r="N178" s="10" t="s">
        <v>419</v>
      </c>
      <c r="O178" s="10" t="s">
        <v>327</v>
      </c>
      <c r="P178" s="10">
        <v>3</v>
      </c>
      <c r="Q178" s="10"/>
      <c r="R178" s="222" t="s">
        <v>754</v>
      </c>
      <c r="V178" s="11"/>
      <c r="W178" s="15"/>
      <c r="X178" s="17"/>
      <c r="Y178" s="15"/>
    </row>
    <row r="179" spans="2:28" ht="15.6" x14ac:dyDescent="0.3">
      <c r="B179" s="10" t="s">
        <v>770</v>
      </c>
      <c r="C179" s="10" t="s">
        <v>321</v>
      </c>
      <c r="D179" s="10">
        <v>2</v>
      </c>
      <c r="E179" s="10">
        <f t="shared" si="123"/>
        <v>1</v>
      </c>
      <c r="F179" s="10">
        <v>0</v>
      </c>
      <c r="G179" s="10">
        <v>60000</v>
      </c>
      <c r="H179" s="10">
        <v>1</v>
      </c>
      <c r="I179" s="64" t="s">
        <v>386</v>
      </c>
      <c r="J179" s="10" t="s">
        <v>418</v>
      </c>
      <c r="K179" s="10">
        <f t="shared" si="127"/>
        <v>43684</v>
      </c>
      <c r="L179" s="10">
        <f t="shared" si="128"/>
        <v>3684</v>
      </c>
      <c r="M179" s="10">
        <f t="shared" si="129"/>
        <v>3683</v>
      </c>
      <c r="N179" s="10" t="s">
        <v>419</v>
      </c>
      <c r="O179" s="10" t="s">
        <v>327</v>
      </c>
      <c r="P179" s="10">
        <v>0</v>
      </c>
      <c r="Q179" s="10" t="s">
        <v>760</v>
      </c>
      <c r="R179" s="111"/>
      <c r="S179" s="29"/>
      <c r="AA179" s="56"/>
      <c r="AB179" s="56"/>
    </row>
    <row r="180" spans="2:28" ht="15.6" x14ac:dyDescent="0.3">
      <c r="B180" s="10" t="s">
        <v>320</v>
      </c>
      <c r="C180" s="10" t="s">
        <v>321</v>
      </c>
      <c r="D180" s="10">
        <v>2</v>
      </c>
      <c r="E180" s="10">
        <f t="shared" si="123"/>
        <v>1</v>
      </c>
      <c r="F180" s="10">
        <v>0</v>
      </c>
      <c r="G180" s="10">
        <v>0</v>
      </c>
      <c r="H180" s="10">
        <v>0</v>
      </c>
      <c r="I180" s="10">
        <v>0</v>
      </c>
      <c r="J180" s="10" t="s">
        <v>418</v>
      </c>
      <c r="K180" s="10">
        <f t="shared" si="127"/>
        <v>43685</v>
      </c>
      <c r="L180" s="10">
        <f t="shared" si="128"/>
        <v>3685</v>
      </c>
      <c r="M180" s="10">
        <f t="shared" si="129"/>
        <v>3684</v>
      </c>
      <c r="N180" s="10" t="s">
        <v>419</v>
      </c>
      <c r="O180" s="10" t="s">
        <v>324</v>
      </c>
      <c r="P180" s="10">
        <v>0</v>
      </c>
      <c r="Q180" s="10"/>
      <c r="R180" s="111"/>
      <c r="S180" s="29"/>
      <c r="AA180" s="56"/>
      <c r="AB180" s="56"/>
    </row>
    <row r="181" spans="2:28" x14ac:dyDescent="0.3">
      <c r="B181" s="470" t="s">
        <v>799</v>
      </c>
      <c r="C181" s="471"/>
      <c r="D181" s="471"/>
      <c r="E181" s="471">
        <f t="shared" ref="E181:E188" si="130">D181/2</f>
        <v>0</v>
      </c>
      <c r="F181" s="471">
        <v>0</v>
      </c>
      <c r="G181" s="471">
        <v>0</v>
      </c>
      <c r="H181" s="471">
        <v>0</v>
      </c>
      <c r="I181" s="471">
        <v>1</v>
      </c>
      <c r="J181" s="471" t="s">
        <v>418</v>
      </c>
      <c r="K181" s="471" t="e">
        <f>#REF!+#REF!</f>
        <v>#REF!</v>
      </c>
      <c r="L181" s="471"/>
      <c r="M181" s="471"/>
      <c r="N181" s="471" t="s">
        <v>323</v>
      </c>
      <c r="O181" s="471"/>
      <c r="P181" s="471"/>
      <c r="Q181" s="471"/>
      <c r="R181" s="472"/>
    </row>
    <row r="182" spans="2:28" ht="62.4" x14ac:dyDescent="0.3">
      <c r="B182" s="10" t="s">
        <v>748</v>
      </c>
      <c r="C182" s="10" t="s">
        <v>321</v>
      </c>
      <c r="D182" s="10">
        <v>2</v>
      </c>
      <c r="E182" s="10">
        <f t="shared" si="130"/>
        <v>1</v>
      </c>
      <c r="F182" s="10">
        <v>0</v>
      </c>
      <c r="G182" s="10">
        <v>3</v>
      </c>
      <c r="H182" s="10">
        <v>1</v>
      </c>
      <c r="I182" s="10">
        <v>1</v>
      </c>
      <c r="J182" s="10" t="s">
        <v>418</v>
      </c>
      <c r="K182" s="10">
        <f>K180+E180</f>
        <v>43686</v>
      </c>
      <c r="L182" s="10">
        <f>K182-40000</f>
        <v>3686</v>
      </c>
      <c r="M182" s="10">
        <f>L182-1</f>
        <v>3685</v>
      </c>
      <c r="N182" s="10" t="s">
        <v>419</v>
      </c>
      <c r="O182" s="10" t="s">
        <v>327</v>
      </c>
      <c r="P182" s="10">
        <v>0</v>
      </c>
      <c r="Q182" s="10"/>
      <c r="R182" s="110" t="s">
        <v>749</v>
      </c>
      <c r="S182" s="29"/>
      <c r="V182" s="56"/>
      <c r="W182" s="18"/>
      <c r="X182" s="18"/>
      <c r="Y182" s="18"/>
      <c r="AA182" s="56"/>
      <c r="AB182" s="56"/>
    </row>
    <row r="183" spans="2:28" ht="15.6" x14ac:dyDescent="0.3">
      <c r="B183" s="10" t="s">
        <v>768</v>
      </c>
      <c r="C183" s="10" t="s">
        <v>321</v>
      </c>
      <c r="D183" s="10">
        <v>2</v>
      </c>
      <c r="E183" s="10">
        <f t="shared" si="130"/>
        <v>1</v>
      </c>
      <c r="F183" s="10">
        <v>40</v>
      </c>
      <c r="G183" s="10">
        <v>100</v>
      </c>
      <c r="H183" s="10">
        <v>1</v>
      </c>
      <c r="I183" s="10" t="s">
        <v>403</v>
      </c>
      <c r="J183" s="10" t="s">
        <v>418</v>
      </c>
      <c r="K183" s="10">
        <f t="shared" ref="K183:K188" si="131">K182+E182</f>
        <v>43687</v>
      </c>
      <c r="L183" s="10">
        <f t="shared" ref="L183:L188" si="132">K183-40000</f>
        <v>3687</v>
      </c>
      <c r="M183" s="10">
        <f t="shared" ref="M183:M188" si="133">L183-1</f>
        <v>3686</v>
      </c>
      <c r="N183" s="10" t="s">
        <v>419</v>
      </c>
      <c r="O183" s="10" t="s">
        <v>327</v>
      </c>
      <c r="P183" s="10">
        <v>60</v>
      </c>
      <c r="Q183" s="10" t="s">
        <v>800</v>
      </c>
      <c r="R183" s="111"/>
      <c r="S183" s="29"/>
      <c r="V183" s="56"/>
      <c r="W183" s="19"/>
      <c r="X183" s="19"/>
      <c r="Y183" s="19"/>
      <c r="AA183" s="56"/>
      <c r="AB183" s="56"/>
    </row>
    <row r="184" spans="2:28" ht="15.6" x14ac:dyDescent="0.3">
      <c r="B184" s="10" t="s">
        <v>769</v>
      </c>
      <c r="C184" s="10" t="s">
        <v>321</v>
      </c>
      <c r="D184" s="10">
        <v>2</v>
      </c>
      <c r="E184" s="10">
        <f t="shared" si="130"/>
        <v>1</v>
      </c>
      <c r="F184" s="10">
        <v>1</v>
      </c>
      <c r="G184" s="10">
        <v>60000</v>
      </c>
      <c r="H184" s="10">
        <v>1</v>
      </c>
      <c r="I184" s="64" t="s">
        <v>386</v>
      </c>
      <c r="J184" s="10" t="s">
        <v>418</v>
      </c>
      <c r="K184" s="10">
        <f t="shared" si="131"/>
        <v>43688</v>
      </c>
      <c r="L184" s="10">
        <f t="shared" si="132"/>
        <v>3688</v>
      </c>
      <c r="M184" s="10">
        <f t="shared" si="133"/>
        <v>3687</v>
      </c>
      <c r="N184" s="10" t="s">
        <v>419</v>
      </c>
      <c r="O184" s="10" t="s">
        <v>327</v>
      </c>
      <c r="P184" s="10">
        <v>1</v>
      </c>
      <c r="Q184" s="10" t="s">
        <v>329</v>
      </c>
      <c r="R184" s="111"/>
      <c r="S184" s="29"/>
      <c r="V184" s="56"/>
      <c r="W184" s="20"/>
      <c r="X184" s="20"/>
      <c r="Y184" s="20"/>
      <c r="AA184" s="56"/>
      <c r="AB184" s="56"/>
    </row>
    <row r="185" spans="2:28" ht="15.6" x14ac:dyDescent="0.3">
      <c r="B185" s="10" t="s">
        <v>752</v>
      </c>
      <c r="C185" s="10" t="s">
        <v>321</v>
      </c>
      <c r="D185" s="10">
        <v>2</v>
      </c>
      <c r="E185" s="10">
        <f t="shared" si="130"/>
        <v>1</v>
      </c>
      <c r="F185" s="10">
        <v>40</v>
      </c>
      <c r="G185" s="10">
        <v>100</v>
      </c>
      <c r="H185" s="10">
        <v>1</v>
      </c>
      <c r="I185" s="10" t="s">
        <v>403</v>
      </c>
      <c r="J185" s="10" t="s">
        <v>418</v>
      </c>
      <c r="K185" s="10">
        <f t="shared" si="131"/>
        <v>43689</v>
      </c>
      <c r="L185" s="10">
        <f t="shared" si="132"/>
        <v>3689</v>
      </c>
      <c r="M185" s="10">
        <f t="shared" si="133"/>
        <v>3688</v>
      </c>
      <c r="N185" s="10" t="s">
        <v>419</v>
      </c>
      <c r="O185" s="10" t="s">
        <v>327</v>
      </c>
      <c r="P185" s="10">
        <v>60</v>
      </c>
      <c r="Q185" s="10" t="s">
        <v>800</v>
      </c>
      <c r="R185" s="111"/>
      <c r="S185" s="29"/>
      <c r="V185" s="56"/>
      <c r="AA185" s="56"/>
      <c r="AB185" s="56"/>
    </row>
    <row r="186" spans="2:28" ht="62.4" x14ac:dyDescent="0.3">
      <c r="B186" s="10" t="s">
        <v>753</v>
      </c>
      <c r="C186" s="10" t="s">
        <v>359</v>
      </c>
      <c r="D186" s="10">
        <v>2</v>
      </c>
      <c r="E186" s="10">
        <f t="shared" si="130"/>
        <v>1</v>
      </c>
      <c r="F186" s="10">
        <v>1</v>
      </c>
      <c r="G186" s="10">
        <v>15</v>
      </c>
      <c r="H186" s="10">
        <v>1</v>
      </c>
      <c r="I186" s="10">
        <v>1</v>
      </c>
      <c r="J186" s="10" t="s">
        <v>418</v>
      </c>
      <c r="K186" s="10">
        <f t="shared" si="131"/>
        <v>43690</v>
      </c>
      <c r="L186" s="10">
        <f t="shared" si="132"/>
        <v>3690</v>
      </c>
      <c r="M186" s="10">
        <f t="shared" si="133"/>
        <v>3689</v>
      </c>
      <c r="N186" s="10" t="s">
        <v>419</v>
      </c>
      <c r="O186" s="10" t="s">
        <v>327</v>
      </c>
      <c r="P186" s="10">
        <v>3</v>
      </c>
      <c r="Q186" s="10"/>
      <c r="R186" s="222" t="s">
        <v>754</v>
      </c>
      <c r="V186" s="11"/>
      <c r="W186" s="15"/>
      <c r="X186" s="17"/>
      <c r="Y186" s="15"/>
    </row>
    <row r="187" spans="2:28" ht="15.6" x14ac:dyDescent="0.3">
      <c r="B187" s="10" t="s">
        <v>770</v>
      </c>
      <c r="C187" s="10" t="s">
        <v>321</v>
      </c>
      <c r="D187" s="10">
        <v>2</v>
      </c>
      <c r="E187" s="10">
        <f t="shared" si="130"/>
        <v>1</v>
      </c>
      <c r="F187" s="10">
        <v>0</v>
      </c>
      <c r="G187" s="10">
        <v>60000</v>
      </c>
      <c r="H187" s="10">
        <v>1</v>
      </c>
      <c r="I187" s="64" t="s">
        <v>386</v>
      </c>
      <c r="J187" s="10" t="s">
        <v>418</v>
      </c>
      <c r="K187" s="10">
        <f t="shared" si="131"/>
        <v>43691</v>
      </c>
      <c r="L187" s="10">
        <f t="shared" si="132"/>
        <v>3691</v>
      </c>
      <c r="M187" s="10">
        <f t="shared" si="133"/>
        <v>3690</v>
      </c>
      <c r="N187" s="10" t="s">
        <v>419</v>
      </c>
      <c r="O187" s="10" t="s">
        <v>327</v>
      </c>
      <c r="P187" s="10">
        <v>0</v>
      </c>
      <c r="Q187" s="10" t="s">
        <v>760</v>
      </c>
      <c r="R187" s="111"/>
      <c r="S187" s="29"/>
      <c r="AA187" s="56"/>
      <c r="AB187" s="56"/>
    </row>
    <row r="188" spans="2:28" ht="15.6" x14ac:dyDescent="0.3">
      <c r="B188" s="10" t="s">
        <v>320</v>
      </c>
      <c r="C188" s="10" t="s">
        <v>321</v>
      </c>
      <c r="D188" s="10">
        <v>2</v>
      </c>
      <c r="E188" s="10">
        <f t="shared" si="130"/>
        <v>1</v>
      </c>
      <c r="F188" s="10">
        <v>0</v>
      </c>
      <c r="G188" s="10">
        <v>0</v>
      </c>
      <c r="H188" s="10">
        <v>0</v>
      </c>
      <c r="I188" s="10">
        <v>0</v>
      </c>
      <c r="J188" s="10" t="s">
        <v>418</v>
      </c>
      <c r="K188" s="10">
        <f t="shared" si="131"/>
        <v>43692</v>
      </c>
      <c r="L188" s="10">
        <f t="shared" si="132"/>
        <v>3692</v>
      </c>
      <c r="M188" s="10">
        <f t="shared" si="133"/>
        <v>3691</v>
      </c>
      <c r="N188" s="10" t="s">
        <v>419</v>
      </c>
      <c r="O188" s="10" t="s">
        <v>324</v>
      </c>
      <c r="P188" s="10">
        <v>0</v>
      </c>
      <c r="Q188" s="10"/>
      <c r="R188" s="111"/>
      <c r="S188" s="29"/>
      <c r="AA188" s="56"/>
      <c r="AB188" s="56"/>
    </row>
    <row r="191" spans="2:28" ht="21" x14ac:dyDescent="0.3">
      <c r="B191" s="474" t="s">
        <v>801</v>
      </c>
      <c r="C191" s="475"/>
      <c r="D191" s="475"/>
      <c r="E191" s="475"/>
      <c r="F191" s="475"/>
      <c r="G191" s="475"/>
      <c r="H191" s="475"/>
      <c r="I191" s="475"/>
      <c r="J191" s="475"/>
      <c r="K191" s="475"/>
      <c r="L191" s="475"/>
      <c r="M191" s="475"/>
      <c r="N191" s="475"/>
      <c r="O191" s="475"/>
      <c r="P191" s="475"/>
      <c r="Q191" s="475"/>
      <c r="R191" s="476"/>
    </row>
    <row r="193" spans="2:28" s="27" customFormat="1" x14ac:dyDescent="0.3">
      <c r="B193" s="470" t="s">
        <v>802</v>
      </c>
      <c r="C193" s="471"/>
      <c r="D193" s="471"/>
      <c r="E193" s="471"/>
      <c r="F193" s="471"/>
      <c r="G193" s="471"/>
      <c r="H193" s="471"/>
      <c r="I193" s="471"/>
      <c r="J193" s="471"/>
      <c r="K193" s="471"/>
      <c r="L193" s="471"/>
      <c r="M193" s="471"/>
      <c r="N193" s="471"/>
      <c r="O193" s="471"/>
      <c r="P193" s="471"/>
      <c r="Q193" s="471"/>
      <c r="R193" s="472"/>
      <c r="V193" s="17"/>
      <c r="W193" s="17"/>
      <c r="X193" s="17"/>
      <c r="Y193" s="17"/>
    </row>
    <row r="194" spans="2:28" s="27" customFormat="1" ht="31.2" x14ac:dyDescent="0.3">
      <c r="B194" s="10" t="s">
        <v>748</v>
      </c>
      <c r="C194" s="10" t="s">
        <v>321</v>
      </c>
      <c r="D194" s="10">
        <v>2</v>
      </c>
      <c r="E194" s="10">
        <f>D194/2</f>
        <v>1</v>
      </c>
      <c r="F194" s="408">
        <v>0</v>
      </c>
      <c r="G194" s="408">
        <v>0</v>
      </c>
      <c r="H194" s="10">
        <v>1</v>
      </c>
      <c r="I194" s="10">
        <v>1</v>
      </c>
      <c r="J194" s="10" t="s">
        <v>418</v>
      </c>
      <c r="K194" s="10">
        <v>43751</v>
      </c>
      <c r="L194" s="10">
        <f>K194-40000</f>
        <v>3751</v>
      </c>
      <c r="M194" s="10">
        <f>L194-1</f>
        <v>3750</v>
      </c>
      <c r="N194" s="10" t="s">
        <v>419</v>
      </c>
      <c r="O194" s="10" t="s">
        <v>327</v>
      </c>
      <c r="P194" s="10">
        <v>0</v>
      </c>
      <c r="Q194" s="10"/>
      <c r="R194" s="110" t="s">
        <v>3850</v>
      </c>
      <c r="T194" s="56"/>
      <c r="U194" s="56"/>
      <c r="V194" s="17"/>
      <c r="W194" s="17"/>
      <c r="X194" s="17"/>
      <c r="Y194" s="17"/>
    </row>
    <row r="195" spans="2:28" s="27" customFormat="1" ht="15.6" x14ac:dyDescent="0.3">
      <c r="B195" s="10" t="s">
        <v>769</v>
      </c>
      <c r="C195" s="10" t="s">
        <v>321</v>
      </c>
      <c r="D195" s="10">
        <v>2</v>
      </c>
      <c r="E195" s="10">
        <f t="shared" ref="E195" si="134">D195/2</f>
        <v>1</v>
      </c>
      <c r="F195" s="408">
        <v>100</v>
      </c>
      <c r="G195" s="408">
        <v>100</v>
      </c>
      <c r="H195" s="10">
        <v>1</v>
      </c>
      <c r="I195" s="64" t="s">
        <v>386</v>
      </c>
      <c r="J195" s="10" t="s">
        <v>418</v>
      </c>
      <c r="K195" s="10">
        <f>K194+E194</f>
        <v>43752</v>
      </c>
      <c r="L195" s="10">
        <f t="shared" ref="L195:L200" si="135">K195-40000</f>
        <v>3752</v>
      </c>
      <c r="M195" s="10">
        <f t="shared" ref="M195:M200" si="136">L195-1</f>
        <v>3751</v>
      </c>
      <c r="N195" s="10" t="s">
        <v>419</v>
      </c>
      <c r="O195" s="10" t="s">
        <v>327</v>
      </c>
      <c r="P195" s="10">
        <v>100</v>
      </c>
      <c r="Q195" s="10" t="s">
        <v>760</v>
      </c>
      <c r="R195" s="112"/>
      <c r="T195" s="56"/>
      <c r="U195" s="56"/>
      <c r="V195" s="17"/>
      <c r="W195" s="17"/>
      <c r="X195" s="17"/>
      <c r="Y195" s="17"/>
    </row>
    <row r="196" spans="2:28" ht="62.4" x14ac:dyDescent="0.3">
      <c r="B196" s="10" t="s">
        <v>753</v>
      </c>
      <c r="C196" s="10" t="s">
        <v>359</v>
      </c>
      <c r="D196" s="10">
        <v>2</v>
      </c>
      <c r="E196" s="10">
        <f>D196/2</f>
        <v>1</v>
      </c>
      <c r="F196" s="408">
        <v>3</v>
      </c>
      <c r="G196" s="408">
        <v>3</v>
      </c>
      <c r="H196" s="10">
        <v>1</v>
      </c>
      <c r="I196" s="10">
        <v>1</v>
      </c>
      <c r="J196" s="10" t="s">
        <v>418</v>
      </c>
      <c r="K196" s="10">
        <f t="shared" ref="K196:K200" si="137">K195+E195</f>
        <v>43753</v>
      </c>
      <c r="L196" s="10">
        <f t="shared" si="135"/>
        <v>3753</v>
      </c>
      <c r="M196" s="10">
        <f t="shared" si="136"/>
        <v>3752</v>
      </c>
      <c r="N196" s="10" t="s">
        <v>419</v>
      </c>
      <c r="O196" s="10" t="s">
        <v>327</v>
      </c>
      <c r="P196" s="10">
        <v>3</v>
      </c>
      <c r="Q196" s="10"/>
      <c r="R196" s="222" t="s">
        <v>754</v>
      </c>
      <c r="S196" s="29"/>
      <c r="AA196" s="56"/>
      <c r="AB196" s="56"/>
    </row>
    <row r="197" spans="2:28" ht="15.6" x14ac:dyDescent="0.3">
      <c r="B197" s="10" t="s">
        <v>770</v>
      </c>
      <c r="C197" s="10" t="s">
        <v>321</v>
      </c>
      <c r="D197" s="10">
        <v>2</v>
      </c>
      <c r="E197" s="10">
        <f t="shared" ref="E197:E200" si="138">D197/2</f>
        <v>1</v>
      </c>
      <c r="F197" s="408">
        <v>0</v>
      </c>
      <c r="G197" s="408">
        <v>0</v>
      </c>
      <c r="H197" s="10">
        <v>1</v>
      </c>
      <c r="I197" s="64" t="s">
        <v>386</v>
      </c>
      <c r="J197" s="10" t="s">
        <v>418</v>
      </c>
      <c r="K197" s="10">
        <f t="shared" si="137"/>
        <v>43754</v>
      </c>
      <c r="L197" s="10">
        <f t="shared" ref="L197:L198" si="139">K197-40000</f>
        <v>3754</v>
      </c>
      <c r="M197" s="10">
        <f t="shared" ref="M197:M198" si="140">L197-1</f>
        <v>3753</v>
      </c>
      <c r="N197" s="10" t="s">
        <v>419</v>
      </c>
      <c r="O197" s="10" t="s">
        <v>327</v>
      </c>
      <c r="P197" s="10">
        <v>0</v>
      </c>
      <c r="Q197" s="10" t="s">
        <v>760</v>
      </c>
      <c r="R197" s="110"/>
      <c r="S197" s="29"/>
      <c r="AA197" s="56"/>
      <c r="AB197" s="56"/>
    </row>
    <row r="198" spans="2:28" ht="15.6" x14ac:dyDescent="0.3">
      <c r="B198" s="10" t="s">
        <v>803</v>
      </c>
      <c r="C198" s="10" t="s">
        <v>321</v>
      </c>
      <c r="D198" s="10">
        <v>2</v>
      </c>
      <c r="E198" s="10">
        <f t="shared" si="138"/>
        <v>1</v>
      </c>
      <c r="F198" s="408">
        <v>100</v>
      </c>
      <c r="G198" s="408">
        <v>100</v>
      </c>
      <c r="H198" s="10">
        <v>1</v>
      </c>
      <c r="I198" s="10">
        <v>1</v>
      </c>
      <c r="J198" s="10" t="s">
        <v>418</v>
      </c>
      <c r="K198" s="10">
        <f t="shared" si="137"/>
        <v>43755</v>
      </c>
      <c r="L198" s="10">
        <f t="shared" si="139"/>
        <v>3755</v>
      </c>
      <c r="M198" s="10">
        <f t="shared" si="140"/>
        <v>3754</v>
      </c>
      <c r="N198" s="10" t="s">
        <v>419</v>
      </c>
      <c r="O198" s="10" t="s">
        <v>327</v>
      </c>
      <c r="P198" s="10">
        <v>100</v>
      </c>
      <c r="Q198" s="10" t="s">
        <v>381</v>
      </c>
      <c r="R198" s="110"/>
      <c r="S198" s="29"/>
      <c r="AA198" s="56"/>
      <c r="AB198" s="56"/>
    </row>
    <row r="199" spans="2:28" ht="15.6" x14ac:dyDescent="0.3">
      <c r="B199" s="10" t="s">
        <v>320</v>
      </c>
      <c r="C199" s="10" t="s">
        <v>321</v>
      </c>
      <c r="D199" s="10">
        <v>2</v>
      </c>
      <c r="E199" s="10">
        <f t="shared" si="138"/>
        <v>1</v>
      </c>
      <c r="F199" s="408">
        <v>0</v>
      </c>
      <c r="G199" s="408">
        <v>0</v>
      </c>
      <c r="H199" s="10">
        <v>0</v>
      </c>
      <c r="I199" s="10">
        <v>0</v>
      </c>
      <c r="J199" s="10" t="s">
        <v>418</v>
      </c>
      <c r="K199" s="10">
        <f t="shared" si="137"/>
        <v>43756</v>
      </c>
      <c r="L199" s="10">
        <f t="shared" ref="L199" si="141">K199-40000</f>
        <v>3756</v>
      </c>
      <c r="M199" s="10">
        <f t="shared" ref="M199" si="142">L199-1</f>
        <v>3755</v>
      </c>
      <c r="N199" s="10" t="s">
        <v>419</v>
      </c>
      <c r="O199" s="10" t="s">
        <v>327</v>
      </c>
      <c r="P199" s="10">
        <v>0</v>
      </c>
      <c r="Q199" s="10"/>
      <c r="R199" s="110"/>
      <c r="S199" s="29"/>
      <c r="AA199" s="56"/>
      <c r="AB199" s="56"/>
    </row>
    <row r="200" spans="2:28" ht="15.6" x14ac:dyDescent="0.3">
      <c r="B200" s="10" t="s">
        <v>320</v>
      </c>
      <c r="C200" s="10" t="s">
        <v>321</v>
      </c>
      <c r="D200" s="10">
        <v>2</v>
      </c>
      <c r="E200" s="10">
        <f t="shared" si="138"/>
        <v>1</v>
      </c>
      <c r="F200" s="408">
        <v>0</v>
      </c>
      <c r="G200" s="408">
        <v>0</v>
      </c>
      <c r="H200" s="10">
        <v>0</v>
      </c>
      <c r="I200" s="10">
        <v>0</v>
      </c>
      <c r="J200" s="10" t="s">
        <v>418</v>
      </c>
      <c r="K200" s="10">
        <f t="shared" si="137"/>
        <v>43757</v>
      </c>
      <c r="L200" s="10">
        <f t="shared" si="135"/>
        <v>3757</v>
      </c>
      <c r="M200" s="10">
        <f t="shared" si="136"/>
        <v>3756</v>
      </c>
      <c r="N200" s="10" t="s">
        <v>419</v>
      </c>
      <c r="O200" s="10" t="s">
        <v>327</v>
      </c>
      <c r="P200" s="10">
        <v>0</v>
      </c>
      <c r="Q200" s="10"/>
      <c r="R200" s="111"/>
      <c r="S200" s="29"/>
      <c r="AA200" s="56"/>
      <c r="AB200" s="56"/>
    </row>
    <row r="201" spans="2:28" s="27" customFormat="1" x14ac:dyDescent="0.3">
      <c r="B201" s="470" t="s">
        <v>804</v>
      </c>
      <c r="C201" s="471"/>
      <c r="D201" s="471"/>
      <c r="E201" s="471"/>
      <c r="F201" s="471"/>
      <c r="G201" s="471"/>
      <c r="H201" s="471"/>
      <c r="I201" s="471"/>
      <c r="J201" s="471"/>
      <c r="K201" s="471"/>
      <c r="L201" s="471"/>
      <c r="M201" s="471"/>
      <c r="N201" s="471"/>
      <c r="O201" s="471"/>
      <c r="P201" s="471"/>
      <c r="Q201" s="471"/>
      <c r="R201" s="472"/>
    </row>
    <row r="202" spans="2:28" s="27" customFormat="1" ht="46.8" x14ac:dyDescent="0.3">
      <c r="B202" s="10" t="s">
        <v>748</v>
      </c>
      <c r="C202" s="10" t="s">
        <v>321</v>
      </c>
      <c r="D202" s="67">
        <v>2</v>
      </c>
      <c r="E202" s="67">
        <f t="shared" ref="E202:E210" si="143">D202/2</f>
        <v>1</v>
      </c>
      <c r="F202" s="67">
        <v>0</v>
      </c>
      <c r="G202" s="67">
        <v>2</v>
      </c>
      <c r="H202" s="67">
        <v>1</v>
      </c>
      <c r="I202" s="67">
        <v>1</v>
      </c>
      <c r="J202" s="67" t="s">
        <v>418</v>
      </c>
      <c r="K202" s="67">
        <f>K200+E200</f>
        <v>43758</v>
      </c>
      <c r="L202" s="10">
        <f>K202-40000</f>
        <v>3758</v>
      </c>
      <c r="M202" s="10">
        <f>L202-1</f>
        <v>3757</v>
      </c>
      <c r="N202" s="10" t="s">
        <v>419</v>
      </c>
      <c r="O202" s="10" t="s">
        <v>327</v>
      </c>
      <c r="P202" s="67">
        <v>0</v>
      </c>
      <c r="Q202" s="67"/>
      <c r="R202" s="110" t="s">
        <v>805</v>
      </c>
    </row>
    <row r="203" spans="2:28" s="27" customFormat="1" ht="15.6" x14ac:dyDescent="0.3">
      <c r="B203" s="10" t="s">
        <v>806</v>
      </c>
      <c r="C203" s="10" t="s">
        <v>321</v>
      </c>
      <c r="D203" s="10">
        <v>2</v>
      </c>
      <c r="E203" s="10">
        <f t="shared" si="143"/>
        <v>1</v>
      </c>
      <c r="F203" s="10">
        <v>20</v>
      </c>
      <c r="G203" s="10">
        <v>90</v>
      </c>
      <c r="H203" s="10">
        <v>5</v>
      </c>
      <c r="I203" s="10">
        <v>1</v>
      </c>
      <c r="J203" s="10" t="s">
        <v>418</v>
      </c>
      <c r="K203" s="10">
        <f t="shared" ref="K203:K206" si="144">K202+E202</f>
        <v>43759</v>
      </c>
      <c r="L203" s="10">
        <f t="shared" ref="L203:L210" si="145">K203-40000</f>
        <v>3759</v>
      </c>
      <c r="M203" s="10">
        <f t="shared" ref="M203:M210" si="146">L203-1</f>
        <v>3758</v>
      </c>
      <c r="N203" s="10" t="s">
        <v>419</v>
      </c>
      <c r="O203" s="10" t="s">
        <v>327</v>
      </c>
      <c r="P203" s="10">
        <v>90</v>
      </c>
      <c r="Q203" s="10" t="s">
        <v>789</v>
      </c>
      <c r="R203" s="111"/>
    </row>
    <row r="204" spans="2:28" s="27" customFormat="1" ht="15.6" x14ac:dyDescent="0.3">
      <c r="B204" s="10" t="s">
        <v>807</v>
      </c>
      <c r="C204" s="10" t="s">
        <v>321</v>
      </c>
      <c r="D204" s="10">
        <v>2</v>
      </c>
      <c r="E204" s="10">
        <f t="shared" si="143"/>
        <v>1</v>
      </c>
      <c r="F204" s="10">
        <v>20</v>
      </c>
      <c r="G204" s="10">
        <v>95</v>
      </c>
      <c r="H204" s="10">
        <v>5</v>
      </c>
      <c r="I204" s="10">
        <v>1</v>
      </c>
      <c r="J204" s="10" t="s">
        <v>418</v>
      </c>
      <c r="K204" s="10">
        <f t="shared" si="144"/>
        <v>43760</v>
      </c>
      <c r="L204" s="10">
        <f t="shared" si="145"/>
        <v>3760</v>
      </c>
      <c r="M204" s="10">
        <f t="shared" si="146"/>
        <v>3759</v>
      </c>
      <c r="N204" s="10" t="s">
        <v>419</v>
      </c>
      <c r="O204" s="10" t="s">
        <v>327</v>
      </c>
      <c r="P204" s="10">
        <v>95</v>
      </c>
      <c r="Q204" s="10" t="s">
        <v>789</v>
      </c>
      <c r="R204" s="111"/>
    </row>
    <row r="205" spans="2:28" s="27" customFormat="1" ht="15.6" x14ac:dyDescent="0.3">
      <c r="B205" s="10" t="s">
        <v>808</v>
      </c>
      <c r="C205" s="10" t="s">
        <v>321</v>
      </c>
      <c r="D205" s="10">
        <v>2</v>
      </c>
      <c r="E205" s="10">
        <f t="shared" si="143"/>
        <v>1</v>
      </c>
      <c r="F205" s="10">
        <v>0</v>
      </c>
      <c r="G205" s="10">
        <v>9999</v>
      </c>
      <c r="H205" s="10">
        <v>1</v>
      </c>
      <c r="I205" s="10">
        <v>1</v>
      </c>
      <c r="J205" s="10" t="s">
        <v>418</v>
      </c>
      <c r="K205" s="10">
        <f t="shared" si="144"/>
        <v>43761</v>
      </c>
      <c r="L205" s="10">
        <f t="shared" si="145"/>
        <v>3761</v>
      </c>
      <c r="M205" s="10">
        <f t="shared" si="146"/>
        <v>3760</v>
      </c>
      <c r="N205" s="10" t="s">
        <v>419</v>
      </c>
      <c r="O205" s="10" t="s">
        <v>327</v>
      </c>
      <c r="P205" s="10">
        <v>2</v>
      </c>
      <c r="Q205" s="10" t="s">
        <v>809</v>
      </c>
      <c r="R205" s="111"/>
    </row>
    <row r="206" spans="2:28" s="27" customFormat="1" ht="15.6" x14ac:dyDescent="0.3">
      <c r="B206" s="10" t="s">
        <v>810</v>
      </c>
      <c r="C206" s="10" t="s">
        <v>321</v>
      </c>
      <c r="D206" s="10">
        <v>2</v>
      </c>
      <c r="E206" s="10">
        <f t="shared" si="143"/>
        <v>1</v>
      </c>
      <c r="F206" s="10">
        <v>0</v>
      </c>
      <c r="G206" s="10">
        <v>301</v>
      </c>
      <c r="H206" s="10">
        <v>1</v>
      </c>
      <c r="I206" s="10">
        <v>1</v>
      </c>
      <c r="J206" s="10" t="s">
        <v>418</v>
      </c>
      <c r="K206" s="10">
        <f t="shared" si="144"/>
        <v>43762</v>
      </c>
      <c r="L206" s="10">
        <f>K206-40000</f>
        <v>3762</v>
      </c>
      <c r="M206" s="10">
        <f>L206-1</f>
        <v>3761</v>
      </c>
      <c r="N206" s="10" t="s">
        <v>419</v>
      </c>
      <c r="O206" s="10" t="s">
        <v>327</v>
      </c>
      <c r="P206" s="10">
        <v>4</v>
      </c>
      <c r="Q206" s="10" t="s">
        <v>809</v>
      </c>
      <c r="R206" s="111"/>
    </row>
    <row r="207" spans="2:28" s="27" customFormat="1" ht="31.2" x14ac:dyDescent="0.3">
      <c r="B207" s="10" t="s">
        <v>811</v>
      </c>
      <c r="C207" s="10" t="s">
        <v>321</v>
      </c>
      <c r="D207" s="10">
        <v>2</v>
      </c>
      <c r="E207" s="10">
        <f t="shared" si="143"/>
        <v>1</v>
      </c>
      <c r="F207" s="10">
        <v>0</v>
      </c>
      <c r="G207" s="10">
        <v>1</v>
      </c>
      <c r="H207" s="10">
        <v>1</v>
      </c>
      <c r="I207" s="10">
        <v>1</v>
      </c>
      <c r="J207" s="10" t="s">
        <v>418</v>
      </c>
      <c r="K207" s="10">
        <f>K206+E206</f>
        <v>43763</v>
      </c>
      <c r="L207" s="10">
        <f t="shared" si="145"/>
        <v>3763</v>
      </c>
      <c r="M207" s="10">
        <f t="shared" si="146"/>
        <v>3762</v>
      </c>
      <c r="N207" s="10" t="s">
        <v>419</v>
      </c>
      <c r="O207" s="10" t="s">
        <v>327</v>
      </c>
      <c r="P207" s="10">
        <v>0</v>
      </c>
      <c r="Q207" s="10"/>
      <c r="R207" s="110" t="s">
        <v>758</v>
      </c>
    </row>
    <row r="208" spans="2:28" s="27" customFormat="1" ht="15.6" x14ac:dyDescent="0.3">
      <c r="B208" s="10" t="s">
        <v>812</v>
      </c>
      <c r="C208" s="10" t="s">
        <v>321</v>
      </c>
      <c r="D208" s="10">
        <v>2</v>
      </c>
      <c r="E208" s="10">
        <f t="shared" ref="E208" si="147">D208/2</f>
        <v>1</v>
      </c>
      <c r="F208" s="10">
        <v>0</v>
      </c>
      <c r="G208" s="10">
        <v>4</v>
      </c>
      <c r="H208" s="10">
        <v>1</v>
      </c>
      <c r="I208" s="64" t="s">
        <v>386</v>
      </c>
      <c r="J208" s="10" t="s">
        <v>418</v>
      </c>
      <c r="K208" s="10">
        <f>K207+E207</f>
        <v>43764</v>
      </c>
      <c r="L208" s="10">
        <f t="shared" ref="L208" si="148">K208-40000</f>
        <v>3764</v>
      </c>
      <c r="M208" s="10">
        <f t="shared" ref="M208" si="149">L208-1</f>
        <v>3763</v>
      </c>
      <c r="N208" s="10" t="s">
        <v>419</v>
      </c>
      <c r="O208" s="10" t="s">
        <v>327</v>
      </c>
      <c r="P208" s="10">
        <v>2</v>
      </c>
      <c r="Q208" s="10"/>
      <c r="R208" s="110"/>
    </row>
    <row r="209" spans="2:28" s="27" customFormat="1" ht="15.6" x14ac:dyDescent="0.3">
      <c r="B209" s="10" t="s">
        <v>813</v>
      </c>
      <c r="C209" s="10" t="s">
        <v>321</v>
      </c>
      <c r="D209" s="10">
        <v>2</v>
      </c>
      <c r="E209" s="10">
        <f t="shared" si="143"/>
        <v>1</v>
      </c>
      <c r="F209" s="10">
        <v>1</v>
      </c>
      <c r="G209" s="10">
        <v>9999</v>
      </c>
      <c r="H209" s="10">
        <v>1</v>
      </c>
      <c r="I209" s="10">
        <v>1</v>
      </c>
      <c r="J209" s="10" t="s">
        <v>418</v>
      </c>
      <c r="K209" s="10">
        <f>K208+E208</f>
        <v>43765</v>
      </c>
      <c r="L209" s="10">
        <f t="shared" si="145"/>
        <v>3765</v>
      </c>
      <c r="M209" s="10">
        <f t="shared" si="146"/>
        <v>3764</v>
      </c>
      <c r="N209" s="10" t="s">
        <v>419</v>
      </c>
      <c r="O209" s="10" t="s">
        <v>327</v>
      </c>
      <c r="P209" s="10">
        <v>10</v>
      </c>
      <c r="Q209" s="10"/>
      <c r="R209" s="111"/>
    </row>
    <row r="210" spans="2:28" s="27" customFormat="1" ht="15.6" x14ac:dyDescent="0.3">
      <c r="B210" s="10" t="s">
        <v>320</v>
      </c>
      <c r="C210" s="10" t="s">
        <v>321</v>
      </c>
      <c r="D210" s="10">
        <v>2</v>
      </c>
      <c r="E210" s="10">
        <f t="shared" si="143"/>
        <v>1</v>
      </c>
      <c r="F210" s="10">
        <v>0</v>
      </c>
      <c r="G210" s="10">
        <v>0</v>
      </c>
      <c r="H210" s="10">
        <v>0</v>
      </c>
      <c r="I210" s="10">
        <v>0</v>
      </c>
      <c r="J210" s="10" t="s">
        <v>418</v>
      </c>
      <c r="K210" s="10">
        <f>K209+E209</f>
        <v>43766</v>
      </c>
      <c r="L210" s="10">
        <f t="shared" si="145"/>
        <v>3766</v>
      </c>
      <c r="M210" s="10">
        <f t="shared" si="146"/>
        <v>3765</v>
      </c>
      <c r="N210" s="10" t="s">
        <v>419</v>
      </c>
      <c r="O210" s="10" t="s">
        <v>327</v>
      </c>
      <c r="P210" s="10">
        <v>0</v>
      </c>
      <c r="Q210" s="10"/>
      <c r="R210" s="111"/>
    </row>
    <row r="211" spans="2:28" x14ac:dyDescent="0.3">
      <c r="B211" s="470" t="s">
        <v>814</v>
      </c>
      <c r="C211" s="471"/>
      <c r="D211" s="471"/>
      <c r="E211" s="471"/>
      <c r="F211" s="471"/>
      <c r="G211" s="471"/>
      <c r="H211" s="471"/>
      <c r="I211" s="471"/>
      <c r="J211" s="471"/>
      <c r="K211" s="471"/>
      <c r="L211" s="471"/>
      <c r="M211" s="471"/>
      <c r="N211" s="471"/>
      <c r="O211" s="471"/>
      <c r="P211" s="471"/>
      <c r="Q211" s="471"/>
      <c r="R211" s="472"/>
      <c r="S211" s="56"/>
      <c r="T211" s="26"/>
      <c r="U211" s="26"/>
      <c r="V211" s="26"/>
      <c r="W211" s="26"/>
      <c r="X211" s="26"/>
      <c r="Y211" s="26"/>
      <c r="Z211" s="26"/>
    </row>
    <row r="212" spans="2:28" s="56" customFormat="1" ht="31.2" x14ac:dyDescent="0.3">
      <c r="B212" s="10" t="s">
        <v>748</v>
      </c>
      <c r="C212" s="10" t="s">
        <v>321</v>
      </c>
      <c r="D212" s="67">
        <v>2</v>
      </c>
      <c r="E212" s="67">
        <f t="shared" ref="E212:E219" si="150">D212/2</f>
        <v>1</v>
      </c>
      <c r="F212" s="67">
        <v>0</v>
      </c>
      <c r="G212" s="67">
        <v>1</v>
      </c>
      <c r="H212" s="67">
        <v>1</v>
      </c>
      <c r="I212" s="67">
        <v>1</v>
      </c>
      <c r="J212" s="67" t="s">
        <v>418</v>
      </c>
      <c r="K212" s="67">
        <f>K210+E210</f>
        <v>43767</v>
      </c>
      <c r="L212" s="10">
        <f>K212-40000</f>
        <v>3767</v>
      </c>
      <c r="M212" s="10">
        <f>L212-1</f>
        <v>3766</v>
      </c>
      <c r="N212" s="10" t="s">
        <v>419</v>
      </c>
      <c r="O212" s="10" t="s">
        <v>327</v>
      </c>
      <c r="P212" s="67">
        <v>1</v>
      </c>
      <c r="Q212" s="67"/>
      <c r="R212" s="110" t="s">
        <v>758</v>
      </c>
    </row>
    <row r="213" spans="2:28" s="56" customFormat="1" ht="15.6" x14ac:dyDescent="0.3">
      <c r="B213" s="10" t="s">
        <v>815</v>
      </c>
      <c r="C213" s="10" t="s">
        <v>321</v>
      </c>
      <c r="D213" s="10">
        <v>2</v>
      </c>
      <c r="E213" s="10">
        <f t="shared" si="150"/>
        <v>1</v>
      </c>
      <c r="F213" s="10">
        <v>1</v>
      </c>
      <c r="G213" s="10">
        <v>30</v>
      </c>
      <c r="H213" s="10">
        <v>1</v>
      </c>
      <c r="I213" s="10">
        <v>1</v>
      </c>
      <c r="J213" s="10" t="s">
        <v>418</v>
      </c>
      <c r="K213" s="10">
        <f>K212+E212</f>
        <v>43768</v>
      </c>
      <c r="L213" s="10">
        <f t="shared" ref="L213:L218" si="151">K213-40000</f>
        <v>3768</v>
      </c>
      <c r="M213" s="10">
        <f t="shared" ref="M213:M218" si="152">L213-1</f>
        <v>3767</v>
      </c>
      <c r="N213" s="10" t="s">
        <v>419</v>
      </c>
      <c r="O213" s="10" t="s">
        <v>327</v>
      </c>
      <c r="P213" s="10">
        <v>6</v>
      </c>
      <c r="Q213" s="10"/>
      <c r="R213" s="111"/>
    </row>
    <row r="214" spans="2:28" s="56" customFormat="1" ht="15.6" x14ac:dyDescent="0.3">
      <c r="B214" s="10" t="s">
        <v>816</v>
      </c>
      <c r="C214" s="10" t="s">
        <v>321</v>
      </c>
      <c r="D214" s="10">
        <v>2</v>
      </c>
      <c r="E214" s="10">
        <f t="shared" si="150"/>
        <v>1</v>
      </c>
      <c r="F214" s="10">
        <v>15</v>
      </c>
      <c r="G214" s="10">
        <v>60</v>
      </c>
      <c r="H214" s="10">
        <v>1</v>
      </c>
      <c r="I214" s="10">
        <v>1</v>
      </c>
      <c r="J214" s="10" t="s">
        <v>418</v>
      </c>
      <c r="K214" s="10">
        <f>K213+E213</f>
        <v>43769</v>
      </c>
      <c r="L214" s="10">
        <f t="shared" si="151"/>
        <v>3769</v>
      </c>
      <c r="M214" s="10">
        <f t="shared" si="152"/>
        <v>3768</v>
      </c>
      <c r="N214" s="10" t="s">
        <v>419</v>
      </c>
      <c r="O214" s="10" t="s">
        <v>327</v>
      </c>
      <c r="P214" s="10">
        <v>30</v>
      </c>
      <c r="Q214" s="10" t="s">
        <v>817</v>
      </c>
      <c r="R214" s="111"/>
    </row>
    <row r="215" spans="2:28" s="56" customFormat="1" ht="15.6" x14ac:dyDescent="0.3">
      <c r="B215" s="10" t="s">
        <v>818</v>
      </c>
      <c r="C215" s="10" t="s">
        <v>321</v>
      </c>
      <c r="D215" s="10">
        <v>2</v>
      </c>
      <c r="E215" s="10">
        <f t="shared" si="150"/>
        <v>1</v>
      </c>
      <c r="F215" s="10">
        <v>1</v>
      </c>
      <c r="G215" s="10">
        <v>120</v>
      </c>
      <c r="H215" s="10">
        <v>1</v>
      </c>
      <c r="I215" s="10">
        <v>1</v>
      </c>
      <c r="J215" s="10" t="s">
        <v>418</v>
      </c>
      <c r="K215" s="10">
        <f>K214+E214</f>
        <v>43770</v>
      </c>
      <c r="L215" s="10">
        <f t="shared" si="151"/>
        <v>3770</v>
      </c>
      <c r="M215" s="10">
        <f t="shared" si="152"/>
        <v>3769</v>
      </c>
      <c r="N215" s="10" t="s">
        <v>419</v>
      </c>
      <c r="O215" s="10" t="s">
        <v>327</v>
      </c>
      <c r="P215" s="10">
        <v>5</v>
      </c>
      <c r="Q215" s="10" t="s">
        <v>817</v>
      </c>
      <c r="R215" s="111"/>
    </row>
    <row r="216" spans="2:28" s="56" customFormat="1" ht="15.6" x14ac:dyDescent="0.3">
      <c r="B216" s="10" t="s">
        <v>819</v>
      </c>
      <c r="C216" s="10" t="s">
        <v>321</v>
      </c>
      <c r="D216" s="10">
        <v>2</v>
      </c>
      <c r="E216" s="10">
        <f t="shared" si="150"/>
        <v>1</v>
      </c>
      <c r="F216" s="10">
        <v>0</v>
      </c>
      <c r="G216" s="10">
        <v>120</v>
      </c>
      <c r="H216" s="10">
        <v>1</v>
      </c>
      <c r="I216" s="10">
        <v>1</v>
      </c>
      <c r="J216" s="10" t="s">
        <v>418</v>
      </c>
      <c r="K216" s="10">
        <f t="shared" ref="K216:K219" si="153">K215+E215</f>
        <v>43771</v>
      </c>
      <c r="L216" s="10">
        <f>K216-40000</f>
        <v>3771</v>
      </c>
      <c r="M216" s="10">
        <f>L216-1</f>
        <v>3770</v>
      </c>
      <c r="N216" s="10" t="s">
        <v>419</v>
      </c>
      <c r="O216" s="10" t="s">
        <v>327</v>
      </c>
      <c r="P216" s="10">
        <v>0</v>
      </c>
      <c r="Q216" s="10" t="s">
        <v>817</v>
      </c>
      <c r="R216" s="111"/>
    </row>
    <row r="217" spans="2:28" ht="15.6" x14ac:dyDescent="0.3">
      <c r="B217" s="10" t="s">
        <v>320</v>
      </c>
      <c r="C217" s="10" t="s">
        <v>321</v>
      </c>
      <c r="D217" s="10">
        <v>2</v>
      </c>
      <c r="E217" s="10">
        <f t="shared" si="150"/>
        <v>1</v>
      </c>
      <c r="F217" s="10">
        <v>0</v>
      </c>
      <c r="G217" s="10">
        <v>0</v>
      </c>
      <c r="H217" s="10">
        <v>0</v>
      </c>
      <c r="I217" s="10">
        <v>0</v>
      </c>
      <c r="J217" s="10" t="s">
        <v>418</v>
      </c>
      <c r="K217" s="10">
        <f t="shared" si="153"/>
        <v>43772</v>
      </c>
      <c r="L217" s="10">
        <f t="shared" si="151"/>
        <v>3772</v>
      </c>
      <c r="M217" s="10">
        <f t="shared" si="152"/>
        <v>3771</v>
      </c>
      <c r="N217" s="10" t="s">
        <v>419</v>
      </c>
      <c r="O217" s="10" t="s">
        <v>324</v>
      </c>
      <c r="P217" s="10">
        <v>0</v>
      </c>
      <c r="Q217" s="10"/>
      <c r="R217" s="111"/>
      <c r="S217" s="29"/>
      <c r="AA217" s="56"/>
      <c r="AB217" s="56"/>
    </row>
    <row r="218" spans="2:28" s="56" customFormat="1" ht="15.6" x14ac:dyDescent="0.3">
      <c r="B218" s="10" t="s">
        <v>320</v>
      </c>
      <c r="C218" s="10" t="s">
        <v>321</v>
      </c>
      <c r="D218" s="10">
        <v>2</v>
      </c>
      <c r="E218" s="10">
        <f t="shared" si="150"/>
        <v>1</v>
      </c>
      <c r="F218" s="10">
        <v>0</v>
      </c>
      <c r="G218" s="10">
        <v>0</v>
      </c>
      <c r="H218" s="10">
        <v>0</v>
      </c>
      <c r="I218" s="10">
        <v>0</v>
      </c>
      <c r="J218" s="10" t="s">
        <v>418</v>
      </c>
      <c r="K218" s="10">
        <f t="shared" si="153"/>
        <v>43773</v>
      </c>
      <c r="L218" s="10">
        <f t="shared" si="151"/>
        <v>3773</v>
      </c>
      <c r="M218" s="10">
        <f t="shared" si="152"/>
        <v>3772</v>
      </c>
      <c r="N218" s="10" t="s">
        <v>419</v>
      </c>
      <c r="O218" s="10" t="s">
        <v>324</v>
      </c>
      <c r="P218" s="10">
        <v>0</v>
      </c>
      <c r="Q218" s="10"/>
      <c r="R218" s="111"/>
    </row>
    <row r="219" spans="2:28" ht="15.6" x14ac:dyDescent="0.3">
      <c r="B219" s="10" t="s">
        <v>320</v>
      </c>
      <c r="C219" s="10" t="s">
        <v>321</v>
      </c>
      <c r="D219" s="10">
        <v>2</v>
      </c>
      <c r="E219" s="10">
        <f t="shared" si="150"/>
        <v>1</v>
      </c>
      <c r="F219" s="10">
        <v>0</v>
      </c>
      <c r="G219" s="10">
        <v>0</v>
      </c>
      <c r="H219" s="10">
        <v>0</v>
      </c>
      <c r="I219" s="10">
        <v>0</v>
      </c>
      <c r="J219" s="10" t="s">
        <v>418</v>
      </c>
      <c r="K219" s="10">
        <f t="shared" si="153"/>
        <v>43774</v>
      </c>
      <c r="L219" s="10">
        <f>K219-40000</f>
        <v>3774</v>
      </c>
      <c r="M219" s="10">
        <f>L219-1</f>
        <v>3773</v>
      </c>
      <c r="N219" s="10" t="s">
        <v>419</v>
      </c>
      <c r="O219" s="10" t="s">
        <v>324</v>
      </c>
      <c r="P219" s="10">
        <v>0</v>
      </c>
      <c r="Q219" s="10"/>
      <c r="R219" s="111"/>
      <c r="S219" s="29"/>
      <c r="AA219" s="56"/>
      <c r="AB219" s="56"/>
    </row>
    <row r="220" spans="2:28" x14ac:dyDescent="0.3">
      <c r="B220" s="470" t="s">
        <v>820</v>
      </c>
      <c r="C220" s="471"/>
      <c r="D220" s="471"/>
      <c r="E220" s="471"/>
      <c r="F220" s="471"/>
      <c r="G220" s="471"/>
      <c r="H220" s="471"/>
      <c r="I220" s="471"/>
      <c r="J220" s="471"/>
      <c r="K220" s="471"/>
      <c r="L220" s="471"/>
      <c r="M220" s="471"/>
      <c r="N220" s="471"/>
      <c r="O220" s="471"/>
      <c r="P220" s="471"/>
      <c r="Q220" s="471"/>
      <c r="R220" s="472"/>
      <c r="S220" s="56"/>
      <c r="T220" s="26"/>
      <c r="U220" s="26"/>
      <c r="V220" s="26"/>
      <c r="W220" s="26"/>
      <c r="X220" s="26"/>
      <c r="Y220" s="26"/>
      <c r="Z220" s="26"/>
    </row>
    <row r="221" spans="2:28" s="56" customFormat="1" ht="31.2" x14ac:dyDescent="0.3">
      <c r="B221" s="10" t="s">
        <v>748</v>
      </c>
      <c r="C221" s="10" t="s">
        <v>321</v>
      </c>
      <c r="D221" s="67">
        <v>2</v>
      </c>
      <c r="E221" s="67">
        <f t="shared" ref="E221:E225" si="154">D221/2</f>
        <v>1</v>
      </c>
      <c r="F221" s="67">
        <v>0</v>
      </c>
      <c r="G221" s="67">
        <v>1</v>
      </c>
      <c r="H221" s="67">
        <v>1</v>
      </c>
      <c r="I221" s="67">
        <v>1</v>
      </c>
      <c r="J221" s="67" t="s">
        <v>418</v>
      </c>
      <c r="K221" s="67">
        <f>K219+E219</f>
        <v>43775</v>
      </c>
      <c r="L221" s="10">
        <f>K221-40000</f>
        <v>3775</v>
      </c>
      <c r="M221" s="10">
        <f>L221-1</f>
        <v>3774</v>
      </c>
      <c r="N221" s="10" t="s">
        <v>419</v>
      </c>
      <c r="O221" s="10" t="s">
        <v>327</v>
      </c>
      <c r="P221" s="67">
        <v>0</v>
      </c>
      <c r="Q221" s="67"/>
      <c r="R221" s="110" t="s">
        <v>758</v>
      </c>
    </row>
    <row r="222" spans="2:28" s="56" customFormat="1" ht="15.6" x14ac:dyDescent="0.3">
      <c r="B222" s="10" t="s">
        <v>821</v>
      </c>
      <c r="C222" s="10" t="s">
        <v>321</v>
      </c>
      <c r="D222" s="10">
        <v>2</v>
      </c>
      <c r="E222" s="10">
        <f t="shared" ref="E222:E223" si="155">D222/2</f>
        <v>1</v>
      </c>
      <c r="F222" s="10">
        <v>1</v>
      </c>
      <c r="G222" s="10">
        <v>60000</v>
      </c>
      <c r="H222" s="10">
        <v>1</v>
      </c>
      <c r="I222" s="64" t="s">
        <v>386</v>
      </c>
      <c r="J222" s="10" t="s">
        <v>418</v>
      </c>
      <c r="K222" s="10">
        <f>K221+E221</f>
        <v>43776</v>
      </c>
      <c r="L222" s="10">
        <f t="shared" ref="L222:L225" si="156">K222-40000</f>
        <v>3776</v>
      </c>
      <c r="M222" s="10">
        <f t="shared" ref="M222:M225" si="157">L222-1</f>
        <v>3775</v>
      </c>
      <c r="N222" s="10" t="s">
        <v>419</v>
      </c>
      <c r="O222" s="10" t="s">
        <v>327</v>
      </c>
      <c r="P222" s="10">
        <v>10</v>
      </c>
      <c r="Q222" s="10" t="s">
        <v>760</v>
      </c>
      <c r="R222" s="111"/>
    </row>
    <row r="223" spans="2:28" s="56" customFormat="1" ht="46.8" x14ac:dyDescent="0.3">
      <c r="B223" s="10" t="s">
        <v>753</v>
      </c>
      <c r="C223" s="10" t="s">
        <v>359</v>
      </c>
      <c r="D223" s="10">
        <v>2</v>
      </c>
      <c r="E223" s="10">
        <f t="shared" si="155"/>
        <v>1</v>
      </c>
      <c r="F223" s="10">
        <v>1</v>
      </c>
      <c r="G223" s="10">
        <v>7</v>
      </c>
      <c r="H223" s="10">
        <v>1</v>
      </c>
      <c r="I223" s="10">
        <v>1</v>
      </c>
      <c r="J223" s="10" t="s">
        <v>418</v>
      </c>
      <c r="K223" s="10">
        <f>K222+E222</f>
        <v>43777</v>
      </c>
      <c r="L223" s="10">
        <f t="shared" si="156"/>
        <v>3777</v>
      </c>
      <c r="M223" s="10">
        <f t="shared" si="157"/>
        <v>3776</v>
      </c>
      <c r="N223" s="10" t="s">
        <v>419</v>
      </c>
      <c r="O223" s="10" t="s">
        <v>327</v>
      </c>
      <c r="P223" s="10">
        <v>3</v>
      </c>
      <c r="Q223" s="10"/>
      <c r="R223" s="222" t="s">
        <v>822</v>
      </c>
    </row>
    <row r="224" spans="2:28" s="56" customFormat="1" ht="15.6" x14ac:dyDescent="0.3">
      <c r="B224" s="10" t="s">
        <v>320</v>
      </c>
      <c r="C224" s="10" t="s">
        <v>321</v>
      </c>
      <c r="D224" s="10">
        <v>2</v>
      </c>
      <c r="E224" s="10">
        <f t="shared" si="154"/>
        <v>1</v>
      </c>
      <c r="F224" s="10">
        <v>0</v>
      </c>
      <c r="G224" s="10">
        <v>0</v>
      </c>
      <c r="H224" s="10">
        <v>0</v>
      </c>
      <c r="I224" s="10">
        <v>0</v>
      </c>
      <c r="J224" s="10" t="s">
        <v>418</v>
      </c>
      <c r="K224" s="10">
        <f t="shared" ref="K224:K225" si="158">K223+E223</f>
        <v>43778</v>
      </c>
      <c r="L224" s="10">
        <f t="shared" si="156"/>
        <v>3778</v>
      </c>
      <c r="M224" s="10">
        <f t="shared" si="157"/>
        <v>3777</v>
      </c>
      <c r="N224" s="10" t="s">
        <v>419</v>
      </c>
      <c r="O224" s="10" t="s">
        <v>324</v>
      </c>
      <c r="P224" s="10">
        <v>0</v>
      </c>
      <c r="Q224" s="10"/>
      <c r="R224" s="111"/>
    </row>
    <row r="225" spans="2:28" ht="15.6" x14ac:dyDescent="0.3">
      <c r="B225" s="10" t="s">
        <v>320</v>
      </c>
      <c r="C225" s="10" t="s">
        <v>321</v>
      </c>
      <c r="D225" s="10">
        <v>2</v>
      </c>
      <c r="E225" s="10">
        <f t="shared" si="154"/>
        <v>1</v>
      </c>
      <c r="F225" s="10">
        <v>0</v>
      </c>
      <c r="G225" s="10">
        <v>0</v>
      </c>
      <c r="H225" s="10">
        <v>0</v>
      </c>
      <c r="I225" s="10">
        <v>0</v>
      </c>
      <c r="J225" s="10" t="s">
        <v>418</v>
      </c>
      <c r="K225" s="10">
        <f t="shared" si="158"/>
        <v>43779</v>
      </c>
      <c r="L225" s="10">
        <f t="shared" si="156"/>
        <v>3779</v>
      </c>
      <c r="M225" s="10">
        <f t="shared" si="157"/>
        <v>3778</v>
      </c>
      <c r="N225" s="10" t="s">
        <v>419</v>
      </c>
      <c r="O225" s="10" t="s">
        <v>324</v>
      </c>
      <c r="P225" s="10">
        <v>0</v>
      </c>
      <c r="Q225" s="10"/>
      <c r="R225" s="111"/>
      <c r="S225" s="29"/>
      <c r="AA225" s="56"/>
      <c r="AB225" s="56"/>
    </row>
    <row r="226" spans="2:28" x14ac:dyDescent="0.3">
      <c r="B226" s="470" t="s">
        <v>823</v>
      </c>
      <c r="C226" s="471"/>
      <c r="D226" s="471"/>
      <c r="E226" s="471"/>
      <c r="F226" s="471"/>
      <c r="G226" s="471"/>
      <c r="H226" s="471"/>
      <c r="I226" s="471"/>
      <c r="J226" s="471"/>
      <c r="K226" s="471"/>
      <c r="L226" s="471"/>
      <c r="M226" s="471"/>
      <c r="N226" s="471"/>
      <c r="O226" s="471"/>
      <c r="P226" s="471"/>
      <c r="Q226" s="471"/>
      <c r="R226" s="472"/>
      <c r="S226" s="56"/>
      <c r="T226" s="26"/>
      <c r="U226" s="26"/>
      <c r="V226" s="26"/>
      <c r="W226" s="26"/>
      <c r="X226" s="26"/>
      <c r="Y226" s="26"/>
      <c r="Z226" s="26"/>
    </row>
    <row r="227" spans="2:28" s="56" customFormat="1" ht="15.6" x14ac:dyDescent="0.3">
      <c r="B227" s="10" t="s">
        <v>748</v>
      </c>
      <c r="C227" s="10" t="s">
        <v>321</v>
      </c>
      <c r="D227" s="10">
        <v>2</v>
      </c>
      <c r="E227" s="10">
        <f>D227/2</f>
        <v>1</v>
      </c>
      <c r="F227" s="361">
        <v>1</v>
      </c>
      <c r="G227" s="67">
        <v>1</v>
      </c>
      <c r="H227" s="10">
        <v>1</v>
      </c>
      <c r="I227" s="10">
        <v>1</v>
      </c>
      <c r="J227" s="10" t="s">
        <v>418</v>
      </c>
      <c r="K227" s="67">
        <f>K225+E225</f>
        <v>43780</v>
      </c>
      <c r="L227" s="10">
        <f>K227-40000</f>
        <v>3780</v>
      </c>
      <c r="M227" s="10">
        <f>L227-1</f>
        <v>3779</v>
      </c>
      <c r="N227" s="10" t="s">
        <v>419</v>
      </c>
      <c r="O227" s="10" t="s">
        <v>327</v>
      </c>
      <c r="P227" s="10">
        <v>1</v>
      </c>
      <c r="Q227" s="10"/>
      <c r="R227" s="376" t="s">
        <v>824</v>
      </c>
      <c r="S227" s="56" t="s">
        <v>825</v>
      </c>
    </row>
    <row r="228" spans="2:28" s="56" customFormat="1" ht="15.6" x14ac:dyDescent="0.3">
      <c r="B228" s="10" t="s">
        <v>821</v>
      </c>
      <c r="C228" s="10" t="s">
        <v>321</v>
      </c>
      <c r="D228" s="10">
        <v>2</v>
      </c>
      <c r="E228" s="10">
        <f t="shared" ref="E228:E229" si="159">D228/2</f>
        <v>1</v>
      </c>
      <c r="F228" s="10">
        <v>1</v>
      </c>
      <c r="G228" s="10">
        <v>60000</v>
      </c>
      <c r="H228" s="10">
        <v>1</v>
      </c>
      <c r="I228" s="64" t="s">
        <v>386</v>
      </c>
      <c r="J228" s="10" t="s">
        <v>418</v>
      </c>
      <c r="K228" s="10">
        <f>K227+E227</f>
        <v>43781</v>
      </c>
      <c r="L228" s="10">
        <f t="shared" ref="L228:L229" si="160">K228-40000</f>
        <v>3781</v>
      </c>
      <c r="M228" s="10">
        <f t="shared" ref="M228:M229" si="161">L228-1</f>
        <v>3780</v>
      </c>
      <c r="N228" s="10" t="s">
        <v>419</v>
      </c>
      <c r="O228" s="10" t="s">
        <v>327</v>
      </c>
      <c r="P228" s="10">
        <v>10</v>
      </c>
      <c r="Q228" s="10" t="s">
        <v>760</v>
      </c>
      <c r="R228" s="111"/>
    </row>
    <row r="229" spans="2:28" s="56" customFormat="1" ht="48" customHeight="1" x14ac:dyDescent="0.3">
      <c r="B229" s="10" t="s">
        <v>753</v>
      </c>
      <c r="C229" s="10" t="s">
        <v>359</v>
      </c>
      <c r="D229" s="10">
        <v>2</v>
      </c>
      <c r="E229" s="10">
        <f t="shared" si="159"/>
        <v>1</v>
      </c>
      <c r="F229" s="10">
        <v>1</v>
      </c>
      <c r="G229" s="10">
        <v>7</v>
      </c>
      <c r="H229" s="10">
        <v>1</v>
      </c>
      <c r="I229" s="10">
        <v>1</v>
      </c>
      <c r="J229" s="10" t="s">
        <v>418</v>
      </c>
      <c r="K229" s="10">
        <f>K228+E228</f>
        <v>43782</v>
      </c>
      <c r="L229" s="10">
        <f t="shared" si="160"/>
        <v>3782</v>
      </c>
      <c r="M229" s="10">
        <f t="shared" si="161"/>
        <v>3781</v>
      </c>
      <c r="N229" s="10" t="s">
        <v>419</v>
      </c>
      <c r="O229" s="10" t="s">
        <v>327</v>
      </c>
      <c r="P229" s="10">
        <v>3</v>
      </c>
      <c r="Q229" s="10"/>
      <c r="R229" s="110" t="s">
        <v>822</v>
      </c>
    </row>
    <row r="230" spans="2:28" s="56" customFormat="1" ht="31.2" x14ac:dyDescent="0.3">
      <c r="B230" s="10" t="s">
        <v>320</v>
      </c>
      <c r="C230" s="10" t="s">
        <v>321</v>
      </c>
      <c r="D230" s="10">
        <v>2</v>
      </c>
      <c r="E230" s="10">
        <f t="shared" ref="E230" si="162">D230/2</f>
        <v>1</v>
      </c>
      <c r="F230" s="10">
        <v>0</v>
      </c>
      <c r="G230" s="10">
        <v>1</v>
      </c>
      <c r="H230" s="10">
        <v>0</v>
      </c>
      <c r="I230" s="10">
        <v>0</v>
      </c>
      <c r="J230" s="10" t="s">
        <v>418</v>
      </c>
      <c r="K230" s="10">
        <f t="shared" ref="K230" si="163">K229+E229</f>
        <v>43783</v>
      </c>
      <c r="L230" s="10">
        <f t="shared" ref="L230" si="164">K230-40000</f>
        <v>3783</v>
      </c>
      <c r="M230" s="10">
        <f t="shared" ref="M230" si="165">L230-1</f>
        <v>3782</v>
      </c>
      <c r="N230" s="10" t="s">
        <v>826</v>
      </c>
      <c r="O230" s="10" t="s">
        <v>324</v>
      </c>
      <c r="P230" s="193">
        <v>0</v>
      </c>
      <c r="Q230" s="10"/>
      <c r="R230" s="110" t="s">
        <v>758</v>
      </c>
    </row>
    <row r="231" spans="2:28" ht="15.6" x14ac:dyDescent="0.3">
      <c r="B231" s="10" t="s">
        <v>320</v>
      </c>
      <c r="C231" s="10" t="s">
        <v>321</v>
      </c>
      <c r="D231" s="10">
        <v>2</v>
      </c>
      <c r="E231" s="10">
        <f t="shared" ref="E231" si="166">D231/2</f>
        <v>1</v>
      </c>
      <c r="F231" s="10">
        <v>0</v>
      </c>
      <c r="G231" s="10">
        <v>0</v>
      </c>
      <c r="H231" s="10">
        <v>0</v>
      </c>
      <c r="I231" s="10">
        <v>0</v>
      </c>
      <c r="J231" s="10" t="s">
        <v>418</v>
      </c>
      <c r="K231" s="10">
        <f t="shared" ref="K231" si="167">K230+E230</f>
        <v>43784</v>
      </c>
      <c r="L231" s="10">
        <f>K231-40000</f>
        <v>3784</v>
      </c>
      <c r="M231" s="10">
        <f>L231-1</f>
        <v>3783</v>
      </c>
      <c r="N231" s="10" t="s">
        <v>419</v>
      </c>
      <c r="O231" s="10" t="s">
        <v>324</v>
      </c>
      <c r="P231" s="10">
        <v>0</v>
      </c>
      <c r="Q231" s="10"/>
      <c r="R231" s="111"/>
      <c r="S231" s="29"/>
      <c r="AA231" s="56"/>
      <c r="AB231" s="56"/>
    </row>
    <row r="232" spans="2:28" x14ac:dyDescent="0.3">
      <c r="B232" s="470" t="s">
        <v>827</v>
      </c>
      <c r="C232" s="471"/>
      <c r="D232" s="471"/>
      <c r="E232" s="471"/>
      <c r="F232" s="471"/>
      <c r="G232" s="471"/>
      <c r="H232" s="471"/>
      <c r="I232" s="471"/>
      <c r="J232" s="471"/>
      <c r="K232" s="471"/>
      <c r="L232" s="471"/>
      <c r="M232" s="471"/>
      <c r="N232" s="471"/>
      <c r="O232" s="471"/>
      <c r="P232" s="471"/>
      <c r="Q232" s="471"/>
      <c r="R232" s="472"/>
      <c r="S232" s="56"/>
      <c r="T232" s="26"/>
      <c r="U232" s="26"/>
      <c r="V232" s="26"/>
      <c r="W232" s="26"/>
      <c r="X232" s="26"/>
      <c r="Y232" s="26"/>
      <c r="Z232" s="26"/>
    </row>
    <row r="233" spans="2:28" s="56" customFormat="1" ht="62.4" x14ac:dyDescent="0.3">
      <c r="B233" s="10" t="s">
        <v>748</v>
      </c>
      <c r="C233" s="10" t="s">
        <v>321</v>
      </c>
      <c r="D233" s="67">
        <v>2</v>
      </c>
      <c r="E233" s="67">
        <f t="shared" ref="E233:E237" si="168">D233/2</f>
        <v>1</v>
      </c>
      <c r="F233" s="67">
        <v>0</v>
      </c>
      <c r="G233" s="67">
        <v>3</v>
      </c>
      <c r="H233" s="67">
        <v>1</v>
      </c>
      <c r="I233" s="67">
        <v>1</v>
      </c>
      <c r="J233" s="67" t="s">
        <v>418</v>
      </c>
      <c r="K233" s="67">
        <f>K231+E231</f>
        <v>43785</v>
      </c>
      <c r="L233" s="10">
        <f>K233-40000</f>
        <v>3785</v>
      </c>
      <c r="M233" s="10">
        <f>L233-1</f>
        <v>3784</v>
      </c>
      <c r="N233" s="10" t="s">
        <v>419</v>
      </c>
      <c r="O233" s="10" t="s">
        <v>327</v>
      </c>
      <c r="P233" s="375">
        <v>3</v>
      </c>
      <c r="Q233" s="67"/>
      <c r="R233" s="110" t="s">
        <v>749</v>
      </c>
    </row>
    <row r="234" spans="2:28" s="56" customFormat="1" ht="15.6" x14ac:dyDescent="0.3">
      <c r="B234" s="10" t="s">
        <v>821</v>
      </c>
      <c r="C234" s="10" t="s">
        <v>321</v>
      </c>
      <c r="D234" s="10">
        <v>2</v>
      </c>
      <c r="E234" s="10">
        <f t="shared" si="168"/>
        <v>1</v>
      </c>
      <c r="F234" s="10">
        <v>1</v>
      </c>
      <c r="G234" s="10">
        <v>60000</v>
      </c>
      <c r="H234" s="10">
        <v>1</v>
      </c>
      <c r="I234" s="64" t="s">
        <v>386</v>
      </c>
      <c r="J234" s="10" t="s">
        <v>418</v>
      </c>
      <c r="K234" s="10">
        <f>K233+E233</f>
        <v>43786</v>
      </c>
      <c r="L234" s="10">
        <f t="shared" ref="L234:L236" si="169">K234-40000</f>
        <v>3786</v>
      </c>
      <c r="M234" s="10">
        <f t="shared" ref="M234:M236" si="170">L234-1</f>
        <v>3785</v>
      </c>
      <c r="N234" s="10" t="s">
        <v>419</v>
      </c>
      <c r="O234" s="10" t="s">
        <v>327</v>
      </c>
      <c r="P234" s="10">
        <v>10</v>
      </c>
      <c r="Q234" s="10" t="s">
        <v>760</v>
      </c>
      <c r="R234" s="111"/>
    </row>
    <row r="235" spans="2:28" s="56" customFormat="1" ht="62.4" x14ac:dyDescent="0.3">
      <c r="B235" s="10" t="s">
        <v>753</v>
      </c>
      <c r="C235" s="10" t="s">
        <v>359</v>
      </c>
      <c r="D235" s="10">
        <v>2</v>
      </c>
      <c r="E235" s="10">
        <f t="shared" si="168"/>
        <v>1</v>
      </c>
      <c r="F235" s="10">
        <v>1</v>
      </c>
      <c r="G235" s="10">
        <v>15</v>
      </c>
      <c r="H235" s="10">
        <v>1</v>
      </c>
      <c r="I235" s="10">
        <v>1</v>
      </c>
      <c r="J235" s="10" t="s">
        <v>418</v>
      </c>
      <c r="K235" s="10">
        <f>K234+E234</f>
        <v>43787</v>
      </c>
      <c r="L235" s="10">
        <f t="shared" si="169"/>
        <v>3787</v>
      </c>
      <c r="M235" s="10">
        <f t="shared" si="170"/>
        <v>3786</v>
      </c>
      <c r="N235" s="10" t="s">
        <v>419</v>
      </c>
      <c r="O235" s="10" t="s">
        <v>327</v>
      </c>
      <c r="P235" s="10">
        <v>3</v>
      </c>
      <c r="Q235" s="10"/>
      <c r="R235" s="222" t="s">
        <v>754</v>
      </c>
    </row>
    <row r="236" spans="2:28" s="56" customFormat="1" ht="15.6" x14ac:dyDescent="0.3">
      <c r="B236" s="10" t="s">
        <v>770</v>
      </c>
      <c r="C236" s="10" t="s">
        <v>321</v>
      </c>
      <c r="D236" s="10">
        <v>2</v>
      </c>
      <c r="E236" s="10">
        <f t="shared" si="168"/>
        <v>1</v>
      </c>
      <c r="F236" s="10">
        <v>0</v>
      </c>
      <c r="G236" s="10">
        <v>60000</v>
      </c>
      <c r="H236" s="10">
        <v>1</v>
      </c>
      <c r="I236" s="64" t="s">
        <v>386</v>
      </c>
      <c r="J236" s="10" t="s">
        <v>418</v>
      </c>
      <c r="K236" s="10">
        <f t="shared" ref="K236:K237" si="171">K235+E235</f>
        <v>43788</v>
      </c>
      <c r="L236" s="10">
        <f t="shared" si="169"/>
        <v>3788</v>
      </c>
      <c r="M236" s="10">
        <f t="shared" si="170"/>
        <v>3787</v>
      </c>
      <c r="N236" s="10" t="s">
        <v>419</v>
      </c>
      <c r="O236" s="10" t="s">
        <v>327</v>
      </c>
      <c r="P236" s="10">
        <v>0</v>
      </c>
      <c r="Q236" s="10" t="s">
        <v>760</v>
      </c>
      <c r="R236" s="111"/>
    </row>
    <row r="237" spans="2:28" ht="31.2" x14ac:dyDescent="0.3">
      <c r="B237" s="134" t="s">
        <v>828</v>
      </c>
      <c r="C237" s="10" t="s">
        <v>321</v>
      </c>
      <c r="D237" s="10">
        <v>2</v>
      </c>
      <c r="E237" s="10">
        <f t="shared" si="168"/>
        <v>1</v>
      </c>
      <c r="F237" s="67">
        <v>0</v>
      </c>
      <c r="G237" s="67">
        <v>1</v>
      </c>
      <c r="H237" s="67">
        <v>1</v>
      </c>
      <c r="I237" s="67">
        <v>1</v>
      </c>
      <c r="J237" s="10" t="s">
        <v>418</v>
      </c>
      <c r="K237" s="10">
        <f t="shared" si="171"/>
        <v>43789</v>
      </c>
      <c r="L237" s="10">
        <f>K237-40000</f>
        <v>3789</v>
      </c>
      <c r="M237" s="10">
        <f>L237-1</f>
        <v>3788</v>
      </c>
      <c r="N237" s="10" t="s">
        <v>419</v>
      </c>
      <c r="O237" s="10" t="s">
        <v>327</v>
      </c>
      <c r="P237" s="10">
        <v>0</v>
      </c>
      <c r="Q237" s="10"/>
      <c r="R237" s="110" t="s">
        <v>758</v>
      </c>
      <c r="S237" s="29"/>
      <c r="AA237" s="56"/>
      <c r="AB237" s="56"/>
    </row>
    <row r="238" spans="2:28" x14ac:dyDescent="0.3">
      <c r="B238" s="470" t="s">
        <v>829</v>
      </c>
      <c r="C238" s="471"/>
      <c r="D238" s="471"/>
      <c r="E238" s="471"/>
      <c r="F238" s="471"/>
      <c r="G238" s="471"/>
      <c r="H238" s="471"/>
      <c r="I238" s="471"/>
      <c r="J238" s="471"/>
      <c r="K238" s="471"/>
      <c r="L238" s="471"/>
      <c r="M238" s="471"/>
      <c r="N238" s="471"/>
      <c r="O238" s="471"/>
      <c r="P238" s="471"/>
      <c r="Q238" s="471"/>
      <c r="R238" s="472"/>
      <c r="S238" s="56"/>
      <c r="T238" s="26"/>
      <c r="U238" s="26"/>
      <c r="V238" s="26"/>
      <c r="W238" s="26"/>
      <c r="X238" s="26"/>
      <c r="Y238" s="26"/>
      <c r="Z238" s="26"/>
    </row>
    <row r="239" spans="2:28" s="56" customFormat="1" ht="62.4" x14ac:dyDescent="0.3">
      <c r="B239" s="10" t="s">
        <v>748</v>
      </c>
      <c r="C239" s="10" t="s">
        <v>321</v>
      </c>
      <c r="D239" s="67">
        <v>2</v>
      </c>
      <c r="E239" s="67">
        <f t="shared" ref="E239:E249" si="172">D239/2</f>
        <v>1</v>
      </c>
      <c r="F239" s="67">
        <v>0</v>
      </c>
      <c r="G239" s="67">
        <v>3</v>
      </c>
      <c r="H239" s="67">
        <v>1</v>
      </c>
      <c r="I239" s="67">
        <v>1</v>
      </c>
      <c r="J239" s="67" t="s">
        <v>418</v>
      </c>
      <c r="K239" s="67">
        <f>K237+E237</f>
        <v>43790</v>
      </c>
      <c r="L239" s="10">
        <f>K239-40000</f>
        <v>3790</v>
      </c>
      <c r="M239" s="10">
        <f>L239-1</f>
        <v>3789</v>
      </c>
      <c r="N239" s="10" t="s">
        <v>419</v>
      </c>
      <c r="O239" s="10" t="s">
        <v>327</v>
      </c>
      <c r="P239" s="67">
        <v>0</v>
      </c>
      <c r="Q239" s="67"/>
      <c r="R239" s="110" t="s">
        <v>749</v>
      </c>
    </row>
    <row r="240" spans="2:28" s="56" customFormat="1" ht="46.8" x14ac:dyDescent="0.3">
      <c r="B240" s="10" t="s">
        <v>830</v>
      </c>
      <c r="C240" s="10" t="s">
        <v>321</v>
      </c>
      <c r="D240" s="10">
        <v>2</v>
      </c>
      <c r="E240" s="10">
        <f t="shared" ref="E240:E243" si="173">D240/2</f>
        <v>1</v>
      </c>
      <c r="F240" s="369">
        <v>250</v>
      </c>
      <c r="G240" s="369">
        <v>1800</v>
      </c>
      <c r="H240" s="221">
        <v>10</v>
      </c>
      <c r="I240" s="64" t="s">
        <v>386</v>
      </c>
      <c r="J240" s="10" t="s">
        <v>418</v>
      </c>
      <c r="K240" s="10">
        <f t="shared" ref="K240:K249" si="174">K239+E239</f>
        <v>43791</v>
      </c>
      <c r="L240" s="10">
        <f t="shared" ref="L240:L243" si="175">K240-40000</f>
        <v>3791</v>
      </c>
      <c r="M240" s="10">
        <f t="shared" ref="M240:M243" si="176">L240-1</f>
        <v>3790</v>
      </c>
      <c r="N240" s="10" t="s">
        <v>419</v>
      </c>
      <c r="O240" s="10" t="s">
        <v>327</v>
      </c>
      <c r="P240" s="10">
        <v>1300</v>
      </c>
      <c r="Q240" s="10" t="s">
        <v>391</v>
      </c>
      <c r="R240" s="222" t="s">
        <v>831</v>
      </c>
    </row>
    <row r="241" spans="2:26" s="56" customFormat="1" ht="46.8" x14ac:dyDescent="0.3">
      <c r="B241" s="10"/>
      <c r="C241" s="10"/>
      <c r="D241" s="10"/>
      <c r="E241" s="10"/>
      <c r="F241" s="221">
        <v>770</v>
      </c>
      <c r="G241" s="221">
        <v>3560</v>
      </c>
      <c r="H241" s="369">
        <v>10</v>
      </c>
      <c r="I241" s="370" t="s">
        <v>386</v>
      </c>
      <c r="J241" s="10"/>
      <c r="K241" s="10"/>
      <c r="L241" s="10"/>
      <c r="M241" s="10"/>
      <c r="N241" s="10"/>
      <c r="O241" s="10"/>
      <c r="P241" s="10"/>
      <c r="Q241" s="221" t="s">
        <v>832</v>
      </c>
      <c r="R241" s="222" t="s">
        <v>831</v>
      </c>
    </row>
    <row r="242" spans="2:26" s="56" customFormat="1" ht="15.6" x14ac:dyDescent="0.3">
      <c r="B242" s="10" t="s">
        <v>833</v>
      </c>
      <c r="C242" s="10" t="s">
        <v>321</v>
      </c>
      <c r="D242" s="10">
        <v>2</v>
      </c>
      <c r="E242" s="10">
        <f t="shared" si="173"/>
        <v>1</v>
      </c>
      <c r="F242" s="10">
        <v>2700</v>
      </c>
      <c r="G242" s="10">
        <v>4000</v>
      </c>
      <c r="H242" s="10">
        <v>1</v>
      </c>
      <c r="I242" s="10">
        <v>1</v>
      </c>
      <c r="J242" s="10" t="s">
        <v>418</v>
      </c>
      <c r="K242" s="10">
        <f>K240+E240</f>
        <v>43792</v>
      </c>
      <c r="L242" s="10">
        <f t="shared" si="175"/>
        <v>3792</v>
      </c>
      <c r="M242" s="10">
        <f t="shared" si="176"/>
        <v>3791</v>
      </c>
      <c r="N242" s="10" t="s">
        <v>419</v>
      </c>
      <c r="O242" s="10" t="s">
        <v>327</v>
      </c>
      <c r="P242" s="10">
        <v>2700</v>
      </c>
      <c r="Q242" s="10" t="s">
        <v>395</v>
      </c>
      <c r="R242" s="111"/>
    </row>
    <row r="243" spans="2:26" s="56" customFormat="1" ht="15.6" x14ac:dyDescent="0.3">
      <c r="B243" s="10" t="s">
        <v>834</v>
      </c>
      <c r="C243" s="10" t="s">
        <v>321</v>
      </c>
      <c r="D243" s="10">
        <v>2</v>
      </c>
      <c r="E243" s="10">
        <f t="shared" si="173"/>
        <v>1</v>
      </c>
      <c r="F243" s="10">
        <v>1600</v>
      </c>
      <c r="G243" s="10">
        <v>2300</v>
      </c>
      <c r="H243" s="10">
        <v>1</v>
      </c>
      <c r="I243" s="10">
        <v>1</v>
      </c>
      <c r="J243" s="10" t="s">
        <v>418</v>
      </c>
      <c r="K243" s="10">
        <f t="shared" si="174"/>
        <v>43793</v>
      </c>
      <c r="L243" s="10">
        <f t="shared" si="175"/>
        <v>3793</v>
      </c>
      <c r="M243" s="10">
        <f t="shared" si="176"/>
        <v>3792</v>
      </c>
      <c r="N243" s="10" t="s">
        <v>419</v>
      </c>
      <c r="O243" s="10" t="s">
        <v>327</v>
      </c>
      <c r="P243" s="10">
        <v>1600</v>
      </c>
      <c r="Q243" s="10" t="s">
        <v>395</v>
      </c>
      <c r="R243" s="111"/>
    </row>
    <row r="244" spans="2:26" s="56" customFormat="1" ht="15.6" x14ac:dyDescent="0.3">
      <c r="B244" s="10" t="s">
        <v>821</v>
      </c>
      <c r="C244" s="10" t="s">
        <v>321</v>
      </c>
      <c r="D244" s="10">
        <v>2</v>
      </c>
      <c r="E244" s="10">
        <f t="shared" si="172"/>
        <v>1</v>
      </c>
      <c r="F244" s="10">
        <v>1</v>
      </c>
      <c r="G244" s="10">
        <v>60000</v>
      </c>
      <c r="H244" s="10">
        <v>1</v>
      </c>
      <c r="I244" s="64" t="s">
        <v>386</v>
      </c>
      <c r="J244" s="10" t="s">
        <v>418</v>
      </c>
      <c r="K244" s="10">
        <f t="shared" si="174"/>
        <v>43794</v>
      </c>
      <c r="L244" s="10">
        <f>K244-40000</f>
        <v>3794</v>
      </c>
      <c r="M244" s="10">
        <f>L244-1</f>
        <v>3793</v>
      </c>
      <c r="N244" s="10" t="s">
        <v>419</v>
      </c>
      <c r="O244" s="10" t="s">
        <v>327</v>
      </c>
      <c r="P244" s="10">
        <v>10</v>
      </c>
      <c r="Q244" s="10" t="s">
        <v>760</v>
      </c>
      <c r="R244" s="111"/>
    </row>
    <row r="245" spans="2:26" s="56" customFormat="1" ht="46.8" x14ac:dyDescent="0.3">
      <c r="B245" s="10" t="s">
        <v>835</v>
      </c>
      <c r="C245" s="10" t="s">
        <v>321</v>
      </c>
      <c r="D245" s="10">
        <v>2</v>
      </c>
      <c r="E245" s="10">
        <f t="shared" si="172"/>
        <v>1</v>
      </c>
      <c r="F245" s="10">
        <v>250</v>
      </c>
      <c r="G245" s="10">
        <v>1800</v>
      </c>
      <c r="H245" s="221">
        <v>10</v>
      </c>
      <c r="I245" s="64" t="s">
        <v>386</v>
      </c>
      <c r="J245" s="10" t="s">
        <v>418</v>
      </c>
      <c r="K245" s="10">
        <f t="shared" ref="K245" si="177">K244+E244</f>
        <v>43795</v>
      </c>
      <c r="L245" s="10">
        <f t="shared" ref="L245" si="178">K245-40000</f>
        <v>3795</v>
      </c>
      <c r="M245" s="10">
        <f t="shared" ref="M245" si="179">L245-1</f>
        <v>3794</v>
      </c>
      <c r="N245" s="10" t="s">
        <v>419</v>
      </c>
      <c r="O245" s="10" t="s">
        <v>327</v>
      </c>
      <c r="P245" s="10">
        <v>1300</v>
      </c>
      <c r="Q245" s="10" t="s">
        <v>391</v>
      </c>
      <c r="R245" s="222" t="s">
        <v>831</v>
      </c>
    </row>
    <row r="246" spans="2:26" s="56" customFormat="1" ht="46.8" x14ac:dyDescent="0.3">
      <c r="B246" s="10"/>
      <c r="C246" s="10"/>
      <c r="D246" s="10"/>
      <c r="E246" s="10"/>
      <c r="F246" s="221">
        <v>770</v>
      </c>
      <c r="G246" s="221">
        <v>3560</v>
      </c>
      <c r="H246" s="10"/>
      <c r="I246" s="64"/>
      <c r="J246" s="10"/>
      <c r="K246" s="10"/>
      <c r="L246" s="10"/>
      <c r="M246" s="10"/>
      <c r="N246" s="10"/>
      <c r="O246" s="10"/>
      <c r="P246" s="10"/>
      <c r="Q246" s="221" t="s">
        <v>832</v>
      </c>
      <c r="R246" s="222" t="s">
        <v>831</v>
      </c>
    </row>
    <row r="247" spans="2:26" s="56" customFormat="1" ht="62.4" x14ac:dyDescent="0.3">
      <c r="B247" s="10" t="s">
        <v>753</v>
      </c>
      <c r="C247" s="10" t="s">
        <v>359</v>
      </c>
      <c r="D247" s="10">
        <v>2</v>
      </c>
      <c r="E247" s="10">
        <f t="shared" ref="E247:E248" si="180">D247/2</f>
        <v>1</v>
      </c>
      <c r="F247" s="10">
        <v>1</v>
      </c>
      <c r="G247" s="10">
        <v>15</v>
      </c>
      <c r="H247" s="10">
        <v>1</v>
      </c>
      <c r="I247" s="10">
        <v>1</v>
      </c>
      <c r="J247" s="10" t="s">
        <v>418</v>
      </c>
      <c r="K247" s="10">
        <f>K245+E245</f>
        <v>43796</v>
      </c>
      <c r="L247" s="10">
        <f t="shared" ref="L247:L249" si="181">K247-40000</f>
        <v>3796</v>
      </c>
      <c r="M247" s="10">
        <f t="shared" ref="M247:M249" si="182">L247-1</f>
        <v>3795</v>
      </c>
      <c r="N247" s="10" t="s">
        <v>419</v>
      </c>
      <c r="O247" s="10" t="s">
        <v>327</v>
      </c>
      <c r="P247" s="10">
        <v>3</v>
      </c>
      <c r="Q247" s="10"/>
      <c r="R247" s="222" t="s">
        <v>754</v>
      </c>
    </row>
    <row r="248" spans="2:26" s="56" customFormat="1" ht="15.6" x14ac:dyDescent="0.3">
      <c r="B248" s="10" t="s">
        <v>770</v>
      </c>
      <c r="C248" s="10" t="s">
        <v>321</v>
      </c>
      <c r="D248" s="10">
        <v>2</v>
      </c>
      <c r="E248" s="10">
        <f t="shared" si="180"/>
        <v>1</v>
      </c>
      <c r="F248" s="10">
        <v>0</v>
      </c>
      <c r="G248" s="10">
        <v>60000</v>
      </c>
      <c r="H248" s="10">
        <v>1</v>
      </c>
      <c r="I248" s="64" t="s">
        <v>386</v>
      </c>
      <c r="J248" s="10" t="s">
        <v>418</v>
      </c>
      <c r="K248" s="10">
        <f t="shared" si="174"/>
        <v>43797</v>
      </c>
      <c r="L248" s="10">
        <f t="shared" si="181"/>
        <v>3797</v>
      </c>
      <c r="M248" s="10">
        <f t="shared" si="182"/>
        <v>3796</v>
      </c>
      <c r="N248" s="10" t="s">
        <v>419</v>
      </c>
      <c r="O248" s="10" t="s">
        <v>327</v>
      </c>
      <c r="P248" s="10">
        <v>0</v>
      </c>
      <c r="Q248" s="10" t="s">
        <v>760</v>
      </c>
      <c r="R248" s="111"/>
    </row>
    <row r="249" spans="2:26" s="56" customFormat="1" ht="15.6" x14ac:dyDescent="0.3">
      <c r="B249" s="10" t="s">
        <v>320</v>
      </c>
      <c r="C249" s="10" t="s">
        <v>321</v>
      </c>
      <c r="D249" s="10">
        <v>2</v>
      </c>
      <c r="E249" s="10">
        <f t="shared" si="172"/>
        <v>1</v>
      </c>
      <c r="F249" s="10">
        <v>0</v>
      </c>
      <c r="G249" s="10">
        <v>0</v>
      </c>
      <c r="H249" s="10">
        <v>0</v>
      </c>
      <c r="I249" s="10">
        <v>0</v>
      </c>
      <c r="J249" s="10" t="s">
        <v>418</v>
      </c>
      <c r="K249" s="10">
        <f t="shared" si="174"/>
        <v>43798</v>
      </c>
      <c r="L249" s="10">
        <f t="shared" si="181"/>
        <v>3798</v>
      </c>
      <c r="M249" s="10">
        <f t="shared" si="182"/>
        <v>3797</v>
      </c>
      <c r="N249" s="10" t="s">
        <v>419</v>
      </c>
      <c r="O249" s="10" t="s">
        <v>324</v>
      </c>
      <c r="P249" s="10">
        <v>0</v>
      </c>
      <c r="Q249" s="10"/>
      <c r="R249" s="111"/>
    </row>
    <row r="250" spans="2:26" x14ac:dyDescent="0.3">
      <c r="B250" s="470" t="s">
        <v>836</v>
      </c>
      <c r="C250" s="471"/>
      <c r="D250" s="471"/>
      <c r="E250" s="471"/>
      <c r="F250" s="471"/>
      <c r="G250" s="471"/>
      <c r="H250" s="471"/>
      <c r="I250" s="471"/>
      <c r="J250" s="471"/>
      <c r="K250" s="471"/>
      <c r="L250" s="471"/>
      <c r="M250" s="471"/>
      <c r="N250" s="471"/>
      <c r="O250" s="471"/>
      <c r="P250" s="471"/>
      <c r="Q250" s="471"/>
      <c r="R250" s="472"/>
      <c r="S250" s="56"/>
      <c r="T250" s="26"/>
      <c r="U250" s="26"/>
      <c r="V250" s="26"/>
      <c r="W250" s="26"/>
      <c r="X250" s="26"/>
      <c r="Y250" s="26"/>
      <c r="Z250" s="26"/>
    </row>
    <row r="251" spans="2:26" s="56" customFormat="1" ht="31.2" x14ac:dyDescent="0.3">
      <c r="B251" s="10" t="s">
        <v>748</v>
      </c>
      <c r="C251" s="10" t="s">
        <v>321</v>
      </c>
      <c r="D251" s="67">
        <v>2</v>
      </c>
      <c r="E251" s="67">
        <f t="shared" ref="E251:E253" si="183">D251/2</f>
        <v>1</v>
      </c>
      <c r="F251" s="67">
        <v>0</v>
      </c>
      <c r="G251" s="67">
        <v>1</v>
      </c>
      <c r="H251" s="67">
        <v>1</v>
      </c>
      <c r="I251" s="67">
        <v>1</v>
      </c>
      <c r="J251" s="67" t="s">
        <v>418</v>
      </c>
      <c r="K251" s="67">
        <f>K249+E249</f>
        <v>43799</v>
      </c>
      <c r="L251" s="10">
        <f>K251-40000</f>
        <v>3799</v>
      </c>
      <c r="M251" s="10">
        <f>L251-1</f>
        <v>3798</v>
      </c>
      <c r="N251" s="10" t="s">
        <v>419</v>
      </c>
      <c r="O251" s="10" t="s">
        <v>327</v>
      </c>
      <c r="P251" s="67">
        <v>0</v>
      </c>
      <c r="Q251" s="67"/>
      <c r="R251" s="110" t="s">
        <v>758</v>
      </c>
    </row>
    <row r="252" spans="2:26" s="56" customFormat="1" ht="15.6" x14ac:dyDescent="0.3">
      <c r="B252" s="10" t="s">
        <v>837</v>
      </c>
      <c r="C252" s="10" t="s">
        <v>321</v>
      </c>
      <c r="D252" s="10">
        <v>2</v>
      </c>
      <c r="E252" s="10">
        <f t="shared" si="183"/>
        <v>1</v>
      </c>
      <c r="F252" s="10">
        <v>0</v>
      </c>
      <c r="G252" s="10">
        <v>60000</v>
      </c>
      <c r="H252" s="10">
        <v>1</v>
      </c>
      <c r="I252" s="10" t="s">
        <v>403</v>
      </c>
      <c r="J252" s="10" t="s">
        <v>418</v>
      </c>
      <c r="K252" s="10">
        <f>K251+E251</f>
        <v>43800</v>
      </c>
      <c r="L252" s="10">
        <f t="shared" ref="L252:L254" si="184">K252-40000</f>
        <v>3800</v>
      </c>
      <c r="M252" s="10">
        <f t="shared" ref="M252:M254" si="185">L252-1</f>
        <v>3799</v>
      </c>
      <c r="N252" s="10" t="s">
        <v>419</v>
      </c>
      <c r="O252" s="10" t="s">
        <v>327</v>
      </c>
      <c r="P252" s="10">
        <v>0</v>
      </c>
      <c r="Q252" s="10" t="s">
        <v>760</v>
      </c>
      <c r="R252" s="111"/>
    </row>
    <row r="253" spans="2:26" s="56" customFormat="1" ht="15.6" x14ac:dyDescent="0.3">
      <c r="B253" s="10" t="s">
        <v>320</v>
      </c>
      <c r="C253" s="10" t="s">
        <v>321</v>
      </c>
      <c r="D253" s="10">
        <v>2</v>
      </c>
      <c r="E253" s="10">
        <f t="shared" si="183"/>
        <v>1</v>
      </c>
      <c r="F253" s="10">
        <v>0</v>
      </c>
      <c r="G253" s="10">
        <v>0</v>
      </c>
      <c r="H253" s="10">
        <v>0</v>
      </c>
      <c r="I253" s="10">
        <v>0</v>
      </c>
      <c r="J253" s="10" t="s">
        <v>418</v>
      </c>
      <c r="K253" s="10">
        <f>K252+E252</f>
        <v>43801</v>
      </c>
      <c r="L253" s="10">
        <f t="shared" si="184"/>
        <v>3801</v>
      </c>
      <c r="M253" s="10">
        <f t="shared" si="185"/>
        <v>3800</v>
      </c>
      <c r="N253" s="10" t="s">
        <v>419</v>
      </c>
      <c r="O253" s="10" t="s">
        <v>324</v>
      </c>
      <c r="P253" s="10">
        <v>0</v>
      </c>
      <c r="Q253" s="10"/>
      <c r="R253" s="111"/>
    </row>
    <row r="254" spans="2:26" s="56" customFormat="1" ht="15.6" x14ac:dyDescent="0.3">
      <c r="B254" s="10" t="s">
        <v>320</v>
      </c>
      <c r="C254" s="10" t="s">
        <v>321</v>
      </c>
      <c r="D254" s="10">
        <v>2</v>
      </c>
      <c r="E254" s="10">
        <f t="shared" ref="E254" si="186">D254/2</f>
        <v>1</v>
      </c>
      <c r="F254" s="10">
        <v>0</v>
      </c>
      <c r="G254" s="10">
        <v>0</v>
      </c>
      <c r="H254" s="10">
        <v>0</v>
      </c>
      <c r="I254" s="10">
        <v>0</v>
      </c>
      <c r="J254" s="10" t="s">
        <v>418</v>
      </c>
      <c r="K254" s="10">
        <f>K253+E253</f>
        <v>43802</v>
      </c>
      <c r="L254" s="10">
        <f t="shared" si="184"/>
        <v>3802</v>
      </c>
      <c r="M254" s="10">
        <f t="shared" si="185"/>
        <v>3801</v>
      </c>
      <c r="N254" s="10" t="s">
        <v>419</v>
      </c>
      <c r="O254" s="10" t="s">
        <v>324</v>
      </c>
      <c r="P254" s="10">
        <v>0</v>
      </c>
      <c r="Q254" s="10"/>
      <c r="R254" s="111"/>
    </row>
    <row r="255" spans="2:26" x14ac:dyDescent="0.3">
      <c r="B255" s="470" t="s">
        <v>838</v>
      </c>
      <c r="C255" s="471"/>
      <c r="D255" s="471"/>
      <c r="E255" s="471"/>
      <c r="F255" s="471"/>
      <c r="G255" s="471"/>
      <c r="H255" s="471"/>
      <c r="I255" s="471"/>
      <c r="J255" s="471"/>
      <c r="K255" s="471"/>
      <c r="L255" s="471"/>
      <c r="M255" s="471"/>
      <c r="N255" s="471"/>
      <c r="O255" s="471"/>
      <c r="P255" s="471"/>
      <c r="Q255" s="471"/>
      <c r="R255" s="472"/>
      <c r="S255" s="56"/>
      <c r="T255" s="26"/>
      <c r="U255" s="26"/>
      <c r="V255" s="26"/>
      <c r="W255" s="26"/>
      <c r="X255" s="26"/>
      <c r="Y255" s="26"/>
      <c r="Z255" s="26"/>
    </row>
    <row r="256" spans="2:26" s="56" customFormat="1" ht="31.2" x14ac:dyDescent="0.3">
      <c r="B256" s="10" t="s">
        <v>748</v>
      </c>
      <c r="C256" s="10" t="s">
        <v>321</v>
      </c>
      <c r="D256" s="67">
        <v>2</v>
      </c>
      <c r="E256" s="67">
        <f t="shared" ref="E256:E259" si="187">D256/2</f>
        <v>1</v>
      </c>
      <c r="F256" s="67">
        <v>0</v>
      </c>
      <c r="G256" s="67">
        <v>1</v>
      </c>
      <c r="H256" s="67">
        <v>1</v>
      </c>
      <c r="I256" s="67">
        <v>1</v>
      </c>
      <c r="J256" s="67" t="s">
        <v>418</v>
      </c>
      <c r="K256" s="67">
        <f>K254+E254</f>
        <v>43803</v>
      </c>
      <c r="L256" s="10">
        <f>K256-40000</f>
        <v>3803</v>
      </c>
      <c r="M256" s="10">
        <f>L256-1</f>
        <v>3802</v>
      </c>
      <c r="N256" s="10" t="s">
        <v>419</v>
      </c>
      <c r="O256" s="10" t="s">
        <v>327</v>
      </c>
      <c r="P256" s="67">
        <v>0</v>
      </c>
      <c r="Q256" s="67"/>
      <c r="R256" s="110" t="s">
        <v>758</v>
      </c>
    </row>
    <row r="257" spans="2:28" s="56" customFormat="1" ht="15.6" x14ac:dyDescent="0.3">
      <c r="B257" s="10" t="s">
        <v>821</v>
      </c>
      <c r="C257" s="10" t="s">
        <v>321</v>
      </c>
      <c r="D257" s="10">
        <v>2</v>
      </c>
      <c r="E257" s="10">
        <f t="shared" si="187"/>
        <v>1</v>
      </c>
      <c r="F257" s="10">
        <v>0</v>
      </c>
      <c r="G257" s="10">
        <v>60000</v>
      </c>
      <c r="H257" s="10">
        <v>1</v>
      </c>
      <c r="I257" s="67">
        <v>1</v>
      </c>
      <c r="J257" s="10" t="s">
        <v>418</v>
      </c>
      <c r="K257" s="10">
        <f>K256+E256</f>
        <v>43804</v>
      </c>
      <c r="L257" s="10">
        <f t="shared" ref="L257:L259" si="188">K257-40000</f>
        <v>3804</v>
      </c>
      <c r="M257" s="10">
        <f t="shared" ref="M257:M259" si="189">L257-1</f>
        <v>3803</v>
      </c>
      <c r="N257" s="10" t="s">
        <v>419</v>
      </c>
      <c r="O257" s="10" t="s">
        <v>327</v>
      </c>
      <c r="P257" s="10">
        <v>0</v>
      </c>
      <c r="Q257" s="10" t="s">
        <v>760</v>
      </c>
      <c r="R257" s="111"/>
    </row>
    <row r="258" spans="2:28" s="56" customFormat="1" ht="15.6" x14ac:dyDescent="0.3">
      <c r="B258" s="10" t="s">
        <v>320</v>
      </c>
      <c r="C258" s="10" t="s">
        <v>321</v>
      </c>
      <c r="D258" s="10">
        <v>2</v>
      </c>
      <c r="E258" s="10">
        <f t="shared" ref="E258" si="190">D258/2</f>
        <v>1</v>
      </c>
      <c r="F258" s="10">
        <v>0</v>
      </c>
      <c r="G258" s="10">
        <v>0</v>
      </c>
      <c r="H258" s="10">
        <v>0</v>
      </c>
      <c r="I258" s="10">
        <v>0</v>
      </c>
      <c r="J258" s="10" t="s">
        <v>418</v>
      </c>
      <c r="K258" s="10">
        <f>K257+E257</f>
        <v>43805</v>
      </c>
      <c r="L258" s="10">
        <f t="shared" ref="L258" si="191">K258-40000</f>
        <v>3805</v>
      </c>
      <c r="M258" s="10">
        <f t="shared" ref="M258" si="192">L258-1</f>
        <v>3804</v>
      </c>
      <c r="N258" s="10" t="s">
        <v>419</v>
      </c>
      <c r="O258" s="10" t="s">
        <v>324</v>
      </c>
      <c r="P258" s="10">
        <v>0</v>
      </c>
      <c r="Q258" s="10"/>
      <c r="R258" s="111"/>
    </row>
    <row r="259" spans="2:28" s="56" customFormat="1" ht="15.6" x14ac:dyDescent="0.3">
      <c r="B259" s="10" t="s">
        <v>320</v>
      </c>
      <c r="C259" s="10" t="s">
        <v>321</v>
      </c>
      <c r="D259" s="10">
        <v>2</v>
      </c>
      <c r="E259" s="10">
        <f t="shared" si="187"/>
        <v>1</v>
      </c>
      <c r="F259" s="10">
        <v>0</v>
      </c>
      <c r="G259" s="10">
        <v>0</v>
      </c>
      <c r="H259" s="10">
        <v>0</v>
      </c>
      <c r="I259" s="10">
        <v>0</v>
      </c>
      <c r="J259" s="10" t="s">
        <v>418</v>
      </c>
      <c r="K259" s="10">
        <f>K258+E258</f>
        <v>43806</v>
      </c>
      <c r="L259" s="10">
        <f t="shared" si="188"/>
        <v>3806</v>
      </c>
      <c r="M259" s="10">
        <f t="shared" si="189"/>
        <v>3805</v>
      </c>
      <c r="N259" s="10" t="s">
        <v>419</v>
      </c>
      <c r="O259" s="10" t="s">
        <v>324</v>
      </c>
      <c r="P259" s="10">
        <v>0</v>
      </c>
      <c r="Q259" s="10"/>
      <c r="R259" s="111"/>
    </row>
    <row r="260" spans="2:28" x14ac:dyDescent="0.3">
      <c r="B260" s="470" t="s">
        <v>839</v>
      </c>
      <c r="C260" s="471"/>
      <c r="D260" s="471"/>
      <c r="E260" s="471"/>
      <c r="F260" s="471"/>
      <c r="G260" s="471"/>
      <c r="H260" s="471"/>
      <c r="I260" s="471"/>
      <c r="J260" s="471"/>
      <c r="K260" s="471"/>
      <c r="L260" s="471"/>
      <c r="M260" s="471"/>
      <c r="N260" s="471"/>
      <c r="O260" s="471"/>
      <c r="P260" s="471"/>
      <c r="Q260" s="471"/>
      <c r="R260" s="472"/>
      <c r="S260" s="56"/>
      <c r="T260" s="26"/>
      <c r="U260" s="26"/>
      <c r="V260" s="26"/>
      <c r="W260" s="26"/>
      <c r="X260" s="26"/>
      <c r="Y260" s="26"/>
      <c r="Z260" s="26"/>
    </row>
    <row r="261" spans="2:28" s="56" customFormat="1" ht="62.4" x14ac:dyDescent="0.3">
      <c r="B261" s="10" t="s">
        <v>748</v>
      </c>
      <c r="C261" s="10" t="s">
        <v>321</v>
      </c>
      <c r="D261" s="67">
        <v>2</v>
      </c>
      <c r="E261" s="67">
        <f t="shared" ref="E261:E265" si="193">D261/2</f>
        <v>1</v>
      </c>
      <c r="F261" s="67">
        <v>0</v>
      </c>
      <c r="G261" s="67">
        <v>3</v>
      </c>
      <c r="H261" s="67">
        <v>1</v>
      </c>
      <c r="I261" s="67">
        <v>1</v>
      </c>
      <c r="J261" s="67" t="s">
        <v>418</v>
      </c>
      <c r="K261" s="67">
        <f>K259+E259</f>
        <v>43807</v>
      </c>
      <c r="L261" s="10">
        <f>K261-40000</f>
        <v>3807</v>
      </c>
      <c r="M261" s="10">
        <f>L261-1</f>
        <v>3806</v>
      </c>
      <c r="N261" s="10" t="s">
        <v>419</v>
      </c>
      <c r="O261" s="10" t="s">
        <v>327</v>
      </c>
      <c r="P261" s="67">
        <v>0</v>
      </c>
      <c r="Q261" s="67"/>
      <c r="R261" s="110" t="s">
        <v>749</v>
      </c>
    </row>
    <row r="262" spans="2:28" s="56" customFormat="1" ht="15.6" x14ac:dyDescent="0.3">
      <c r="B262" s="10" t="s">
        <v>821</v>
      </c>
      <c r="C262" s="10" t="s">
        <v>321</v>
      </c>
      <c r="D262" s="10">
        <v>2</v>
      </c>
      <c r="E262" s="10">
        <f t="shared" si="193"/>
        <v>1</v>
      </c>
      <c r="F262" s="10">
        <v>1</v>
      </c>
      <c r="G262" s="10">
        <v>60000</v>
      </c>
      <c r="H262" s="10">
        <v>1</v>
      </c>
      <c r="I262" s="64" t="s">
        <v>386</v>
      </c>
      <c r="J262" s="10" t="s">
        <v>418</v>
      </c>
      <c r="K262" s="10">
        <f>K261+E261</f>
        <v>43808</v>
      </c>
      <c r="L262" s="10">
        <f t="shared" ref="L262:L264" si="194">K262-40000</f>
        <v>3808</v>
      </c>
      <c r="M262" s="10">
        <f t="shared" ref="M262:M264" si="195">L262-1</f>
        <v>3807</v>
      </c>
      <c r="N262" s="10" t="s">
        <v>419</v>
      </c>
      <c r="O262" s="10" t="s">
        <v>327</v>
      </c>
      <c r="P262" s="10">
        <v>10</v>
      </c>
      <c r="Q262" s="10" t="s">
        <v>760</v>
      </c>
      <c r="R262" s="111"/>
    </row>
    <row r="263" spans="2:28" s="56" customFormat="1" ht="62.4" x14ac:dyDescent="0.3">
      <c r="B263" s="10" t="s">
        <v>753</v>
      </c>
      <c r="C263" s="10" t="s">
        <v>359</v>
      </c>
      <c r="D263" s="10">
        <v>2</v>
      </c>
      <c r="E263" s="10">
        <f t="shared" si="193"/>
        <v>1</v>
      </c>
      <c r="F263" s="10">
        <v>1</v>
      </c>
      <c r="G263" s="10">
        <v>15</v>
      </c>
      <c r="H263" s="10">
        <v>1</v>
      </c>
      <c r="I263" s="10">
        <v>1</v>
      </c>
      <c r="J263" s="10" t="s">
        <v>418</v>
      </c>
      <c r="K263" s="10">
        <f>K262+E262</f>
        <v>43809</v>
      </c>
      <c r="L263" s="10">
        <f t="shared" si="194"/>
        <v>3809</v>
      </c>
      <c r="M263" s="10">
        <f t="shared" si="195"/>
        <v>3808</v>
      </c>
      <c r="N263" s="10" t="s">
        <v>419</v>
      </c>
      <c r="O263" s="10" t="s">
        <v>327</v>
      </c>
      <c r="P263" s="10">
        <v>3</v>
      </c>
      <c r="Q263" s="10"/>
      <c r="R263" s="222" t="s">
        <v>754</v>
      </c>
    </row>
    <row r="264" spans="2:28" s="56" customFormat="1" ht="15.6" x14ac:dyDescent="0.3">
      <c r="B264" s="10" t="s">
        <v>770</v>
      </c>
      <c r="C264" s="10" t="s">
        <v>321</v>
      </c>
      <c r="D264" s="10">
        <v>2</v>
      </c>
      <c r="E264" s="10">
        <f t="shared" si="193"/>
        <v>1</v>
      </c>
      <c r="F264" s="10">
        <v>0</v>
      </c>
      <c r="G264" s="10">
        <v>60000</v>
      </c>
      <c r="H264" s="10">
        <v>1</v>
      </c>
      <c r="I264" s="64" t="s">
        <v>386</v>
      </c>
      <c r="J264" s="10" t="s">
        <v>418</v>
      </c>
      <c r="K264" s="10">
        <f t="shared" ref="K264:K265" si="196">K263+E263</f>
        <v>43810</v>
      </c>
      <c r="L264" s="10">
        <f t="shared" si="194"/>
        <v>3810</v>
      </c>
      <c r="M264" s="10">
        <f t="shared" si="195"/>
        <v>3809</v>
      </c>
      <c r="N264" s="10" t="s">
        <v>419</v>
      </c>
      <c r="O264" s="10" t="s">
        <v>327</v>
      </c>
      <c r="P264" s="10">
        <v>0</v>
      </c>
      <c r="Q264" s="10" t="s">
        <v>760</v>
      </c>
      <c r="R264" s="111"/>
    </row>
    <row r="265" spans="2:28" ht="15.6" x14ac:dyDescent="0.3">
      <c r="B265" s="10" t="s">
        <v>320</v>
      </c>
      <c r="C265" s="10" t="s">
        <v>321</v>
      </c>
      <c r="D265" s="10">
        <v>2</v>
      </c>
      <c r="E265" s="10">
        <f t="shared" si="193"/>
        <v>1</v>
      </c>
      <c r="F265" s="10">
        <v>0</v>
      </c>
      <c r="G265" s="10">
        <v>0</v>
      </c>
      <c r="H265" s="10">
        <v>0</v>
      </c>
      <c r="I265" s="10">
        <v>0</v>
      </c>
      <c r="J265" s="10" t="s">
        <v>418</v>
      </c>
      <c r="K265" s="10">
        <f t="shared" si="196"/>
        <v>43811</v>
      </c>
      <c r="L265" s="10">
        <f>K265-40000</f>
        <v>3811</v>
      </c>
      <c r="M265" s="10">
        <f>L265-1</f>
        <v>3810</v>
      </c>
      <c r="N265" s="10" t="s">
        <v>419</v>
      </c>
      <c r="O265" s="10" t="s">
        <v>324</v>
      </c>
      <c r="P265" s="10">
        <v>0</v>
      </c>
      <c r="Q265" s="10"/>
      <c r="R265" s="111"/>
      <c r="S265" s="29"/>
      <c r="AA265" s="56"/>
      <c r="AB265" s="56"/>
    </row>
    <row r="266" spans="2:28" s="56" customFormat="1" ht="15.6" x14ac:dyDescent="0.3">
      <c r="B266" s="68"/>
      <c r="C266" s="68"/>
      <c r="D266" s="68"/>
      <c r="E266" s="68"/>
      <c r="F266" s="68"/>
      <c r="G266" s="68"/>
      <c r="H266" s="68"/>
      <c r="I266" s="68"/>
      <c r="J266" s="68"/>
      <c r="K266" s="68"/>
      <c r="L266" s="68"/>
      <c r="M266" s="68"/>
      <c r="N266" s="68"/>
      <c r="O266" s="68"/>
      <c r="P266" s="68"/>
      <c r="Q266" s="68"/>
      <c r="R266" s="113"/>
    </row>
    <row r="268" spans="2:28" ht="21" x14ac:dyDescent="0.3">
      <c r="B268" s="474" t="s">
        <v>840</v>
      </c>
      <c r="C268" s="475"/>
      <c r="D268" s="475"/>
      <c r="E268" s="475"/>
      <c r="F268" s="475"/>
      <c r="G268" s="475"/>
      <c r="H268" s="475"/>
      <c r="I268" s="475"/>
      <c r="J268" s="475"/>
      <c r="K268" s="475"/>
      <c r="L268" s="475"/>
      <c r="M268" s="475"/>
      <c r="N268" s="475"/>
      <c r="O268" s="475"/>
      <c r="P268" s="475"/>
      <c r="Q268" s="475"/>
      <c r="R268" s="476"/>
    </row>
    <row r="269" spans="2:28" x14ac:dyDescent="0.3">
      <c r="B269" s="470" t="s">
        <v>841</v>
      </c>
      <c r="C269" s="471"/>
      <c r="D269" s="471"/>
      <c r="E269" s="471"/>
      <c r="F269" s="471"/>
      <c r="G269" s="471"/>
      <c r="H269" s="471"/>
      <c r="I269" s="471"/>
      <c r="J269" s="471"/>
      <c r="K269" s="471"/>
      <c r="L269" s="471"/>
      <c r="M269" s="471"/>
      <c r="N269" s="471"/>
      <c r="O269" s="471"/>
      <c r="P269" s="471"/>
      <c r="Q269" s="471"/>
      <c r="R269" s="472"/>
    </row>
    <row r="270" spans="2:28" ht="62.4" x14ac:dyDescent="0.3">
      <c r="B270" s="10" t="s">
        <v>748</v>
      </c>
      <c r="C270" s="10" t="s">
        <v>321</v>
      </c>
      <c r="D270" s="10">
        <v>2</v>
      </c>
      <c r="E270" s="10">
        <f t="shared" ref="E270:E274" si="197">D270/2</f>
        <v>1</v>
      </c>
      <c r="F270" s="10">
        <v>0</v>
      </c>
      <c r="G270" s="10">
        <v>3</v>
      </c>
      <c r="H270" s="10">
        <v>1</v>
      </c>
      <c r="I270" s="10">
        <v>1</v>
      </c>
      <c r="J270" s="10" t="s">
        <v>418</v>
      </c>
      <c r="K270" s="10">
        <v>43876</v>
      </c>
      <c r="L270" s="10">
        <f>K270-40000</f>
        <v>3876</v>
      </c>
      <c r="M270" s="10">
        <f>L270-1</f>
        <v>3875</v>
      </c>
      <c r="N270" s="10" t="s">
        <v>419</v>
      </c>
      <c r="O270" s="10" t="s">
        <v>327</v>
      </c>
      <c r="P270" s="10">
        <v>0</v>
      </c>
      <c r="Q270" s="10"/>
      <c r="R270" s="110" t="s">
        <v>749</v>
      </c>
    </row>
    <row r="271" spans="2:28" ht="15.6" x14ac:dyDescent="0.3">
      <c r="B271" s="10" t="s">
        <v>769</v>
      </c>
      <c r="C271" s="10" t="s">
        <v>321</v>
      </c>
      <c r="D271" s="10">
        <v>2</v>
      </c>
      <c r="E271" s="10">
        <f t="shared" si="197"/>
        <v>1</v>
      </c>
      <c r="F271" s="10">
        <v>0</v>
      </c>
      <c r="G271" s="10">
        <v>60000</v>
      </c>
      <c r="H271" s="10">
        <v>1</v>
      </c>
      <c r="I271" s="64" t="s">
        <v>386</v>
      </c>
      <c r="J271" s="10" t="s">
        <v>418</v>
      </c>
      <c r="K271" s="10">
        <f>K270+E270</f>
        <v>43877</v>
      </c>
      <c r="L271" s="10">
        <f t="shared" ref="L271:L273" si="198">K271-40000</f>
        <v>3877</v>
      </c>
      <c r="M271" s="10">
        <f t="shared" ref="M271:M273" si="199">L271-1</f>
        <v>3876</v>
      </c>
      <c r="N271" s="10" t="s">
        <v>419</v>
      </c>
      <c r="O271" s="10" t="s">
        <v>327</v>
      </c>
      <c r="P271" s="10">
        <v>0</v>
      </c>
      <c r="Q271" s="10" t="s">
        <v>329</v>
      </c>
      <c r="R271" s="111"/>
    </row>
    <row r="272" spans="2:28" ht="62.4" x14ac:dyDescent="0.3">
      <c r="B272" s="10" t="s">
        <v>753</v>
      </c>
      <c r="C272" s="10" t="s">
        <v>359</v>
      </c>
      <c r="D272" s="10">
        <v>2</v>
      </c>
      <c r="E272" s="10">
        <f t="shared" si="197"/>
        <v>1</v>
      </c>
      <c r="F272" s="10">
        <v>1</v>
      </c>
      <c r="G272" s="10">
        <v>15</v>
      </c>
      <c r="H272" s="10">
        <v>1</v>
      </c>
      <c r="I272" s="10">
        <v>1</v>
      </c>
      <c r="J272" s="10" t="s">
        <v>418</v>
      </c>
      <c r="K272" s="10">
        <f>K271+E271</f>
        <v>43878</v>
      </c>
      <c r="L272" s="10">
        <f t="shared" si="198"/>
        <v>3878</v>
      </c>
      <c r="M272" s="10">
        <f t="shared" si="199"/>
        <v>3877</v>
      </c>
      <c r="N272" s="10" t="s">
        <v>419</v>
      </c>
      <c r="O272" s="10" t="s">
        <v>327</v>
      </c>
      <c r="P272" s="10">
        <v>3</v>
      </c>
      <c r="Q272" s="10"/>
      <c r="R272" s="222" t="s">
        <v>754</v>
      </c>
    </row>
    <row r="273" spans="2:18" ht="15.6" x14ac:dyDescent="0.3">
      <c r="B273" s="10" t="s">
        <v>770</v>
      </c>
      <c r="C273" s="10" t="s">
        <v>321</v>
      </c>
      <c r="D273" s="10">
        <v>2</v>
      </c>
      <c r="E273" s="10">
        <f t="shared" si="197"/>
        <v>1</v>
      </c>
      <c r="F273" s="10">
        <v>0</v>
      </c>
      <c r="G273" s="10">
        <v>60000</v>
      </c>
      <c r="H273" s="10">
        <v>1</v>
      </c>
      <c r="I273" s="64" t="s">
        <v>386</v>
      </c>
      <c r="J273" s="10" t="s">
        <v>418</v>
      </c>
      <c r="K273" s="10">
        <f t="shared" ref="K273:K274" si="200">K272+E272</f>
        <v>43879</v>
      </c>
      <c r="L273" s="10">
        <f t="shared" si="198"/>
        <v>3879</v>
      </c>
      <c r="M273" s="10">
        <f t="shared" si="199"/>
        <v>3878</v>
      </c>
      <c r="N273" s="10" t="s">
        <v>419</v>
      </c>
      <c r="O273" s="10" t="s">
        <v>327</v>
      </c>
      <c r="P273" s="10">
        <v>0</v>
      </c>
      <c r="Q273" s="10" t="s">
        <v>760</v>
      </c>
      <c r="R273" s="111"/>
    </row>
    <row r="274" spans="2:18" ht="15.6" x14ac:dyDescent="0.3">
      <c r="B274" s="10" t="s">
        <v>320</v>
      </c>
      <c r="C274" s="10" t="s">
        <v>321</v>
      </c>
      <c r="D274" s="10">
        <v>2</v>
      </c>
      <c r="E274" s="10">
        <f t="shared" si="197"/>
        <v>1</v>
      </c>
      <c r="F274" s="10">
        <v>0</v>
      </c>
      <c r="G274" s="10">
        <v>0</v>
      </c>
      <c r="H274" s="10">
        <v>0</v>
      </c>
      <c r="I274" s="10">
        <v>0</v>
      </c>
      <c r="J274" s="10" t="s">
        <v>418</v>
      </c>
      <c r="K274" s="10">
        <f t="shared" si="200"/>
        <v>43880</v>
      </c>
      <c r="L274" s="10">
        <f>K274-40000</f>
        <v>3880</v>
      </c>
      <c r="M274" s="10">
        <f>L274-1</f>
        <v>3879</v>
      </c>
      <c r="N274" s="10" t="s">
        <v>419</v>
      </c>
      <c r="O274" s="10" t="s">
        <v>324</v>
      </c>
      <c r="P274" s="10">
        <v>0</v>
      </c>
      <c r="Q274" s="10"/>
      <c r="R274" s="111"/>
    </row>
    <row r="275" spans="2:18" x14ac:dyDescent="0.3">
      <c r="B275" s="470" t="s">
        <v>842</v>
      </c>
      <c r="C275" s="471"/>
      <c r="D275" s="471"/>
      <c r="E275" s="471"/>
      <c r="F275" s="471"/>
      <c r="G275" s="471"/>
      <c r="H275" s="471"/>
      <c r="I275" s="471"/>
      <c r="J275" s="471"/>
      <c r="K275" s="471"/>
      <c r="L275" s="471"/>
      <c r="M275" s="471"/>
      <c r="N275" s="471"/>
      <c r="O275" s="471"/>
      <c r="P275" s="471"/>
      <c r="Q275" s="471"/>
      <c r="R275" s="472"/>
    </row>
    <row r="276" spans="2:18" ht="62.4" x14ac:dyDescent="0.3">
      <c r="B276" s="10" t="s">
        <v>748</v>
      </c>
      <c r="C276" s="10" t="s">
        <v>321</v>
      </c>
      <c r="D276" s="10">
        <v>2</v>
      </c>
      <c r="E276" s="10">
        <f t="shared" ref="E276:E280" si="201">D276/2</f>
        <v>1</v>
      </c>
      <c r="F276" s="10">
        <v>0</v>
      </c>
      <c r="G276" s="10">
        <v>3</v>
      </c>
      <c r="H276" s="10">
        <v>1</v>
      </c>
      <c r="I276" s="10">
        <v>1</v>
      </c>
      <c r="J276" s="10" t="s">
        <v>418</v>
      </c>
      <c r="K276" s="10">
        <f>K274+E274</f>
        <v>43881</v>
      </c>
      <c r="L276" s="10">
        <f>K276-40000</f>
        <v>3881</v>
      </c>
      <c r="M276" s="10">
        <f>L276-1</f>
        <v>3880</v>
      </c>
      <c r="N276" s="10" t="s">
        <v>419</v>
      </c>
      <c r="O276" s="10" t="s">
        <v>327</v>
      </c>
      <c r="P276" s="10">
        <v>0</v>
      </c>
      <c r="Q276" s="10"/>
      <c r="R276" s="110" t="s">
        <v>749</v>
      </c>
    </row>
    <row r="277" spans="2:18" ht="15.6" x14ac:dyDescent="0.3">
      <c r="B277" s="10" t="s">
        <v>769</v>
      </c>
      <c r="C277" s="10" t="s">
        <v>321</v>
      </c>
      <c r="D277" s="10">
        <v>2</v>
      </c>
      <c r="E277" s="10">
        <f t="shared" si="201"/>
        <v>1</v>
      </c>
      <c r="F277" s="10">
        <v>0</v>
      </c>
      <c r="G277" s="10">
        <v>60000</v>
      </c>
      <c r="H277" s="10">
        <v>1</v>
      </c>
      <c r="I277" s="64" t="s">
        <v>386</v>
      </c>
      <c r="J277" s="10" t="s">
        <v>418</v>
      </c>
      <c r="K277" s="10">
        <f>K276+E276</f>
        <v>43882</v>
      </c>
      <c r="L277" s="10">
        <f t="shared" ref="L277:L279" si="202">K277-40000</f>
        <v>3882</v>
      </c>
      <c r="M277" s="10">
        <f t="shared" ref="M277:M279" si="203">L277-1</f>
        <v>3881</v>
      </c>
      <c r="N277" s="10" t="s">
        <v>419</v>
      </c>
      <c r="O277" s="10" t="s">
        <v>327</v>
      </c>
      <c r="P277" s="10">
        <v>0</v>
      </c>
      <c r="Q277" s="10" t="s">
        <v>329</v>
      </c>
      <c r="R277" s="111"/>
    </row>
    <row r="278" spans="2:18" ht="62.4" x14ac:dyDescent="0.3">
      <c r="B278" s="10" t="s">
        <v>753</v>
      </c>
      <c r="C278" s="10" t="s">
        <v>359</v>
      </c>
      <c r="D278" s="10">
        <v>2</v>
      </c>
      <c r="E278" s="10">
        <f t="shared" si="201"/>
        <v>1</v>
      </c>
      <c r="F278" s="10">
        <v>1</v>
      </c>
      <c r="G278" s="10">
        <v>15</v>
      </c>
      <c r="H278" s="10">
        <v>1</v>
      </c>
      <c r="I278" s="10">
        <v>1</v>
      </c>
      <c r="J278" s="10" t="s">
        <v>418</v>
      </c>
      <c r="K278" s="10">
        <f>K277+E277</f>
        <v>43883</v>
      </c>
      <c r="L278" s="10">
        <f t="shared" si="202"/>
        <v>3883</v>
      </c>
      <c r="M278" s="10">
        <f t="shared" si="203"/>
        <v>3882</v>
      </c>
      <c r="N278" s="10" t="s">
        <v>419</v>
      </c>
      <c r="O278" s="10" t="s">
        <v>327</v>
      </c>
      <c r="P278" s="10">
        <v>3</v>
      </c>
      <c r="Q278" s="10"/>
      <c r="R278" s="222" t="s">
        <v>754</v>
      </c>
    </row>
    <row r="279" spans="2:18" ht="15.6" x14ac:dyDescent="0.3">
      <c r="B279" s="10" t="s">
        <v>770</v>
      </c>
      <c r="C279" s="10" t="s">
        <v>321</v>
      </c>
      <c r="D279" s="10">
        <v>2</v>
      </c>
      <c r="E279" s="10">
        <f t="shared" si="201"/>
        <v>1</v>
      </c>
      <c r="F279" s="10">
        <v>0</v>
      </c>
      <c r="G279" s="10">
        <v>60000</v>
      </c>
      <c r="H279" s="10">
        <v>1</v>
      </c>
      <c r="I279" s="64" t="s">
        <v>386</v>
      </c>
      <c r="J279" s="10" t="s">
        <v>418</v>
      </c>
      <c r="K279" s="10">
        <f t="shared" ref="K279:K280" si="204">K278+E278</f>
        <v>43884</v>
      </c>
      <c r="L279" s="10">
        <f t="shared" si="202"/>
        <v>3884</v>
      </c>
      <c r="M279" s="10">
        <f t="shared" si="203"/>
        <v>3883</v>
      </c>
      <c r="N279" s="10" t="s">
        <v>419</v>
      </c>
      <c r="O279" s="10" t="s">
        <v>327</v>
      </c>
      <c r="P279" s="10">
        <v>0</v>
      </c>
      <c r="Q279" s="10" t="s">
        <v>760</v>
      </c>
      <c r="R279" s="111"/>
    </row>
    <row r="280" spans="2:18" ht="15.6" x14ac:dyDescent="0.3">
      <c r="B280" s="10" t="s">
        <v>320</v>
      </c>
      <c r="C280" s="10" t="s">
        <v>321</v>
      </c>
      <c r="D280" s="10">
        <v>2</v>
      </c>
      <c r="E280" s="10">
        <f t="shared" si="201"/>
        <v>1</v>
      </c>
      <c r="F280" s="10">
        <v>0</v>
      </c>
      <c r="G280" s="10">
        <v>0</v>
      </c>
      <c r="H280" s="10">
        <v>0</v>
      </c>
      <c r="I280" s="10">
        <v>0</v>
      </c>
      <c r="J280" s="10" t="s">
        <v>418</v>
      </c>
      <c r="K280" s="10">
        <f t="shared" si="204"/>
        <v>43885</v>
      </c>
      <c r="L280" s="10">
        <f>K280-40000</f>
        <v>3885</v>
      </c>
      <c r="M280" s="10">
        <f>L280-1</f>
        <v>3884</v>
      </c>
      <c r="N280" s="10" t="s">
        <v>419</v>
      </c>
      <c r="O280" s="10" t="s">
        <v>324</v>
      </c>
      <c r="P280" s="10">
        <v>0</v>
      </c>
      <c r="Q280" s="10"/>
      <c r="R280" s="111"/>
    </row>
    <row r="281" spans="2:18" x14ac:dyDescent="0.3">
      <c r="B281" s="470" t="s">
        <v>843</v>
      </c>
      <c r="C281" s="471"/>
      <c r="D281" s="471"/>
      <c r="E281" s="471"/>
      <c r="F281" s="471"/>
      <c r="G281" s="471"/>
      <c r="H281" s="471"/>
      <c r="I281" s="471"/>
      <c r="J281" s="471"/>
      <c r="K281" s="471"/>
      <c r="L281" s="471"/>
      <c r="M281" s="471"/>
      <c r="N281" s="471"/>
      <c r="O281" s="471"/>
      <c r="P281" s="471"/>
      <c r="Q281" s="471"/>
      <c r="R281" s="472"/>
    </row>
    <row r="282" spans="2:18" ht="62.4" x14ac:dyDescent="0.3">
      <c r="B282" s="10" t="s">
        <v>748</v>
      </c>
      <c r="C282" s="10" t="s">
        <v>321</v>
      </c>
      <c r="D282" s="10">
        <v>2</v>
      </c>
      <c r="E282" s="10">
        <f t="shared" ref="E282:E286" si="205">D282/2</f>
        <v>1</v>
      </c>
      <c r="F282" s="10">
        <v>0</v>
      </c>
      <c r="G282" s="10">
        <v>3</v>
      </c>
      <c r="H282" s="10">
        <v>1</v>
      </c>
      <c r="I282" s="10">
        <v>1</v>
      </c>
      <c r="J282" s="10" t="s">
        <v>418</v>
      </c>
      <c r="K282" s="10">
        <f>K280+E280</f>
        <v>43886</v>
      </c>
      <c r="L282" s="10">
        <f>K282-40000</f>
        <v>3886</v>
      </c>
      <c r="M282" s="10">
        <f>L282-1</f>
        <v>3885</v>
      </c>
      <c r="N282" s="10" t="s">
        <v>419</v>
      </c>
      <c r="O282" s="10" t="s">
        <v>327</v>
      </c>
      <c r="P282" s="10">
        <v>0</v>
      </c>
      <c r="Q282" s="10"/>
      <c r="R282" s="110" t="s">
        <v>749</v>
      </c>
    </row>
    <row r="283" spans="2:18" ht="15.6" x14ac:dyDescent="0.3">
      <c r="B283" s="10" t="s">
        <v>769</v>
      </c>
      <c r="C283" s="10" t="s">
        <v>321</v>
      </c>
      <c r="D283" s="10">
        <v>2</v>
      </c>
      <c r="E283" s="10">
        <f t="shared" si="205"/>
        <v>1</v>
      </c>
      <c r="F283" s="10">
        <v>0</v>
      </c>
      <c r="G283" s="10">
        <v>60000</v>
      </c>
      <c r="H283" s="10">
        <v>1</v>
      </c>
      <c r="I283" s="64" t="s">
        <v>386</v>
      </c>
      <c r="J283" s="10" t="s">
        <v>418</v>
      </c>
      <c r="K283" s="10">
        <f>K282+E282</f>
        <v>43887</v>
      </c>
      <c r="L283" s="10">
        <f t="shared" ref="L283:L285" si="206">K283-40000</f>
        <v>3887</v>
      </c>
      <c r="M283" s="10">
        <f t="shared" ref="M283:M285" si="207">L283-1</f>
        <v>3886</v>
      </c>
      <c r="N283" s="10" t="s">
        <v>419</v>
      </c>
      <c r="O283" s="10" t="s">
        <v>327</v>
      </c>
      <c r="P283" s="10">
        <v>0</v>
      </c>
      <c r="Q283" s="10" t="s">
        <v>329</v>
      </c>
      <c r="R283" s="111"/>
    </row>
    <row r="284" spans="2:18" ht="62.4" x14ac:dyDescent="0.3">
      <c r="B284" s="10" t="s">
        <v>753</v>
      </c>
      <c r="C284" s="10" t="s">
        <v>359</v>
      </c>
      <c r="D284" s="10">
        <v>2</v>
      </c>
      <c r="E284" s="10">
        <f t="shared" si="205"/>
        <v>1</v>
      </c>
      <c r="F284" s="10">
        <v>1</v>
      </c>
      <c r="G284" s="10">
        <v>15</v>
      </c>
      <c r="H284" s="10">
        <v>1</v>
      </c>
      <c r="I284" s="10">
        <v>1</v>
      </c>
      <c r="J284" s="10" t="s">
        <v>418</v>
      </c>
      <c r="K284" s="10">
        <f>K283+E283</f>
        <v>43888</v>
      </c>
      <c r="L284" s="10">
        <f t="shared" si="206"/>
        <v>3888</v>
      </c>
      <c r="M284" s="10">
        <f t="shared" si="207"/>
        <v>3887</v>
      </c>
      <c r="N284" s="10" t="s">
        <v>419</v>
      </c>
      <c r="O284" s="10" t="s">
        <v>327</v>
      </c>
      <c r="P284" s="10">
        <v>3</v>
      </c>
      <c r="Q284" s="10"/>
      <c r="R284" s="222" t="s">
        <v>754</v>
      </c>
    </row>
    <row r="285" spans="2:18" ht="15.6" x14ac:dyDescent="0.3">
      <c r="B285" s="10" t="s">
        <v>770</v>
      </c>
      <c r="C285" s="10" t="s">
        <v>321</v>
      </c>
      <c r="D285" s="10">
        <v>2</v>
      </c>
      <c r="E285" s="10">
        <f t="shared" si="205"/>
        <v>1</v>
      </c>
      <c r="F285" s="10">
        <v>0</v>
      </c>
      <c r="G285" s="10">
        <v>60000</v>
      </c>
      <c r="H285" s="10">
        <v>1</v>
      </c>
      <c r="I285" s="64" t="s">
        <v>386</v>
      </c>
      <c r="J285" s="10" t="s">
        <v>418</v>
      </c>
      <c r="K285" s="10">
        <f t="shared" ref="K285:K286" si="208">K284+E284</f>
        <v>43889</v>
      </c>
      <c r="L285" s="10">
        <f t="shared" si="206"/>
        <v>3889</v>
      </c>
      <c r="M285" s="10">
        <f t="shared" si="207"/>
        <v>3888</v>
      </c>
      <c r="N285" s="10" t="s">
        <v>419</v>
      </c>
      <c r="O285" s="10" t="s">
        <v>327</v>
      </c>
      <c r="P285" s="10">
        <v>0</v>
      </c>
      <c r="Q285" s="10" t="s">
        <v>760</v>
      </c>
      <c r="R285" s="111"/>
    </row>
    <row r="286" spans="2:18" ht="15.6" x14ac:dyDescent="0.3">
      <c r="B286" s="10" t="s">
        <v>320</v>
      </c>
      <c r="C286" s="10" t="s">
        <v>321</v>
      </c>
      <c r="D286" s="10">
        <v>2</v>
      </c>
      <c r="E286" s="10">
        <f t="shared" si="205"/>
        <v>1</v>
      </c>
      <c r="F286" s="10">
        <v>0</v>
      </c>
      <c r="G286" s="10">
        <v>0</v>
      </c>
      <c r="H286" s="10">
        <v>0</v>
      </c>
      <c r="I286" s="10">
        <v>0</v>
      </c>
      <c r="J286" s="10" t="s">
        <v>418</v>
      </c>
      <c r="K286" s="10">
        <f t="shared" si="208"/>
        <v>43890</v>
      </c>
      <c r="L286" s="10">
        <f>K286-40000</f>
        <v>3890</v>
      </c>
      <c r="M286" s="10">
        <f>L286-1</f>
        <v>3889</v>
      </c>
      <c r="N286" s="10" t="s">
        <v>419</v>
      </c>
      <c r="O286" s="10" t="s">
        <v>324</v>
      </c>
      <c r="P286" s="10">
        <v>0</v>
      </c>
      <c r="Q286" s="10"/>
      <c r="R286" s="111"/>
    </row>
    <row r="287" spans="2:18" x14ac:dyDescent="0.3">
      <c r="B287" s="470" t="s">
        <v>844</v>
      </c>
      <c r="C287" s="471"/>
      <c r="D287" s="471"/>
      <c r="E287" s="471"/>
      <c r="F287" s="471"/>
      <c r="G287" s="471"/>
      <c r="H287" s="471"/>
      <c r="I287" s="471"/>
      <c r="J287" s="471"/>
      <c r="K287" s="471"/>
      <c r="L287" s="471"/>
      <c r="M287" s="471"/>
      <c r="N287" s="471"/>
      <c r="O287" s="471"/>
      <c r="P287" s="471"/>
      <c r="Q287" s="471"/>
      <c r="R287" s="472"/>
    </row>
    <row r="288" spans="2:18" ht="62.4" x14ac:dyDescent="0.3">
      <c r="B288" s="10" t="s">
        <v>748</v>
      </c>
      <c r="C288" s="10" t="s">
        <v>321</v>
      </c>
      <c r="D288" s="10">
        <v>2</v>
      </c>
      <c r="E288" s="10">
        <f t="shared" ref="E288:E292" si="209">D288/2</f>
        <v>1</v>
      </c>
      <c r="F288" s="10">
        <v>0</v>
      </c>
      <c r="G288" s="10">
        <v>3</v>
      </c>
      <c r="H288" s="10">
        <v>1</v>
      </c>
      <c r="I288" s="10">
        <v>1</v>
      </c>
      <c r="J288" s="10" t="s">
        <v>418</v>
      </c>
      <c r="K288" s="10">
        <f>K286+E286</f>
        <v>43891</v>
      </c>
      <c r="L288" s="10">
        <f>K288-40000</f>
        <v>3891</v>
      </c>
      <c r="M288" s="10">
        <f>L288-1</f>
        <v>3890</v>
      </c>
      <c r="N288" s="10" t="s">
        <v>419</v>
      </c>
      <c r="O288" s="10" t="s">
        <v>327</v>
      </c>
      <c r="P288" s="10">
        <v>0</v>
      </c>
      <c r="Q288" s="10"/>
      <c r="R288" s="110" t="s">
        <v>749</v>
      </c>
    </row>
    <row r="289" spans="2:18" ht="15.6" x14ac:dyDescent="0.3">
      <c r="B289" s="10" t="s">
        <v>769</v>
      </c>
      <c r="C289" s="10" t="s">
        <v>321</v>
      </c>
      <c r="D289" s="10">
        <v>2</v>
      </c>
      <c r="E289" s="10">
        <f t="shared" si="209"/>
        <v>1</v>
      </c>
      <c r="F289" s="10">
        <v>0</v>
      </c>
      <c r="G289" s="10">
        <v>60000</v>
      </c>
      <c r="H289" s="10">
        <v>1</v>
      </c>
      <c r="I289" s="64" t="s">
        <v>386</v>
      </c>
      <c r="J289" s="10" t="s">
        <v>418</v>
      </c>
      <c r="K289" s="10">
        <f>K288+E288</f>
        <v>43892</v>
      </c>
      <c r="L289" s="10">
        <f t="shared" ref="L289:L291" si="210">K289-40000</f>
        <v>3892</v>
      </c>
      <c r="M289" s="10">
        <f t="shared" ref="M289:M291" si="211">L289-1</f>
        <v>3891</v>
      </c>
      <c r="N289" s="10" t="s">
        <v>419</v>
      </c>
      <c r="O289" s="10" t="s">
        <v>327</v>
      </c>
      <c r="P289" s="10">
        <v>0</v>
      </c>
      <c r="Q289" s="10" t="s">
        <v>329</v>
      </c>
      <c r="R289" s="111"/>
    </row>
    <row r="290" spans="2:18" ht="62.4" x14ac:dyDescent="0.3">
      <c r="B290" s="10" t="s">
        <v>753</v>
      </c>
      <c r="C290" s="10" t="s">
        <v>359</v>
      </c>
      <c r="D290" s="10">
        <v>2</v>
      </c>
      <c r="E290" s="10">
        <f t="shared" si="209"/>
        <v>1</v>
      </c>
      <c r="F290" s="10">
        <v>1</v>
      </c>
      <c r="G290" s="10">
        <v>15</v>
      </c>
      <c r="H290" s="10">
        <v>1</v>
      </c>
      <c r="I290" s="10">
        <v>1</v>
      </c>
      <c r="J290" s="10" t="s">
        <v>418</v>
      </c>
      <c r="K290" s="10">
        <f>K289+E289</f>
        <v>43893</v>
      </c>
      <c r="L290" s="10">
        <f t="shared" si="210"/>
        <v>3893</v>
      </c>
      <c r="M290" s="10">
        <f t="shared" si="211"/>
        <v>3892</v>
      </c>
      <c r="N290" s="10" t="s">
        <v>419</v>
      </c>
      <c r="O290" s="10" t="s">
        <v>327</v>
      </c>
      <c r="P290" s="10">
        <v>3</v>
      </c>
      <c r="Q290" s="10"/>
      <c r="R290" s="222" t="s">
        <v>754</v>
      </c>
    </row>
    <row r="291" spans="2:18" ht="15.6" x14ac:dyDescent="0.3">
      <c r="B291" s="10" t="s">
        <v>770</v>
      </c>
      <c r="C291" s="10" t="s">
        <v>321</v>
      </c>
      <c r="D291" s="10">
        <v>2</v>
      </c>
      <c r="E291" s="10">
        <f t="shared" si="209"/>
        <v>1</v>
      </c>
      <c r="F291" s="10">
        <v>0</v>
      </c>
      <c r="G291" s="10">
        <v>60000</v>
      </c>
      <c r="H291" s="10">
        <v>1</v>
      </c>
      <c r="I291" s="64" t="s">
        <v>386</v>
      </c>
      <c r="J291" s="10" t="s">
        <v>418</v>
      </c>
      <c r="K291" s="10">
        <f t="shared" ref="K291:K292" si="212">K290+E290</f>
        <v>43894</v>
      </c>
      <c r="L291" s="10">
        <f t="shared" si="210"/>
        <v>3894</v>
      </c>
      <c r="M291" s="10">
        <f t="shared" si="211"/>
        <v>3893</v>
      </c>
      <c r="N291" s="10" t="s">
        <v>419</v>
      </c>
      <c r="O291" s="10" t="s">
        <v>327</v>
      </c>
      <c r="P291" s="10">
        <v>0</v>
      </c>
      <c r="Q291" s="10" t="s">
        <v>760</v>
      </c>
      <c r="R291" s="111"/>
    </row>
    <row r="292" spans="2:18" ht="15.6" x14ac:dyDescent="0.3">
      <c r="B292" s="10" t="s">
        <v>320</v>
      </c>
      <c r="C292" s="10" t="s">
        <v>321</v>
      </c>
      <c r="D292" s="10">
        <v>2</v>
      </c>
      <c r="E292" s="10">
        <f t="shared" si="209"/>
        <v>1</v>
      </c>
      <c r="F292" s="10">
        <v>0</v>
      </c>
      <c r="G292" s="10">
        <v>0</v>
      </c>
      <c r="H292" s="10">
        <v>0</v>
      </c>
      <c r="I292" s="10">
        <v>0</v>
      </c>
      <c r="J292" s="10" t="s">
        <v>418</v>
      </c>
      <c r="K292" s="10">
        <f t="shared" si="212"/>
        <v>43895</v>
      </c>
      <c r="L292" s="10">
        <f>K292-40000</f>
        <v>3895</v>
      </c>
      <c r="M292" s="10">
        <f>L292-1</f>
        <v>3894</v>
      </c>
      <c r="N292" s="10" t="s">
        <v>419</v>
      </c>
      <c r="O292" s="10" t="s">
        <v>324</v>
      </c>
      <c r="P292" s="10">
        <v>0</v>
      </c>
      <c r="Q292" s="10"/>
      <c r="R292" s="111"/>
    </row>
    <row r="293" spans="2:18" x14ac:dyDescent="0.3">
      <c r="B293" s="470" t="s">
        <v>845</v>
      </c>
      <c r="C293" s="471"/>
      <c r="D293" s="471"/>
      <c r="E293" s="471"/>
      <c r="F293" s="471"/>
      <c r="G293" s="471"/>
      <c r="H293" s="471"/>
      <c r="I293" s="471"/>
      <c r="J293" s="471"/>
      <c r="K293" s="471"/>
      <c r="L293" s="471"/>
      <c r="M293" s="471"/>
      <c r="N293" s="471"/>
      <c r="O293" s="471"/>
      <c r="P293" s="471"/>
      <c r="Q293" s="471"/>
      <c r="R293" s="472"/>
    </row>
    <row r="294" spans="2:18" ht="62.4" x14ac:dyDescent="0.3">
      <c r="B294" s="10" t="s">
        <v>748</v>
      </c>
      <c r="C294" s="10" t="s">
        <v>321</v>
      </c>
      <c r="D294" s="10">
        <v>2</v>
      </c>
      <c r="E294" s="10">
        <f t="shared" ref="E294:E298" si="213">D294/2</f>
        <v>1</v>
      </c>
      <c r="F294" s="10">
        <v>0</v>
      </c>
      <c r="G294" s="10">
        <v>3</v>
      </c>
      <c r="H294" s="10">
        <v>1</v>
      </c>
      <c r="I294" s="10">
        <v>1</v>
      </c>
      <c r="J294" s="10" t="s">
        <v>418</v>
      </c>
      <c r="K294" s="10">
        <f>K292+E292</f>
        <v>43896</v>
      </c>
      <c r="L294" s="10">
        <f>K294-40000</f>
        <v>3896</v>
      </c>
      <c r="M294" s="10">
        <f>L294-1</f>
        <v>3895</v>
      </c>
      <c r="N294" s="10" t="s">
        <v>419</v>
      </c>
      <c r="O294" s="10" t="s">
        <v>327</v>
      </c>
      <c r="P294" s="10">
        <v>0</v>
      </c>
      <c r="Q294" s="10"/>
      <c r="R294" s="110" t="s">
        <v>749</v>
      </c>
    </row>
    <row r="295" spans="2:18" ht="15.6" x14ac:dyDescent="0.3">
      <c r="B295" s="10" t="s">
        <v>769</v>
      </c>
      <c r="C295" s="10" t="s">
        <v>321</v>
      </c>
      <c r="D295" s="10">
        <v>2</v>
      </c>
      <c r="E295" s="10">
        <f t="shared" si="213"/>
        <v>1</v>
      </c>
      <c r="F295" s="10">
        <v>0</v>
      </c>
      <c r="G295" s="10">
        <v>60000</v>
      </c>
      <c r="H295" s="10">
        <v>1</v>
      </c>
      <c r="I295" s="64" t="s">
        <v>386</v>
      </c>
      <c r="J295" s="10" t="s">
        <v>418</v>
      </c>
      <c r="K295" s="10">
        <f>K294+E294</f>
        <v>43897</v>
      </c>
      <c r="L295" s="10">
        <f t="shared" ref="L295:L297" si="214">K295-40000</f>
        <v>3897</v>
      </c>
      <c r="M295" s="10">
        <f t="shared" ref="M295:M297" si="215">L295-1</f>
        <v>3896</v>
      </c>
      <c r="N295" s="10" t="s">
        <v>419</v>
      </c>
      <c r="O295" s="10" t="s">
        <v>327</v>
      </c>
      <c r="P295" s="10">
        <v>0</v>
      </c>
      <c r="Q295" s="10" t="s">
        <v>329</v>
      </c>
      <c r="R295" s="111"/>
    </row>
    <row r="296" spans="2:18" ht="62.4" x14ac:dyDescent="0.3">
      <c r="B296" s="10" t="s">
        <v>753</v>
      </c>
      <c r="C296" s="10" t="s">
        <v>359</v>
      </c>
      <c r="D296" s="10">
        <v>2</v>
      </c>
      <c r="E296" s="10">
        <f t="shared" si="213"/>
        <v>1</v>
      </c>
      <c r="F296" s="10">
        <v>1</v>
      </c>
      <c r="G296" s="10">
        <v>15</v>
      </c>
      <c r="H296" s="10">
        <v>1</v>
      </c>
      <c r="I296" s="10">
        <v>1</v>
      </c>
      <c r="J296" s="10" t="s">
        <v>418</v>
      </c>
      <c r="K296" s="10">
        <f>K295+E295</f>
        <v>43898</v>
      </c>
      <c r="L296" s="10">
        <f t="shared" si="214"/>
        <v>3898</v>
      </c>
      <c r="M296" s="10">
        <f t="shared" si="215"/>
        <v>3897</v>
      </c>
      <c r="N296" s="10" t="s">
        <v>419</v>
      </c>
      <c r="O296" s="10" t="s">
        <v>327</v>
      </c>
      <c r="P296" s="10">
        <v>3</v>
      </c>
      <c r="Q296" s="10"/>
      <c r="R296" s="222" t="s">
        <v>754</v>
      </c>
    </row>
    <row r="297" spans="2:18" ht="15.6" x14ac:dyDescent="0.3">
      <c r="B297" s="10" t="s">
        <v>770</v>
      </c>
      <c r="C297" s="10" t="s">
        <v>321</v>
      </c>
      <c r="D297" s="10">
        <v>2</v>
      </c>
      <c r="E297" s="10">
        <f t="shared" si="213"/>
        <v>1</v>
      </c>
      <c r="F297" s="10">
        <v>0</v>
      </c>
      <c r="G297" s="10">
        <v>60000</v>
      </c>
      <c r="H297" s="10">
        <v>1</v>
      </c>
      <c r="I297" s="64" t="s">
        <v>386</v>
      </c>
      <c r="J297" s="10" t="s">
        <v>418</v>
      </c>
      <c r="K297" s="10">
        <f t="shared" ref="K297:K298" si="216">K296+E296</f>
        <v>43899</v>
      </c>
      <c r="L297" s="10">
        <f t="shared" si="214"/>
        <v>3899</v>
      </c>
      <c r="M297" s="10">
        <f t="shared" si="215"/>
        <v>3898</v>
      </c>
      <c r="N297" s="10" t="s">
        <v>419</v>
      </c>
      <c r="O297" s="10" t="s">
        <v>327</v>
      </c>
      <c r="P297" s="10">
        <v>0</v>
      </c>
      <c r="Q297" s="10" t="s">
        <v>760</v>
      </c>
      <c r="R297" s="111"/>
    </row>
    <row r="298" spans="2:18" ht="15.6" x14ac:dyDescent="0.3">
      <c r="B298" s="10" t="s">
        <v>320</v>
      </c>
      <c r="C298" s="10" t="s">
        <v>321</v>
      </c>
      <c r="D298" s="10">
        <v>2</v>
      </c>
      <c r="E298" s="10">
        <f t="shared" si="213"/>
        <v>1</v>
      </c>
      <c r="F298" s="10">
        <v>0</v>
      </c>
      <c r="G298" s="10">
        <v>0</v>
      </c>
      <c r="H298" s="10">
        <v>0</v>
      </c>
      <c r="I298" s="10">
        <v>0</v>
      </c>
      <c r="J298" s="10" t="s">
        <v>418</v>
      </c>
      <c r="K298" s="10">
        <f t="shared" si="216"/>
        <v>43900</v>
      </c>
      <c r="L298" s="10">
        <f>K298-40000</f>
        <v>3900</v>
      </c>
      <c r="M298" s="10">
        <f>L298-1</f>
        <v>3899</v>
      </c>
      <c r="N298" s="10" t="s">
        <v>419</v>
      </c>
      <c r="O298" s="10" t="s">
        <v>324</v>
      </c>
      <c r="P298" s="10">
        <v>0</v>
      </c>
      <c r="Q298" s="10"/>
      <c r="R298" s="111"/>
    </row>
    <row r="299" spans="2:18" x14ac:dyDescent="0.3">
      <c r="B299" s="470" t="s">
        <v>846</v>
      </c>
      <c r="C299" s="471"/>
      <c r="D299" s="471"/>
      <c r="E299" s="471"/>
      <c r="F299" s="471"/>
      <c r="G299" s="471"/>
      <c r="H299" s="471"/>
      <c r="I299" s="471"/>
      <c r="J299" s="471"/>
      <c r="K299" s="471"/>
      <c r="L299" s="471"/>
      <c r="M299" s="471"/>
      <c r="N299" s="471"/>
      <c r="O299" s="471"/>
      <c r="P299" s="471"/>
      <c r="Q299" s="471"/>
      <c r="R299" s="472"/>
    </row>
    <row r="300" spans="2:18" ht="62.4" x14ac:dyDescent="0.3">
      <c r="B300" s="10" t="s">
        <v>748</v>
      </c>
      <c r="C300" s="10" t="s">
        <v>321</v>
      </c>
      <c r="D300" s="10">
        <v>2</v>
      </c>
      <c r="E300" s="10">
        <f t="shared" ref="E300:E304" si="217">D300/2</f>
        <v>1</v>
      </c>
      <c r="F300" s="10">
        <v>0</v>
      </c>
      <c r="G300" s="10">
        <v>3</v>
      </c>
      <c r="H300" s="10">
        <v>1</v>
      </c>
      <c r="I300" s="10">
        <v>1</v>
      </c>
      <c r="J300" s="10" t="s">
        <v>418</v>
      </c>
      <c r="K300" s="10">
        <f>K298+E298</f>
        <v>43901</v>
      </c>
      <c r="L300" s="10">
        <f>K300-40000</f>
        <v>3901</v>
      </c>
      <c r="M300" s="10">
        <f>L300-1</f>
        <v>3900</v>
      </c>
      <c r="N300" s="10" t="s">
        <v>419</v>
      </c>
      <c r="O300" s="10" t="s">
        <v>327</v>
      </c>
      <c r="P300" s="10">
        <v>0</v>
      </c>
      <c r="Q300" s="10"/>
      <c r="R300" s="110" t="s">
        <v>749</v>
      </c>
    </row>
    <row r="301" spans="2:18" ht="15.6" x14ac:dyDescent="0.3">
      <c r="B301" s="10" t="s">
        <v>769</v>
      </c>
      <c r="C301" s="10" t="s">
        <v>321</v>
      </c>
      <c r="D301" s="10">
        <v>2</v>
      </c>
      <c r="E301" s="10">
        <f t="shared" si="217"/>
        <v>1</v>
      </c>
      <c r="F301" s="10">
        <v>0</v>
      </c>
      <c r="G301" s="10">
        <v>60000</v>
      </c>
      <c r="H301" s="10">
        <v>1</v>
      </c>
      <c r="I301" s="64" t="s">
        <v>386</v>
      </c>
      <c r="J301" s="10" t="s">
        <v>418</v>
      </c>
      <c r="K301" s="10">
        <f>K300+E300</f>
        <v>43902</v>
      </c>
      <c r="L301" s="10">
        <f t="shared" ref="L301:L303" si="218">K301-40000</f>
        <v>3902</v>
      </c>
      <c r="M301" s="10">
        <f t="shared" ref="M301:M303" si="219">L301-1</f>
        <v>3901</v>
      </c>
      <c r="N301" s="10" t="s">
        <v>419</v>
      </c>
      <c r="O301" s="10" t="s">
        <v>327</v>
      </c>
      <c r="P301" s="10">
        <v>0</v>
      </c>
      <c r="Q301" s="10" t="s">
        <v>329</v>
      </c>
      <c r="R301" s="111"/>
    </row>
    <row r="302" spans="2:18" ht="62.4" x14ac:dyDescent="0.3">
      <c r="B302" s="10" t="s">
        <v>753</v>
      </c>
      <c r="C302" s="10" t="s">
        <v>359</v>
      </c>
      <c r="D302" s="10">
        <v>2</v>
      </c>
      <c r="E302" s="10">
        <f t="shared" si="217"/>
        <v>1</v>
      </c>
      <c r="F302" s="10">
        <v>1</v>
      </c>
      <c r="G302" s="10">
        <v>15</v>
      </c>
      <c r="H302" s="10">
        <v>1</v>
      </c>
      <c r="I302" s="10">
        <v>1</v>
      </c>
      <c r="J302" s="10" t="s">
        <v>418</v>
      </c>
      <c r="K302" s="10">
        <f>K301+E301</f>
        <v>43903</v>
      </c>
      <c r="L302" s="10">
        <f t="shared" si="218"/>
        <v>3903</v>
      </c>
      <c r="M302" s="10">
        <f t="shared" si="219"/>
        <v>3902</v>
      </c>
      <c r="N302" s="10" t="s">
        <v>419</v>
      </c>
      <c r="O302" s="10" t="s">
        <v>327</v>
      </c>
      <c r="P302" s="10">
        <v>3</v>
      </c>
      <c r="Q302" s="10"/>
      <c r="R302" s="222" t="s">
        <v>754</v>
      </c>
    </row>
    <row r="303" spans="2:18" ht="15.6" x14ac:dyDescent="0.3">
      <c r="B303" s="10" t="s">
        <v>770</v>
      </c>
      <c r="C303" s="10" t="s">
        <v>321</v>
      </c>
      <c r="D303" s="10">
        <v>2</v>
      </c>
      <c r="E303" s="10">
        <f t="shared" si="217"/>
        <v>1</v>
      </c>
      <c r="F303" s="10">
        <v>0</v>
      </c>
      <c r="G303" s="10">
        <v>60000</v>
      </c>
      <c r="H303" s="10">
        <v>1</v>
      </c>
      <c r="I303" s="64" t="s">
        <v>386</v>
      </c>
      <c r="J303" s="10" t="s">
        <v>418</v>
      </c>
      <c r="K303" s="10">
        <f t="shared" ref="K303:K304" si="220">K302+E302</f>
        <v>43904</v>
      </c>
      <c r="L303" s="10">
        <f t="shared" si="218"/>
        <v>3904</v>
      </c>
      <c r="M303" s="10">
        <f t="shared" si="219"/>
        <v>3903</v>
      </c>
      <c r="N303" s="10" t="s">
        <v>419</v>
      </c>
      <c r="O303" s="10" t="s">
        <v>327</v>
      </c>
      <c r="P303" s="10">
        <v>0</v>
      </c>
      <c r="Q303" s="10" t="s">
        <v>760</v>
      </c>
      <c r="R303" s="111"/>
    </row>
    <row r="304" spans="2:18" ht="15.6" x14ac:dyDescent="0.3">
      <c r="B304" s="10" t="s">
        <v>320</v>
      </c>
      <c r="C304" s="10" t="s">
        <v>321</v>
      </c>
      <c r="D304" s="10">
        <v>2</v>
      </c>
      <c r="E304" s="10">
        <f t="shared" si="217"/>
        <v>1</v>
      </c>
      <c r="F304" s="10">
        <v>0</v>
      </c>
      <c r="G304" s="10">
        <v>0</v>
      </c>
      <c r="H304" s="10">
        <v>0</v>
      </c>
      <c r="I304" s="10">
        <v>0</v>
      </c>
      <c r="J304" s="10" t="s">
        <v>418</v>
      </c>
      <c r="K304" s="10">
        <f t="shared" si="220"/>
        <v>43905</v>
      </c>
      <c r="L304" s="10">
        <f>K304-40000</f>
        <v>3905</v>
      </c>
      <c r="M304" s="10">
        <f>L304-1</f>
        <v>3904</v>
      </c>
      <c r="N304" s="10" t="s">
        <v>419</v>
      </c>
      <c r="O304" s="10" t="s">
        <v>324</v>
      </c>
      <c r="P304" s="10">
        <v>0</v>
      </c>
      <c r="Q304" s="10"/>
      <c r="R304" s="111"/>
    </row>
    <row r="305" spans="2:18" x14ac:dyDescent="0.3">
      <c r="B305" s="470" t="s">
        <v>847</v>
      </c>
      <c r="C305" s="471"/>
      <c r="D305" s="471"/>
      <c r="E305" s="471"/>
      <c r="F305" s="471"/>
      <c r="G305" s="471"/>
      <c r="H305" s="471"/>
      <c r="I305" s="471"/>
      <c r="J305" s="471"/>
      <c r="K305" s="471"/>
      <c r="L305" s="471"/>
      <c r="M305" s="471"/>
      <c r="N305" s="471"/>
      <c r="O305" s="471"/>
      <c r="P305" s="471"/>
      <c r="Q305" s="471"/>
      <c r="R305" s="472"/>
    </row>
    <row r="306" spans="2:18" ht="62.4" x14ac:dyDescent="0.3">
      <c r="B306" s="10" t="s">
        <v>748</v>
      </c>
      <c r="C306" s="10" t="s">
        <v>321</v>
      </c>
      <c r="D306" s="10">
        <v>2</v>
      </c>
      <c r="E306" s="10">
        <f t="shared" ref="E306:E310" si="221">D306/2</f>
        <v>1</v>
      </c>
      <c r="F306" s="10">
        <v>0</v>
      </c>
      <c r="G306" s="10">
        <v>3</v>
      </c>
      <c r="H306" s="10">
        <v>1</v>
      </c>
      <c r="I306" s="10">
        <v>1</v>
      </c>
      <c r="J306" s="10" t="s">
        <v>418</v>
      </c>
      <c r="K306" s="10">
        <f>K304+E304</f>
        <v>43906</v>
      </c>
      <c r="L306" s="10">
        <f>K306-40000</f>
        <v>3906</v>
      </c>
      <c r="M306" s="10">
        <f>L306-1</f>
        <v>3905</v>
      </c>
      <c r="N306" s="10" t="s">
        <v>419</v>
      </c>
      <c r="O306" s="10" t="s">
        <v>327</v>
      </c>
      <c r="P306" s="10">
        <v>0</v>
      </c>
      <c r="Q306" s="10"/>
      <c r="R306" s="110" t="s">
        <v>749</v>
      </c>
    </row>
    <row r="307" spans="2:18" ht="15.6" x14ac:dyDescent="0.3">
      <c r="B307" s="10" t="s">
        <v>769</v>
      </c>
      <c r="C307" s="10" t="s">
        <v>321</v>
      </c>
      <c r="D307" s="10">
        <v>2</v>
      </c>
      <c r="E307" s="10">
        <f t="shared" si="221"/>
        <v>1</v>
      </c>
      <c r="F307" s="10">
        <v>0</v>
      </c>
      <c r="G307" s="10">
        <v>60000</v>
      </c>
      <c r="H307" s="10">
        <v>1</v>
      </c>
      <c r="I307" s="64" t="s">
        <v>386</v>
      </c>
      <c r="J307" s="10" t="s">
        <v>418</v>
      </c>
      <c r="K307" s="10">
        <f>K306+E306</f>
        <v>43907</v>
      </c>
      <c r="L307" s="10">
        <f t="shared" ref="L307:L309" si="222">K307-40000</f>
        <v>3907</v>
      </c>
      <c r="M307" s="10">
        <f t="shared" ref="M307:M309" si="223">L307-1</f>
        <v>3906</v>
      </c>
      <c r="N307" s="10" t="s">
        <v>419</v>
      </c>
      <c r="O307" s="10" t="s">
        <v>327</v>
      </c>
      <c r="P307" s="10">
        <v>0</v>
      </c>
      <c r="Q307" s="10" t="s">
        <v>329</v>
      </c>
      <c r="R307" s="111"/>
    </row>
    <row r="308" spans="2:18" ht="62.4" x14ac:dyDescent="0.3">
      <c r="B308" s="10" t="s">
        <v>753</v>
      </c>
      <c r="C308" s="10" t="s">
        <v>359</v>
      </c>
      <c r="D308" s="10">
        <v>2</v>
      </c>
      <c r="E308" s="10">
        <f t="shared" si="221"/>
        <v>1</v>
      </c>
      <c r="F308" s="10">
        <v>1</v>
      </c>
      <c r="G308" s="10">
        <v>15</v>
      </c>
      <c r="H308" s="10">
        <v>1</v>
      </c>
      <c r="I308" s="10">
        <v>1</v>
      </c>
      <c r="J308" s="10" t="s">
        <v>418</v>
      </c>
      <c r="K308" s="10">
        <f>K307+E307</f>
        <v>43908</v>
      </c>
      <c r="L308" s="10">
        <f t="shared" si="222"/>
        <v>3908</v>
      </c>
      <c r="M308" s="10">
        <f t="shared" si="223"/>
        <v>3907</v>
      </c>
      <c r="N308" s="10" t="s">
        <v>419</v>
      </c>
      <c r="O308" s="10" t="s">
        <v>327</v>
      </c>
      <c r="P308" s="10">
        <v>3</v>
      </c>
      <c r="Q308" s="10"/>
      <c r="R308" s="222" t="s">
        <v>754</v>
      </c>
    </row>
    <row r="309" spans="2:18" ht="15.6" x14ac:dyDescent="0.3">
      <c r="B309" s="10" t="s">
        <v>770</v>
      </c>
      <c r="C309" s="10" t="s">
        <v>321</v>
      </c>
      <c r="D309" s="10">
        <v>2</v>
      </c>
      <c r="E309" s="10">
        <f t="shared" si="221"/>
        <v>1</v>
      </c>
      <c r="F309" s="10">
        <v>0</v>
      </c>
      <c r="G309" s="10">
        <v>60000</v>
      </c>
      <c r="H309" s="10">
        <v>1</v>
      </c>
      <c r="I309" s="64" t="s">
        <v>386</v>
      </c>
      <c r="J309" s="10" t="s">
        <v>418</v>
      </c>
      <c r="K309" s="10">
        <f t="shared" ref="K309:K310" si="224">K308+E308</f>
        <v>43909</v>
      </c>
      <c r="L309" s="10">
        <f t="shared" si="222"/>
        <v>3909</v>
      </c>
      <c r="M309" s="10">
        <f t="shared" si="223"/>
        <v>3908</v>
      </c>
      <c r="N309" s="10" t="s">
        <v>419</v>
      </c>
      <c r="O309" s="10" t="s">
        <v>327</v>
      </c>
      <c r="P309" s="10">
        <v>0</v>
      </c>
      <c r="Q309" s="10" t="s">
        <v>760</v>
      </c>
      <c r="R309" s="111"/>
    </row>
    <row r="310" spans="2:18" ht="15.6" x14ac:dyDescent="0.3">
      <c r="B310" s="10" t="s">
        <v>320</v>
      </c>
      <c r="C310" s="10" t="s">
        <v>321</v>
      </c>
      <c r="D310" s="10">
        <v>2</v>
      </c>
      <c r="E310" s="10">
        <f t="shared" si="221"/>
        <v>1</v>
      </c>
      <c r="F310" s="10">
        <v>0</v>
      </c>
      <c r="G310" s="10">
        <v>0</v>
      </c>
      <c r="H310" s="10">
        <v>0</v>
      </c>
      <c r="I310" s="10">
        <v>0</v>
      </c>
      <c r="J310" s="10" t="s">
        <v>418</v>
      </c>
      <c r="K310" s="10">
        <f t="shared" si="224"/>
        <v>43910</v>
      </c>
      <c r="L310" s="10">
        <f>K310-40000</f>
        <v>3910</v>
      </c>
      <c r="M310" s="10">
        <f>L310-1</f>
        <v>3909</v>
      </c>
      <c r="N310" s="10" t="s">
        <v>419</v>
      </c>
      <c r="O310" s="10" t="s">
        <v>324</v>
      </c>
      <c r="P310" s="10">
        <v>0</v>
      </c>
      <c r="Q310" s="10"/>
      <c r="R310" s="111"/>
    </row>
    <row r="311" spans="2:18" x14ac:dyDescent="0.3">
      <c r="B311" s="470" t="s">
        <v>848</v>
      </c>
      <c r="C311" s="471"/>
      <c r="D311" s="471"/>
      <c r="E311" s="471"/>
      <c r="F311" s="471"/>
      <c r="G311" s="471"/>
      <c r="H311" s="471"/>
      <c r="I311" s="471"/>
      <c r="J311" s="471"/>
      <c r="K311" s="471"/>
      <c r="L311" s="471"/>
      <c r="M311" s="471"/>
      <c r="N311" s="471"/>
      <c r="O311" s="471"/>
      <c r="P311" s="471"/>
      <c r="Q311" s="471"/>
      <c r="R311" s="472"/>
    </row>
    <row r="312" spans="2:18" ht="62.4" x14ac:dyDescent="0.3">
      <c r="B312" s="10" t="s">
        <v>748</v>
      </c>
      <c r="C312" s="10" t="s">
        <v>321</v>
      </c>
      <c r="D312" s="10">
        <v>2</v>
      </c>
      <c r="E312" s="10">
        <f t="shared" ref="E312:E316" si="225">D312/2</f>
        <v>1</v>
      </c>
      <c r="F312" s="10">
        <v>0</v>
      </c>
      <c r="G312" s="10">
        <v>3</v>
      </c>
      <c r="H312" s="10">
        <v>1</v>
      </c>
      <c r="I312" s="10">
        <v>1</v>
      </c>
      <c r="J312" s="10" t="s">
        <v>418</v>
      </c>
      <c r="K312" s="10">
        <f>K310+E310</f>
        <v>43911</v>
      </c>
      <c r="L312" s="10">
        <f>K312-40000</f>
        <v>3911</v>
      </c>
      <c r="M312" s="10">
        <f>L312-1</f>
        <v>3910</v>
      </c>
      <c r="N312" s="10" t="s">
        <v>419</v>
      </c>
      <c r="O312" s="10" t="s">
        <v>327</v>
      </c>
      <c r="P312" s="10">
        <v>0</v>
      </c>
      <c r="Q312" s="10"/>
      <c r="R312" s="110" t="s">
        <v>749</v>
      </c>
    </row>
    <row r="313" spans="2:18" ht="15.6" x14ac:dyDescent="0.3">
      <c r="B313" s="10" t="s">
        <v>769</v>
      </c>
      <c r="C313" s="10" t="s">
        <v>321</v>
      </c>
      <c r="D313" s="10">
        <v>2</v>
      </c>
      <c r="E313" s="10">
        <f t="shared" si="225"/>
        <v>1</v>
      </c>
      <c r="F313" s="10">
        <v>0</v>
      </c>
      <c r="G313" s="10">
        <v>60000</v>
      </c>
      <c r="H313" s="10">
        <v>1</v>
      </c>
      <c r="I313" s="64" t="s">
        <v>386</v>
      </c>
      <c r="J313" s="10" t="s">
        <v>418</v>
      </c>
      <c r="K313" s="10">
        <f>K312+E312</f>
        <v>43912</v>
      </c>
      <c r="L313" s="10">
        <f t="shared" ref="L313:L315" si="226">K313-40000</f>
        <v>3912</v>
      </c>
      <c r="M313" s="10">
        <f t="shared" ref="M313:M315" si="227">L313-1</f>
        <v>3911</v>
      </c>
      <c r="N313" s="10" t="s">
        <v>419</v>
      </c>
      <c r="O313" s="10" t="s">
        <v>327</v>
      </c>
      <c r="P313" s="10">
        <v>0</v>
      </c>
      <c r="Q313" s="10" t="s">
        <v>329</v>
      </c>
      <c r="R313" s="111"/>
    </row>
    <row r="314" spans="2:18" ht="62.4" x14ac:dyDescent="0.3">
      <c r="B314" s="10" t="s">
        <v>753</v>
      </c>
      <c r="C314" s="10" t="s">
        <v>359</v>
      </c>
      <c r="D314" s="10">
        <v>2</v>
      </c>
      <c r="E314" s="10">
        <f t="shared" si="225"/>
        <v>1</v>
      </c>
      <c r="F314" s="10">
        <v>1</v>
      </c>
      <c r="G314" s="10">
        <v>15</v>
      </c>
      <c r="H314" s="10">
        <v>1</v>
      </c>
      <c r="I314" s="10">
        <v>1</v>
      </c>
      <c r="J314" s="10" t="s">
        <v>418</v>
      </c>
      <c r="K314" s="10">
        <f>K313+E313</f>
        <v>43913</v>
      </c>
      <c r="L314" s="10">
        <f t="shared" si="226"/>
        <v>3913</v>
      </c>
      <c r="M314" s="10">
        <f t="shared" si="227"/>
        <v>3912</v>
      </c>
      <c r="N314" s="10" t="s">
        <v>419</v>
      </c>
      <c r="O314" s="10" t="s">
        <v>327</v>
      </c>
      <c r="P314" s="10">
        <v>3</v>
      </c>
      <c r="Q314" s="10"/>
      <c r="R314" s="222" t="s">
        <v>754</v>
      </c>
    </row>
    <row r="315" spans="2:18" ht="15.6" x14ac:dyDescent="0.3">
      <c r="B315" s="10" t="s">
        <v>770</v>
      </c>
      <c r="C315" s="10" t="s">
        <v>321</v>
      </c>
      <c r="D315" s="10">
        <v>2</v>
      </c>
      <c r="E315" s="10">
        <f t="shared" si="225"/>
        <v>1</v>
      </c>
      <c r="F315" s="10">
        <v>0</v>
      </c>
      <c r="G315" s="10">
        <v>60000</v>
      </c>
      <c r="H315" s="10">
        <v>1</v>
      </c>
      <c r="I315" s="64" t="s">
        <v>386</v>
      </c>
      <c r="J315" s="10" t="s">
        <v>418</v>
      </c>
      <c r="K315" s="10">
        <f t="shared" ref="K315:K316" si="228">K314+E314</f>
        <v>43914</v>
      </c>
      <c r="L315" s="10">
        <f t="shared" si="226"/>
        <v>3914</v>
      </c>
      <c r="M315" s="10">
        <f t="shared" si="227"/>
        <v>3913</v>
      </c>
      <c r="N315" s="10" t="s">
        <v>419</v>
      </c>
      <c r="O315" s="10" t="s">
        <v>327</v>
      </c>
      <c r="P315" s="10">
        <v>0</v>
      </c>
      <c r="Q315" s="10" t="s">
        <v>760</v>
      </c>
      <c r="R315" s="111"/>
    </row>
    <row r="316" spans="2:18" ht="15.6" x14ac:dyDescent="0.3">
      <c r="B316" s="10" t="s">
        <v>320</v>
      </c>
      <c r="C316" s="10" t="s">
        <v>321</v>
      </c>
      <c r="D316" s="10">
        <v>2</v>
      </c>
      <c r="E316" s="10">
        <f t="shared" si="225"/>
        <v>1</v>
      </c>
      <c r="F316" s="10">
        <v>0</v>
      </c>
      <c r="G316" s="10">
        <v>0</v>
      </c>
      <c r="H316" s="10">
        <v>0</v>
      </c>
      <c r="I316" s="10">
        <v>0</v>
      </c>
      <c r="J316" s="10" t="s">
        <v>418</v>
      </c>
      <c r="K316" s="10">
        <f t="shared" si="228"/>
        <v>43915</v>
      </c>
      <c r="L316" s="10">
        <f>K316-40000</f>
        <v>3915</v>
      </c>
      <c r="M316" s="10">
        <f>L316-1</f>
        <v>3914</v>
      </c>
      <c r="N316" s="10" t="s">
        <v>419</v>
      </c>
      <c r="O316" s="10" t="s">
        <v>324</v>
      </c>
      <c r="P316" s="10">
        <v>0</v>
      </c>
      <c r="Q316" s="10"/>
      <c r="R316" s="111"/>
    </row>
    <row r="317" spans="2:18" x14ac:dyDescent="0.3">
      <c r="B317" s="470" t="s">
        <v>849</v>
      </c>
      <c r="C317" s="471"/>
      <c r="D317" s="471"/>
      <c r="E317" s="471"/>
      <c r="F317" s="471"/>
      <c r="G317" s="471"/>
      <c r="H317" s="471"/>
      <c r="I317" s="471"/>
      <c r="J317" s="471"/>
      <c r="K317" s="471"/>
      <c r="L317" s="471"/>
      <c r="M317" s="471"/>
      <c r="N317" s="471"/>
      <c r="O317" s="471"/>
      <c r="P317" s="471"/>
      <c r="Q317" s="471"/>
      <c r="R317" s="472"/>
    </row>
    <row r="318" spans="2:18" ht="62.4" x14ac:dyDescent="0.3">
      <c r="B318" s="10" t="s">
        <v>748</v>
      </c>
      <c r="C318" s="10" t="s">
        <v>321</v>
      </c>
      <c r="D318" s="10">
        <v>2</v>
      </c>
      <c r="E318" s="10">
        <f t="shared" ref="E318:E322" si="229">D318/2</f>
        <v>1</v>
      </c>
      <c r="F318" s="10">
        <v>0</v>
      </c>
      <c r="G318" s="10">
        <v>3</v>
      </c>
      <c r="H318" s="10">
        <v>1</v>
      </c>
      <c r="I318" s="10">
        <v>1</v>
      </c>
      <c r="J318" s="10" t="s">
        <v>418</v>
      </c>
      <c r="K318" s="10">
        <f>K316+E316</f>
        <v>43916</v>
      </c>
      <c r="L318" s="10">
        <f>K318-40000</f>
        <v>3916</v>
      </c>
      <c r="M318" s="10">
        <f>L318-1</f>
        <v>3915</v>
      </c>
      <c r="N318" s="10" t="s">
        <v>419</v>
      </c>
      <c r="O318" s="10" t="s">
        <v>327</v>
      </c>
      <c r="P318" s="10">
        <v>0</v>
      </c>
      <c r="Q318" s="10"/>
      <c r="R318" s="110" t="s">
        <v>749</v>
      </c>
    </row>
    <row r="319" spans="2:18" ht="15.6" x14ac:dyDescent="0.3">
      <c r="B319" s="10" t="s">
        <v>769</v>
      </c>
      <c r="C319" s="10" t="s">
        <v>321</v>
      </c>
      <c r="D319" s="10">
        <v>2</v>
      </c>
      <c r="E319" s="10">
        <f t="shared" si="229"/>
        <v>1</v>
      </c>
      <c r="F319" s="10">
        <v>0</v>
      </c>
      <c r="G319" s="10">
        <v>60000</v>
      </c>
      <c r="H319" s="10">
        <v>1</v>
      </c>
      <c r="I319" s="64" t="s">
        <v>386</v>
      </c>
      <c r="J319" s="10" t="s">
        <v>418</v>
      </c>
      <c r="K319" s="10">
        <f>K318+E318</f>
        <v>43917</v>
      </c>
      <c r="L319" s="10">
        <f t="shared" ref="L319:L321" si="230">K319-40000</f>
        <v>3917</v>
      </c>
      <c r="M319" s="10">
        <f t="shared" ref="M319:M321" si="231">L319-1</f>
        <v>3916</v>
      </c>
      <c r="N319" s="10" t="s">
        <v>419</v>
      </c>
      <c r="O319" s="10" t="s">
        <v>327</v>
      </c>
      <c r="P319" s="10">
        <v>0</v>
      </c>
      <c r="Q319" s="10" t="s">
        <v>329</v>
      </c>
      <c r="R319" s="111"/>
    </row>
    <row r="320" spans="2:18" ht="62.4" x14ac:dyDescent="0.3">
      <c r="B320" s="10" t="s">
        <v>753</v>
      </c>
      <c r="C320" s="10" t="s">
        <v>359</v>
      </c>
      <c r="D320" s="10">
        <v>2</v>
      </c>
      <c r="E320" s="10">
        <f t="shared" si="229"/>
        <v>1</v>
      </c>
      <c r="F320" s="10">
        <v>1</v>
      </c>
      <c r="G320" s="10">
        <v>15</v>
      </c>
      <c r="H320" s="10">
        <v>1</v>
      </c>
      <c r="I320" s="10">
        <v>1</v>
      </c>
      <c r="J320" s="10" t="s">
        <v>418</v>
      </c>
      <c r="K320" s="10">
        <f>K319+E319</f>
        <v>43918</v>
      </c>
      <c r="L320" s="10">
        <f t="shared" si="230"/>
        <v>3918</v>
      </c>
      <c r="M320" s="10">
        <f t="shared" si="231"/>
        <v>3917</v>
      </c>
      <c r="N320" s="10" t="s">
        <v>419</v>
      </c>
      <c r="O320" s="10" t="s">
        <v>327</v>
      </c>
      <c r="P320" s="10">
        <v>3</v>
      </c>
      <c r="Q320" s="10"/>
      <c r="R320" s="222" t="s">
        <v>754</v>
      </c>
    </row>
    <row r="321" spans="2:18" ht="15.6" x14ac:dyDescent="0.3">
      <c r="B321" s="10" t="s">
        <v>770</v>
      </c>
      <c r="C321" s="10" t="s">
        <v>321</v>
      </c>
      <c r="D321" s="10">
        <v>2</v>
      </c>
      <c r="E321" s="10">
        <f t="shared" si="229"/>
        <v>1</v>
      </c>
      <c r="F321" s="10">
        <v>0</v>
      </c>
      <c r="G321" s="10">
        <v>60000</v>
      </c>
      <c r="H321" s="10">
        <v>1</v>
      </c>
      <c r="I321" s="64" t="s">
        <v>386</v>
      </c>
      <c r="J321" s="10" t="s">
        <v>418</v>
      </c>
      <c r="K321" s="10">
        <f t="shared" ref="K321:K322" si="232">K320+E320</f>
        <v>43919</v>
      </c>
      <c r="L321" s="10">
        <f t="shared" si="230"/>
        <v>3919</v>
      </c>
      <c r="M321" s="10">
        <f t="shared" si="231"/>
        <v>3918</v>
      </c>
      <c r="N321" s="10" t="s">
        <v>419</v>
      </c>
      <c r="O321" s="10" t="s">
        <v>327</v>
      </c>
      <c r="P321" s="10">
        <v>0</v>
      </c>
      <c r="Q321" s="10" t="s">
        <v>760</v>
      </c>
      <c r="R321" s="111"/>
    </row>
    <row r="322" spans="2:18" ht="15.6" x14ac:dyDescent="0.3">
      <c r="B322" s="10" t="s">
        <v>320</v>
      </c>
      <c r="C322" s="10" t="s">
        <v>321</v>
      </c>
      <c r="D322" s="10">
        <v>2</v>
      </c>
      <c r="E322" s="10">
        <f t="shared" si="229"/>
        <v>1</v>
      </c>
      <c r="F322" s="10">
        <v>0</v>
      </c>
      <c r="G322" s="10">
        <v>0</v>
      </c>
      <c r="H322" s="10">
        <v>0</v>
      </c>
      <c r="I322" s="10">
        <v>0</v>
      </c>
      <c r="J322" s="10" t="s">
        <v>418</v>
      </c>
      <c r="K322" s="10">
        <f t="shared" si="232"/>
        <v>43920</v>
      </c>
      <c r="L322" s="10">
        <f>K322-40000</f>
        <v>3920</v>
      </c>
      <c r="M322" s="10">
        <f>L322-1</f>
        <v>3919</v>
      </c>
      <c r="N322" s="10" t="s">
        <v>419</v>
      </c>
      <c r="O322" s="10" t="s">
        <v>324</v>
      </c>
      <c r="P322" s="10">
        <v>0</v>
      </c>
      <c r="Q322" s="10"/>
      <c r="R322" s="111"/>
    </row>
    <row r="323" spans="2:18" x14ac:dyDescent="0.3">
      <c r="B323" s="470" t="s">
        <v>850</v>
      </c>
      <c r="C323" s="471"/>
      <c r="D323" s="471"/>
      <c r="E323" s="471"/>
      <c r="F323" s="471"/>
      <c r="G323" s="471"/>
      <c r="H323" s="471"/>
      <c r="I323" s="471"/>
      <c r="J323" s="471"/>
      <c r="K323" s="471"/>
      <c r="L323" s="471"/>
      <c r="M323" s="471"/>
      <c r="N323" s="471"/>
      <c r="O323" s="471"/>
      <c r="P323" s="471"/>
      <c r="Q323" s="471"/>
      <c r="R323" s="472"/>
    </row>
    <row r="324" spans="2:18" ht="62.4" x14ac:dyDescent="0.3">
      <c r="B324" s="10" t="s">
        <v>748</v>
      </c>
      <c r="C324" s="10" t="s">
        <v>321</v>
      </c>
      <c r="D324" s="10">
        <v>2</v>
      </c>
      <c r="E324" s="10">
        <f t="shared" ref="E324:E328" si="233">D324/2</f>
        <v>1</v>
      </c>
      <c r="F324" s="10">
        <v>0</v>
      </c>
      <c r="G324" s="10">
        <v>3</v>
      </c>
      <c r="H324" s="10">
        <v>1</v>
      </c>
      <c r="I324" s="10">
        <v>1</v>
      </c>
      <c r="J324" s="10" t="s">
        <v>418</v>
      </c>
      <c r="K324" s="10">
        <f>K322+E322</f>
        <v>43921</v>
      </c>
      <c r="L324" s="10">
        <f>K324-40000</f>
        <v>3921</v>
      </c>
      <c r="M324" s="10">
        <f>L324-1</f>
        <v>3920</v>
      </c>
      <c r="N324" s="10" t="s">
        <v>419</v>
      </c>
      <c r="O324" s="10" t="s">
        <v>327</v>
      </c>
      <c r="P324" s="10">
        <v>0</v>
      </c>
      <c r="Q324" s="10"/>
      <c r="R324" s="110" t="s">
        <v>749</v>
      </c>
    </row>
    <row r="325" spans="2:18" ht="15.6" x14ac:dyDescent="0.3">
      <c r="B325" s="10" t="s">
        <v>769</v>
      </c>
      <c r="C325" s="10" t="s">
        <v>321</v>
      </c>
      <c r="D325" s="10">
        <v>2</v>
      </c>
      <c r="E325" s="10">
        <f t="shared" si="233"/>
        <v>1</v>
      </c>
      <c r="F325" s="10">
        <v>0</v>
      </c>
      <c r="G325" s="10">
        <v>60000</v>
      </c>
      <c r="H325" s="10">
        <v>1</v>
      </c>
      <c r="I325" s="64" t="s">
        <v>386</v>
      </c>
      <c r="J325" s="10" t="s">
        <v>418</v>
      </c>
      <c r="K325" s="10">
        <f>K324+E324</f>
        <v>43922</v>
      </c>
      <c r="L325" s="10">
        <f t="shared" ref="L325:L327" si="234">K325-40000</f>
        <v>3922</v>
      </c>
      <c r="M325" s="10">
        <f t="shared" ref="M325:M327" si="235">L325-1</f>
        <v>3921</v>
      </c>
      <c r="N325" s="10" t="s">
        <v>419</v>
      </c>
      <c r="O325" s="10" t="s">
        <v>327</v>
      </c>
      <c r="P325" s="10">
        <v>0</v>
      </c>
      <c r="Q325" s="10" t="s">
        <v>329</v>
      </c>
      <c r="R325" s="111"/>
    </row>
    <row r="326" spans="2:18" ht="62.4" x14ac:dyDescent="0.3">
      <c r="B326" s="10" t="s">
        <v>753</v>
      </c>
      <c r="C326" s="10" t="s">
        <v>359</v>
      </c>
      <c r="D326" s="10">
        <v>2</v>
      </c>
      <c r="E326" s="10">
        <f t="shared" si="233"/>
        <v>1</v>
      </c>
      <c r="F326" s="10">
        <v>1</v>
      </c>
      <c r="G326" s="10">
        <v>15</v>
      </c>
      <c r="H326" s="10">
        <v>1</v>
      </c>
      <c r="I326" s="10">
        <v>1</v>
      </c>
      <c r="J326" s="10" t="s">
        <v>418</v>
      </c>
      <c r="K326" s="10">
        <f>K325+E325</f>
        <v>43923</v>
      </c>
      <c r="L326" s="10">
        <f t="shared" si="234"/>
        <v>3923</v>
      </c>
      <c r="M326" s="10">
        <f t="shared" si="235"/>
        <v>3922</v>
      </c>
      <c r="N326" s="10" t="s">
        <v>419</v>
      </c>
      <c r="O326" s="10" t="s">
        <v>327</v>
      </c>
      <c r="P326" s="10">
        <v>3</v>
      </c>
      <c r="Q326" s="10"/>
      <c r="R326" s="222" t="s">
        <v>754</v>
      </c>
    </row>
    <row r="327" spans="2:18" ht="15.6" x14ac:dyDescent="0.3">
      <c r="B327" s="10" t="s">
        <v>770</v>
      </c>
      <c r="C327" s="10" t="s">
        <v>321</v>
      </c>
      <c r="D327" s="10">
        <v>2</v>
      </c>
      <c r="E327" s="10">
        <f t="shared" si="233"/>
        <v>1</v>
      </c>
      <c r="F327" s="10">
        <v>0</v>
      </c>
      <c r="G327" s="10">
        <v>60000</v>
      </c>
      <c r="H327" s="10">
        <v>1</v>
      </c>
      <c r="I327" s="64" t="s">
        <v>386</v>
      </c>
      <c r="J327" s="10" t="s">
        <v>418</v>
      </c>
      <c r="K327" s="10">
        <f t="shared" ref="K327:K328" si="236">K326+E326</f>
        <v>43924</v>
      </c>
      <c r="L327" s="10">
        <f t="shared" si="234"/>
        <v>3924</v>
      </c>
      <c r="M327" s="10">
        <f t="shared" si="235"/>
        <v>3923</v>
      </c>
      <c r="N327" s="10" t="s">
        <v>419</v>
      </c>
      <c r="O327" s="10" t="s">
        <v>327</v>
      </c>
      <c r="P327" s="10">
        <v>0</v>
      </c>
      <c r="Q327" s="10" t="s">
        <v>760</v>
      </c>
      <c r="R327" s="111"/>
    </row>
    <row r="328" spans="2:18" ht="15.6" x14ac:dyDescent="0.3">
      <c r="B328" s="10" t="s">
        <v>320</v>
      </c>
      <c r="C328" s="10" t="s">
        <v>321</v>
      </c>
      <c r="D328" s="10">
        <v>2</v>
      </c>
      <c r="E328" s="10">
        <f t="shared" si="233"/>
        <v>1</v>
      </c>
      <c r="F328" s="10">
        <v>0</v>
      </c>
      <c r="G328" s="10">
        <v>0</v>
      </c>
      <c r="H328" s="10">
        <v>0</v>
      </c>
      <c r="I328" s="10">
        <v>0</v>
      </c>
      <c r="J328" s="10" t="s">
        <v>418</v>
      </c>
      <c r="K328" s="10">
        <f t="shared" si="236"/>
        <v>43925</v>
      </c>
      <c r="L328" s="10">
        <f>K328-40000</f>
        <v>3925</v>
      </c>
      <c r="M328" s="10">
        <f>L328-1</f>
        <v>3924</v>
      </c>
      <c r="N328" s="10" t="s">
        <v>419</v>
      </c>
      <c r="O328" s="10" t="s">
        <v>324</v>
      </c>
      <c r="P328" s="10">
        <v>0</v>
      </c>
      <c r="Q328" s="10"/>
      <c r="R328" s="111"/>
    </row>
    <row r="329" spans="2:18" x14ac:dyDescent="0.3">
      <c r="B329" s="470" t="s">
        <v>851</v>
      </c>
      <c r="C329" s="471"/>
      <c r="D329" s="471"/>
      <c r="E329" s="471"/>
      <c r="F329" s="471"/>
      <c r="G329" s="471"/>
      <c r="H329" s="471"/>
      <c r="I329" s="471"/>
      <c r="J329" s="471"/>
      <c r="K329" s="471"/>
      <c r="L329" s="471"/>
      <c r="M329" s="471"/>
      <c r="N329" s="471"/>
      <c r="O329" s="471"/>
      <c r="P329" s="471"/>
      <c r="Q329" s="471"/>
      <c r="R329" s="472"/>
    </row>
    <row r="330" spans="2:18" ht="62.4" x14ac:dyDescent="0.3">
      <c r="B330" s="10" t="s">
        <v>748</v>
      </c>
      <c r="C330" s="10" t="s">
        <v>321</v>
      </c>
      <c r="D330" s="10">
        <v>2</v>
      </c>
      <c r="E330" s="10">
        <f t="shared" ref="E330:E334" si="237">D330/2</f>
        <v>1</v>
      </c>
      <c r="F330" s="10">
        <v>0</v>
      </c>
      <c r="G330" s="10">
        <v>3</v>
      </c>
      <c r="H330" s="10">
        <v>1</v>
      </c>
      <c r="I330" s="10">
        <v>1</v>
      </c>
      <c r="J330" s="10" t="s">
        <v>418</v>
      </c>
      <c r="K330" s="10">
        <f>K328+E328</f>
        <v>43926</v>
      </c>
      <c r="L330" s="10">
        <f>K330-40000</f>
        <v>3926</v>
      </c>
      <c r="M330" s="10">
        <f>L330-1</f>
        <v>3925</v>
      </c>
      <c r="N330" s="10" t="s">
        <v>419</v>
      </c>
      <c r="O330" s="10" t="s">
        <v>327</v>
      </c>
      <c r="P330" s="10">
        <v>0</v>
      </c>
      <c r="Q330" s="10"/>
      <c r="R330" s="110" t="s">
        <v>749</v>
      </c>
    </row>
    <row r="331" spans="2:18" ht="15.6" x14ac:dyDescent="0.3">
      <c r="B331" s="10" t="s">
        <v>769</v>
      </c>
      <c r="C331" s="10" t="s">
        <v>321</v>
      </c>
      <c r="D331" s="10">
        <v>2</v>
      </c>
      <c r="E331" s="10">
        <f t="shared" si="237"/>
        <v>1</v>
      </c>
      <c r="F331" s="10">
        <v>0</v>
      </c>
      <c r="G331" s="10">
        <v>60000</v>
      </c>
      <c r="H331" s="10">
        <v>1</v>
      </c>
      <c r="I331" s="64" t="s">
        <v>386</v>
      </c>
      <c r="J331" s="10" t="s">
        <v>418</v>
      </c>
      <c r="K331" s="10">
        <f>K330+E330</f>
        <v>43927</v>
      </c>
      <c r="L331" s="10">
        <f t="shared" ref="L331:L333" si="238">K331-40000</f>
        <v>3927</v>
      </c>
      <c r="M331" s="10">
        <f t="shared" ref="M331:M333" si="239">L331-1</f>
        <v>3926</v>
      </c>
      <c r="N331" s="10" t="s">
        <v>419</v>
      </c>
      <c r="O331" s="10" t="s">
        <v>327</v>
      </c>
      <c r="P331" s="10">
        <v>0</v>
      </c>
      <c r="Q331" s="10" t="s">
        <v>329</v>
      </c>
      <c r="R331" s="111"/>
    </row>
    <row r="332" spans="2:18" ht="62.4" x14ac:dyDescent="0.3">
      <c r="B332" s="10" t="s">
        <v>753</v>
      </c>
      <c r="C332" s="10" t="s">
        <v>359</v>
      </c>
      <c r="D332" s="10">
        <v>2</v>
      </c>
      <c r="E332" s="10">
        <f t="shared" si="237"/>
        <v>1</v>
      </c>
      <c r="F332" s="10">
        <v>1</v>
      </c>
      <c r="G332" s="10">
        <v>15</v>
      </c>
      <c r="H332" s="10">
        <v>1</v>
      </c>
      <c r="I332" s="10">
        <v>1</v>
      </c>
      <c r="J332" s="10" t="s">
        <v>418</v>
      </c>
      <c r="K332" s="10">
        <f>K331+E331</f>
        <v>43928</v>
      </c>
      <c r="L332" s="10">
        <f t="shared" si="238"/>
        <v>3928</v>
      </c>
      <c r="M332" s="10">
        <f t="shared" si="239"/>
        <v>3927</v>
      </c>
      <c r="N332" s="10" t="s">
        <v>419</v>
      </c>
      <c r="O332" s="10" t="s">
        <v>327</v>
      </c>
      <c r="P332" s="10">
        <v>3</v>
      </c>
      <c r="Q332" s="10"/>
      <c r="R332" s="222" t="s">
        <v>754</v>
      </c>
    </row>
    <row r="333" spans="2:18" ht="15.6" x14ac:dyDescent="0.3">
      <c r="B333" s="10" t="s">
        <v>770</v>
      </c>
      <c r="C333" s="10" t="s">
        <v>321</v>
      </c>
      <c r="D333" s="10">
        <v>2</v>
      </c>
      <c r="E333" s="10">
        <f t="shared" si="237"/>
        <v>1</v>
      </c>
      <c r="F333" s="10">
        <v>0</v>
      </c>
      <c r="G333" s="10">
        <v>60000</v>
      </c>
      <c r="H333" s="10">
        <v>1</v>
      </c>
      <c r="I333" s="64" t="s">
        <v>386</v>
      </c>
      <c r="J333" s="10" t="s">
        <v>418</v>
      </c>
      <c r="K333" s="10">
        <f t="shared" ref="K333:K334" si="240">K332+E332</f>
        <v>43929</v>
      </c>
      <c r="L333" s="10">
        <f t="shared" si="238"/>
        <v>3929</v>
      </c>
      <c r="M333" s="10">
        <f t="shared" si="239"/>
        <v>3928</v>
      </c>
      <c r="N333" s="10" t="s">
        <v>419</v>
      </c>
      <c r="O333" s="10" t="s">
        <v>327</v>
      </c>
      <c r="P333" s="10">
        <v>0</v>
      </c>
      <c r="Q333" s="10" t="s">
        <v>760</v>
      </c>
      <c r="R333" s="111"/>
    </row>
    <row r="334" spans="2:18" ht="15.6" x14ac:dyDescent="0.3">
      <c r="B334" s="10" t="s">
        <v>320</v>
      </c>
      <c r="C334" s="10" t="s">
        <v>321</v>
      </c>
      <c r="D334" s="10">
        <v>2</v>
      </c>
      <c r="E334" s="10">
        <f t="shared" si="237"/>
        <v>1</v>
      </c>
      <c r="F334" s="10">
        <v>0</v>
      </c>
      <c r="G334" s="10">
        <v>0</v>
      </c>
      <c r="H334" s="10">
        <v>0</v>
      </c>
      <c r="I334" s="10">
        <v>0</v>
      </c>
      <c r="J334" s="10" t="s">
        <v>418</v>
      </c>
      <c r="K334" s="10">
        <f t="shared" si="240"/>
        <v>43930</v>
      </c>
      <c r="L334" s="10">
        <f>K334-40000</f>
        <v>3930</v>
      </c>
      <c r="M334" s="10">
        <f>L334-1</f>
        <v>3929</v>
      </c>
      <c r="N334" s="10" t="s">
        <v>419</v>
      </c>
      <c r="O334" s="10" t="s">
        <v>324</v>
      </c>
      <c r="P334" s="10">
        <v>0</v>
      </c>
      <c r="Q334" s="10"/>
      <c r="R334" s="111"/>
    </row>
    <row r="335" spans="2:18" x14ac:dyDescent="0.3">
      <c r="B335" s="470" t="s">
        <v>852</v>
      </c>
      <c r="C335" s="471"/>
      <c r="D335" s="471"/>
      <c r="E335" s="471"/>
      <c r="F335" s="471"/>
      <c r="G335" s="471"/>
      <c r="H335" s="471"/>
      <c r="I335" s="471"/>
      <c r="J335" s="471"/>
      <c r="K335" s="471"/>
      <c r="L335" s="471"/>
      <c r="M335" s="471"/>
      <c r="N335" s="471"/>
      <c r="O335" s="471"/>
      <c r="P335" s="471"/>
      <c r="Q335" s="471"/>
      <c r="R335" s="472"/>
    </row>
    <row r="336" spans="2:18" ht="62.4" x14ac:dyDescent="0.3">
      <c r="B336" s="10" t="s">
        <v>748</v>
      </c>
      <c r="C336" s="10" t="s">
        <v>321</v>
      </c>
      <c r="D336" s="10">
        <v>2</v>
      </c>
      <c r="E336" s="10">
        <f t="shared" ref="E336:E340" si="241">D336/2</f>
        <v>1</v>
      </c>
      <c r="F336" s="10">
        <v>0</v>
      </c>
      <c r="G336" s="10">
        <v>3</v>
      </c>
      <c r="H336" s="10">
        <v>1</v>
      </c>
      <c r="I336" s="10">
        <v>1</v>
      </c>
      <c r="J336" s="10" t="s">
        <v>418</v>
      </c>
      <c r="K336" s="10">
        <f>K334+E334</f>
        <v>43931</v>
      </c>
      <c r="L336" s="10">
        <f>K336-40000</f>
        <v>3931</v>
      </c>
      <c r="M336" s="10">
        <f>L336-1</f>
        <v>3930</v>
      </c>
      <c r="N336" s="10" t="s">
        <v>419</v>
      </c>
      <c r="O336" s="10" t="s">
        <v>327</v>
      </c>
      <c r="P336" s="10">
        <v>0</v>
      </c>
      <c r="Q336" s="10"/>
      <c r="R336" s="110" t="s">
        <v>749</v>
      </c>
    </row>
    <row r="337" spans="2:18" ht="15.6" x14ac:dyDescent="0.3">
      <c r="B337" s="10" t="s">
        <v>769</v>
      </c>
      <c r="C337" s="10" t="s">
        <v>321</v>
      </c>
      <c r="D337" s="10">
        <v>2</v>
      </c>
      <c r="E337" s="10">
        <f t="shared" si="241"/>
        <v>1</v>
      </c>
      <c r="F337" s="10">
        <v>0</v>
      </c>
      <c r="G337" s="10">
        <v>60000</v>
      </c>
      <c r="H337" s="10">
        <v>1</v>
      </c>
      <c r="I337" s="64" t="s">
        <v>386</v>
      </c>
      <c r="J337" s="10" t="s">
        <v>418</v>
      </c>
      <c r="K337" s="10">
        <f>K336+E336</f>
        <v>43932</v>
      </c>
      <c r="L337" s="10">
        <f t="shared" ref="L337:L339" si="242">K337-40000</f>
        <v>3932</v>
      </c>
      <c r="M337" s="10">
        <f t="shared" ref="M337:M339" si="243">L337-1</f>
        <v>3931</v>
      </c>
      <c r="N337" s="10" t="s">
        <v>419</v>
      </c>
      <c r="O337" s="10" t="s">
        <v>327</v>
      </c>
      <c r="P337" s="10">
        <v>0</v>
      </c>
      <c r="Q337" s="10" t="s">
        <v>329</v>
      </c>
      <c r="R337" s="111"/>
    </row>
    <row r="338" spans="2:18" ht="62.4" x14ac:dyDescent="0.3">
      <c r="B338" s="10" t="s">
        <v>753</v>
      </c>
      <c r="C338" s="10" t="s">
        <v>359</v>
      </c>
      <c r="D338" s="10">
        <v>2</v>
      </c>
      <c r="E338" s="10">
        <f t="shared" si="241"/>
        <v>1</v>
      </c>
      <c r="F338" s="10">
        <v>1</v>
      </c>
      <c r="G338" s="10">
        <v>15</v>
      </c>
      <c r="H338" s="10">
        <v>1</v>
      </c>
      <c r="I338" s="10">
        <v>1</v>
      </c>
      <c r="J338" s="10" t="s">
        <v>418</v>
      </c>
      <c r="K338" s="10">
        <f>K337+E337</f>
        <v>43933</v>
      </c>
      <c r="L338" s="10">
        <f t="shared" si="242"/>
        <v>3933</v>
      </c>
      <c r="M338" s="10">
        <f t="shared" si="243"/>
        <v>3932</v>
      </c>
      <c r="N338" s="10" t="s">
        <v>419</v>
      </c>
      <c r="O338" s="10" t="s">
        <v>327</v>
      </c>
      <c r="P338" s="10">
        <v>3</v>
      </c>
      <c r="Q338" s="10"/>
      <c r="R338" s="222" t="s">
        <v>754</v>
      </c>
    </row>
    <row r="339" spans="2:18" ht="15.6" x14ac:dyDescent="0.3">
      <c r="B339" s="10" t="s">
        <v>770</v>
      </c>
      <c r="C339" s="10" t="s">
        <v>321</v>
      </c>
      <c r="D339" s="10">
        <v>2</v>
      </c>
      <c r="E339" s="10">
        <f t="shared" si="241"/>
        <v>1</v>
      </c>
      <c r="F339" s="10">
        <v>0</v>
      </c>
      <c r="G339" s="10">
        <v>60000</v>
      </c>
      <c r="H339" s="10">
        <v>1</v>
      </c>
      <c r="I339" s="64" t="s">
        <v>386</v>
      </c>
      <c r="J339" s="10" t="s">
        <v>418</v>
      </c>
      <c r="K339" s="10">
        <f t="shared" ref="K339:K340" si="244">K338+E338</f>
        <v>43934</v>
      </c>
      <c r="L339" s="10">
        <f t="shared" si="242"/>
        <v>3934</v>
      </c>
      <c r="M339" s="10">
        <f t="shared" si="243"/>
        <v>3933</v>
      </c>
      <c r="N339" s="10" t="s">
        <v>419</v>
      </c>
      <c r="O339" s="10" t="s">
        <v>327</v>
      </c>
      <c r="P339" s="10">
        <v>0</v>
      </c>
      <c r="Q339" s="10" t="s">
        <v>760</v>
      </c>
      <c r="R339" s="111"/>
    </row>
    <row r="340" spans="2:18" ht="15.6" x14ac:dyDescent="0.3">
      <c r="B340" s="10" t="s">
        <v>320</v>
      </c>
      <c r="C340" s="10" t="s">
        <v>321</v>
      </c>
      <c r="D340" s="10">
        <v>2</v>
      </c>
      <c r="E340" s="10">
        <f t="shared" si="241"/>
        <v>1</v>
      </c>
      <c r="F340" s="10">
        <v>0</v>
      </c>
      <c r="G340" s="10">
        <v>0</v>
      </c>
      <c r="H340" s="10">
        <v>0</v>
      </c>
      <c r="I340" s="10">
        <v>0</v>
      </c>
      <c r="J340" s="10" t="s">
        <v>418</v>
      </c>
      <c r="K340" s="10">
        <f t="shared" si="244"/>
        <v>43935</v>
      </c>
      <c r="L340" s="10">
        <f>K340-40000</f>
        <v>3935</v>
      </c>
      <c r="M340" s="10">
        <f>L340-1</f>
        <v>3934</v>
      </c>
      <c r="N340" s="10" t="s">
        <v>419</v>
      </c>
      <c r="O340" s="10" t="s">
        <v>324</v>
      </c>
      <c r="P340" s="10">
        <v>0</v>
      </c>
      <c r="Q340" s="10"/>
      <c r="R340" s="111"/>
    </row>
    <row r="343" spans="2:18" ht="21" x14ac:dyDescent="0.3">
      <c r="B343" s="474" t="s">
        <v>853</v>
      </c>
      <c r="C343" s="475"/>
      <c r="D343" s="475"/>
      <c r="E343" s="475"/>
      <c r="F343" s="475"/>
      <c r="G343" s="475"/>
      <c r="H343" s="475"/>
      <c r="I343" s="475"/>
      <c r="J343" s="475"/>
      <c r="K343" s="475"/>
      <c r="L343" s="475"/>
      <c r="M343" s="475"/>
      <c r="N343" s="475"/>
      <c r="O343" s="475"/>
      <c r="P343" s="475"/>
      <c r="Q343" s="475"/>
      <c r="R343" s="476"/>
    </row>
    <row r="344" spans="2:18" x14ac:dyDescent="0.3">
      <c r="B344" s="470" t="s">
        <v>854</v>
      </c>
      <c r="C344" s="471"/>
      <c r="D344" s="471"/>
      <c r="E344" s="471"/>
      <c r="F344" s="471"/>
      <c r="G344" s="471"/>
      <c r="H344" s="471"/>
      <c r="I344" s="471"/>
      <c r="J344" s="471"/>
      <c r="K344" s="471"/>
      <c r="L344" s="471"/>
      <c r="M344" s="471"/>
      <c r="N344" s="471"/>
      <c r="O344" s="471"/>
      <c r="P344" s="471"/>
      <c r="Q344" s="471"/>
      <c r="R344" s="472"/>
    </row>
    <row r="345" spans="2:18" ht="62.4" x14ac:dyDescent="0.3">
      <c r="B345" s="10" t="s">
        <v>748</v>
      </c>
      <c r="C345" s="10" t="s">
        <v>321</v>
      </c>
      <c r="D345" s="10">
        <v>2</v>
      </c>
      <c r="E345" s="10">
        <f t="shared" ref="E345:E352" si="245">D345/2</f>
        <v>1</v>
      </c>
      <c r="F345" s="10">
        <v>0</v>
      </c>
      <c r="G345" s="10">
        <v>3</v>
      </c>
      <c r="H345" s="10">
        <v>1</v>
      </c>
      <c r="I345" s="10">
        <v>1</v>
      </c>
      <c r="J345" s="10" t="s">
        <v>418</v>
      </c>
      <c r="K345" s="10">
        <v>44001</v>
      </c>
      <c r="L345" s="10">
        <f>K345-40000</f>
        <v>4001</v>
      </c>
      <c r="M345" s="10">
        <f>L345-1</f>
        <v>4000</v>
      </c>
      <c r="N345" s="10" t="s">
        <v>419</v>
      </c>
      <c r="O345" s="10" t="s">
        <v>327</v>
      </c>
      <c r="P345" s="10">
        <v>0</v>
      </c>
      <c r="Q345" s="10"/>
      <c r="R345" s="110" t="s">
        <v>749</v>
      </c>
    </row>
    <row r="346" spans="2:18" ht="31.2" x14ac:dyDescent="0.3">
      <c r="B346" s="10" t="s">
        <v>855</v>
      </c>
      <c r="C346" s="10" t="s">
        <v>321</v>
      </c>
      <c r="D346" s="10">
        <v>2</v>
      </c>
      <c r="E346" s="10">
        <f t="shared" ref="E346" si="246">D346/2</f>
        <v>1</v>
      </c>
      <c r="F346" s="10">
        <v>0</v>
      </c>
      <c r="G346" s="10">
        <v>1</v>
      </c>
      <c r="H346" s="10">
        <v>1</v>
      </c>
      <c r="I346" s="10">
        <v>1</v>
      </c>
      <c r="J346" s="10" t="s">
        <v>418</v>
      </c>
      <c r="K346" s="10">
        <f t="shared" ref="K346:K352" si="247">K345+E345</f>
        <v>44002</v>
      </c>
      <c r="L346" s="10">
        <f t="shared" ref="L346:L348" si="248">K346-40000</f>
        <v>4002</v>
      </c>
      <c r="M346" s="10">
        <f t="shared" ref="M346:M348" si="249">L346-1</f>
        <v>4001</v>
      </c>
      <c r="N346" s="10" t="s">
        <v>419</v>
      </c>
      <c r="O346" s="10" t="s">
        <v>327</v>
      </c>
      <c r="P346" s="10">
        <v>0</v>
      </c>
      <c r="Q346" s="10"/>
      <c r="R346" s="110" t="s">
        <v>856</v>
      </c>
    </row>
    <row r="347" spans="2:18" ht="15.6" x14ac:dyDescent="0.3">
      <c r="B347" s="10" t="s">
        <v>772</v>
      </c>
      <c r="C347" s="10" t="s">
        <v>321</v>
      </c>
      <c r="D347" s="10">
        <v>2</v>
      </c>
      <c r="E347" s="10">
        <f t="shared" si="245"/>
        <v>1</v>
      </c>
      <c r="F347" s="10">
        <v>40</v>
      </c>
      <c r="G347" s="10">
        <v>200</v>
      </c>
      <c r="H347" s="10">
        <v>1</v>
      </c>
      <c r="I347" s="64" t="s">
        <v>386</v>
      </c>
      <c r="J347" s="10" t="s">
        <v>418</v>
      </c>
      <c r="K347" s="10">
        <f t="shared" si="247"/>
        <v>44003</v>
      </c>
      <c r="L347" s="10">
        <f t="shared" si="248"/>
        <v>4003</v>
      </c>
      <c r="M347" s="10">
        <f t="shared" si="249"/>
        <v>4002</v>
      </c>
      <c r="N347" s="10" t="s">
        <v>419</v>
      </c>
      <c r="O347" s="10" t="s">
        <v>327</v>
      </c>
      <c r="P347" s="10">
        <v>40</v>
      </c>
      <c r="Q347" s="10" t="s">
        <v>782</v>
      </c>
      <c r="R347" s="111"/>
    </row>
    <row r="348" spans="2:18" ht="15.6" x14ac:dyDescent="0.3">
      <c r="B348" s="10" t="s">
        <v>769</v>
      </c>
      <c r="C348" s="10" t="s">
        <v>321</v>
      </c>
      <c r="D348" s="10">
        <v>2</v>
      </c>
      <c r="E348" s="10">
        <f t="shared" si="245"/>
        <v>1</v>
      </c>
      <c r="F348" s="10">
        <v>0</v>
      </c>
      <c r="G348" s="10">
        <v>60000</v>
      </c>
      <c r="H348" s="10">
        <v>1</v>
      </c>
      <c r="I348" s="64" t="s">
        <v>386</v>
      </c>
      <c r="J348" s="10" t="s">
        <v>418</v>
      </c>
      <c r="K348" s="10">
        <f t="shared" si="247"/>
        <v>44004</v>
      </c>
      <c r="L348" s="10">
        <f t="shared" si="248"/>
        <v>4004</v>
      </c>
      <c r="M348" s="10">
        <f t="shared" si="249"/>
        <v>4003</v>
      </c>
      <c r="N348" s="10" t="s">
        <v>419</v>
      </c>
      <c r="O348" s="10" t="s">
        <v>327</v>
      </c>
      <c r="P348" s="10">
        <v>0</v>
      </c>
      <c r="Q348" s="10" t="s">
        <v>329</v>
      </c>
      <c r="R348" s="111"/>
    </row>
    <row r="349" spans="2:18" ht="15.6" x14ac:dyDescent="0.3">
      <c r="B349" s="10" t="s">
        <v>857</v>
      </c>
      <c r="C349" s="10" t="s">
        <v>321</v>
      </c>
      <c r="D349" s="10">
        <v>2</v>
      </c>
      <c r="E349" s="10">
        <f t="shared" si="245"/>
        <v>1</v>
      </c>
      <c r="F349" s="10">
        <v>40</v>
      </c>
      <c r="G349" s="10">
        <v>200</v>
      </c>
      <c r="H349" s="10">
        <v>1</v>
      </c>
      <c r="I349" s="64" t="s">
        <v>386</v>
      </c>
      <c r="J349" s="10" t="s">
        <v>418</v>
      </c>
      <c r="K349" s="10">
        <f t="shared" si="247"/>
        <v>44005</v>
      </c>
      <c r="L349" s="10">
        <f>K349-40000</f>
        <v>4005</v>
      </c>
      <c r="M349" s="10">
        <f>L349-1</f>
        <v>4004</v>
      </c>
      <c r="N349" s="10" t="s">
        <v>419</v>
      </c>
      <c r="O349" s="10" t="s">
        <v>327</v>
      </c>
      <c r="P349" s="10">
        <v>40</v>
      </c>
      <c r="Q349" s="10" t="s">
        <v>782</v>
      </c>
      <c r="R349" s="111"/>
    </row>
    <row r="350" spans="2:18" ht="62.4" x14ac:dyDescent="0.3">
      <c r="B350" s="10" t="s">
        <v>753</v>
      </c>
      <c r="C350" s="10" t="s">
        <v>359</v>
      </c>
      <c r="D350" s="10">
        <v>2</v>
      </c>
      <c r="E350" s="10">
        <f t="shared" si="245"/>
        <v>1</v>
      </c>
      <c r="F350" s="10">
        <v>1</v>
      </c>
      <c r="G350" s="10">
        <v>15</v>
      </c>
      <c r="H350" s="10">
        <v>1</v>
      </c>
      <c r="I350" s="10">
        <v>1</v>
      </c>
      <c r="J350" s="10" t="s">
        <v>418</v>
      </c>
      <c r="K350" s="10">
        <f t="shared" si="247"/>
        <v>44006</v>
      </c>
      <c r="L350" s="10">
        <f>K350-40000</f>
        <v>4006</v>
      </c>
      <c r="M350" s="10">
        <f>L350-1</f>
        <v>4005</v>
      </c>
      <c r="N350" s="10" t="s">
        <v>419</v>
      </c>
      <c r="O350" s="10" t="s">
        <v>327</v>
      </c>
      <c r="P350" s="10">
        <v>3</v>
      </c>
      <c r="Q350" s="10"/>
      <c r="R350" s="222" t="s">
        <v>754</v>
      </c>
    </row>
    <row r="351" spans="2:18" ht="15.6" x14ac:dyDescent="0.3">
      <c r="B351" s="10" t="s">
        <v>770</v>
      </c>
      <c r="C351" s="10" t="s">
        <v>321</v>
      </c>
      <c r="D351" s="10">
        <v>2</v>
      </c>
      <c r="E351" s="10">
        <f t="shared" si="245"/>
        <v>1</v>
      </c>
      <c r="F351" s="10">
        <v>0</v>
      </c>
      <c r="G351" s="10">
        <v>60000</v>
      </c>
      <c r="H351" s="10">
        <v>1</v>
      </c>
      <c r="I351" s="64" t="s">
        <v>386</v>
      </c>
      <c r="J351" s="10" t="s">
        <v>418</v>
      </c>
      <c r="K351" s="10">
        <f t="shared" si="247"/>
        <v>44007</v>
      </c>
      <c r="L351" s="10">
        <f t="shared" ref="L351:L352" si="250">K351-40000</f>
        <v>4007</v>
      </c>
      <c r="M351" s="10">
        <f t="shared" ref="M351:M352" si="251">L351-1</f>
        <v>4006</v>
      </c>
      <c r="N351" s="10" t="s">
        <v>419</v>
      </c>
      <c r="O351" s="10" t="s">
        <v>327</v>
      </c>
      <c r="P351" s="10">
        <v>0</v>
      </c>
      <c r="Q351" s="10" t="s">
        <v>760</v>
      </c>
      <c r="R351" s="111"/>
    </row>
    <row r="352" spans="2:18" ht="15.6" x14ac:dyDescent="0.3">
      <c r="B352" s="352" t="s">
        <v>743</v>
      </c>
      <c r="C352" s="10" t="s">
        <v>321</v>
      </c>
      <c r="D352" s="10">
        <v>2</v>
      </c>
      <c r="E352" s="10">
        <f t="shared" si="245"/>
        <v>1</v>
      </c>
      <c r="F352" s="10">
        <v>0</v>
      </c>
      <c r="G352" s="352">
        <v>0</v>
      </c>
      <c r="H352" s="10">
        <v>1</v>
      </c>
      <c r="I352" s="10">
        <v>1</v>
      </c>
      <c r="J352" s="10" t="s">
        <v>418</v>
      </c>
      <c r="K352" s="10">
        <f t="shared" si="247"/>
        <v>44008</v>
      </c>
      <c r="L352" s="10">
        <f t="shared" si="250"/>
        <v>4008</v>
      </c>
      <c r="M352" s="10">
        <f t="shared" si="251"/>
        <v>4007</v>
      </c>
      <c r="N352" s="10" t="s">
        <v>419</v>
      </c>
      <c r="O352" s="10" t="s">
        <v>327</v>
      </c>
      <c r="P352" s="10">
        <v>0</v>
      </c>
      <c r="Q352" s="10"/>
      <c r="R352" s="353"/>
    </row>
    <row r="353" spans="2:18" x14ac:dyDescent="0.3">
      <c r="B353" s="470" t="s">
        <v>858</v>
      </c>
      <c r="C353" s="471"/>
      <c r="D353" s="471"/>
      <c r="E353" s="471"/>
      <c r="F353" s="471"/>
      <c r="G353" s="471"/>
      <c r="H353" s="471"/>
      <c r="I353" s="471"/>
      <c r="J353" s="471"/>
      <c r="K353" s="471"/>
      <c r="L353" s="471"/>
      <c r="M353" s="471"/>
      <c r="N353" s="471"/>
      <c r="O353" s="471"/>
      <c r="P353" s="471"/>
      <c r="Q353" s="471"/>
      <c r="R353" s="472"/>
    </row>
    <row r="354" spans="2:18" ht="62.4" x14ac:dyDescent="0.3">
      <c r="B354" s="10" t="s">
        <v>748</v>
      </c>
      <c r="C354" s="10" t="s">
        <v>321</v>
      </c>
      <c r="D354" s="10">
        <v>2</v>
      </c>
      <c r="E354" s="10">
        <f t="shared" ref="E354:E361" si="252">D354/2</f>
        <v>1</v>
      </c>
      <c r="F354" s="10">
        <v>0</v>
      </c>
      <c r="G354" s="10">
        <v>3</v>
      </c>
      <c r="H354" s="10">
        <v>1</v>
      </c>
      <c r="I354" s="10">
        <v>1</v>
      </c>
      <c r="J354" s="10" t="s">
        <v>418</v>
      </c>
      <c r="K354" s="10">
        <f>K352+E352</f>
        <v>44009</v>
      </c>
      <c r="L354" s="10">
        <f>K354-40000</f>
        <v>4009</v>
      </c>
      <c r="M354" s="10">
        <f>L354-1</f>
        <v>4008</v>
      </c>
      <c r="N354" s="10" t="s">
        <v>419</v>
      </c>
      <c r="O354" s="10" t="s">
        <v>327</v>
      </c>
      <c r="P354" s="10">
        <v>0</v>
      </c>
      <c r="Q354" s="10"/>
      <c r="R354" s="110" t="s">
        <v>749</v>
      </c>
    </row>
    <row r="355" spans="2:18" ht="31.2" x14ac:dyDescent="0.3">
      <c r="B355" s="10" t="s">
        <v>855</v>
      </c>
      <c r="C355" s="10" t="s">
        <v>321</v>
      </c>
      <c r="D355" s="10">
        <v>2</v>
      </c>
      <c r="E355" s="10">
        <f t="shared" si="252"/>
        <v>1</v>
      </c>
      <c r="F355" s="10">
        <v>0</v>
      </c>
      <c r="G355" s="10">
        <v>1</v>
      </c>
      <c r="H355" s="10">
        <v>1</v>
      </c>
      <c r="I355" s="10">
        <v>1</v>
      </c>
      <c r="J355" s="10" t="s">
        <v>418</v>
      </c>
      <c r="K355" s="10">
        <f t="shared" ref="K355:K361" si="253">K354+E354</f>
        <v>44010</v>
      </c>
      <c r="L355" s="10">
        <f t="shared" ref="L355:L357" si="254">K355-40000</f>
        <v>4010</v>
      </c>
      <c r="M355" s="10">
        <f t="shared" ref="M355:M357" si="255">L355-1</f>
        <v>4009</v>
      </c>
      <c r="N355" s="10" t="s">
        <v>419</v>
      </c>
      <c r="O355" s="10" t="s">
        <v>327</v>
      </c>
      <c r="P355" s="10">
        <v>0</v>
      </c>
      <c r="Q355" s="10"/>
      <c r="R355" s="110" t="s">
        <v>856</v>
      </c>
    </row>
    <row r="356" spans="2:18" ht="15.6" x14ac:dyDescent="0.3">
      <c r="B356" s="10" t="s">
        <v>772</v>
      </c>
      <c r="C356" s="10" t="s">
        <v>321</v>
      </c>
      <c r="D356" s="10">
        <v>2</v>
      </c>
      <c r="E356" s="10">
        <f t="shared" si="252"/>
        <v>1</v>
      </c>
      <c r="F356" s="10">
        <v>40</v>
      </c>
      <c r="G356" s="10">
        <v>200</v>
      </c>
      <c r="H356" s="10">
        <v>1</v>
      </c>
      <c r="I356" s="64" t="s">
        <v>386</v>
      </c>
      <c r="J356" s="10" t="s">
        <v>418</v>
      </c>
      <c r="K356" s="10">
        <f t="shared" si="253"/>
        <v>44011</v>
      </c>
      <c r="L356" s="10">
        <f t="shared" si="254"/>
        <v>4011</v>
      </c>
      <c r="M356" s="10">
        <f t="shared" si="255"/>
        <v>4010</v>
      </c>
      <c r="N356" s="10" t="s">
        <v>419</v>
      </c>
      <c r="O356" s="10" t="s">
        <v>327</v>
      </c>
      <c r="P356" s="10">
        <v>40</v>
      </c>
      <c r="Q356" s="10" t="s">
        <v>782</v>
      </c>
      <c r="R356" s="111"/>
    </row>
    <row r="357" spans="2:18" ht="15.6" x14ac:dyDescent="0.3">
      <c r="B357" s="10" t="s">
        <v>769</v>
      </c>
      <c r="C357" s="10" t="s">
        <v>321</v>
      </c>
      <c r="D357" s="10">
        <v>2</v>
      </c>
      <c r="E357" s="10">
        <f t="shared" si="252"/>
        <v>1</v>
      </c>
      <c r="F357" s="10">
        <v>0</v>
      </c>
      <c r="G357" s="10">
        <v>60000</v>
      </c>
      <c r="H357" s="10">
        <v>1</v>
      </c>
      <c r="I357" s="64" t="s">
        <v>386</v>
      </c>
      <c r="J357" s="10" t="s">
        <v>418</v>
      </c>
      <c r="K357" s="10">
        <f t="shared" si="253"/>
        <v>44012</v>
      </c>
      <c r="L357" s="10">
        <f t="shared" si="254"/>
        <v>4012</v>
      </c>
      <c r="M357" s="10">
        <f t="shared" si="255"/>
        <v>4011</v>
      </c>
      <c r="N357" s="10" t="s">
        <v>419</v>
      </c>
      <c r="O357" s="10" t="s">
        <v>327</v>
      </c>
      <c r="P357" s="10">
        <v>0</v>
      </c>
      <c r="Q357" s="10" t="s">
        <v>329</v>
      </c>
      <c r="R357" s="111"/>
    </row>
    <row r="358" spans="2:18" ht="15.6" x14ac:dyDescent="0.3">
      <c r="B358" s="10" t="s">
        <v>857</v>
      </c>
      <c r="C358" s="10" t="s">
        <v>321</v>
      </c>
      <c r="D358" s="10">
        <v>2</v>
      </c>
      <c r="E358" s="10">
        <f t="shared" si="252"/>
        <v>1</v>
      </c>
      <c r="F358" s="10">
        <v>40</v>
      </c>
      <c r="G358" s="10">
        <v>200</v>
      </c>
      <c r="H358" s="10">
        <v>1</v>
      </c>
      <c r="I358" s="64" t="s">
        <v>386</v>
      </c>
      <c r="J358" s="10" t="s">
        <v>418</v>
      </c>
      <c r="K358" s="10">
        <f t="shared" si="253"/>
        <v>44013</v>
      </c>
      <c r="L358" s="10">
        <f>K358-40000</f>
        <v>4013</v>
      </c>
      <c r="M358" s="10">
        <f>L358-1</f>
        <v>4012</v>
      </c>
      <c r="N358" s="10" t="s">
        <v>419</v>
      </c>
      <c r="O358" s="10" t="s">
        <v>327</v>
      </c>
      <c r="P358" s="10">
        <v>40</v>
      </c>
      <c r="Q358" s="10" t="s">
        <v>782</v>
      </c>
      <c r="R358" s="111"/>
    </row>
    <row r="359" spans="2:18" ht="62.4" x14ac:dyDescent="0.3">
      <c r="B359" s="10" t="s">
        <v>753</v>
      </c>
      <c r="C359" s="10" t="s">
        <v>359</v>
      </c>
      <c r="D359" s="10">
        <v>2</v>
      </c>
      <c r="E359" s="10">
        <f t="shared" si="252"/>
        <v>1</v>
      </c>
      <c r="F359" s="10">
        <v>1</v>
      </c>
      <c r="G359" s="10">
        <v>15</v>
      </c>
      <c r="H359" s="10">
        <v>1</v>
      </c>
      <c r="I359" s="10">
        <v>1</v>
      </c>
      <c r="J359" s="10" t="s">
        <v>418</v>
      </c>
      <c r="K359" s="10">
        <f t="shared" si="253"/>
        <v>44014</v>
      </c>
      <c r="L359" s="10">
        <f>K359-40000</f>
        <v>4014</v>
      </c>
      <c r="M359" s="10">
        <f>L359-1</f>
        <v>4013</v>
      </c>
      <c r="N359" s="10" t="s">
        <v>419</v>
      </c>
      <c r="O359" s="10" t="s">
        <v>327</v>
      </c>
      <c r="P359" s="10">
        <v>3</v>
      </c>
      <c r="Q359" s="10"/>
      <c r="R359" s="222" t="s">
        <v>754</v>
      </c>
    </row>
    <row r="360" spans="2:18" ht="15.6" x14ac:dyDescent="0.3">
      <c r="B360" s="10" t="s">
        <v>770</v>
      </c>
      <c r="C360" s="10" t="s">
        <v>321</v>
      </c>
      <c r="D360" s="10">
        <v>2</v>
      </c>
      <c r="E360" s="10">
        <f t="shared" si="252"/>
        <v>1</v>
      </c>
      <c r="F360" s="10">
        <v>0</v>
      </c>
      <c r="G360" s="10">
        <v>60000</v>
      </c>
      <c r="H360" s="10">
        <v>1</v>
      </c>
      <c r="I360" s="64" t="s">
        <v>386</v>
      </c>
      <c r="J360" s="10" t="s">
        <v>418</v>
      </c>
      <c r="K360" s="10">
        <f t="shared" si="253"/>
        <v>44015</v>
      </c>
      <c r="L360" s="10">
        <f t="shared" ref="L360:L361" si="256">K360-40000</f>
        <v>4015</v>
      </c>
      <c r="M360" s="10">
        <f t="shared" ref="M360:M361" si="257">L360-1</f>
        <v>4014</v>
      </c>
      <c r="N360" s="10" t="s">
        <v>419</v>
      </c>
      <c r="O360" s="10" t="s">
        <v>327</v>
      </c>
      <c r="P360" s="10">
        <v>0</v>
      </c>
      <c r="Q360" s="10" t="s">
        <v>760</v>
      </c>
      <c r="R360" s="111"/>
    </row>
    <row r="361" spans="2:18" ht="15.6" x14ac:dyDescent="0.3">
      <c r="B361" s="352" t="s">
        <v>743</v>
      </c>
      <c r="C361" s="10" t="s">
        <v>321</v>
      </c>
      <c r="D361" s="10">
        <v>2</v>
      </c>
      <c r="E361" s="10">
        <f t="shared" si="252"/>
        <v>1</v>
      </c>
      <c r="F361" s="10">
        <v>0</v>
      </c>
      <c r="G361" s="352">
        <v>0</v>
      </c>
      <c r="H361" s="10">
        <v>1</v>
      </c>
      <c r="I361" s="10">
        <v>1</v>
      </c>
      <c r="J361" s="10" t="s">
        <v>418</v>
      </c>
      <c r="K361" s="10">
        <f t="shared" si="253"/>
        <v>44016</v>
      </c>
      <c r="L361" s="10">
        <f t="shared" si="256"/>
        <v>4016</v>
      </c>
      <c r="M361" s="10">
        <f t="shared" si="257"/>
        <v>4015</v>
      </c>
      <c r="N361" s="10" t="s">
        <v>419</v>
      </c>
      <c r="O361" s="10" t="s">
        <v>327</v>
      </c>
      <c r="P361" s="10">
        <v>0</v>
      </c>
      <c r="Q361" s="10"/>
      <c r="R361" s="353"/>
    </row>
    <row r="362" spans="2:18" x14ac:dyDescent="0.3">
      <c r="B362" s="470" t="s">
        <v>859</v>
      </c>
      <c r="C362" s="471"/>
      <c r="D362" s="471"/>
      <c r="E362" s="471"/>
      <c r="F362" s="471"/>
      <c r="G362" s="471"/>
      <c r="H362" s="471"/>
      <c r="I362" s="471"/>
      <c r="J362" s="471"/>
      <c r="K362" s="471"/>
      <c r="L362" s="471"/>
      <c r="M362" s="471"/>
      <c r="N362" s="471"/>
      <c r="O362" s="471"/>
      <c r="P362" s="471"/>
      <c r="Q362" s="471"/>
      <c r="R362" s="472"/>
    </row>
    <row r="363" spans="2:18" ht="62.4" x14ac:dyDescent="0.3">
      <c r="B363" s="10" t="s">
        <v>748</v>
      </c>
      <c r="C363" s="10" t="s">
        <v>321</v>
      </c>
      <c r="D363" s="10">
        <v>2</v>
      </c>
      <c r="E363" s="10">
        <f t="shared" ref="E363:E370" si="258">D363/2</f>
        <v>1</v>
      </c>
      <c r="F363" s="10">
        <v>0</v>
      </c>
      <c r="G363" s="10">
        <v>3</v>
      </c>
      <c r="H363" s="10">
        <v>1</v>
      </c>
      <c r="I363" s="10">
        <v>1</v>
      </c>
      <c r="J363" s="10" t="s">
        <v>418</v>
      </c>
      <c r="K363" s="10">
        <f>K361+E361</f>
        <v>44017</v>
      </c>
      <c r="L363" s="10">
        <f>K363-40000</f>
        <v>4017</v>
      </c>
      <c r="M363" s="10">
        <f>L363-1</f>
        <v>4016</v>
      </c>
      <c r="N363" s="10" t="s">
        <v>419</v>
      </c>
      <c r="O363" s="10" t="s">
        <v>327</v>
      </c>
      <c r="P363" s="10">
        <v>0</v>
      </c>
      <c r="Q363" s="10"/>
      <c r="R363" s="110" t="s">
        <v>749</v>
      </c>
    </row>
    <row r="364" spans="2:18" ht="31.2" x14ac:dyDescent="0.3">
      <c r="B364" s="10" t="s">
        <v>855</v>
      </c>
      <c r="C364" s="10" t="s">
        <v>321</v>
      </c>
      <c r="D364" s="10">
        <v>2</v>
      </c>
      <c r="E364" s="10">
        <f t="shared" si="258"/>
        <v>1</v>
      </c>
      <c r="F364" s="10">
        <v>0</v>
      </c>
      <c r="G364" s="10">
        <v>1</v>
      </c>
      <c r="H364" s="10">
        <v>1</v>
      </c>
      <c r="I364" s="10">
        <v>1</v>
      </c>
      <c r="J364" s="10" t="s">
        <v>418</v>
      </c>
      <c r="K364" s="10">
        <f t="shared" ref="K364:K370" si="259">K363+E363</f>
        <v>44018</v>
      </c>
      <c r="L364" s="10">
        <f t="shared" ref="L364:L366" si="260">K364-40000</f>
        <v>4018</v>
      </c>
      <c r="M364" s="10">
        <f t="shared" ref="M364:M366" si="261">L364-1</f>
        <v>4017</v>
      </c>
      <c r="N364" s="10" t="s">
        <v>419</v>
      </c>
      <c r="O364" s="10" t="s">
        <v>327</v>
      </c>
      <c r="P364" s="10">
        <v>0</v>
      </c>
      <c r="Q364" s="10"/>
      <c r="R364" s="110" t="s">
        <v>856</v>
      </c>
    </row>
    <row r="365" spans="2:18" ht="15.6" x14ac:dyDescent="0.3">
      <c r="B365" s="10" t="s">
        <v>772</v>
      </c>
      <c r="C365" s="10" t="s">
        <v>321</v>
      </c>
      <c r="D365" s="10">
        <v>2</v>
      </c>
      <c r="E365" s="10">
        <f t="shared" si="258"/>
        <v>1</v>
      </c>
      <c r="F365" s="10">
        <v>40</v>
      </c>
      <c r="G365" s="10">
        <v>200</v>
      </c>
      <c r="H365" s="10">
        <v>1</v>
      </c>
      <c r="I365" s="64" t="s">
        <v>386</v>
      </c>
      <c r="J365" s="10" t="s">
        <v>418</v>
      </c>
      <c r="K365" s="10">
        <f t="shared" si="259"/>
        <v>44019</v>
      </c>
      <c r="L365" s="10">
        <f t="shared" si="260"/>
        <v>4019</v>
      </c>
      <c r="M365" s="10">
        <f t="shared" si="261"/>
        <v>4018</v>
      </c>
      <c r="N365" s="10" t="s">
        <v>419</v>
      </c>
      <c r="O365" s="10" t="s">
        <v>327</v>
      </c>
      <c r="P365" s="10">
        <v>40</v>
      </c>
      <c r="Q365" s="10" t="s">
        <v>782</v>
      </c>
      <c r="R365" s="111"/>
    </row>
    <row r="366" spans="2:18" ht="15.6" x14ac:dyDescent="0.3">
      <c r="B366" s="10" t="s">
        <v>769</v>
      </c>
      <c r="C366" s="10" t="s">
        <v>321</v>
      </c>
      <c r="D366" s="10">
        <v>2</v>
      </c>
      <c r="E366" s="10">
        <f t="shared" si="258"/>
        <v>1</v>
      </c>
      <c r="F366" s="10">
        <v>0</v>
      </c>
      <c r="G366" s="10">
        <v>60000</v>
      </c>
      <c r="H366" s="10">
        <v>1</v>
      </c>
      <c r="I366" s="64" t="s">
        <v>386</v>
      </c>
      <c r="J366" s="10" t="s">
        <v>418</v>
      </c>
      <c r="K366" s="10">
        <f t="shared" si="259"/>
        <v>44020</v>
      </c>
      <c r="L366" s="10">
        <f t="shared" si="260"/>
        <v>4020</v>
      </c>
      <c r="M366" s="10">
        <f t="shared" si="261"/>
        <v>4019</v>
      </c>
      <c r="N366" s="10" t="s">
        <v>419</v>
      </c>
      <c r="O366" s="10" t="s">
        <v>327</v>
      </c>
      <c r="P366" s="10">
        <v>0</v>
      </c>
      <c r="Q366" s="10" t="s">
        <v>329</v>
      </c>
      <c r="R366" s="111"/>
    </row>
    <row r="367" spans="2:18" ht="15.6" x14ac:dyDescent="0.3">
      <c r="B367" s="10" t="s">
        <v>857</v>
      </c>
      <c r="C367" s="10" t="s">
        <v>321</v>
      </c>
      <c r="D367" s="10">
        <v>2</v>
      </c>
      <c r="E367" s="10">
        <f t="shared" si="258"/>
        <v>1</v>
      </c>
      <c r="F367" s="10">
        <v>40</v>
      </c>
      <c r="G367" s="10">
        <v>200</v>
      </c>
      <c r="H367" s="10">
        <v>1</v>
      </c>
      <c r="I367" s="64" t="s">
        <v>386</v>
      </c>
      <c r="J367" s="10" t="s">
        <v>418</v>
      </c>
      <c r="K367" s="10">
        <f t="shared" si="259"/>
        <v>44021</v>
      </c>
      <c r="L367" s="10">
        <f>K367-40000</f>
        <v>4021</v>
      </c>
      <c r="M367" s="10">
        <f>L367-1</f>
        <v>4020</v>
      </c>
      <c r="N367" s="10" t="s">
        <v>419</v>
      </c>
      <c r="O367" s="10" t="s">
        <v>327</v>
      </c>
      <c r="P367" s="10">
        <v>40</v>
      </c>
      <c r="Q367" s="10" t="s">
        <v>782</v>
      </c>
      <c r="R367" s="111"/>
    </row>
    <row r="368" spans="2:18" ht="62.4" x14ac:dyDescent="0.3">
      <c r="B368" s="10" t="s">
        <v>753</v>
      </c>
      <c r="C368" s="10" t="s">
        <v>359</v>
      </c>
      <c r="D368" s="10">
        <v>2</v>
      </c>
      <c r="E368" s="10">
        <f t="shared" si="258"/>
        <v>1</v>
      </c>
      <c r="F368" s="10">
        <v>1</v>
      </c>
      <c r="G368" s="10">
        <v>15</v>
      </c>
      <c r="H368" s="10">
        <v>1</v>
      </c>
      <c r="I368" s="10">
        <v>1</v>
      </c>
      <c r="J368" s="10" t="s">
        <v>418</v>
      </c>
      <c r="K368" s="10">
        <f t="shared" si="259"/>
        <v>44022</v>
      </c>
      <c r="L368" s="10">
        <f>K368-40000</f>
        <v>4022</v>
      </c>
      <c r="M368" s="10">
        <f>L368-1</f>
        <v>4021</v>
      </c>
      <c r="N368" s="10" t="s">
        <v>419</v>
      </c>
      <c r="O368" s="10" t="s">
        <v>327</v>
      </c>
      <c r="P368" s="10">
        <v>3</v>
      </c>
      <c r="Q368" s="10"/>
      <c r="R368" s="222" t="s">
        <v>754</v>
      </c>
    </row>
    <row r="369" spans="2:26" ht="15.6" x14ac:dyDescent="0.3">
      <c r="B369" s="10" t="s">
        <v>770</v>
      </c>
      <c r="C369" s="10" t="s">
        <v>321</v>
      </c>
      <c r="D369" s="10">
        <v>2</v>
      </c>
      <c r="E369" s="10">
        <f t="shared" si="258"/>
        <v>1</v>
      </c>
      <c r="F369" s="10">
        <v>0</v>
      </c>
      <c r="G369" s="10">
        <v>60000</v>
      </c>
      <c r="H369" s="10">
        <v>1</v>
      </c>
      <c r="I369" s="64" t="s">
        <v>386</v>
      </c>
      <c r="J369" s="10" t="s">
        <v>418</v>
      </c>
      <c r="K369" s="10">
        <f t="shared" si="259"/>
        <v>44023</v>
      </c>
      <c r="L369" s="10">
        <f t="shared" ref="L369:L370" si="262">K369-40000</f>
        <v>4023</v>
      </c>
      <c r="M369" s="10">
        <f t="shared" ref="M369:M370" si="263">L369-1</f>
        <v>4022</v>
      </c>
      <c r="N369" s="10" t="s">
        <v>419</v>
      </c>
      <c r="O369" s="10" t="s">
        <v>327</v>
      </c>
      <c r="P369" s="10">
        <v>0</v>
      </c>
      <c r="Q369" s="10" t="s">
        <v>760</v>
      </c>
      <c r="R369" s="111"/>
    </row>
    <row r="370" spans="2:26" ht="15.6" x14ac:dyDescent="0.3">
      <c r="B370" s="352" t="s">
        <v>743</v>
      </c>
      <c r="C370" s="10" t="s">
        <v>321</v>
      </c>
      <c r="D370" s="10">
        <v>2</v>
      </c>
      <c r="E370" s="10">
        <f t="shared" si="258"/>
        <v>1</v>
      </c>
      <c r="F370" s="10">
        <v>0</v>
      </c>
      <c r="G370" s="352">
        <v>0</v>
      </c>
      <c r="H370" s="10">
        <v>1</v>
      </c>
      <c r="I370" s="10">
        <v>1</v>
      </c>
      <c r="J370" s="10" t="s">
        <v>418</v>
      </c>
      <c r="K370" s="10">
        <f t="shared" si="259"/>
        <v>44024</v>
      </c>
      <c r="L370" s="10">
        <f t="shared" si="262"/>
        <v>4024</v>
      </c>
      <c r="M370" s="10">
        <f t="shared" si="263"/>
        <v>4023</v>
      </c>
      <c r="N370" s="10" t="s">
        <v>419</v>
      </c>
      <c r="O370" s="10" t="s">
        <v>327</v>
      </c>
      <c r="P370" s="10">
        <v>0</v>
      </c>
      <c r="Q370" s="10"/>
      <c r="R370" s="353"/>
    </row>
    <row r="371" spans="2:26" x14ac:dyDescent="0.3">
      <c r="B371" s="470" t="s">
        <v>860</v>
      </c>
      <c r="C371" s="471"/>
      <c r="D371" s="471"/>
      <c r="E371" s="471"/>
      <c r="F371" s="471"/>
      <c r="G371" s="471"/>
      <c r="H371" s="471"/>
      <c r="I371" s="471"/>
      <c r="J371" s="471"/>
      <c r="K371" s="471"/>
      <c r="L371" s="471"/>
      <c r="M371" s="471"/>
      <c r="N371" s="471"/>
      <c r="O371" s="471"/>
      <c r="P371" s="471"/>
      <c r="Q371" s="471"/>
      <c r="R371" s="472"/>
    </row>
    <row r="372" spans="2:26" ht="62.4" x14ac:dyDescent="0.3">
      <c r="B372" s="10" t="s">
        <v>748</v>
      </c>
      <c r="C372" s="10" t="s">
        <v>321</v>
      </c>
      <c r="D372" s="10">
        <v>2</v>
      </c>
      <c r="E372" s="10">
        <f t="shared" ref="E372:E379" si="264">D372/2</f>
        <v>1</v>
      </c>
      <c r="F372" s="10">
        <v>0</v>
      </c>
      <c r="G372" s="10">
        <v>3</v>
      </c>
      <c r="H372" s="10">
        <v>1</v>
      </c>
      <c r="I372" s="10">
        <v>1</v>
      </c>
      <c r="J372" s="10" t="s">
        <v>418</v>
      </c>
      <c r="K372" s="10">
        <f>K370+E370</f>
        <v>44025</v>
      </c>
      <c r="L372" s="10">
        <f>K372-40000</f>
        <v>4025</v>
      </c>
      <c r="M372" s="10">
        <f>L372-1</f>
        <v>4024</v>
      </c>
      <c r="N372" s="10" t="s">
        <v>419</v>
      </c>
      <c r="O372" s="10" t="s">
        <v>327</v>
      </c>
      <c r="P372" s="10">
        <v>0</v>
      </c>
      <c r="Q372" s="10"/>
      <c r="R372" s="110" t="s">
        <v>749</v>
      </c>
    </row>
    <row r="373" spans="2:26" ht="31.2" x14ac:dyDescent="0.3">
      <c r="B373" s="10" t="s">
        <v>855</v>
      </c>
      <c r="C373" s="10" t="s">
        <v>321</v>
      </c>
      <c r="D373" s="10">
        <v>2</v>
      </c>
      <c r="E373" s="10">
        <f t="shared" si="264"/>
        <v>1</v>
      </c>
      <c r="F373" s="10">
        <v>0</v>
      </c>
      <c r="G373" s="10">
        <v>1</v>
      </c>
      <c r="H373" s="10">
        <v>1</v>
      </c>
      <c r="I373" s="10">
        <v>1</v>
      </c>
      <c r="J373" s="10" t="s">
        <v>418</v>
      </c>
      <c r="K373" s="10">
        <f t="shared" ref="K373:K379" si="265">K372+E372</f>
        <v>44026</v>
      </c>
      <c r="L373" s="10">
        <f t="shared" ref="L373:L375" si="266">K373-40000</f>
        <v>4026</v>
      </c>
      <c r="M373" s="10">
        <f t="shared" ref="M373:M375" si="267">L373-1</f>
        <v>4025</v>
      </c>
      <c r="N373" s="10" t="s">
        <v>419</v>
      </c>
      <c r="O373" s="10" t="s">
        <v>327</v>
      </c>
      <c r="P373" s="10">
        <v>0</v>
      </c>
      <c r="Q373" s="10"/>
      <c r="R373" s="110" t="s">
        <v>856</v>
      </c>
    </row>
    <row r="374" spans="2:26" ht="15.6" x14ac:dyDescent="0.3">
      <c r="B374" s="10" t="s">
        <v>772</v>
      </c>
      <c r="C374" s="10" t="s">
        <v>321</v>
      </c>
      <c r="D374" s="10">
        <v>2</v>
      </c>
      <c r="E374" s="10">
        <f t="shared" si="264"/>
        <v>1</v>
      </c>
      <c r="F374" s="10">
        <v>40</v>
      </c>
      <c r="G374" s="10">
        <v>200</v>
      </c>
      <c r="H374" s="10">
        <v>1</v>
      </c>
      <c r="I374" s="64" t="s">
        <v>386</v>
      </c>
      <c r="J374" s="10" t="s">
        <v>418</v>
      </c>
      <c r="K374" s="10">
        <f t="shared" si="265"/>
        <v>44027</v>
      </c>
      <c r="L374" s="10">
        <f t="shared" si="266"/>
        <v>4027</v>
      </c>
      <c r="M374" s="10">
        <f t="shared" si="267"/>
        <v>4026</v>
      </c>
      <c r="N374" s="10" t="s">
        <v>419</v>
      </c>
      <c r="O374" s="10" t="s">
        <v>327</v>
      </c>
      <c r="P374" s="10">
        <v>40</v>
      </c>
      <c r="Q374" s="10" t="s">
        <v>782</v>
      </c>
      <c r="R374" s="111"/>
    </row>
    <row r="375" spans="2:26" ht="15.6" x14ac:dyDescent="0.3">
      <c r="B375" s="10" t="s">
        <v>769</v>
      </c>
      <c r="C375" s="10" t="s">
        <v>321</v>
      </c>
      <c r="D375" s="10">
        <v>2</v>
      </c>
      <c r="E375" s="10">
        <f t="shared" si="264"/>
        <v>1</v>
      </c>
      <c r="F375" s="10">
        <v>0</v>
      </c>
      <c r="G375" s="10">
        <v>60000</v>
      </c>
      <c r="H375" s="10">
        <v>1</v>
      </c>
      <c r="I375" s="64" t="s">
        <v>386</v>
      </c>
      <c r="J375" s="10" t="s">
        <v>418</v>
      </c>
      <c r="K375" s="10">
        <f t="shared" si="265"/>
        <v>44028</v>
      </c>
      <c r="L375" s="10">
        <f t="shared" si="266"/>
        <v>4028</v>
      </c>
      <c r="M375" s="10">
        <f t="shared" si="267"/>
        <v>4027</v>
      </c>
      <c r="N375" s="10" t="s">
        <v>419</v>
      </c>
      <c r="O375" s="10" t="s">
        <v>327</v>
      </c>
      <c r="P375" s="10">
        <v>0</v>
      </c>
      <c r="Q375" s="10" t="s">
        <v>329</v>
      </c>
      <c r="R375" s="111"/>
    </row>
    <row r="376" spans="2:26" ht="15.6" x14ac:dyDescent="0.3">
      <c r="B376" s="10" t="s">
        <v>857</v>
      </c>
      <c r="C376" s="10" t="s">
        <v>321</v>
      </c>
      <c r="D376" s="10">
        <v>2</v>
      </c>
      <c r="E376" s="10">
        <f t="shared" si="264"/>
        <v>1</v>
      </c>
      <c r="F376" s="10">
        <v>40</v>
      </c>
      <c r="G376" s="10">
        <v>200</v>
      </c>
      <c r="H376" s="10">
        <v>1</v>
      </c>
      <c r="I376" s="64" t="s">
        <v>386</v>
      </c>
      <c r="J376" s="10" t="s">
        <v>418</v>
      </c>
      <c r="K376" s="10">
        <f t="shared" si="265"/>
        <v>44029</v>
      </c>
      <c r="L376" s="10">
        <f>K376-40000</f>
        <v>4029</v>
      </c>
      <c r="M376" s="10">
        <f>L376-1</f>
        <v>4028</v>
      </c>
      <c r="N376" s="10" t="s">
        <v>419</v>
      </c>
      <c r="O376" s="10" t="s">
        <v>327</v>
      </c>
      <c r="P376" s="10">
        <v>40</v>
      </c>
      <c r="Q376" s="10" t="s">
        <v>782</v>
      </c>
      <c r="R376" s="111"/>
    </row>
    <row r="377" spans="2:26" ht="62.4" x14ac:dyDescent="0.3">
      <c r="B377" s="10" t="s">
        <v>753</v>
      </c>
      <c r="C377" s="10" t="s">
        <v>359</v>
      </c>
      <c r="D377" s="10">
        <v>2</v>
      </c>
      <c r="E377" s="10">
        <f t="shared" si="264"/>
        <v>1</v>
      </c>
      <c r="F377" s="10">
        <v>1</v>
      </c>
      <c r="G377" s="10">
        <v>15</v>
      </c>
      <c r="H377" s="10">
        <v>1</v>
      </c>
      <c r="I377" s="10">
        <v>1</v>
      </c>
      <c r="J377" s="10" t="s">
        <v>418</v>
      </c>
      <c r="K377" s="10">
        <f t="shared" si="265"/>
        <v>44030</v>
      </c>
      <c r="L377" s="10">
        <f>K377-40000</f>
        <v>4030</v>
      </c>
      <c r="M377" s="10">
        <f>L377-1</f>
        <v>4029</v>
      </c>
      <c r="N377" s="10" t="s">
        <v>419</v>
      </c>
      <c r="O377" s="10" t="s">
        <v>327</v>
      </c>
      <c r="P377" s="10">
        <v>3</v>
      </c>
      <c r="Q377" s="10"/>
      <c r="R377" s="222" t="s">
        <v>754</v>
      </c>
    </row>
    <row r="378" spans="2:26" ht="15.6" x14ac:dyDescent="0.3">
      <c r="B378" s="10" t="s">
        <v>770</v>
      </c>
      <c r="C378" s="10" t="s">
        <v>321</v>
      </c>
      <c r="D378" s="10">
        <v>2</v>
      </c>
      <c r="E378" s="10">
        <f t="shared" si="264"/>
        <v>1</v>
      </c>
      <c r="F378" s="10">
        <v>0</v>
      </c>
      <c r="G378" s="10">
        <v>60000</v>
      </c>
      <c r="H378" s="10">
        <v>1</v>
      </c>
      <c r="I378" s="64" t="s">
        <v>386</v>
      </c>
      <c r="J378" s="10" t="s">
        <v>418</v>
      </c>
      <c r="K378" s="10">
        <f t="shared" si="265"/>
        <v>44031</v>
      </c>
      <c r="L378" s="10">
        <f t="shared" ref="L378:L379" si="268">K378-40000</f>
        <v>4031</v>
      </c>
      <c r="M378" s="10">
        <f t="shared" ref="M378:M379" si="269">L378-1</f>
        <v>4030</v>
      </c>
      <c r="N378" s="10" t="s">
        <v>419</v>
      </c>
      <c r="O378" s="10" t="s">
        <v>327</v>
      </c>
      <c r="P378" s="10">
        <v>0</v>
      </c>
      <c r="Q378" s="10" t="s">
        <v>760</v>
      </c>
      <c r="R378" s="111"/>
    </row>
    <row r="379" spans="2:26" ht="15.6" x14ac:dyDescent="0.3">
      <c r="B379" s="352" t="s">
        <v>743</v>
      </c>
      <c r="C379" s="10" t="s">
        <v>321</v>
      </c>
      <c r="D379" s="10">
        <v>2</v>
      </c>
      <c r="E379" s="10">
        <f t="shared" si="264"/>
        <v>1</v>
      </c>
      <c r="F379" s="10">
        <v>0</v>
      </c>
      <c r="G379" s="352">
        <v>0</v>
      </c>
      <c r="H379" s="10">
        <v>1</v>
      </c>
      <c r="I379" s="10">
        <v>1</v>
      </c>
      <c r="J379" s="10" t="s">
        <v>418</v>
      </c>
      <c r="K379" s="10">
        <f t="shared" si="265"/>
        <v>44032</v>
      </c>
      <c r="L379" s="10">
        <f t="shared" si="268"/>
        <v>4032</v>
      </c>
      <c r="M379" s="10">
        <f t="shared" si="269"/>
        <v>4031</v>
      </c>
      <c r="N379" s="10" t="s">
        <v>419</v>
      </c>
      <c r="O379" s="10" t="s">
        <v>327</v>
      </c>
      <c r="P379" s="10">
        <v>0</v>
      </c>
      <c r="Q379" s="10"/>
      <c r="R379" s="353"/>
    </row>
    <row r="382" spans="2:26" ht="21" x14ac:dyDescent="0.3">
      <c r="B382" s="474" t="s">
        <v>861</v>
      </c>
      <c r="C382" s="475"/>
      <c r="D382" s="475"/>
      <c r="E382" s="475"/>
      <c r="F382" s="475"/>
      <c r="G382" s="475"/>
      <c r="H382" s="475"/>
      <c r="I382" s="475"/>
      <c r="J382" s="475"/>
      <c r="K382" s="475"/>
      <c r="L382" s="475"/>
      <c r="M382" s="475"/>
      <c r="N382" s="475"/>
      <c r="O382" s="475"/>
      <c r="P382" s="475"/>
      <c r="Q382" s="475"/>
      <c r="R382" s="476"/>
    </row>
    <row r="383" spans="2:26" x14ac:dyDescent="0.3">
      <c r="B383" s="470" t="s">
        <v>862</v>
      </c>
      <c r="C383" s="471"/>
      <c r="D383" s="471"/>
      <c r="E383" s="471"/>
      <c r="F383" s="471"/>
      <c r="G383" s="471"/>
      <c r="H383" s="471"/>
      <c r="I383" s="471"/>
      <c r="J383" s="471"/>
      <c r="K383" s="471"/>
      <c r="L383" s="471"/>
      <c r="M383" s="471"/>
      <c r="N383" s="471"/>
      <c r="O383" s="471"/>
      <c r="P383" s="471"/>
      <c r="Q383" s="471"/>
      <c r="R383" s="472"/>
      <c r="S383" s="56"/>
      <c r="T383" s="26"/>
      <c r="U383" s="26"/>
      <c r="V383" s="26"/>
      <c r="W383" s="26"/>
      <c r="X383" s="26"/>
      <c r="Y383" s="26"/>
      <c r="Z383" s="26"/>
    </row>
    <row r="384" spans="2:26" s="56" customFormat="1" ht="62.4" x14ac:dyDescent="0.3">
      <c r="B384" s="10" t="s">
        <v>748</v>
      </c>
      <c r="C384" s="10" t="s">
        <v>321</v>
      </c>
      <c r="D384" s="67">
        <v>2</v>
      </c>
      <c r="E384" s="67">
        <f t="shared" ref="E384:E393" si="270">D384/2</f>
        <v>1</v>
      </c>
      <c r="F384" s="67">
        <v>0</v>
      </c>
      <c r="G384" s="67">
        <v>3</v>
      </c>
      <c r="H384" s="67">
        <v>1</v>
      </c>
      <c r="I384" s="67">
        <v>1</v>
      </c>
      <c r="J384" s="67" t="s">
        <v>418</v>
      </c>
      <c r="K384" s="67">
        <v>44126</v>
      </c>
      <c r="L384" s="10">
        <f>K384-40000</f>
        <v>4126</v>
      </c>
      <c r="M384" s="10">
        <f>L384-1</f>
        <v>4125</v>
      </c>
      <c r="N384" s="67" t="s">
        <v>419</v>
      </c>
      <c r="O384" s="10" t="s">
        <v>327</v>
      </c>
      <c r="P384" s="67">
        <v>0</v>
      </c>
      <c r="Q384" s="67"/>
      <c r="R384" s="110" t="s">
        <v>749</v>
      </c>
    </row>
    <row r="385" spans="2:26" s="56" customFormat="1" ht="46.8" x14ac:dyDescent="0.3">
      <c r="B385" s="10" t="s">
        <v>863</v>
      </c>
      <c r="C385" s="10" t="s">
        <v>864</v>
      </c>
      <c r="D385" s="10">
        <v>2</v>
      </c>
      <c r="E385" s="10">
        <f t="shared" si="270"/>
        <v>1</v>
      </c>
      <c r="F385" s="10">
        <v>-50</v>
      </c>
      <c r="G385" s="10">
        <v>500</v>
      </c>
      <c r="H385" s="10">
        <v>1</v>
      </c>
      <c r="I385" s="67">
        <v>1</v>
      </c>
      <c r="J385" s="10" t="s">
        <v>418</v>
      </c>
      <c r="K385" s="10">
        <f t="shared" ref="K385:K393" si="271">K384+E384</f>
        <v>44127</v>
      </c>
      <c r="L385" s="10">
        <f t="shared" ref="L385:L388" si="272">K385-40000</f>
        <v>4127</v>
      </c>
      <c r="M385" s="10">
        <f t="shared" ref="M385:M388" si="273">L385-1</f>
        <v>4126</v>
      </c>
      <c r="N385" s="67" t="s">
        <v>419</v>
      </c>
      <c r="O385" s="10" t="s">
        <v>327</v>
      </c>
      <c r="P385" s="10">
        <v>130</v>
      </c>
      <c r="Q385" s="10" t="s">
        <v>391</v>
      </c>
      <c r="R385" s="222" t="s">
        <v>831</v>
      </c>
    </row>
    <row r="386" spans="2:26" s="56" customFormat="1" ht="46.8" x14ac:dyDescent="0.3">
      <c r="B386" s="10"/>
      <c r="C386" s="10"/>
      <c r="D386" s="10"/>
      <c r="E386" s="10"/>
      <c r="F386" s="221">
        <v>-58</v>
      </c>
      <c r="G386" s="221">
        <v>932</v>
      </c>
      <c r="H386" s="10"/>
      <c r="I386" s="64"/>
      <c r="J386" s="10"/>
      <c r="K386" s="10"/>
      <c r="L386" s="10"/>
      <c r="M386" s="10"/>
      <c r="N386" s="10"/>
      <c r="O386" s="10"/>
      <c r="P386" s="10"/>
      <c r="Q386" s="221" t="s">
        <v>832</v>
      </c>
      <c r="R386" s="222" t="s">
        <v>831</v>
      </c>
    </row>
    <row r="387" spans="2:26" s="56" customFormat="1" ht="31.2" x14ac:dyDescent="0.3">
      <c r="B387" s="10" t="s">
        <v>865</v>
      </c>
      <c r="C387" s="10" t="s">
        <v>321</v>
      </c>
      <c r="D387" s="10">
        <v>2</v>
      </c>
      <c r="E387" s="10">
        <f t="shared" si="270"/>
        <v>1</v>
      </c>
      <c r="F387" s="10">
        <v>0</v>
      </c>
      <c r="G387" s="10">
        <v>1</v>
      </c>
      <c r="H387" s="10">
        <v>1</v>
      </c>
      <c r="I387" s="10">
        <v>1</v>
      </c>
      <c r="J387" s="10" t="s">
        <v>418</v>
      </c>
      <c r="K387" s="10">
        <f>K385+E385</f>
        <v>44128</v>
      </c>
      <c r="L387" s="10">
        <f t="shared" si="272"/>
        <v>4128</v>
      </c>
      <c r="M387" s="10">
        <f t="shared" si="273"/>
        <v>4127</v>
      </c>
      <c r="N387" s="10" t="s">
        <v>419</v>
      </c>
      <c r="O387" s="10" t="s">
        <v>327</v>
      </c>
      <c r="P387" s="10">
        <v>0</v>
      </c>
      <c r="Q387" s="10"/>
      <c r="R387" s="110" t="s">
        <v>758</v>
      </c>
    </row>
    <row r="388" spans="2:26" s="56" customFormat="1" ht="15.6" x14ac:dyDescent="0.3">
      <c r="B388" s="10" t="s">
        <v>320</v>
      </c>
      <c r="C388" s="10" t="s">
        <v>321</v>
      </c>
      <c r="D388" s="10">
        <v>2</v>
      </c>
      <c r="E388" s="10">
        <f t="shared" si="270"/>
        <v>1</v>
      </c>
      <c r="F388" s="10">
        <v>0</v>
      </c>
      <c r="G388" s="10">
        <v>0</v>
      </c>
      <c r="H388" s="10">
        <v>0</v>
      </c>
      <c r="I388" s="10">
        <v>0</v>
      </c>
      <c r="J388" s="10" t="s">
        <v>418</v>
      </c>
      <c r="K388" s="10">
        <f t="shared" si="271"/>
        <v>44129</v>
      </c>
      <c r="L388" s="10">
        <f t="shared" si="272"/>
        <v>4129</v>
      </c>
      <c r="M388" s="10">
        <f t="shared" si="273"/>
        <v>4128</v>
      </c>
      <c r="N388" s="67" t="s">
        <v>419</v>
      </c>
      <c r="O388" s="10" t="s">
        <v>324</v>
      </c>
      <c r="P388" s="10">
        <v>0</v>
      </c>
      <c r="Q388" s="10"/>
      <c r="R388" s="111"/>
    </row>
    <row r="389" spans="2:26" s="56" customFormat="1" ht="15.6" x14ac:dyDescent="0.3">
      <c r="B389" s="10" t="s">
        <v>821</v>
      </c>
      <c r="C389" s="10" t="s">
        <v>321</v>
      </c>
      <c r="D389" s="10">
        <v>2</v>
      </c>
      <c r="E389" s="10">
        <f t="shared" si="270"/>
        <v>1</v>
      </c>
      <c r="F389" s="10">
        <v>1</v>
      </c>
      <c r="G389" s="10">
        <v>60000</v>
      </c>
      <c r="H389" s="10">
        <v>1</v>
      </c>
      <c r="I389" s="64" t="s">
        <v>386</v>
      </c>
      <c r="J389" s="10" t="s">
        <v>418</v>
      </c>
      <c r="K389" s="10">
        <f t="shared" si="271"/>
        <v>44130</v>
      </c>
      <c r="L389" s="10">
        <f>K389-40000</f>
        <v>4130</v>
      </c>
      <c r="M389" s="10">
        <f>L389-1</f>
        <v>4129</v>
      </c>
      <c r="N389" s="67" t="s">
        <v>419</v>
      </c>
      <c r="O389" s="10" t="s">
        <v>327</v>
      </c>
      <c r="P389" s="10">
        <v>10</v>
      </c>
      <c r="Q389" s="10" t="s">
        <v>760</v>
      </c>
      <c r="R389" s="111"/>
    </row>
    <row r="390" spans="2:26" s="56" customFormat="1" ht="46.8" x14ac:dyDescent="0.3">
      <c r="B390" s="10" t="s">
        <v>866</v>
      </c>
      <c r="C390" s="10" t="s">
        <v>864</v>
      </c>
      <c r="D390" s="10">
        <v>2</v>
      </c>
      <c r="E390" s="10">
        <f t="shared" si="270"/>
        <v>1</v>
      </c>
      <c r="F390" s="10">
        <v>-50</v>
      </c>
      <c r="G390" s="10">
        <v>500</v>
      </c>
      <c r="H390" s="10">
        <v>1</v>
      </c>
      <c r="I390" s="67">
        <v>1</v>
      </c>
      <c r="J390" s="10" t="s">
        <v>418</v>
      </c>
      <c r="K390" s="10">
        <f t="shared" ref="K390" si="274">K389+E389</f>
        <v>44131</v>
      </c>
      <c r="L390" s="10">
        <f t="shared" ref="L390" si="275">K390-40000</f>
        <v>4131</v>
      </c>
      <c r="M390" s="10">
        <f t="shared" ref="M390" si="276">L390-1</f>
        <v>4130</v>
      </c>
      <c r="N390" s="67" t="s">
        <v>419</v>
      </c>
      <c r="O390" s="10" t="s">
        <v>327</v>
      </c>
      <c r="P390" s="10">
        <v>130</v>
      </c>
      <c r="Q390" s="10" t="s">
        <v>391</v>
      </c>
      <c r="R390" s="222" t="s">
        <v>831</v>
      </c>
    </row>
    <row r="391" spans="2:26" s="56" customFormat="1" ht="46.8" x14ac:dyDescent="0.3">
      <c r="B391" s="10"/>
      <c r="C391" s="10"/>
      <c r="D391" s="10"/>
      <c r="E391" s="10"/>
      <c r="F391" s="221">
        <v>-58</v>
      </c>
      <c r="G391" s="221">
        <v>932</v>
      </c>
      <c r="H391" s="10"/>
      <c r="I391" s="64"/>
      <c r="J391" s="10"/>
      <c r="K391" s="10"/>
      <c r="L391" s="10"/>
      <c r="M391" s="10"/>
      <c r="N391" s="10"/>
      <c r="O391" s="10"/>
      <c r="P391" s="10"/>
      <c r="Q391" s="221" t="s">
        <v>832</v>
      </c>
      <c r="R391" s="222" t="s">
        <v>831</v>
      </c>
    </row>
    <row r="392" spans="2:26" s="56" customFormat="1" ht="62.4" x14ac:dyDescent="0.3">
      <c r="B392" s="10" t="s">
        <v>753</v>
      </c>
      <c r="C392" s="10" t="s">
        <v>359</v>
      </c>
      <c r="D392" s="10">
        <v>2</v>
      </c>
      <c r="E392" s="10">
        <f t="shared" si="270"/>
        <v>1</v>
      </c>
      <c r="F392" s="10">
        <v>1</v>
      </c>
      <c r="G392" s="10">
        <v>15</v>
      </c>
      <c r="H392" s="10">
        <v>1</v>
      </c>
      <c r="I392" s="10">
        <v>1</v>
      </c>
      <c r="J392" s="10" t="s">
        <v>418</v>
      </c>
      <c r="K392" s="10">
        <f>K390+E390</f>
        <v>44132</v>
      </c>
      <c r="L392" s="10">
        <f t="shared" ref="L392:L393" si="277">K392-40000</f>
        <v>4132</v>
      </c>
      <c r="M392" s="10">
        <f t="shared" ref="M392:M393" si="278">L392-1</f>
        <v>4131</v>
      </c>
      <c r="N392" s="67" t="s">
        <v>419</v>
      </c>
      <c r="O392" s="10" t="s">
        <v>327</v>
      </c>
      <c r="P392" s="10">
        <v>3</v>
      </c>
      <c r="Q392" s="10"/>
      <c r="R392" s="222" t="s">
        <v>754</v>
      </c>
    </row>
    <row r="393" spans="2:26" s="56" customFormat="1" ht="15.6" x14ac:dyDescent="0.3">
      <c r="B393" s="10" t="s">
        <v>770</v>
      </c>
      <c r="C393" s="10" t="s">
        <v>321</v>
      </c>
      <c r="D393" s="10">
        <v>2</v>
      </c>
      <c r="E393" s="10">
        <f t="shared" si="270"/>
        <v>1</v>
      </c>
      <c r="F393" s="10">
        <v>0</v>
      </c>
      <c r="G393" s="10">
        <v>60000</v>
      </c>
      <c r="H393" s="10">
        <v>1</v>
      </c>
      <c r="I393" s="64" t="s">
        <v>386</v>
      </c>
      <c r="J393" s="10" t="s">
        <v>418</v>
      </c>
      <c r="K393" s="10">
        <f t="shared" si="271"/>
        <v>44133</v>
      </c>
      <c r="L393" s="10">
        <f t="shared" si="277"/>
        <v>4133</v>
      </c>
      <c r="M393" s="10">
        <f t="shared" si="278"/>
        <v>4132</v>
      </c>
      <c r="N393" s="67" t="s">
        <v>419</v>
      </c>
      <c r="O393" s="10" t="s">
        <v>327</v>
      </c>
      <c r="P393" s="10">
        <v>0</v>
      </c>
      <c r="Q393" s="10" t="s">
        <v>760</v>
      </c>
      <c r="R393" s="111"/>
    </row>
    <row r="394" spans="2:26" x14ac:dyDescent="0.3">
      <c r="B394" s="470" t="s">
        <v>867</v>
      </c>
      <c r="C394" s="471"/>
      <c r="D394" s="471"/>
      <c r="E394" s="471"/>
      <c r="F394" s="471"/>
      <c r="G394" s="471"/>
      <c r="H394" s="471"/>
      <c r="I394" s="471"/>
      <c r="J394" s="471"/>
      <c r="K394" s="471"/>
      <c r="L394" s="471"/>
      <c r="M394" s="471"/>
      <c r="N394" s="471"/>
      <c r="O394" s="471"/>
      <c r="P394" s="471"/>
      <c r="Q394" s="471"/>
      <c r="R394" s="472"/>
      <c r="S394" s="56"/>
      <c r="T394" s="26"/>
      <c r="U394" s="26"/>
      <c r="V394" s="26"/>
      <c r="W394" s="26"/>
      <c r="X394" s="26"/>
      <c r="Y394" s="26"/>
      <c r="Z394" s="26"/>
    </row>
    <row r="395" spans="2:26" s="56" customFormat="1" ht="62.4" x14ac:dyDescent="0.3">
      <c r="B395" s="10" t="s">
        <v>748</v>
      </c>
      <c r="C395" s="10" t="s">
        <v>321</v>
      </c>
      <c r="D395" s="67">
        <v>2</v>
      </c>
      <c r="E395" s="67">
        <f t="shared" ref="E395:E404" si="279">D395/2</f>
        <v>1</v>
      </c>
      <c r="F395" s="67">
        <v>0</v>
      </c>
      <c r="G395" s="67">
        <v>3</v>
      </c>
      <c r="H395" s="67">
        <v>1</v>
      </c>
      <c r="I395" s="67">
        <v>1</v>
      </c>
      <c r="J395" s="67" t="s">
        <v>418</v>
      </c>
      <c r="K395" s="67">
        <f>K393+E393</f>
        <v>44134</v>
      </c>
      <c r="L395" s="10">
        <f>K395-40000</f>
        <v>4134</v>
      </c>
      <c r="M395" s="10">
        <f>L395-1</f>
        <v>4133</v>
      </c>
      <c r="N395" s="67" t="s">
        <v>419</v>
      </c>
      <c r="O395" s="10" t="s">
        <v>327</v>
      </c>
      <c r="P395" s="67">
        <v>0</v>
      </c>
      <c r="Q395" s="67"/>
      <c r="R395" s="110" t="s">
        <v>749</v>
      </c>
    </row>
    <row r="396" spans="2:26" s="56" customFormat="1" ht="46.8" x14ac:dyDescent="0.3">
      <c r="B396" s="10" t="s">
        <v>863</v>
      </c>
      <c r="C396" s="10" t="s">
        <v>864</v>
      </c>
      <c r="D396" s="10">
        <v>2</v>
      </c>
      <c r="E396" s="10">
        <f t="shared" si="279"/>
        <v>1</v>
      </c>
      <c r="F396" s="10">
        <v>-50</v>
      </c>
      <c r="G396" s="10">
        <v>500</v>
      </c>
      <c r="H396" s="10">
        <v>1</v>
      </c>
      <c r="I396" s="67">
        <v>1</v>
      </c>
      <c r="J396" s="10" t="s">
        <v>418</v>
      </c>
      <c r="K396" s="10">
        <f t="shared" ref="K396" si="280">K395+E395</f>
        <v>44135</v>
      </c>
      <c r="L396" s="10">
        <f t="shared" ref="L396:L398" si="281">K396-40000</f>
        <v>4135</v>
      </c>
      <c r="M396" s="10">
        <f t="shared" ref="M396:M398" si="282">L396-1</f>
        <v>4134</v>
      </c>
      <c r="N396" s="67" t="s">
        <v>419</v>
      </c>
      <c r="O396" s="10" t="s">
        <v>327</v>
      </c>
      <c r="P396" s="10">
        <v>130</v>
      </c>
      <c r="Q396" s="10" t="s">
        <v>391</v>
      </c>
      <c r="R396" s="222" t="s">
        <v>831</v>
      </c>
    </row>
    <row r="397" spans="2:26" s="56" customFormat="1" ht="46.8" x14ac:dyDescent="0.3">
      <c r="B397" s="10"/>
      <c r="C397" s="10"/>
      <c r="D397" s="10"/>
      <c r="E397" s="10"/>
      <c r="F397" s="221">
        <v>-58</v>
      </c>
      <c r="G397" s="221">
        <v>932</v>
      </c>
      <c r="H397" s="10"/>
      <c r="I397" s="64"/>
      <c r="J397" s="10"/>
      <c r="K397" s="10"/>
      <c r="L397" s="10"/>
      <c r="M397" s="10"/>
      <c r="N397" s="10"/>
      <c r="O397" s="10"/>
      <c r="P397" s="10"/>
      <c r="Q397" s="221" t="s">
        <v>832</v>
      </c>
      <c r="R397" s="222" t="s">
        <v>831</v>
      </c>
    </row>
    <row r="398" spans="2:26" s="56" customFormat="1" ht="31.2" x14ac:dyDescent="0.3">
      <c r="B398" s="10" t="s">
        <v>865</v>
      </c>
      <c r="C398" s="10" t="s">
        <v>321</v>
      </c>
      <c r="D398" s="10">
        <v>2</v>
      </c>
      <c r="E398" s="10">
        <f t="shared" si="279"/>
        <v>1</v>
      </c>
      <c r="F398" s="10">
        <v>0</v>
      </c>
      <c r="G398" s="10">
        <v>1</v>
      </c>
      <c r="H398" s="10">
        <v>1</v>
      </c>
      <c r="I398" s="10">
        <v>1</v>
      </c>
      <c r="J398" s="10" t="s">
        <v>418</v>
      </c>
      <c r="K398" s="10">
        <f>K396+E396</f>
        <v>44136</v>
      </c>
      <c r="L398" s="10">
        <f t="shared" si="281"/>
        <v>4136</v>
      </c>
      <c r="M398" s="10">
        <f t="shared" si="282"/>
        <v>4135</v>
      </c>
      <c r="N398" s="10" t="s">
        <v>419</v>
      </c>
      <c r="O398" s="10" t="s">
        <v>327</v>
      </c>
      <c r="P398" s="10">
        <v>0</v>
      </c>
      <c r="Q398" s="10"/>
      <c r="R398" s="110" t="s">
        <v>758</v>
      </c>
    </row>
    <row r="399" spans="2:26" s="56" customFormat="1" ht="15.6" x14ac:dyDescent="0.3">
      <c r="B399" s="10" t="s">
        <v>320</v>
      </c>
      <c r="C399" s="10" t="s">
        <v>321</v>
      </c>
      <c r="D399" s="10">
        <v>2</v>
      </c>
      <c r="E399" s="10">
        <f t="shared" si="279"/>
        <v>1</v>
      </c>
      <c r="F399" s="10">
        <v>0</v>
      </c>
      <c r="G399" s="10">
        <v>0</v>
      </c>
      <c r="H399" s="10">
        <v>0</v>
      </c>
      <c r="I399" s="10">
        <v>0</v>
      </c>
      <c r="J399" s="10" t="s">
        <v>418</v>
      </c>
      <c r="K399" s="10">
        <f t="shared" ref="K399:K404" si="283">K398+E398</f>
        <v>44137</v>
      </c>
      <c r="L399" s="10">
        <f t="shared" ref="L399" si="284">K399-40000</f>
        <v>4137</v>
      </c>
      <c r="M399" s="10">
        <f t="shared" ref="M399" si="285">L399-1</f>
        <v>4136</v>
      </c>
      <c r="N399" s="67" t="s">
        <v>419</v>
      </c>
      <c r="O399" s="10" t="s">
        <v>324</v>
      </c>
      <c r="P399" s="10">
        <v>0</v>
      </c>
      <c r="Q399" s="10"/>
      <c r="R399" s="111"/>
    </row>
    <row r="400" spans="2:26" s="56" customFormat="1" ht="15.6" x14ac:dyDescent="0.3">
      <c r="B400" s="10" t="s">
        <v>821</v>
      </c>
      <c r="C400" s="10" t="s">
        <v>321</v>
      </c>
      <c r="D400" s="10">
        <v>2</v>
      </c>
      <c r="E400" s="10">
        <f t="shared" si="279"/>
        <v>1</v>
      </c>
      <c r="F400" s="10">
        <v>1</v>
      </c>
      <c r="G400" s="10">
        <v>60000</v>
      </c>
      <c r="H400" s="10">
        <v>1</v>
      </c>
      <c r="I400" s="64" t="s">
        <v>386</v>
      </c>
      <c r="J400" s="10" t="s">
        <v>418</v>
      </c>
      <c r="K400" s="10">
        <f t="shared" si="283"/>
        <v>44138</v>
      </c>
      <c r="L400" s="10">
        <f>K400-40000</f>
        <v>4138</v>
      </c>
      <c r="M400" s="10">
        <f>L400-1</f>
        <v>4137</v>
      </c>
      <c r="N400" s="67" t="s">
        <v>419</v>
      </c>
      <c r="O400" s="10" t="s">
        <v>327</v>
      </c>
      <c r="P400" s="10">
        <v>10</v>
      </c>
      <c r="Q400" s="10" t="s">
        <v>760</v>
      </c>
      <c r="R400" s="111"/>
    </row>
    <row r="401" spans="2:26" s="56" customFormat="1" ht="46.8" x14ac:dyDescent="0.3">
      <c r="B401" s="10" t="s">
        <v>866</v>
      </c>
      <c r="C401" s="10" t="s">
        <v>864</v>
      </c>
      <c r="D401" s="10">
        <v>2</v>
      </c>
      <c r="E401" s="10">
        <f t="shared" si="279"/>
        <v>1</v>
      </c>
      <c r="F401" s="10">
        <v>-50</v>
      </c>
      <c r="G401" s="10">
        <v>500</v>
      </c>
      <c r="H401" s="10">
        <v>1</v>
      </c>
      <c r="I401" s="67">
        <v>1</v>
      </c>
      <c r="J401" s="10" t="s">
        <v>418</v>
      </c>
      <c r="K401" s="10">
        <f t="shared" si="283"/>
        <v>44139</v>
      </c>
      <c r="L401" s="10">
        <f t="shared" ref="L401" si="286">K401-40000</f>
        <v>4139</v>
      </c>
      <c r="M401" s="10">
        <f t="shared" ref="M401" si="287">L401-1</f>
        <v>4138</v>
      </c>
      <c r="N401" s="67" t="s">
        <v>419</v>
      </c>
      <c r="O401" s="10" t="s">
        <v>327</v>
      </c>
      <c r="P401" s="10">
        <v>130</v>
      </c>
      <c r="Q401" s="10" t="s">
        <v>391</v>
      </c>
      <c r="R401" s="222" t="s">
        <v>831</v>
      </c>
    </row>
    <row r="402" spans="2:26" s="56" customFormat="1" ht="46.8" x14ac:dyDescent="0.3">
      <c r="B402" s="10"/>
      <c r="C402" s="10"/>
      <c r="D402" s="10"/>
      <c r="E402" s="10"/>
      <c r="F402" s="221">
        <v>-58</v>
      </c>
      <c r="G402" s="221">
        <v>932</v>
      </c>
      <c r="H402" s="10"/>
      <c r="I402" s="64"/>
      <c r="J402" s="10"/>
      <c r="K402" s="10"/>
      <c r="L402" s="10"/>
      <c r="M402" s="10"/>
      <c r="N402" s="10"/>
      <c r="O402" s="10"/>
      <c r="P402" s="10"/>
      <c r="Q402" s="221" t="s">
        <v>832</v>
      </c>
      <c r="R402" s="222" t="s">
        <v>831</v>
      </c>
    </row>
    <row r="403" spans="2:26" s="56" customFormat="1" ht="62.4" x14ac:dyDescent="0.3">
      <c r="B403" s="10" t="s">
        <v>753</v>
      </c>
      <c r="C403" s="10" t="s">
        <v>359</v>
      </c>
      <c r="D403" s="10">
        <v>2</v>
      </c>
      <c r="E403" s="10">
        <f t="shared" si="279"/>
        <v>1</v>
      </c>
      <c r="F403" s="10">
        <v>1</v>
      </c>
      <c r="G403" s="10">
        <v>15</v>
      </c>
      <c r="H403" s="10">
        <v>1</v>
      </c>
      <c r="I403" s="10">
        <v>1</v>
      </c>
      <c r="J403" s="10" t="s">
        <v>418</v>
      </c>
      <c r="K403" s="10">
        <f>K401+E401</f>
        <v>44140</v>
      </c>
      <c r="L403" s="10">
        <f t="shared" ref="L403:L404" si="288">K403-40000</f>
        <v>4140</v>
      </c>
      <c r="M403" s="10">
        <f t="shared" ref="M403:M404" si="289">L403-1</f>
        <v>4139</v>
      </c>
      <c r="N403" s="67" t="s">
        <v>419</v>
      </c>
      <c r="O403" s="10" t="s">
        <v>327</v>
      </c>
      <c r="P403" s="10">
        <v>3</v>
      </c>
      <c r="Q403" s="10"/>
      <c r="R403" s="222" t="s">
        <v>754</v>
      </c>
    </row>
    <row r="404" spans="2:26" s="56" customFormat="1" ht="15.6" x14ac:dyDescent="0.3">
      <c r="B404" s="10" t="s">
        <v>770</v>
      </c>
      <c r="C404" s="10" t="s">
        <v>321</v>
      </c>
      <c r="D404" s="10">
        <v>2</v>
      </c>
      <c r="E404" s="10">
        <f t="shared" si="279"/>
        <v>1</v>
      </c>
      <c r="F404" s="10">
        <v>0</v>
      </c>
      <c r="G404" s="10">
        <v>60000</v>
      </c>
      <c r="H404" s="10">
        <v>1</v>
      </c>
      <c r="I404" s="64" t="s">
        <v>386</v>
      </c>
      <c r="J404" s="10" t="s">
        <v>418</v>
      </c>
      <c r="K404" s="10">
        <f t="shared" si="283"/>
        <v>44141</v>
      </c>
      <c r="L404" s="10">
        <f t="shared" si="288"/>
        <v>4141</v>
      </c>
      <c r="M404" s="10">
        <f t="shared" si="289"/>
        <v>4140</v>
      </c>
      <c r="N404" s="67" t="s">
        <v>419</v>
      </c>
      <c r="O404" s="10" t="s">
        <v>327</v>
      </c>
      <c r="P404" s="10">
        <v>0</v>
      </c>
      <c r="Q404" s="10" t="s">
        <v>760</v>
      </c>
      <c r="R404" s="111"/>
    </row>
    <row r="405" spans="2:26" x14ac:dyDescent="0.3">
      <c r="B405" s="470" t="s">
        <v>868</v>
      </c>
      <c r="C405" s="471"/>
      <c r="D405" s="471"/>
      <c r="E405" s="471"/>
      <c r="F405" s="471"/>
      <c r="G405" s="471"/>
      <c r="H405" s="471"/>
      <c r="I405" s="471"/>
      <c r="J405" s="471"/>
      <c r="K405" s="471"/>
      <c r="L405" s="471"/>
      <c r="M405" s="471"/>
      <c r="N405" s="471"/>
      <c r="O405" s="471"/>
      <c r="P405" s="471"/>
      <c r="Q405" s="471"/>
      <c r="R405" s="472"/>
      <c r="S405" s="56"/>
      <c r="T405" s="26"/>
      <c r="U405" s="26"/>
      <c r="V405" s="26"/>
      <c r="W405" s="26"/>
      <c r="X405" s="26"/>
      <c r="Y405" s="26"/>
      <c r="Z405" s="26"/>
    </row>
    <row r="406" spans="2:26" s="56" customFormat="1" ht="62.4" x14ac:dyDescent="0.3">
      <c r="B406" s="10" t="s">
        <v>748</v>
      </c>
      <c r="C406" s="10" t="s">
        <v>321</v>
      </c>
      <c r="D406" s="67">
        <v>2</v>
      </c>
      <c r="E406" s="67">
        <f t="shared" ref="E406:E415" si="290">D406/2</f>
        <v>1</v>
      </c>
      <c r="F406" s="67">
        <v>0</v>
      </c>
      <c r="G406" s="67">
        <v>3</v>
      </c>
      <c r="H406" s="67">
        <v>1</v>
      </c>
      <c r="I406" s="67">
        <v>1</v>
      </c>
      <c r="J406" s="67" t="s">
        <v>418</v>
      </c>
      <c r="K406" s="67">
        <f>K404+E404</f>
        <v>44142</v>
      </c>
      <c r="L406" s="10">
        <f>K406-40000</f>
        <v>4142</v>
      </c>
      <c r="M406" s="10">
        <f>L406-1</f>
        <v>4141</v>
      </c>
      <c r="N406" s="67" t="s">
        <v>419</v>
      </c>
      <c r="O406" s="10" t="s">
        <v>327</v>
      </c>
      <c r="P406" s="67">
        <v>0</v>
      </c>
      <c r="Q406" s="67"/>
      <c r="R406" s="110" t="s">
        <v>749</v>
      </c>
    </row>
    <row r="407" spans="2:26" s="56" customFormat="1" ht="46.8" x14ac:dyDescent="0.3">
      <c r="B407" s="10" t="s">
        <v>863</v>
      </c>
      <c r="C407" s="10" t="s">
        <v>864</v>
      </c>
      <c r="D407" s="10">
        <v>2</v>
      </c>
      <c r="E407" s="10">
        <f t="shared" si="290"/>
        <v>1</v>
      </c>
      <c r="F407" s="10">
        <v>-50</v>
      </c>
      <c r="G407" s="10">
        <v>500</v>
      </c>
      <c r="H407" s="10">
        <v>1</v>
      </c>
      <c r="I407" s="67">
        <v>1</v>
      </c>
      <c r="J407" s="10" t="s">
        <v>418</v>
      </c>
      <c r="K407" s="10">
        <f t="shared" ref="K407" si="291">K406+E406</f>
        <v>44143</v>
      </c>
      <c r="L407" s="10">
        <f t="shared" ref="L407:L409" si="292">K407-40000</f>
        <v>4143</v>
      </c>
      <c r="M407" s="10">
        <f t="shared" ref="M407:M409" si="293">L407-1</f>
        <v>4142</v>
      </c>
      <c r="N407" s="67" t="s">
        <v>419</v>
      </c>
      <c r="O407" s="10" t="s">
        <v>327</v>
      </c>
      <c r="P407" s="10">
        <v>130</v>
      </c>
      <c r="Q407" s="10" t="s">
        <v>391</v>
      </c>
      <c r="R407" s="222" t="s">
        <v>831</v>
      </c>
    </row>
    <row r="408" spans="2:26" s="56" customFormat="1" ht="46.8" x14ac:dyDescent="0.3">
      <c r="B408" s="10"/>
      <c r="C408" s="10"/>
      <c r="D408" s="10"/>
      <c r="E408" s="10"/>
      <c r="F408" s="221">
        <v>-58</v>
      </c>
      <c r="G408" s="221">
        <v>932</v>
      </c>
      <c r="H408" s="10"/>
      <c r="I408" s="64"/>
      <c r="J408" s="10"/>
      <c r="K408" s="10"/>
      <c r="L408" s="10"/>
      <c r="M408" s="10"/>
      <c r="N408" s="10"/>
      <c r="O408" s="10"/>
      <c r="P408" s="10"/>
      <c r="Q408" s="221" t="s">
        <v>832</v>
      </c>
      <c r="R408" s="222" t="s">
        <v>831</v>
      </c>
    </row>
    <row r="409" spans="2:26" s="56" customFormat="1" ht="31.2" x14ac:dyDescent="0.3">
      <c r="B409" s="10" t="s">
        <v>865</v>
      </c>
      <c r="C409" s="10" t="s">
        <v>321</v>
      </c>
      <c r="D409" s="10">
        <v>2</v>
      </c>
      <c r="E409" s="10">
        <f t="shared" si="290"/>
        <v>1</v>
      </c>
      <c r="F409" s="10">
        <v>0</v>
      </c>
      <c r="G409" s="10">
        <v>1</v>
      </c>
      <c r="H409" s="10">
        <v>1</v>
      </c>
      <c r="I409" s="10">
        <v>1</v>
      </c>
      <c r="J409" s="10" t="s">
        <v>418</v>
      </c>
      <c r="K409" s="10">
        <f>K407+E407</f>
        <v>44144</v>
      </c>
      <c r="L409" s="10">
        <f t="shared" si="292"/>
        <v>4144</v>
      </c>
      <c r="M409" s="10">
        <f t="shared" si="293"/>
        <v>4143</v>
      </c>
      <c r="N409" s="10" t="s">
        <v>419</v>
      </c>
      <c r="O409" s="10" t="s">
        <v>327</v>
      </c>
      <c r="P409" s="10">
        <v>0</v>
      </c>
      <c r="Q409" s="10"/>
      <c r="R409" s="110" t="s">
        <v>758</v>
      </c>
    </row>
    <row r="410" spans="2:26" s="56" customFormat="1" ht="15.6" x14ac:dyDescent="0.3">
      <c r="B410" s="10" t="s">
        <v>320</v>
      </c>
      <c r="C410" s="10" t="s">
        <v>321</v>
      </c>
      <c r="D410" s="10">
        <v>2</v>
      </c>
      <c r="E410" s="10">
        <f t="shared" si="290"/>
        <v>1</v>
      </c>
      <c r="F410" s="10">
        <v>0</v>
      </c>
      <c r="G410" s="10">
        <v>0</v>
      </c>
      <c r="H410" s="10">
        <v>0</v>
      </c>
      <c r="I410" s="10">
        <v>0</v>
      </c>
      <c r="J410" s="10" t="s">
        <v>418</v>
      </c>
      <c r="K410" s="10">
        <f t="shared" ref="K410:K415" si="294">K409+E409</f>
        <v>44145</v>
      </c>
      <c r="L410" s="10">
        <f t="shared" ref="L410" si="295">K410-40000</f>
        <v>4145</v>
      </c>
      <c r="M410" s="10">
        <f t="shared" ref="M410" si="296">L410-1</f>
        <v>4144</v>
      </c>
      <c r="N410" s="67" t="s">
        <v>419</v>
      </c>
      <c r="O410" s="10" t="s">
        <v>324</v>
      </c>
      <c r="P410" s="10">
        <v>0</v>
      </c>
      <c r="Q410" s="10"/>
      <c r="R410" s="111"/>
    </row>
    <row r="411" spans="2:26" s="56" customFormat="1" ht="15.6" x14ac:dyDescent="0.3">
      <c r="B411" s="10" t="s">
        <v>821</v>
      </c>
      <c r="C411" s="10" t="s">
        <v>321</v>
      </c>
      <c r="D411" s="10">
        <v>2</v>
      </c>
      <c r="E411" s="10">
        <f t="shared" si="290"/>
        <v>1</v>
      </c>
      <c r="F411" s="10">
        <v>1</v>
      </c>
      <c r="G411" s="10">
        <v>60000</v>
      </c>
      <c r="H411" s="10">
        <v>1</v>
      </c>
      <c r="I411" s="64" t="s">
        <v>386</v>
      </c>
      <c r="J411" s="10" t="s">
        <v>418</v>
      </c>
      <c r="K411" s="10">
        <f t="shared" si="294"/>
        <v>44146</v>
      </c>
      <c r="L411" s="10">
        <f>K411-40000</f>
        <v>4146</v>
      </c>
      <c r="M411" s="10">
        <f>L411-1</f>
        <v>4145</v>
      </c>
      <c r="N411" s="67" t="s">
        <v>419</v>
      </c>
      <c r="O411" s="10" t="s">
        <v>327</v>
      </c>
      <c r="P411" s="10">
        <v>10</v>
      </c>
      <c r="Q411" s="10" t="s">
        <v>760</v>
      </c>
      <c r="R411" s="111"/>
    </row>
    <row r="412" spans="2:26" s="56" customFormat="1" ht="46.8" x14ac:dyDescent="0.3">
      <c r="B412" s="10" t="s">
        <v>866</v>
      </c>
      <c r="C412" s="10" t="s">
        <v>864</v>
      </c>
      <c r="D412" s="10">
        <v>2</v>
      </c>
      <c r="E412" s="10">
        <f t="shared" si="290"/>
        <v>1</v>
      </c>
      <c r="F412" s="10">
        <v>-50</v>
      </c>
      <c r="G412" s="10">
        <v>500</v>
      </c>
      <c r="H412" s="10">
        <v>1</v>
      </c>
      <c r="I412" s="67">
        <v>1</v>
      </c>
      <c r="J412" s="10" t="s">
        <v>418</v>
      </c>
      <c r="K412" s="10">
        <f t="shared" si="294"/>
        <v>44147</v>
      </c>
      <c r="L412" s="10">
        <f t="shared" ref="L412" si="297">K412-40000</f>
        <v>4147</v>
      </c>
      <c r="M412" s="10">
        <f t="shared" ref="M412" si="298">L412-1</f>
        <v>4146</v>
      </c>
      <c r="N412" s="67" t="s">
        <v>419</v>
      </c>
      <c r="O412" s="10" t="s">
        <v>327</v>
      </c>
      <c r="P412" s="10">
        <v>130</v>
      </c>
      <c r="Q412" s="10" t="s">
        <v>391</v>
      </c>
      <c r="R412" s="222" t="s">
        <v>831</v>
      </c>
    </row>
    <row r="413" spans="2:26" s="56" customFormat="1" ht="46.8" x14ac:dyDescent="0.3">
      <c r="B413" s="10"/>
      <c r="C413" s="10"/>
      <c r="D413" s="10"/>
      <c r="E413" s="10"/>
      <c r="F413" s="221">
        <v>-58</v>
      </c>
      <c r="G413" s="221">
        <v>932</v>
      </c>
      <c r="H413" s="10"/>
      <c r="I413" s="64"/>
      <c r="J413" s="10"/>
      <c r="K413" s="10"/>
      <c r="L413" s="10"/>
      <c r="M413" s="10"/>
      <c r="N413" s="10"/>
      <c r="O413" s="10"/>
      <c r="P413" s="10"/>
      <c r="Q413" s="221" t="s">
        <v>832</v>
      </c>
      <c r="R413" s="222" t="s">
        <v>831</v>
      </c>
    </row>
    <row r="414" spans="2:26" s="56" customFormat="1" ht="62.4" x14ac:dyDescent="0.3">
      <c r="B414" s="10" t="s">
        <v>753</v>
      </c>
      <c r="C414" s="10" t="s">
        <v>359</v>
      </c>
      <c r="D414" s="10">
        <v>2</v>
      </c>
      <c r="E414" s="10">
        <f t="shared" si="290"/>
        <v>1</v>
      </c>
      <c r="F414" s="10">
        <v>1</v>
      </c>
      <c r="G414" s="10">
        <v>15</v>
      </c>
      <c r="H414" s="10">
        <v>1</v>
      </c>
      <c r="I414" s="10">
        <v>1</v>
      </c>
      <c r="J414" s="10" t="s">
        <v>418</v>
      </c>
      <c r="K414" s="10">
        <f>K412+E412</f>
        <v>44148</v>
      </c>
      <c r="L414" s="10">
        <f t="shared" ref="L414:L415" si="299">K414-40000</f>
        <v>4148</v>
      </c>
      <c r="M414" s="10">
        <f t="shared" ref="M414:M415" si="300">L414-1</f>
        <v>4147</v>
      </c>
      <c r="N414" s="67" t="s">
        <v>419</v>
      </c>
      <c r="O414" s="10" t="s">
        <v>327</v>
      </c>
      <c r="P414" s="10">
        <v>3</v>
      </c>
      <c r="Q414" s="10"/>
      <c r="R414" s="222" t="s">
        <v>754</v>
      </c>
    </row>
    <row r="415" spans="2:26" s="56" customFormat="1" ht="15.6" x14ac:dyDescent="0.3">
      <c r="B415" s="10" t="s">
        <v>770</v>
      </c>
      <c r="C415" s="10" t="s">
        <v>321</v>
      </c>
      <c r="D415" s="10">
        <v>2</v>
      </c>
      <c r="E415" s="10">
        <f t="shared" si="290"/>
        <v>1</v>
      </c>
      <c r="F415" s="10">
        <v>0</v>
      </c>
      <c r="G415" s="10">
        <v>60000</v>
      </c>
      <c r="H415" s="10">
        <v>1</v>
      </c>
      <c r="I415" s="64" t="s">
        <v>386</v>
      </c>
      <c r="J415" s="10" t="s">
        <v>418</v>
      </c>
      <c r="K415" s="10">
        <f t="shared" si="294"/>
        <v>44149</v>
      </c>
      <c r="L415" s="10">
        <f t="shared" si="299"/>
        <v>4149</v>
      </c>
      <c r="M415" s="10">
        <f t="shared" si="300"/>
        <v>4148</v>
      </c>
      <c r="N415" s="67" t="s">
        <v>419</v>
      </c>
      <c r="O415" s="10" t="s">
        <v>327</v>
      </c>
      <c r="P415" s="10">
        <v>0</v>
      </c>
      <c r="Q415" s="10" t="s">
        <v>760</v>
      </c>
      <c r="R415" s="111"/>
    </row>
    <row r="416" spans="2:26" x14ac:dyDescent="0.3">
      <c r="B416" s="470" t="s">
        <v>869</v>
      </c>
      <c r="C416" s="471"/>
      <c r="D416" s="471"/>
      <c r="E416" s="471"/>
      <c r="F416" s="471"/>
      <c r="G416" s="471"/>
      <c r="H416" s="471"/>
      <c r="I416" s="471"/>
      <c r="J416" s="471"/>
      <c r="K416" s="471"/>
      <c r="L416" s="471"/>
      <c r="M416" s="471"/>
      <c r="N416" s="471"/>
      <c r="O416" s="471"/>
      <c r="P416" s="471"/>
      <c r="Q416" s="471"/>
      <c r="R416" s="472"/>
      <c r="S416" s="56"/>
      <c r="T416" s="26"/>
      <c r="U416" s="26"/>
      <c r="V416" s="26"/>
      <c r="W416" s="26"/>
      <c r="X416" s="26"/>
      <c r="Y416" s="26"/>
      <c r="Z416" s="26"/>
    </row>
    <row r="417" spans="2:26" s="56" customFormat="1" ht="62.4" x14ac:dyDescent="0.3">
      <c r="B417" s="10" t="s">
        <v>748</v>
      </c>
      <c r="C417" s="10" t="s">
        <v>321</v>
      </c>
      <c r="D417" s="67">
        <v>2</v>
      </c>
      <c r="E417" s="67">
        <f t="shared" ref="E417:E426" si="301">D417/2</f>
        <v>1</v>
      </c>
      <c r="F417" s="67">
        <v>0</v>
      </c>
      <c r="G417" s="67">
        <v>3</v>
      </c>
      <c r="H417" s="67">
        <v>1</v>
      </c>
      <c r="I417" s="67">
        <v>1</v>
      </c>
      <c r="J417" s="67" t="s">
        <v>418</v>
      </c>
      <c r="K417" s="67">
        <f>K415+E415</f>
        <v>44150</v>
      </c>
      <c r="L417" s="10">
        <f>K417-40000</f>
        <v>4150</v>
      </c>
      <c r="M417" s="10">
        <f>L417-1</f>
        <v>4149</v>
      </c>
      <c r="N417" s="67" t="s">
        <v>419</v>
      </c>
      <c r="O417" s="10" t="s">
        <v>327</v>
      </c>
      <c r="P417" s="67">
        <v>0</v>
      </c>
      <c r="Q417" s="67"/>
      <c r="R417" s="110" t="s">
        <v>749</v>
      </c>
    </row>
    <row r="418" spans="2:26" s="56" customFormat="1" ht="46.8" x14ac:dyDescent="0.3">
      <c r="B418" s="10" t="s">
        <v>863</v>
      </c>
      <c r="C418" s="10" t="s">
        <v>864</v>
      </c>
      <c r="D418" s="10">
        <v>2</v>
      </c>
      <c r="E418" s="10">
        <f t="shared" si="301"/>
        <v>1</v>
      </c>
      <c r="F418" s="10">
        <v>-50</v>
      </c>
      <c r="G418" s="10">
        <v>500</v>
      </c>
      <c r="H418" s="10">
        <v>1</v>
      </c>
      <c r="I418" s="67">
        <v>1</v>
      </c>
      <c r="J418" s="10" t="s">
        <v>418</v>
      </c>
      <c r="K418" s="10">
        <f t="shared" ref="K418" si="302">K417+E417</f>
        <v>44151</v>
      </c>
      <c r="L418" s="10">
        <f t="shared" ref="L418:L420" si="303">K418-40000</f>
        <v>4151</v>
      </c>
      <c r="M418" s="10">
        <f t="shared" ref="M418:M420" si="304">L418-1</f>
        <v>4150</v>
      </c>
      <c r="N418" s="67" t="s">
        <v>419</v>
      </c>
      <c r="O418" s="10" t="s">
        <v>327</v>
      </c>
      <c r="P418" s="10">
        <v>130</v>
      </c>
      <c r="Q418" s="10" t="s">
        <v>391</v>
      </c>
      <c r="R418" s="222" t="s">
        <v>831</v>
      </c>
    </row>
    <row r="419" spans="2:26" s="56" customFormat="1" ht="46.8" x14ac:dyDescent="0.3">
      <c r="B419" s="10"/>
      <c r="C419" s="10"/>
      <c r="D419" s="10"/>
      <c r="E419" s="10"/>
      <c r="F419" s="221">
        <v>-58</v>
      </c>
      <c r="G419" s="221">
        <v>932</v>
      </c>
      <c r="H419" s="10"/>
      <c r="I419" s="64"/>
      <c r="J419" s="10"/>
      <c r="K419" s="10"/>
      <c r="L419" s="10"/>
      <c r="M419" s="10"/>
      <c r="N419" s="10"/>
      <c r="O419" s="10"/>
      <c r="P419" s="10"/>
      <c r="Q419" s="221" t="s">
        <v>832</v>
      </c>
      <c r="R419" s="222" t="s">
        <v>831</v>
      </c>
    </row>
    <row r="420" spans="2:26" s="56" customFormat="1" ht="31.2" x14ac:dyDescent="0.3">
      <c r="B420" s="10" t="s">
        <v>865</v>
      </c>
      <c r="C420" s="10" t="s">
        <v>321</v>
      </c>
      <c r="D420" s="10">
        <v>2</v>
      </c>
      <c r="E420" s="10">
        <f t="shared" si="301"/>
        <v>1</v>
      </c>
      <c r="F420" s="10">
        <v>0</v>
      </c>
      <c r="G420" s="10">
        <v>1</v>
      </c>
      <c r="H420" s="10">
        <v>1</v>
      </c>
      <c r="I420" s="10">
        <v>1</v>
      </c>
      <c r="J420" s="10" t="s">
        <v>418</v>
      </c>
      <c r="K420" s="10">
        <f>K418+E418</f>
        <v>44152</v>
      </c>
      <c r="L420" s="10">
        <f t="shared" si="303"/>
        <v>4152</v>
      </c>
      <c r="M420" s="10">
        <f t="shared" si="304"/>
        <v>4151</v>
      </c>
      <c r="N420" s="10" t="s">
        <v>419</v>
      </c>
      <c r="O420" s="10" t="s">
        <v>327</v>
      </c>
      <c r="P420" s="10">
        <v>0</v>
      </c>
      <c r="Q420" s="10"/>
      <c r="R420" s="110" t="s">
        <v>758</v>
      </c>
    </row>
    <row r="421" spans="2:26" s="56" customFormat="1" ht="15.6" x14ac:dyDescent="0.3">
      <c r="B421" s="10" t="s">
        <v>320</v>
      </c>
      <c r="C421" s="10" t="s">
        <v>321</v>
      </c>
      <c r="D421" s="10">
        <v>2</v>
      </c>
      <c r="E421" s="10">
        <f t="shared" si="301"/>
        <v>1</v>
      </c>
      <c r="F421" s="10">
        <v>0</v>
      </c>
      <c r="G421" s="10">
        <v>0</v>
      </c>
      <c r="H421" s="10">
        <v>0</v>
      </c>
      <c r="I421" s="10">
        <v>0</v>
      </c>
      <c r="J421" s="10" t="s">
        <v>418</v>
      </c>
      <c r="K421" s="10">
        <f t="shared" ref="K421:K426" si="305">K420+E420</f>
        <v>44153</v>
      </c>
      <c r="L421" s="10">
        <f t="shared" ref="L421" si="306">K421-40000</f>
        <v>4153</v>
      </c>
      <c r="M421" s="10">
        <f t="shared" ref="M421" si="307">L421-1</f>
        <v>4152</v>
      </c>
      <c r="N421" s="67" t="s">
        <v>419</v>
      </c>
      <c r="O421" s="10" t="s">
        <v>324</v>
      </c>
      <c r="P421" s="10">
        <v>0</v>
      </c>
      <c r="Q421" s="10"/>
      <c r="R421" s="111"/>
    </row>
    <row r="422" spans="2:26" s="56" customFormat="1" ht="15.6" x14ac:dyDescent="0.3">
      <c r="B422" s="10" t="s">
        <v>821</v>
      </c>
      <c r="C422" s="10" t="s">
        <v>321</v>
      </c>
      <c r="D422" s="10">
        <v>2</v>
      </c>
      <c r="E422" s="10">
        <f t="shared" si="301"/>
        <v>1</v>
      </c>
      <c r="F422" s="10">
        <v>1</v>
      </c>
      <c r="G422" s="10">
        <v>60000</v>
      </c>
      <c r="H422" s="10">
        <v>1</v>
      </c>
      <c r="I422" s="64" t="s">
        <v>386</v>
      </c>
      <c r="J422" s="10" t="s">
        <v>418</v>
      </c>
      <c r="K422" s="10">
        <f t="shared" si="305"/>
        <v>44154</v>
      </c>
      <c r="L422" s="10">
        <f>K422-40000</f>
        <v>4154</v>
      </c>
      <c r="M422" s="10">
        <f>L422-1</f>
        <v>4153</v>
      </c>
      <c r="N422" s="67" t="s">
        <v>419</v>
      </c>
      <c r="O422" s="10" t="s">
        <v>327</v>
      </c>
      <c r="P422" s="10">
        <v>10</v>
      </c>
      <c r="Q422" s="10" t="s">
        <v>760</v>
      </c>
      <c r="R422" s="111"/>
    </row>
    <row r="423" spans="2:26" s="56" customFormat="1" ht="46.8" x14ac:dyDescent="0.3">
      <c r="B423" s="10" t="s">
        <v>866</v>
      </c>
      <c r="C423" s="10" t="s">
        <v>864</v>
      </c>
      <c r="D423" s="10">
        <v>2</v>
      </c>
      <c r="E423" s="10">
        <f t="shared" si="301"/>
        <v>1</v>
      </c>
      <c r="F423" s="10">
        <v>-50</v>
      </c>
      <c r="G423" s="10">
        <v>500</v>
      </c>
      <c r="H423" s="10">
        <v>1</v>
      </c>
      <c r="I423" s="67">
        <v>1</v>
      </c>
      <c r="J423" s="10" t="s">
        <v>418</v>
      </c>
      <c r="K423" s="10">
        <f t="shared" si="305"/>
        <v>44155</v>
      </c>
      <c r="L423" s="10">
        <f t="shared" ref="L423" si="308">K423-40000</f>
        <v>4155</v>
      </c>
      <c r="M423" s="10">
        <f t="shared" ref="M423" si="309">L423-1</f>
        <v>4154</v>
      </c>
      <c r="N423" s="67" t="s">
        <v>419</v>
      </c>
      <c r="O423" s="10" t="s">
        <v>327</v>
      </c>
      <c r="P423" s="10">
        <v>130</v>
      </c>
      <c r="Q423" s="10" t="s">
        <v>391</v>
      </c>
      <c r="R423" s="222" t="s">
        <v>831</v>
      </c>
    </row>
    <row r="424" spans="2:26" s="56" customFormat="1" ht="46.8" x14ac:dyDescent="0.3">
      <c r="B424" s="10"/>
      <c r="C424" s="10"/>
      <c r="D424" s="10"/>
      <c r="E424" s="10"/>
      <c r="F424" s="221">
        <v>-58</v>
      </c>
      <c r="G424" s="221">
        <v>932</v>
      </c>
      <c r="H424" s="10"/>
      <c r="I424" s="64"/>
      <c r="J424" s="10"/>
      <c r="K424" s="10"/>
      <c r="L424" s="10"/>
      <c r="M424" s="10"/>
      <c r="N424" s="10"/>
      <c r="O424" s="10"/>
      <c r="P424" s="10"/>
      <c r="Q424" s="221" t="s">
        <v>832</v>
      </c>
      <c r="R424" s="222" t="s">
        <v>831</v>
      </c>
    </row>
    <row r="425" spans="2:26" s="56" customFormat="1" ht="62.4" x14ac:dyDescent="0.3">
      <c r="B425" s="10" t="s">
        <v>753</v>
      </c>
      <c r="C425" s="10" t="s">
        <v>359</v>
      </c>
      <c r="D425" s="10">
        <v>2</v>
      </c>
      <c r="E425" s="10">
        <f t="shared" si="301"/>
        <v>1</v>
      </c>
      <c r="F425" s="10">
        <v>1</v>
      </c>
      <c r="G425" s="10">
        <v>15</v>
      </c>
      <c r="H425" s="10">
        <v>1</v>
      </c>
      <c r="I425" s="10">
        <v>1</v>
      </c>
      <c r="J425" s="10" t="s">
        <v>418</v>
      </c>
      <c r="K425" s="10">
        <f>K423+E423</f>
        <v>44156</v>
      </c>
      <c r="L425" s="10">
        <f t="shared" ref="L425:L426" si="310">K425-40000</f>
        <v>4156</v>
      </c>
      <c r="M425" s="10">
        <f t="shared" ref="M425:M426" si="311">L425-1</f>
        <v>4155</v>
      </c>
      <c r="N425" s="67" t="s">
        <v>419</v>
      </c>
      <c r="O425" s="10" t="s">
        <v>327</v>
      </c>
      <c r="P425" s="10">
        <v>3</v>
      </c>
      <c r="Q425" s="10"/>
      <c r="R425" s="222" t="s">
        <v>754</v>
      </c>
    </row>
    <row r="426" spans="2:26" s="56" customFormat="1" ht="15.6" x14ac:dyDescent="0.3">
      <c r="B426" s="10" t="s">
        <v>770</v>
      </c>
      <c r="C426" s="10" t="s">
        <v>321</v>
      </c>
      <c r="D426" s="10">
        <v>2</v>
      </c>
      <c r="E426" s="10">
        <f t="shared" si="301"/>
        <v>1</v>
      </c>
      <c r="F426" s="10">
        <v>0</v>
      </c>
      <c r="G426" s="10">
        <v>60000</v>
      </c>
      <c r="H426" s="10">
        <v>1</v>
      </c>
      <c r="I426" s="64" t="s">
        <v>386</v>
      </c>
      <c r="J426" s="10" t="s">
        <v>418</v>
      </c>
      <c r="K426" s="10">
        <f t="shared" si="305"/>
        <v>44157</v>
      </c>
      <c r="L426" s="10">
        <f t="shared" si="310"/>
        <v>4157</v>
      </c>
      <c r="M426" s="10">
        <f t="shared" si="311"/>
        <v>4156</v>
      </c>
      <c r="N426" s="67" t="s">
        <v>419</v>
      </c>
      <c r="O426" s="10" t="s">
        <v>327</v>
      </c>
      <c r="P426" s="10">
        <v>0</v>
      </c>
      <c r="Q426" s="10" t="s">
        <v>760</v>
      </c>
      <c r="R426" s="111"/>
    </row>
    <row r="427" spans="2:26" x14ac:dyDescent="0.3">
      <c r="B427" s="470" t="s">
        <v>870</v>
      </c>
      <c r="C427" s="471"/>
      <c r="D427" s="471"/>
      <c r="E427" s="471"/>
      <c r="F427" s="471"/>
      <c r="G427" s="471"/>
      <c r="H427" s="471"/>
      <c r="I427" s="471"/>
      <c r="J427" s="471"/>
      <c r="K427" s="471"/>
      <c r="L427" s="471"/>
      <c r="M427" s="471"/>
      <c r="N427" s="471"/>
      <c r="O427" s="471"/>
      <c r="P427" s="471"/>
      <c r="Q427" s="471"/>
      <c r="R427" s="472"/>
      <c r="S427" s="56"/>
      <c r="T427" s="26"/>
      <c r="U427" s="26"/>
      <c r="V427" s="26"/>
      <c r="W427" s="26"/>
      <c r="X427" s="26"/>
      <c r="Y427" s="26"/>
      <c r="Z427" s="26"/>
    </row>
    <row r="428" spans="2:26" s="56" customFormat="1" ht="62.4" x14ac:dyDescent="0.3">
      <c r="B428" s="10" t="s">
        <v>748</v>
      </c>
      <c r="C428" s="10" t="s">
        <v>321</v>
      </c>
      <c r="D428" s="67">
        <v>2</v>
      </c>
      <c r="E428" s="67">
        <f t="shared" ref="E428:E437" si="312">D428/2</f>
        <v>1</v>
      </c>
      <c r="F428" s="67">
        <v>0</v>
      </c>
      <c r="G428" s="67">
        <v>3</v>
      </c>
      <c r="H428" s="67">
        <v>1</v>
      </c>
      <c r="I428" s="67">
        <v>1</v>
      </c>
      <c r="J428" s="67" t="s">
        <v>418</v>
      </c>
      <c r="K428" s="67">
        <f>K426+E426</f>
        <v>44158</v>
      </c>
      <c r="L428" s="10">
        <f>K428-40000</f>
        <v>4158</v>
      </c>
      <c r="M428" s="10">
        <f>L428-1</f>
        <v>4157</v>
      </c>
      <c r="N428" s="67" t="s">
        <v>419</v>
      </c>
      <c r="O428" s="10" t="s">
        <v>327</v>
      </c>
      <c r="P428" s="67">
        <v>0</v>
      </c>
      <c r="Q428" s="67"/>
      <c r="R428" s="110" t="s">
        <v>749</v>
      </c>
    </row>
    <row r="429" spans="2:26" s="56" customFormat="1" ht="46.8" x14ac:dyDescent="0.3">
      <c r="B429" s="10" t="s">
        <v>863</v>
      </c>
      <c r="C429" s="10" t="s">
        <v>864</v>
      </c>
      <c r="D429" s="10">
        <v>2</v>
      </c>
      <c r="E429" s="10">
        <f t="shared" si="312"/>
        <v>1</v>
      </c>
      <c r="F429" s="10">
        <v>-50</v>
      </c>
      <c r="G429" s="10">
        <v>500</v>
      </c>
      <c r="H429" s="10">
        <v>1</v>
      </c>
      <c r="I429" s="67">
        <v>1</v>
      </c>
      <c r="J429" s="10" t="s">
        <v>418</v>
      </c>
      <c r="K429" s="10">
        <f t="shared" ref="K429" si="313">K428+E428</f>
        <v>44159</v>
      </c>
      <c r="L429" s="10">
        <f t="shared" ref="L429:L431" si="314">K429-40000</f>
        <v>4159</v>
      </c>
      <c r="M429" s="10">
        <f t="shared" ref="M429:M431" si="315">L429-1</f>
        <v>4158</v>
      </c>
      <c r="N429" s="67" t="s">
        <v>419</v>
      </c>
      <c r="O429" s="10" t="s">
        <v>327</v>
      </c>
      <c r="P429" s="10">
        <v>130</v>
      </c>
      <c r="Q429" s="10" t="s">
        <v>391</v>
      </c>
      <c r="R429" s="222" t="s">
        <v>831</v>
      </c>
    </row>
    <row r="430" spans="2:26" s="56" customFormat="1" ht="46.8" x14ac:dyDescent="0.3">
      <c r="B430" s="10"/>
      <c r="C430" s="10"/>
      <c r="D430" s="10"/>
      <c r="E430" s="10"/>
      <c r="F430" s="221">
        <v>-58</v>
      </c>
      <c r="G430" s="221">
        <v>932</v>
      </c>
      <c r="H430" s="10"/>
      <c r="I430" s="64"/>
      <c r="J430" s="10"/>
      <c r="K430" s="10"/>
      <c r="L430" s="10"/>
      <c r="M430" s="10"/>
      <c r="N430" s="10"/>
      <c r="O430" s="10"/>
      <c r="P430" s="10"/>
      <c r="Q430" s="221" t="s">
        <v>832</v>
      </c>
      <c r="R430" s="222" t="s">
        <v>831</v>
      </c>
    </row>
    <row r="431" spans="2:26" s="56" customFormat="1" ht="31.2" x14ac:dyDescent="0.3">
      <c r="B431" s="10" t="s">
        <v>865</v>
      </c>
      <c r="C431" s="10" t="s">
        <v>321</v>
      </c>
      <c r="D431" s="10">
        <v>2</v>
      </c>
      <c r="E431" s="10">
        <f t="shared" si="312"/>
        <v>1</v>
      </c>
      <c r="F431" s="10">
        <v>0</v>
      </c>
      <c r="G431" s="10">
        <v>1</v>
      </c>
      <c r="H431" s="10">
        <v>1</v>
      </c>
      <c r="I431" s="10">
        <v>1</v>
      </c>
      <c r="J431" s="10" t="s">
        <v>418</v>
      </c>
      <c r="K431" s="10">
        <f>K429+E429</f>
        <v>44160</v>
      </c>
      <c r="L431" s="10">
        <f t="shared" si="314"/>
        <v>4160</v>
      </c>
      <c r="M431" s="10">
        <f t="shared" si="315"/>
        <v>4159</v>
      </c>
      <c r="N431" s="10" t="s">
        <v>419</v>
      </c>
      <c r="O431" s="10" t="s">
        <v>327</v>
      </c>
      <c r="P431" s="10">
        <v>0</v>
      </c>
      <c r="Q431" s="10"/>
      <c r="R431" s="110" t="s">
        <v>758</v>
      </c>
    </row>
    <row r="432" spans="2:26" s="56" customFormat="1" ht="15.6" x14ac:dyDescent="0.3">
      <c r="B432" s="10" t="s">
        <v>320</v>
      </c>
      <c r="C432" s="10" t="s">
        <v>321</v>
      </c>
      <c r="D432" s="10">
        <v>2</v>
      </c>
      <c r="E432" s="10">
        <f t="shared" si="312"/>
        <v>1</v>
      </c>
      <c r="F432" s="10">
        <v>0</v>
      </c>
      <c r="G432" s="10">
        <v>0</v>
      </c>
      <c r="H432" s="10">
        <v>0</v>
      </c>
      <c r="I432" s="10">
        <v>0</v>
      </c>
      <c r="J432" s="10" t="s">
        <v>418</v>
      </c>
      <c r="K432" s="10">
        <f t="shared" ref="K432:K437" si="316">K431+E431</f>
        <v>44161</v>
      </c>
      <c r="L432" s="10">
        <f t="shared" ref="L432" si="317">K432-40000</f>
        <v>4161</v>
      </c>
      <c r="M432" s="10">
        <f t="shared" ref="M432" si="318">L432-1</f>
        <v>4160</v>
      </c>
      <c r="N432" s="67" t="s">
        <v>419</v>
      </c>
      <c r="O432" s="10" t="s">
        <v>324</v>
      </c>
      <c r="P432" s="10">
        <v>0</v>
      </c>
      <c r="Q432" s="10"/>
      <c r="R432" s="111"/>
    </row>
    <row r="433" spans="2:26" s="56" customFormat="1" ht="15.6" x14ac:dyDescent="0.3">
      <c r="B433" s="10" t="s">
        <v>821</v>
      </c>
      <c r="C433" s="10" t="s">
        <v>321</v>
      </c>
      <c r="D433" s="10">
        <v>2</v>
      </c>
      <c r="E433" s="10">
        <f t="shared" si="312"/>
        <v>1</v>
      </c>
      <c r="F433" s="10">
        <v>1</v>
      </c>
      <c r="G433" s="10">
        <v>60000</v>
      </c>
      <c r="H433" s="10">
        <v>1</v>
      </c>
      <c r="I433" s="64" t="s">
        <v>386</v>
      </c>
      <c r="J433" s="10" t="s">
        <v>418</v>
      </c>
      <c r="K433" s="10">
        <f t="shared" si="316"/>
        <v>44162</v>
      </c>
      <c r="L433" s="10">
        <f>K433-40000</f>
        <v>4162</v>
      </c>
      <c r="M433" s="10">
        <f>L433-1</f>
        <v>4161</v>
      </c>
      <c r="N433" s="67" t="s">
        <v>419</v>
      </c>
      <c r="O433" s="10" t="s">
        <v>327</v>
      </c>
      <c r="P433" s="10">
        <v>10</v>
      </c>
      <c r="Q433" s="10" t="s">
        <v>760</v>
      </c>
      <c r="R433" s="111"/>
    </row>
    <row r="434" spans="2:26" s="56" customFormat="1" ht="46.8" x14ac:dyDescent="0.3">
      <c r="B434" s="10" t="s">
        <v>866</v>
      </c>
      <c r="C434" s="10" t="s">
        <v>864</v>
      </c>
      <c r="D434" s="10">
        <v>2</v>
      </c>
      <c r="E434" s="10">
        <f t="shared" si="312"/>
        <v>1</v>
      </c>
      <c r="F434" s="10">
        <v>-50</v>
      </c>
      <c r="G434" s="10">
        <v>500</v>
      </c>
      <c r="H434" s="10">
        <v>1</v>
      </c>
      <c r="I434" s="67">
        <v>1</v>
      </c>
      <c r="J434" s="10" t="s">
        <v>418</v>
      </c>
      <c r="K434" s="10">
        <f t="shared" si="316"/>
        <v>44163</v>
      </c>
      <c r="L434" s="10">
        <f t="shared" ref="L434" si="319">K434-40000</f>
        <v>4163</v>
      </c>
      <c r="M434" s="10">
        <f t="shared" ref="M434" si="320">L434-1</f>
        <v>4162</v>
      </c>
      <c r="N434" s="67" t="s">
        <v>419</v>
      </c>
      <c r="O434" s="10" t="s">
        <v>327</v>
      </c>
      <c r="P434" s="10">
        <v>130</v>
      </c>
      <c r="Q434" s="10" t="s">
        <v>391</v>
      </c>
      <c r="R434" s="222" t="s">
        <v>831</v>
      </c>
    </row>
    <row r="435" spans="2:26" s="56" customFormat="1" ht="46.8" x14ac:dyDescent="0.3">
      <c r="B435" s="10"/>
      <c r="C435" s="10"/>
      <c r="D435" s="10"/>
      <c r="E435" s="10"/>
      <c r="F435" s="221">
        <v>-58</v>
      </c>
      <c r="G435" s="221">
        <v>932</v>
      </c>
      <c r="H435" s="10"/>
      <c r="I435" s="64"/>
      <c r="J435" s="10"/>
      <c r="K435" s="10"/>
      <c r="L435" s="10"/>
      <c r="M435" s="10"/>
      <c r="N435" s="10"/>
      <c r="O435" s="10"/>
      <c r="P435" s="10"/>
      <c r="Q435" s="221" t="s">
        <v>832</v>
      </c>
      <c r="R435" s="222" t="s">
        <v>831</v>
      </c>
    </row>
    <row r="436" spans="2:26" s="56" customFormat="1" ht="62.4" x14ac:dyDescent="0.3">
      <c r="B436" s="10" t="s">
        <v>753</v>
      </c>
      <c r="C436" s="10" t="s">
        <v>359</v>
      </c>
      <c r="D436" s="10">
        <v>2</v>
      </c>
      <c r="E436" s="10">
        <f t="shared" si="312"/>
        <v>1</v>
      </c>
      <c r="F436" s="10">
        <v>1</v>
      </c>
      <c r="G436" s="10">
        <v>15</v>
      </c>
      <c r="H436" s="10">
        <v>1</v>
      </c>
      <c r="I436" s="10">
        <v>1</v>
      </c>
      <c r="J436" s="10" t="s">
        <v>418</v>
      </c>
      <c r="K436" s="10">
        <f>K434+E434</f>
        <v>44164</v>
      </c>
      <c r="L436" s="10">
        <f t="shared" ref="L436:L437" si="321">K436-40000</f>
        <v>4164</v>
      </c>
      <c r="M436" s="10">
        <f t="shared" ref="M436:M437" si="322">L436-1</f>
        <v>4163</v>
      </c>
      <c r="N436" s="67" t="s">
        <v>419</v>
      </c>
      <c r="O436" s="10" t="s">
        <v>327</v>
      </c>
      <c r="P436" s="10">
        <v>3</v>
      </c>
      <c r="Q436" s="10"/>
      <c r="R436" s="222" t="s">
        <v>754</v>
      </c>
    </row>
    <row r="437" spans="2:26" s="56" customFormat="1" ht="15.6" x14ac:dyDescent="0.3">
      <c r="B437" s="10" t="s">
        <v>770</v>
      </c>
      <c r="C437" s="10" t="s">
        <v>321</v>
      </c>
      <c r="D437" s="10">
        <v>2</v>
      </c>
      <c r="E437" s="10">
        <f t="shared" si="312"/>
        <v>1</v>
      </c>
      <c r="F437" s="10">
        <v>0</v>
      </c>
      <c r="G437" s="10">
        <v>60000</v>
      </c>
      <c r="H437" s="10">
        <v>1</v>
      </c>
      <c r="I437" s="64" t="s">
        <v>386</v>
      </c>
      <c r="J437" s="10" t="s">
        <v>418</v>
      </c>
      <c r="K437" s="10">
        <f t="shared" si="316"/>
        <v>44165</v>
      </c>
      <c r="L437" s="10">
        <f t="shared" si="321"/>
        <v>4165</v>
      </c>
      <c r="M437" s="10">
        <f t="shared" si="322"/>
        <v>4164</v>
      </c>
      <c r="N437" s="67" t="s">
        <v>419</v>
      </c>
      <c r="O437" s="10" t="s">
        <v>327</v>
      </c>
      <c r="P437" s="10">
        <v>0</v>
      </c>
      <c r="Q437" s="10" t="s">
        <v>760</v>
      </c>
      <c r="R437" s="111"/>
    </row>
    <row r="438" spans="2:26" x14ac:dyDescent="0.3">
      <c r="B438" s="470" t="s">
        <v>871</v>
      </c>
      <c r="C438" s="471"/>
      <c r="D438" s="471"/>
      <c r="E438" s="471"/>
      <c r="F438" s="471"/>
      <c r="G438" s="471"/>
      <c r="H438" s="471"/>
      <c r="I438" s="471"/>
      <c r="J438" s="471"/>
      <c r="K438" s="471"/>
      <c r="L438" s="471"/>
      <c r="M438" s="471"/>
      <c r="N438" s="471"/>
      <c r="O438" s="471"/>
      <c r="P438" s="471"/>
      <c r="Q438" s="471"/>
      <c r="R438" s="472"/>
      <c r="S438" s="56"/>
      <c r="T438" s="26"/>
      <c r="U438" s="26"/>
      <c r="V438" s="26"/>
      <c r="W438" s="26"/>
      <c r="X438" s="26"/>
      <c r="Y438" s="26"/>
      <c r="Z438" s="26"/>
    </row>
    <row r="439" spans="2:26" s="56" customFormat="1" ht="62.4" x14ac:dyDescent="0.3">
      <c r="B439" s="10" t="s">
        <v>748</v>
      </c>
      <c r="C439" s="10" t="s">
        <v>321</v>
      </c>
      <c r="D439" s="67">
        <v>2</v>
      </c>
      <c r="E439" s="67">
        <f t="shared" ref="E439:E448" si="323">D439/2</f>
        <v>1</v>
      </c>
      <c r="F439" s="67">
        <v>0</v>
      </c>
      <c r="G439" s="67">
        <v>3</v>
      </c>
      <c r="H439" s="67">
        <v>1</v>
      </c>
      <c r="I439" s="67">
        <v>1</v>
      </c>
      <c r="J439" s="67" t="s">
        <v>418</v>
      </c>
      <c r="K439" s="67">
        <f>K437+E437</f>
        <v>44166</v>
      </c>
      <c r="L439" s="10">
        <f>K439-40000</f>
        <v>4166</v>
      </c>
      <c r="M439" s="10">
        <f>L439-1</f>
        <v>4165</v>
      </c>
      <c r="N439" s="67" t="s">
        <v>419</v>
      </c>
      <c r="O439" s="10" t="s">
        <v>327</v>
      </c>
      <c r="P439" s="67">
        <v>0</v>
      </c>
      <c r="Q439" s="67"/>
      <c r="R439" s="110" t="s">
        <v>749</v>
      </c>
    </row>
    <row r="440" spans="2:26" s="56" customFormat="1" ht="46.8" x14ac:dyDescent="0.3">
      <c r="B440" s="10" t="s">
        <v>863</v>
      </c>
      <c r="C440" s="10" t="s">
        <v>864</v>
      </c>
      <c r="D440" s="10">
        <v>2</v>
      </c>
      <c r="E440" s="10">
        <f t="shared" si="323"/>
        <v>1</v>
      </c>
      <c r="F440" s="10">
        <v>-50</v>
      </c>
      <c r="G440" s="10">
        <v>500</v>
      </c>
      <c r="H440" s="10">
        <v>1</v>
      </c>
      <c r="I440" s="67">
        <v>1</v>
      </c>
      <c r="J440" s="10" t="s">
        <v>418</v>
      </c>
      <c r="K440" s="10">
        <f t="shared" ref="K440" si="324">K439+E439</f>
        <v>44167</v>
      </c>
      <c r="L440" s="10">
        <f t="shared" ref="L440:L442" si="325">K440-40000</f>
        <v>4167</v>
      </c>
      <c r="M440" s="10">
        <f t="shared" ref="M440:M442" si="326">L440-1</f>
        <v>4166</v>
      </c>
      <c r="N440" s="67" t="s">
        <v>419</v>
      </c>
      <c r="O440" s="10" t="s">
        <v>327</v>
      </c>
      <c r="P440" s="10">
        <v>130</v>
      </c>
      <c r="Q440" s="10" t="s">
        <v>391</v>
      </c>
      <c r="R440" s="222" t="s">
        <v>831</v>
      </c>
    </row>
    <row r="441" spans="2:26" s="56" customFormat="1" ht="46.8" x14ac:dyDescent="0.3">
      <c r="B441" s="10"/>
      <c r="C441" s="10"/>
      <c r="D441" s="10"/>
      <c r="E441" s="10"/>
      <c r="F441" s="221">
        <v>-58</v>
      </c>
      <c r="G441" s="221">
        <v>932</v>
      </c>
      <c r="H441" s="10"/>
      <c r="I441" s="64"/>
      <c r="J441" s="10"/>
      <c r="K441" s="10"/>
      <c r="L441" s="10"/>
      <c r="M441" s="10"/>
      <c r="N441" s="10"/>
      <c r="O441" s="10"/>
      <c r="P441" s="10"/>
      <c r="Q441" s="221" t="s">
        <v>832</v>
      </c>
      <c r="R441" s="222" t="s">
        <v>831</v>
      </c>
    </row>
    <row r="442" spans="2:26" s="56" customFormat="1" ht="31.2" x14ac:dyDescent="0.3">
      <c r="B442" s="10" t="s">
        <v>865</v>
      </c>
      <c r="C442" s="10" t="s">
        <v>321</v>
      </c>
      <c r="D442" s="10">
        <v>2</v>
      </c>
      <c r="E442" s="10">
        <f t="shared" si="323"/>
        <v>1</v>
      </c>
      <c r="F442" s="10">
        <v>0</v>
      </c>
      <c r="G442" s="10">
        <v>1</v>
      </c>
      <c r="H442" s="10">
        <v>1</v>
      </c>
      <c r="I442" s="10">
        <v>1</v>
      </c>
      <c r="J442" s="10" t="s">
        <v>418</v>
      </c>
      <c r="K442" s="10">
        <f>K440+E440</f>
        <v>44168</v>
      </c>
      <c r="L442" s="10">
        <f t="shared" si="325"/>
        <v>4168</v>
      </c>
      <c r="M442" s="10">
        <f t="shared" si="326"/>
        <v>4167</v>
      </c>
      <c r="N442" s="10" t="s">
        <v>419</v>
      </c>
      <c r="O442" s="10" t="s">
        <v>327</v>
      </c>
      <c r="P442" s="10">
        <v>0</v>
      </c>
      <c r="Q442" s="10"/>
      <c r="R442" s="110" t="s">
        <v>758</v>
      </c>
    </row>
    <row r="443" spans="2:26" s="56" customFormat="1" ht="15.6" x14ac:dyDescent="0.3">
      <c r="B443" s="10" t="s">
        <v>320</v>
      </c>
      <c r="C443" s="10" t="s">
        <v>321</v>
      </c>
      <c r="D443" s="10">
        <v>2</v>
      </c>
      <c r="E443" s="10">
        <f t="shared" si="323"/>
        <v>1</v>
      </c>
      <c r="F443" s="10">
        <v>0</v>
      </c>
      <c r="G443" s="10">
        <v>0</v>
      </c>
      <c r="H443" s="10">
        <v>0</v>
      </c>
      <c r="I443" s="10">
        <v>0</v>
      </c>
      <c r="J443" s="10" t="s">
        <v>418</v>
      </c>
      <c r="K443" s="10">
        <f t="shared" ref="K443:K448" si="327">K442+E442</f>
        <v>44169</v>
      </c>
      <c r="L443" s="10">
        <f t="shared" ref="L443" si="328">K443-40000</f>
        <v>4169</v>
      </c>
      <c r="M443" s="10">
        <f t="shared" ref="M443" si="329">L443-1</f>
        <v>4168</v>
      </c>
      <c r="N443" s="67" t="s">
        <v>419</v>
      </c>
      <c r="O443" s="10" t="s">
        <v>324</v>
      </c>
      <c r="P443" s="10">
        <v>0</v>
      </c>
      <c r="Q443" s="10"/>
      <c r="R443" s="111"/>
    </row>
    <row r="444" spans="2:26" s="56" customFormat="1" ht="15.6" x14ac:dyDescent="0.3">
      <c r="B444" s="10" t="s">
        <v>821</v>
      </c>
      <c r="C444" s="10" t="s">
        <v>321</v>
      </c>
      <c r="D444" s="10">
        <v>2</v>
      </c>
      <c r="E444" s="10">
        <f t="shared" si="323"/>
        <v>1</v>
      </c>
      <c r="F444" s="10">
        <v>1</v>
      </c>
      <c r="G444" s="10">
        <v>60000</v>
      </c>
      <c r="H444" s="10">
        <v>1</v>
      </c>
      <c r="I444" s="64" t="s">
        <v>386</v>
      </c>
      <c r="J444" s="10" t="s">
        <v>418</v>
      </c>
      <c r="K444" s="10">
        <f t="shared" si="327"/>
        <v>44170</v>
      </c>
      <c r="L444" s="10">
        <f>K444-40000</f>
        <v>4170</v>
      </c>
      <c r="M444" s="10">
        <f>L444-1</f>
        <v>4169</v>
      </c>
      <c r="N444" s="67" t="s">
        <v>419</v>
      </c>
      <c r="O444" s="10" t="s">
        <v>327</v>
      </c>
      <c r="P444" s="10">
        <v>10</v>
      </c>
      <c r="Q444" s="10" t="s">
        <v>760</v>
      </c>
      <c r="R444" s="111"/>
    </row>
    <row r="445" spans="2:26" s="56" customFormat="1" ht="46.8" x14ac:dyDescent="0.3">
      <c r="B445" s="10" t="s">
        <v>866</v>
      </c>
      <c r="C445" s="10" t="s">
        <v>864</v>
      </c>
      <c r="D445" s="10">
        <v>2</v>
      </c>
      <c r="E445" s="10">
        <f t="shared" si="323"/>
        <v>1</v>
      </c>
      <c r="F445" s="10">
        <v>-50</v>
      </c>
      <c r="G445" s="10">
        <v>500</v>
      </c>
      <c r="H445" s="10">
        <v>1</v>
      </c>
      <c r="I445" s="67">
        <v>1</v>
      </c>
      <c r="J445" s="10" t="s">
        <v>418</v>
      </c>
      <c r="K445" s="10">
        <f t="shared" si="327"/>
        <v>44171</v>
      </c>
      <c r="L445" s="10">
        <f t="shared" ref="L445" si="330">K445-40000</f>
        <v>4171</v>
      </c>
      <c r="M445" s="10">
        <f t="shared" ref="M445" si="331">L445-1</f>
        <v>4170</v>
      </c>
      <c r="N445" s="67" t="s">
        <v>419</v>
      </c>
      <c r="O445" s="10" t="s">
        <v>327</v>
      </c>
      <c r="P445" s="10">
        <v>130</v>
      </c>
      <c r="Q445" s="10" t="s">
        <v>391</v>
      </c>
      <c r="R445" s="222" t="s">
        <v>831</v>
      </c>
    </row>
    <row r="446" spans="2:26" s="56" customFormat="1" ht="46.8" x14ac:dyDescent="0.3">
      <c r="B446" s="10"/>
      <c r="C446" s="10"/>
      <c r="D446" s="10"/>
      <c r="E446" s="10"/>
      <c r="F446" s="221">
        <v>-58</v>
      </c>
      <c r="G446" s="221">
        <v>932</v>
      </c>
      <c r="H446" s="10"/>
      <c r="I446" s="64"/>
      <c r="J446" s="10"/>
      <c r="K446" s="10"/>
      <c r="L446" s="10"/>
      <c r="M446" s="10"/>
      <c r="N446" s="10"/>
      <c r="O446" s="10"/>
      <c r="P446" s="10"/>
      <c r="Q446" s="221" t="s">
        <v>832</v>
      </c>
      <c r="R446" s="222" t="s">
        <v>831</v>
      </c>
    </row>
    <row r="447" spans="2:26" s="56" customFormat="1" ht="62.4" x14ac:dyDescent="0.3">
      <c r="B447" s="10" t="s">
        <v>753</v>
      </c>
      <c r="C447" s="10" t="s">
        <v>359</v>
      </c>
      <c r="D447" s="10">
        <v>2</v>
      </c>
      <c r="E447" s="10">
        <f t="shared" si="323"/>
        <v>1</v>
      </c>
      <c r="F447" s="10">
        <v>1</v>
      </c>
      <c r="G447" s="10">
        <v>15</v>
      </c>
      <c r="H447" s="10">
        <v>1</v>
      </c>
      <c r="I447" s="10">
        <v>1</v>
      </c>
      <c r="J447" s="10" t="s">
        <v>418</v>
      </c>
      <c r="K447" s="10">
        <f>K445+E445</f>
        <v>44172</v>
      </c>
      <c r="L447" s="10">
        <f t="shared" ref="L447:L448" si="332">K447-40000</f>
        <v>4172</v>
      </c>
      <c r="M447" s="10">
        <f t="shared" ref="M447:M448" si="333">L447-1</f>
        <v>4171</v>
      </c>
      <c r="N447" s="67" t="s">
        <v>419</v>
      </c>
      <c r="O447" s="10" t="s">
        <v>327</v>
      </c>
      <c r="P447" s="10">
        <v>3</v>
      </c>
      <c r="Q447" s="10"/>
      <c r="R447" s="222" t="s">
        <v>754</v>
      </c>
    </row>
    <row r="448" spans="2:26" s="56" customFormat="1" ht="15.6" x14ac:dyDescent="0.3">
      <c r="B448" s="10" t="s">
        <v>770</v>
      </c>
      <c r="C448" s="10" t="s">
        <v>321</v>
      </c>
      <c r="D448" s="10">
        <v>2</v>
      </c>
      <c r="E448" s="10">
        <f t="shared" si="323"/>
        <v>1</v>
      </c>
      <c r="F448" s="10">
        <v>0</v>
      </c>
      <c r="G448" s="10">
        <v>60000</v>
      </c>
      <c r="H448" s="10">
        <v>1</v>
      </c>
      <c r="I448" s="64" t="s">
        <v>386</v>
      </c>
      <c r="J448" s="10" t="s">
        <v>418</v>
      </c>
      <c r="K448" s="10">
        <f t="shared" si="327"/>
        <v>44173</v>
      </c>
      <c r="L448" s="10">
        <f t="shared" si="332"/>
        <v>4173</v>
      </c>
      <c r="M448" s="10">
        <f t="shared" si="333"/>
        <v>4172</v>
      </c>
      <c r="N448" s="67" t="s">
        <v>419</v>
      </c>
      <c r="O448" s="10" t="s">
        <v>327</v>
      </c>
      <c r="P448" s="10">
        <v>0</v>
      </c>
      <c r="Q448" s="10" t="s">
        <v>760</v>
      </c>
      <c r="R448" s="111"/>
    </row>
    <row r="449" spans="2:26" x14ac:dyDescent="0.3">
      <c r="B449" s="470" t="s">
        <v>872</v>
      </c>
      <c r="C449" s="471"/>
      <c r="D449" s="471"/>
      <c r="E449" s="471"/>
      <c r="F449" s="471"/>
      <c r="G449" s="471"/>
      <c r="H449" s="471"/>
      <c r="I449" s="471"/>
      <c r="J449" s="471"/>
      <c r="K449" s="471"/>
      <c r="L449" s="471"/>
      <c r="M449" s="471"/>
      <c r="N449" s="471"/>
      <c r="O449" s="471"/>
      <c r="P449" s="471"/>
      <c r="Q449" s="471"/>
      <c r="R449" s="472"/>
      <c r="S449" s="56"/>
      <c r="T449" s="26"/>
      <c r="U449" s="26"/>
      <c r="V449" s="26"/>
      <c r="W449" s="26"/>
      <c r="X449" s="26"/>
      <c r="Y449" s="26"/>
      <c r="Z449" s="26"/>
    </row>
    <row r="450" spans="2:26" s="56" customFormat="1" ht="62.4" x14ac:dyDescent="0.3">
      <c r="B450" s="10" t="s">
        <v>748</v>
      </c>
      <c r="C450" s="10" t="s">
        <v>321</v>
      </c>
      <c r="D450" s="67">
        <v>2</v>
      </c>
      <c r="E450" s="67">
        <f t="shared" ref="E450:E459" si="334">D450/2</f>
        <v>1</v>
      </c>
      <c r="F450" s="67">
        <v>0</v>
      </c>
      <c r="G450" s="67">
        <v>3</v>
      </c>
      <c r="H450" s="67">
        <v>1</v>
      </c>
      <c r="I450" s="67">
        <v>1</v>
      </c>
      <c r="J450" s="67" t="s">
        <v>418</v>
      </c>
      <c r="K450" s="67">
        <f>K448+E448</f>
        <v>44174</v>
      </c>
      <c r="L450" s="10">
        <f>K450-40000</f>
        <v>4174</v>
      </c>
      <c r="M450" s="10">
        <f>L450-1</f>
        <v>4173</v>
      </c>
      <c r="N450" s="67" t="s">
        <v>419</v>
      </c>
      <c r="O450" s="10" t="s">
        <v>327</v>
      </c>
      <c r="P450" s="67">
        <v>0</v>
      </c>
      <c r="Q450" s="67"/>
      <c r="R450" s="110" t="s">
        <v>749</v>
      </c>
    </row>
    <row r="451" spans="2:26" s="56" customFormat="1" ht="46.8" x14ac:dyDescent="0.3">
      <c r="B451" s="10" t="s">
        <v>863</v>
      </c>
      <c r="C451" s="10" t="s">
        <v>864</v>
      </c>
      <c r="D451" s="10">
        <v>2</v>
      </c>
      <c r="E451" s="10">
        <f t="shared" si="334"/>
        <v>1</v>
      </c>
      <c r="F451" s="10">
        <v>-50</v>
      </c>
      <c r="G451" s="10">
        <v>500</v>
      </c>
      <c r="H451" s="10">
        <v>1</v>
      </c>
      <c r="I451" s="67">
        <v>1</v>
      </c>
      <c r="J451" s="10" t="s">
        <v>418</v>
      </c>
      <c r="K451" s="10">
        <f t="shared" ref="K451" si="335">K450+E450</f>
        <v>44175</v>
      </c>
      <c r="L451" s="10">
        <f t="shared" ref="L451:L453" si="336">K451-40000</f>
        <v>4175</v>
      </c>
      <c r="M451" s="10">
        <f t="shared" ref="M451:M453" si="337">L451-1</f>
        <v>4174</v>
      </c>
      <c r="N451" s="67" t="s">
        <v>419</v>
      </c>
      <c r="O451" s="10" t="s">
        <v>327</v>
      </c>
      <c r="P451" s="10">
        <v>130</v>
      </c>
      <c r="Q451" s="10" t="s">
        <v>391</v>
      </c>
      <c r="R451" s="222" t="s">
        <v>831</v>
      </c>
    </row>
    <row r="452" spans="2:26" s="56" customFormat="1" ht="46.8" x14ac:dyDescent="0.3">
      <c r="B452" s="10"/>
      <c r="C452" s="10"/>
      <c r="D452" s="10"/>
      <c r="E452" s="10"/>
      <c r="F452" s="221">
        <v>-58</v>
      </c>
      <c r="G452" s="221">
        <v>932</v>
      </c>
      <c r="H452" s="10"/>
      <c r="I452" s="64"/>
      <c r="J452" s="10"/>
      <c r="K452" s="10"/>
      <c r="L452" s="10"/>
      <c r="M452" s="10"/>
      <c r="N452" s="10"/>
      <c r="O452" s="10"/>
      <c r="P452" s="10"/>
      <c r="Q452" s="221" t="s">
        <v>832</v>
      </c>
      <c r="R452" s="222" t="s">
        <v>831</v>
      </c>
    </row>
    <row r="453" spans="2:26" s="56" customFormat="1" ht="31.2" x14ac:dyDescent="0.3">
      <c r="B453" s="10" t="s">
        <v>865</v>
      </c>
      <c r="C453" s="10" t="s">
        <v>321</v>
      </c>
      <c r="D453" s="10">
        <v>2</v>
      </c>
      <c r="E453" s="10">
        <f t="shared" si="334"/>
        <v>1</v>
      </c>
      <c r="F453" s="10">
        <v>0</v>
      </c>
      <c r="G453" s="10">
        <v>1</v>
      </c>
      <c r="H453" s="10">
        <v>1</v>
      </c>
      <c r="I453" s="10">
        <v>1</v>
      </c>
      <c r="J453" s="10" t="s">
        <v>418</v>
      </c>
      <c r="K453" s="10">
        <f>K451+E451</f>
        <v>44176</v>
      </c>
      <c r="L453" s="10">
        <f t="shared" si="336"/>
        <v>4176</v>
      </c>
      <c r="M453" s="10">
        <f t="shared" si="337"/>
        <v>4175</v>
      </c>
      <c r="N453" s="10" t="s">
        <v>419</v>
      </c>
      <c r="O453" s="10" t="s">
        <v>327</v>
      </c>
      <c r="P453" s="10">
        <v>0</v>
      </c>
      <c r="Q453" s="10"/>
      <c r="R453" s="110" t="s">
        <v>758</v>
      </c>
    </row>
    <row r="454" spans="2:26" s="56" customFormat="1" ht="15.6" x14ac:dyDescent="0.3">
      <c r="B454" s="10" t="s">
        <v>320</v>
      </c>
      <c r="C454" s="10" t="s">
        <v>321</v>
      </c>
      <c r="D454" s="10">
        <v>2</v>
      </c>
      <c r="E454" s="10">
        <f t="shared" si="334"/>
        <v>1</v>
      </c>
      <c r="F454" s="10">
        <v>0</v>
      </c>
      <c r="G454" s="10">
        <v>0</v>
      </c>
      <c r="H454" s="10">
        <v>0</v>
      </c>
      <c r="I454" s="10">
        <v>0</v>
      </c>
      <c r="J454" s="10" t="s">
        <v>418</v>
      </c>
      <c r="K454" s="10">
        <f t="shared" ref="K454:K459" si="338">K453+E453</f>
        <v>44177</v>
      </c>
      <c r="L454" s="10">
        <f t="shared" ref="L454" si="339">K454-40000</f>
        <v>4177</v>
      </c>
      <c r="M454" s="10">
        <f t="shared" ref="M454" si="340">L454-1</f>
        <v>4176</v>
      </c>
      <c r="N454" s="67" t="s">
        <v>419</v>
      </c>
      <c r="O454" s="10" t="s">
        <v>324</v>
      </c>
      <c r="P454" s="10">
        <v>0</v>
      </c>
      <c r="Q454" s="10"/>
      <c r="R454" s="111"/>
    </row>
    <row r="455" spans="2:26" s="56" customFormat="1" ht="15.6" x14ac:dyDescent="0.3">
      <c r="B455" s="10" t="s">
        <v>821</v>
      </c>
      <c r="C455" s="10" t="s">
        <v>321</v>
      </c>
      <c r="D455" s="10">
        <v>2</v>
      </c>
      <c r="E455" s="10">
        <f t="shared" si="334"/>
        <v>1</v>
      </c>
      <c r="F455" s="10">
        <v>1</v>
      </c>
      <c r="G455" s="10">
        <v>60000</v>
      </c>
      <c r="H455" s="10">
        <v>1</v>
      </c>
      <c r="I455" s="64" t="s">
        <v>386</v>
      </c>
      <c r="J455" s="10" t="s">
        <v>418</v>
      </c>
      <c r="K455" s="10">
        <f t="shared" si="338"/>
        <v>44178</v>
      </c>
      <c r="L455" s="10">
        <f>K455-40000</f>
        <v>4178</v>
      </c>
      <c r="M455" s="10">
        <f>L455-1</f>
        <v>4177</v>
      </c>
      <c r="N455" s="67" t="s">
        <v>419</v>
      </c>
      <c r="O455" s="10" t="s">
        <v>327</v>
      </c>
      <c r="P455" s="10">
        <v>10</v>
      </c>
      <c r="Q455" s="10" t="s">
        <v>760</v>
      </c>
      <c r="R455" s="111"/>
    </row>
    <row r="456" spans="2:26" s="56" customFormat="1" ht="46.8" x14ac:dyDescent="0.3">
      <c r="B456" s="10" t="s">
        <v>866</v>
      </c>
      <c r="C456" s="10" t="s">
        <v>864</v>
      </c>
      <c r="D456" s="10">
        <v>2</v>
      </c>
      <c r="E456" s="10">
        <f t="shared" si="334"/>
        <v>1</v>
      </c>
      <c r="F456" s="10">
        <v>-50</v>
      </c>
      <c r="G456" s="10">
        <v>500</v>
      </c>
      <c r="H456" s="10">
        <v>1</v>
      </c>
      <c r="I456" s="67">
        <v>1</v>
      </c>
      <c r="J456" s="10" t="s">
        <v>418</v>
      </c>
      <c r="K456" s="10">
        <f t="shared" si="338"/>
        <v>44179</v>
      </c>
      <c r="L456" s="10">
        <f t="shared" ref="L456" si="341">K456-40000</f>
        <v>4179</v>
      </c>
      <c r="M456" s="10">
        <f t="shared" ref="M456" si="342">L456-1</f>
        <v>4178</v>
      </c>
      <c r="N456" s="67" t="s">
        <v>419</v>
      </c>
      <c r="O456" s="10" t="s">
        <v>327</v>
      </c>
      <c r="P456" s="10">
        <v>130</v>
      </c>
      <c r="Q456" s="10" t="s">
        <v>391</v>
      </c>
      <c r="R456" s="222" t="s">
        <v>831</v>
      </c>
    </row>
    <row r="457" spans="2:26" s="56" customFormat="1" ht="46.8" x14ac:dyDescent="0.3">
      <c r="B457" s="10"/>
      <c r="C457" s="10"/>
      <c r="D457" s="10"/>
      <c r="E457" s="10"/>
      <c r="F457" s="221">
        <v>-58</v>
      </c>
      <c r="G457" s="221">
        <v>932</v>
      </c>
      <c r="H457" s="10"/>
      <c r="I457" s="64"/>
      <c r="J457" s="10"/>
      <c r="K457" s="10"/>
      <c r="L457" s="10"/>
      <c r="M457" s="10"/>
      <c r="N457" s="10"/>
      <c r="O457" s="10"/>
      <c r="P457" s="10"/>
      <c r="Q457" s="221" t="s">
        <v>832</v>
      </c>
      <c r="R457" s="222" t="s">
        <v>831</v>
      </c>
    </row>
    <row r="458" spans="2:26" s="56" customFormat="1" ht="62.4" x14ac:dyDescent="0.3">
      <c r="B458" s="10" t="s">
        <v>753</v>
      </c>
      <c r="C458" s="10" t="s">
        <v>359</v>
      </c>
      <c r="D458" s="10">
        <v>2</v>
      </c>
      <c r="E458" s="10">
        <f t="shared" si="334"/>
        <v>1</v>
      </c>
      <c r="F458" s="10">
        <v>1</v>
      </c>
      <c r="G458" s="10">
        <v>15</v>
      </c>
      <c r="H458" s="10">
        <v>1</v>
      </c>
      <c r="I458" s="10">
        <v>1</v>
      </c>
      <c r="J458" s="10" t="s">
        <v>418</v>
      </c>
      <c r="K458" s="10">
        <f>K456+E456</f>
        <v>44180</v>
      </c>
      <c r="L458" s="10">
        <f t="shared" ref="L458:L459" si="343">K458-40000</f>
        <v>4180</v>
      </c>
      <c r="M458" s="10">
        <f t="shared" ref="M458:M459" si="344">L458-1</f>
        <v>4179</v>
      </c>
      <c r="N458" s="67" t="s">
        <v>419</v>
      </c>
      <c r="O458" s="10" t="s">
        <v>327</v>
      </c>
      <c r="P458" s="10">
        <v>3</v>
      </c>
      <c r="Q458" s="10"/>
      <c r="R458" s="222" t="s">
        <v>754</v>
      </c>
    </row>
    <row r="459" spans="2:26" s="56" customFormat="1" ht="15.6" x14ac:dyDescent="0.3">
      <c r="B459" s="10" t="s">
        <v>770</v>
      </c>
      <c r="C459" s="10" t="s">
        <v>321</v>
      </c>
      <c r="D459" s="10">
        <v>2</v>
      </c>
      <c r="E459" s="10">
        <f t="shared" si="334"/>
        <v>1</v>
      </c>
      <c r="F459" s="10">
        <v>0</v>
      </c>
      <c r="G459" s="10">
        <v>60000</v>
      </c>
      <c r="H459" s="10">
        <v>1</v>
      </c>
      <c r="I459" s="64" t="s">
        <v>386</v>
      </c>
      <c r="J459" s="10" t="s">
        <v>418</v>
      </c>
      <c r="K459" s="10">
        <f t="shared" si="338"/>
        <v>44181</v>
      </c>
      <c r="L459" s="10">
        <f t="shared" si="343"/>
        <v>4181</v>
      </c>
      <c r="M459" s="10">
        <f t="shared" si="344"/>
        <v>4180</v>
      </c>
      <c r="N459" s="67" t="s">
        <v>419</v>
      </c>
      <c r="O459" s="10" t="s">
        <v>327</v>
      </c>
      <c r="P459" s="10">
        <v>0</v>
      </c>
      <c r="Q459" s="10" t="s">
        <v>760</v>
      </c>
      <c r="R459" s="111"/>
    </row>
    <row r="460" spans="2:26" x14ac:dyDescent="0.3">
      <c r="B460" s="470" t="s">
        <v>873</v>
      </c>
      <c r="C460" s="471"/>
      <c r="D460" s="471"/>
      <c r="E460" s="471"/>
      <c r="F460" s="471"/>
      <c r="G460" s="471"/>
      <c r="H460" s="471"/>
      <c r="I460" s="471"/>
      <c r="J460" s="471"/>
      <c r="K460" s="471"/>
      <c r="L460" s="471"/>
      <c r="M460" s="471"/>
      <c r="N460" s="471"/>
      <c r="O460" s="471"/>
      <c r="P460" s="471"/>
      <c r="Q460" s="471"/>
      <c r="R460" s="472"/>
      <c r="S460" s="56"/>
      <c r="T460" s="26"/>
      <c r="U460" s="26"/>
      <c r="V460" s="26"/>
      <c r="W460" s="26"/>
      <c r="X460" s="26"/>
      <c r="Y460" s="26"/>
      <c r="Z460" s="26"/>
    </row>
    <row r="461" spans="2:26" s="56" customFormat="1" ht="62.4" x14ac:dyDescent="0.3">
      <c r="B461" s="10" t="s">
        <v>748</v>
      </c>
      <c r="C461" s="10" t="s">
        <v>321</v>
      </c>
      <c r="D461" s="67">
        <v>2</v>
      </c>
      <c r="E461" s="67">
        <f t="shared" ref="E461:E470" si="345">D461/2</f>
        <v>1</v>
      </c>
      <c r="F461" s="67">
        <v>0</v>
      </c>
      <c r="G461" s="67">
        <v>3</v>
      </c>
      <c r="H461" s="67">
        <v>1</v>
      </c>
      <c r="I461" s="67">
        <v>1</v>
      </c>
      <c r="J461" s="67" t="s">
        <v>418</v>
      </c>
      <c r="K461" s="67">
        <f>K459+E459</f>
        <v>44182</v>
      </c>
      <c r="L461" s="10">
        <f>K461-40000</f>
        <v>4182</v>
      </c>
      <c r="M461" s="10">
        <f>L461-1</f>
        <v>4181</v>
      </c>
      <c r="N461" s="67" t="s">
        <v>419</v>
      </c>
      <c r="O461" s="10" t="s">
        <v>327</v>
      </c>
      <c r="P461" s="67">
        <v>0</v>
      </c>
      <c r="Q461" s="67"/>
      <c r="R461" s="110" t="s">
        <v>749</v>
      </c>
    </row>
    <row r="462" spans="2:26" s="56" customFormat="1" ht="46.8" x14ac:dyDescent="0.3">
      <c r="B462" s="10" t="s">
        <v>863</v>
      </c>
      <c r="C462" s="10" t="s">
        <v>864</v>
      </c>
      <c r="D462" s="10">
        <v>2</v>
      </c>
      <c r="E462" s="10">
        <f t="shared" si="345"/>
        <v>1</v>
      </c>
      <c r="F462" s="10">
        <v>-50</v>
      </c>
      <c r="G462" s="10">
        <v>500</v>
      </c>
      <c r="H462" s="10">
        <v>1</v>
      </c>
      <c r="I462" s="67">
        <v>1</v>
      </c>
      <c r="J462" s="10" t="s">
        <v>418</v>
      </c>
      <c r="K462" s="10">
        <f t="shared" ref="K462" si="346">K461+E461</f>
        <v>44183</v>
      </c>
      <c r="L462" s="10">
        <f t="shared" ref="L462:L464" si="347">K462-40000</f>
        <v>4183</v>
      </c>
      <c r="M462" s="10">
        <f t="shared" ref="M462:M464" si="348">L462-1</f>
        <v>4182</v>
      </c>
      <c r="N462" s="67" t="s">
        <v>419</v>
      </c>
      <c r="O462" s="10" t="s">
        <v>327</v>
      </c>
      <c r="P462" s="10">
        <v>130</v>
      </c>
      <c r="Q462" s="10" t="s">
        <v>391</v>
      </c>
      <c r="R462" s="222" t="s">
        <v>831</v>
      </c>
    </row>
    <row r="463" spans="2:26" s="56" customFormat="1" ht="46.8" x14ac:dyDescent="0.3">
      <c r="B463" s="10"/>
      <c r="C463" s="10"/>
      <c r="D463" s="10"/>
      <c r="E463" s="10"/>
      <c r="F463" s="221">
        <v>-58</v>
      </c>
      <c r="G463" s="221">
        <v>932</v>
      </c>
      <c r="H463" s="10"/>
      <c r="I463" s="64"/>
      <c r="J463" s="10"/>
      <c r="K463" s="10"/>
      <c r="L463" s="10"/>
      <c r="M463" s="10"/>
      <c r="N463" s="10"/>
      <c r="O463" s="10"/>
      <c r="P463" s="10"/>
      <c r="Q463" s="221" t="s">
        <v>832</v>
      </c>
      <c r="R463" s="222" t="s">
        <v>831</v>
      </c>
    </row>
    <row r="464" spans="2:26" s="56" customFormat="1" ht="31.2" x14ac:dyDescent="0.3">
      <c r="B464" s="10" t="s">
        <v>865</v>
      </c>
      <c r="C464" s="10" t="s">
        <v>321</v>
      </c>
      <c r="D464" s="10">
        <v>2</v>
      </c>
      <c r="E464" s="10">
        <f t="shared" si="345"/>
        <v>1</v>
      </c>
      <c r="F464" s="10">
        <v>0</v>
      </c>
      <c r="G464" s="10">
        <v>1</v>
      </c>
      <c r="H464" s="10">
        <v>1</v>
      </c>
      <c r="I464" s="10">
        <v>1</v>
      </c>
      <c r="J464" s="10" t="s">
        <v>418</v>
      </c>
      <c r="K464" s="10">
        <f>K462+E462</f>
        <v>44184</v>
      </c>
      <c r="L464" s="10">
        <f t="shared" si="347"/>
        <v>4184</v>
      </c>
      <c r="M464" s="10">
        <f t="shared" si="348"/>
        <v>4183</v>
      </c>
      <c r="N464" s="10" t="s">
        <v>419</v>
      </c>
      <c r="O464" s="10" t="s">
        <v>327</v>
      </c>
      <c r="P464" s="10">
        <v>0</v>
      </c>
      <c r="Q464" s="10"/>
      <c r="R464" s="110" t="s">
        <v>758</v>
      </c>
    </row>
    <row r="465" spans="2:26" s="56" customFormat="1" ht="15.6" x14ac:dyDescent="0.3">
      <c r="B465" s="10" t="s">
        <v>320</v>
      </c>
      <c r="C465" s="10" t="s">
        <v>321</v>
      </c>
      <c r="D465" s="10">
        <v>2</v>
      </c>
      <c r="E465" s="10">
        <f t="shared" si="345"/>
        <v>1</v>
      </c>
      <c r="F465" s="10">
        <v>0</v>
      </c>
      <c r="G465" s="10">
        <v>0</v>
      </c>
      <c r="H465" s="10">
        <v>0</v>
      </c>
      <c r="I465" s="10">
        <v>0</v>
      </c>
      <c r="J465" s="10" t="s">
        <v>418</v>
      </c>
      <c r="K465" s="10">
        <f t="shared" ref="K465:K470" si="349">K464+E464</f>
        <v>44185</v>
      </c>
      <c r="L465" s="10">
        <f t="shared" ref="L465" si="350">K465-40000</f>
        <v>4185</v>
      </c>
      <c r="M465" s="10">
        <f t="shared" ref="M465" si="351">L465-1</f>
        <v>4184</v>
      </c>
      <c r="N465" s="67" t="s">
        <v>419</v>
      </c>
      <c r="O465" s="10" t="s">
        <v>324</v>
      </c>
      <c r="P465" s="10">
        <v>0</v>
      </c>
      <c r="Q465" s="10"/>
      <c r="R465" s="111"/>
    </row>
    <row r="466" spans="2:26" s="56" customFormat="1" ht="15.6" x14ac:dyDescent="0.3">
      <c r="B466" s="10" t="s">
        <v>821</v>
      </c>
      <c r="C466" s="10" t="s">
        <v>321</v>
      </c>
      <c r="D466" s="10">
        <v>2</v>
      </c>
      <c r="E466" s="10">
        <f t="shared" si="345"/>
        <v>1</v>
      </c>
      <c r="F466" s="10">
        <v>1</v>
      </c>
      <c r="G466" s="10">
        <v>60000</v>
      </c>
      <c r="H466" s="10">
        <v>1</v>
      </c>
      <c r="I466" s="64" t="s">
        <v>386</v>
      </c>
      <c r="J466" s="10" t="s">
        <v>418</v>
      </c>
      <c r="K466" s="10">
        <f t="shared" si="349"/>
        <v>44186</v>
      </c>
      <c r="L466" s="10">
        <f>K466-40000</f>
        <v>4186</v>
      </c>
      <c r="M466" s="10">
        <f>L466-1</f>
        <v>4185</v>
      </c>
      <c r="N466" s="67" t="s">
        <v>419</v>
      </c>
      <c r="O466" s="10" t="s">
        <v>327</v>
      </c>
      <c r="P466" s="10">
        <v>10</v>
      </c>
      <c r="Q466" s="10" t="s">
        <v>760</v>
      </c>
      <c r="R466" s="111"/>
    </row>
    <row r="467" spans="2:26" s="56" customFormat="1" ht="46.8" x14ac:dyDescent="0.3">
      <c r="B467" s="10" t="s">
        <v>866</v>
      </c>
      <c r="C467" s="10" t="s">
        <v>864</v>
      </c>
      <c r="D467" s="10">
        <v>2</v>
      </c>
      <c r="E467" s="10">
        <f t="shared" si="345"/>
        <v>1</v>
      </c>
      <c r="F467" s="10">
        <v>-50</v>
      </c>
      <c r="G467" s="10">
        <v>500</v>
      </c>
      <c r="H467" s="10">
        <v>1</v>
      </c>
      <c r="I467" s="67">
        <v>1</v>
      </c>
      <c r="J467" s="10" t="s">
        <v>418</v>
      </c>
      <c r="K467" s="10">
        <f t="shared" si="349"/>
        <v>44187</v>
      </c>
      <c r="L467" s="10">
        <f t="shared" ref="L467" si="352">K467-40000</f>
        <v>4187</v>
      </c>
      <c r="M467" s="10">
        <f t="shared" ref="M467" si="353">L467-1</f>
        <v>4186</v>
      </c>
      <c r="N467" s="67" t="s">
        <v>419</v>
      </c>
      <c r="O467" s="10" t="s">
        <v>327</v>
      </c>
      <c r="P467" s="10">
        <v>130</v>
      </c>
      <c r="Q467" s="10" t="s">
        <v>391</v>
      </c>
      <c r="R467" s="222" t="s">
        <v>831</v>
      </c>
    </row>
    <row r="468" spans="2:26" s="56" customFormat="1" ht="46.8" x14ac:dyDescent="0.3">
      <c r="B468" s="10"/>
      <c r="C468" s="10"/>
      <c r="D468" s="10"/>
      <c r="E468" s="10"/>
      <c r="F468" s="221">
        <v>-58</v>
      </c>
      <c r="G468" s="221">
        <v>932</v>
      </c>
      <c r="H468" s="10"/>
      <c r="I468" s="64"/>
      <c r="J468" s="10"/>
      <c r="K468" s="10"/>
      <c r="L468" s="10"/>
      <c r="M468" s="10"/>
      <c r="N468" s="10"/>
      <c r="O468" s="10"/>
      <c r="P468" s="10"/>
      <c r="Q468" s="221" t="s">
        <v>832</v>
      </c>
      <c r="R468" s="222" t="s">
        <v>831</v>
      </c>
    </row>
    <row r="469" spans="2:26" s="56" customFormat="1" ht="62.4" x14ac:dyDescent="0.3">
      <c r="B469" s="10" t="s">
        <v>753</v>
      </c>
      <c r="C469" s="10" t="s">
        <v>359</v>
      </c>
      <c r="D469" s="10">
        <v>2</v>
      </c>
      <c r="E469" s="10">
        <f t="shared" si="345"/>
        <v>1</v>
      </c>
      <c r="F469" s="10">
        <v>1</v>
      </c>
      <c r="G469" s="10">
        <v>15</v>
      </c>
      <c r="H469" s="10">
        <v>1</v>
      </c>
      <c r="I469" s="10">
        <v>1</v>
      </c>
      <c r="J469" s="10" t="s">
        <v>418</v>
      </c>
      <c r="K469" s="10">
        <f>K467+E467</f>
        <v>44188</v>
      </c>
      <c r="L469" s="10">
        <f t="shared" ref="L469:L470" si="354">K469-40000</f>
        <v>4188</v>
      </c>
      <c r="M469" s="10">
        <f t="shared" ref="M469:M470" si="355">L469-1</f>
        <v>4187</v>
      </c>
      <c r="N469" s="67" t="s">
        <v>419</v>
      </c>
      <c r="O469" s="10" t="s">
        <v>327</v>
      </c>
      <c r="P469" s="10">
        <v>3</v>
      </c>
      <c r="Q469" s="10"/>
      <c r="R469" s="222" t="s">
        <v>754</v>
      </c>
    </row>
    <row r="470" spans="2:26" s="56" customFormat="1" ht="15.6" x14ac:dyDescent="0.3">
      <c r="B470" s="10" t="s">
        <v>770</v>
      </c>
      <c r="C470" s="10" t="s">
        <v>321</v>
      </c>
      <c r="D470" s="10">
        <v>2</v>
      </c>
      <c r="E470" s="10">
        <f t="shared" si="345"/>
        <v>1</v>
      </c>
      <c r="F470" s="10">
        <v>0</v>
      </c>
      <c r="G470" s="10">
        <v>60000</v>
      </c>
      <c r="H470" s="10">
        <v>1</v>
      </c>
      <c r="I470" s="64" t="s">
        <v>386</v>
      </c>
      <c r="J470" s="10" t="s">
        <v>418</v>
      </c>
      <c r="K470" s="10">
        <f t="shared" si="349"/>
        <v>44189</v>
      </c>
      <c r="L470" s="10">
        <f t="shared" si="354"/>
        <v>4189</v>
      </c>
      <c r="M470" s="10">
        <f t="shared" si="355"/>
        <v>4188</v>
      </c>
      <c r="N470" s="67" t="s">
        <v>419</v>
      </c>
      <c r="O470" s="10" t="s">
        <v>327</v>
      </c>
      <c r="P470" s="10">
        <v>0</v>
      </c>
      <c r="Q470" s="10" t="s">
        <v>760</v>
      </c>
      <c r="R470" s="111"/>
    </row>
    <row r="471" spans="2:26" x14ac:dyDescent="0.3">
      <c r="B471" s="470" t="s">
        <v>874</v>
      </c>
      <c r="C471" s="471"/>
      <c r="D471" s="471"/>
      <c r="E471" s="471"/>
      <c r="F471" s="471"/>
      <c r="G471" s="471"/>
      <c r="H471" s="471"/>
      <c r="I471" s="471"/>
      <c r="J471" s="471"/>
      <c r="K471" s="471"/>
      <c r="L471" s="471"/>
      <c r="M471" s="471"/>
      <c r="N471" s="471"/>
      <c r="O471" s="471"/>
      <c r="P471" s="471"/>
      <c r="Q471" s="471"/>
      <c r="R471" s="472"/>
      <c r="S471" s="56"/>
      <c r="T471" s="26"/>
      <c r="U471" s="26"/>
      <c r="V471" s="26"/>
      <c r="W471" s="26"/>
      <c r="X471" s="26"/>
      <c r="Y471" s="26"/>
      <c r="Z471" s="26"/>
    </row>
    <row r="472" spans="2:26" s="56" customFormat="1" ht="62.4" x14ac:dyDescent="0.3">
      <c r="B472" s="10" t="s">
        <v>748</v>
      </c>
      <c r="C472" s="10" t="s">
        <v>321</v>
      </c>
      <c r="D472" s="67">
        <v>2</v>
      </c>
      <c r="E472" s="67">
        <f t="shared" ref="E472:E481" si="356">D472/2</f>
        <v>1</v>
      </c>
      <c r="F472" s="67">
        <v>0</v>
      </c>
      <c r="G472" s="67">
        <v>3</v>
      </c>
      <c r="H472" s="67">
        <v>1</v>
      </c>
      <c r="I472" s="67">
        <v>1</v>
      </c>
      <c r="J472" s="67" t="s">
        <v>418</v>
      </c>
      <c r="K472" s="67">
        <f>K470+E470</f>
        <v>44190</v>
      </c>
      <c r="L472" s="10">
        <f>K472-40000</f>
        <v>4190</v>
      </c>
      <c r="M472" s="10">
        <f>L472-1</f>
        <v>4189</v>
      </c>
      <c r="N472" s="67" t="s">
        <v>419</v>
      </c>
      <c r="O472" s="10" t="s">
        <v>327</v>
      </c>
      <c r="P472" s="67">
        <v>0</v>
      </c>
      <c r="Q472" s="67"/>
      <c r="R472" s="110" t="s">
        <v>749</v>
      </c>
    </row>
    <row r="473" spans="2:26" s="56" customFormat="1" ht="46.8" x14ac:dyDescent="0.3">
      <c r="B473" s="10" t="s">
        <v>863</v>
      </c>
      <c r="C473" s="10" t="s">
        <v>864</v>
      </c>
      <c r="D473" s="10">
        <v>2</v>
      </c>
      <c r="E473" s="10">
        <f t="shared" si="356"/>
        <v>1</v>
      </c>
      <c r="F473" s="10">
        <v>-50</v>
      </c>
      <c r="G473" s="10">
        <v>500</v>
      </c>
      <c r="H473" s="10">
        <v>1</v>
      </c>
      <c r="I473" s="67">
        <v>1</v>
      </c>
      <c r="J473" s="10" t="s">
        <v>418</v>
      </c>
      <c r="K473" s="10">
        <f t="shared" ref="K473" si="357">K472+E472</f>
        <v>44191</v>
      </c>
      <c r="L473" s="10">
        <f t="shared" ref="L473:L475" si="358">K473-40000</f>
        <v>4191</v>
      </c>
      <c r="M473" s="10">
        <f t="shared" ref="M473:M475" si="359">L473-1</f>
        <v>4190</v>
      </c>
      <c r="N473" s="67" t="s">
        <v>419</v>
      </c>
      <c r="O473" s="10" t="s">
        <v>327</v>
      </c>
      <c r="P473" s="10">
        <v>130</v>
      </c>
      <c r="Q473" s="10" t="s">
        <v>391</v>
      </c>
      <c r="R473" s="222" t="s">
        <v>831</v>
      </c>
    </row>
    <row r="474" spans="2:26" s="56" customFormat="1" ht="46.8" x14ac:dyDescent="0.3">
      <c r="B474" s="10"/>
      <c r="C474" s="10"/>
      <c r="D474" s="10"/>
      <c r="E474" s="10"/>
      <c r="F474" s="221">
        <v>-58</v>
      </c>
      <c r="G474" s="221">
        <v>932</v>
      </c>
      <c r="H474" s="10"/>
      <c r="I474" s="64"/>
      <c r="J474" s="10"/>
      <c r="K474" s="10"/>
      <c r="L474" s="10"/>
      <c r="M474" s="10"/>
      <c r="N474" s="10"/>
      <c r="O474" s="10"/>
      <c r="P474" s="10"/>
      <c r="Q474" s="221" t="s">
        <v>832</v>
      </c>
      <c r="R474" s="222" t="s">
        <v>831</v>
      </c>
    </row>
    <row r="475" spans="2:26" s="56" customFormat="1" ht="31.2" x14ac:dyDescent="0.3">
      <c r="B475" s="10" t="s">
        <v>865</v>
      </c>
      <c r="C475" s="10" t="s">
        <v>321</v>
      </c>
      <c r="D475" s="10">
        <v>2</v>
      </c>
      <c r="E475" s="10">
        <f t="shared" si="356"/>
        <v>1</v>
      </c>
      <c r="F475" s="10">
        <v>0</v>
      </c>
      <c r="G475" s="10">
        <v>1</v>
      </c>
      <c r="H475" s="10">
        <v>1</v>
      </c>
      <c r="I475" s="10">
        <v>1</v>
      </c>
      <c r="J475" s="10" t="s">
        <v>418</v>
      </c>
      <c r="K475" s="10">
        <f>K473+E473</f>
        <v>44192</v>
      </c>
      <c r="L475" s="10">
        <f t="shared" si="358"/>
        <v>4192</v>
      </c>
      <c r="M475" s="10">
        <f t="shared" si="359"/>
        <v>4191</v>
      </c>
      <c r="N475" s="10" t="s">
        <v>419</v>
      </c>
      <c r="O475" s="10" t="s">
        <v>327</v>
      </c>
      <c r="P475" s="10">
        <v>0</v>
      </c>
      <c r="Q475" s="10"/>
      <c r="R475" s="110" t="s">
        <v>758</v>
      </c>
    </row>
    <row r="476" spans="2:26" s="56" customFormat="1" ht="15.6" x14ac:dyDescent="0.3">
      <c r="B476" s="10" t="s">
        <v>320</v>
      </c>
      <c r="C476" s="10" t="s">
        <v>321</v>
      </c>
      <c r="D476" s="10">
        <v>2</v>
      </c>
      <c r="E476" s="10">
        <f t="shared" si="356"/>
        <v>1</v>
      </c>
      <c r="F476" s="10">
        <v>0</v>
      </c>
      <c r="G476" s="10">
        <v>0</v>
      </c>
      <c r="H476" s="10">
        <v>0</v>
      </c>
      <c r="I476" s="10">
        <v>0</v>
      </c>
      <c r="J476" s="10" t="s">
        <v>418</v>
      </c>
      <c r="K476" s="10">
        <f t="shared" ref="K476:K481" si="360">K475+E475</f>
        <v>44193</v>
      </c>
      <c r="L476" s="10">
        <f t="shared" ref="L476" si="361">K476-40000</f>
        <v>4193</v>
      </c>
      <c r="M476" s="10">
        <f t="shared" ref="M476" si="362">L476-1</f>
        <v>4192</v>
      </c>
      <c r="N476" s="67" t="s">
        <v>419</v>
      </c>
      <c r="O476" s="10" t="s">
        <v>324</v>
      </c>
      <c r="P476" s="10">
        <v>0</v>
      </c>
      <c r="Q476" s="10"/>
      <c r="R476" s="111"/>
    </row>
    <row r="477" spans="2:26" s="56" customFormat="1" ht="15.6" x14ac:dyDescent="0.3">
      <c r="B477" s="10" t="s">
        <v>821</v>
      </c>
      <c r="C477" s="10" t="s">
        <v>321</v>
      </c>
      <c r="D477" s="10">
        <v>2</v>
      </c>
      <c r="E477" s="10">
        <f t="shared" si="356"/>
        <v>1</v>
      </c>
      <c r="F477" s="10">
        <v>1</v>
      </c>
      <c r="G477" s="10">
        <v>60000</v>
      </c>
      <c r="H477" s="10">
        <v>1</v>
      </c>
      <c r="I477" s="64" t="s">
        <v>386</v>
      </c>
      <c r="J477" s="10" t="s">
        <v>418</v>
      </c>
      <c r="K477" s="10">
        <f t="shared" si="360"/>
        <v>44194</v>
      </c>
      <c r="L477" s="10">
        <f>K477-40000</f>
        <v>4194</v>
      </c>
      <c r="M477" s="10">
        <f>L477-1</f>
        <v>4193</v>
      </c>
      <c r="N477" s="67" t="s">
        <v>419</v>
      </c>
      <c r="O477" s="10" t="s">
        <v>327</v>
      </c>
      <c r="P477" s="10">
        <v>10</v>
      </c>
      <c r="Q477" s="10" t="s">
        <v>760</v>
      </c>
      <c r="R477" s="111"/>
    </row>
    <row r="478" spans="2:26" s="56" customFormat="1" ht="46.8" x14ac:dyDescent="0.3">
      <c r="B478" s="10" t="s">
        <v>866</v>
      </c>
      <c r="C478" s="10" t="s">
        <v>864</v>
      </c>
      <c r="D478" s="10">
        <v>2</v>
      </c>
      <c r="E478" s="10">
        <f t="shared" si="356"/>
        <v>1</v>
      </c>
      <c r="F478" s="10">
        <v>-50</v>
      </c>
      <c r="G478" s="10">
        <v>500</v>
      </c>
      <c r="H478" s="10">
        <v>1</v>
      </c>
      <c r="I478" s="67">
        <v>1</v>
      </c>
      <c r="J478" s="10" t="s">
        <v>418</v>
      </c>
      <c r="K478" s="10">
        <f t="shared" si="360"/>
        <v>44195</v>
      </c>
      <c r="L478" s="10">
        <f t="shared" ref="L478" si="363">K478-40000</f>
        <v>4195</v>
      </c>
      <c r="M478" s="10">
        <f t="shared" ref="M478" si="364">L478-1</f>
        <v>4194</v>
      </c>
      <c r="N478" s="67" t="s">
        <v>419</v>
      </c>
      <c r="O478" s="10" t="s">
        <v>327</v>
      </c>
      <c r="P478" s="10">
        <v>130</v>
      </c>
      <c r="Q478" s="10" t="s">
        <v>391</v>
      </c>
      <c r="R478" s="222" t="s">
        <v>831</v>
      </c>
    </row>
    <row r="479" spans="2:26" s="56" customFormat="1" ht="46.8" x14ac:dyDescent="0.3">
      <c r="B479" s="10"/>
      <c r="C479" s="10"/>
      <c r="D479" s="10"/>
      <c r="E479" s="10"/>
      <c r="F479" s="221">
        <v>-58</v>
      </c>
      <c r="G479" s="221">
        <v>932</v>
      </c>
      <c r="H479" s="10"/>
      <c r="I479" s="64"/>
      <c r="J479" s="10"/>
      <c r="K479" s="10"/>
      <c r="L479" s="10"/>
      <c r="M479" s="10"/>
      <c r="N479" s="10"/>
      <c r="O479" s="10"/>
      <c r="P479" s="10"/>
      <c r="Q479" s="221" t="s">
        <v>832</v>
      </c>
      <c r="R479" s="222" t="s">
        <v>831</v>
      </c>
    </row>
    <row r="480" spans="2:26" s="56" customFormat="1" ht="62.4" x14ac:dyDescent="0.3">
      <c r="B480" s="10" t="s">
        <v>753</v>
      </c>
      <c r="C480" s="10" t="s">
        <v>359</v>
      </c>
      <c r="D480" s="10">
        <v>2</v>
      </c>
      <c r="E480" s="10">
        <f t="shared" si="356"/>
        <v>1</v>
      </c>
      <c r="F480" s="10">
        <v>1</v>
      </c>
      <c r="G480" s="10">
        <v>15</v>
      </c>
      <c r="H480" s="10">
        <v>1</v>
      </c>
      <c r="I480" s="10">
        <v>1</v>
      </c>
      <c r="J480" s="10" t="s">
        <v>418</v>
      </c>
      <c r="K480" s="10">
        <f>K478+E478</f>
        <v>44196</v>
      </c>
      <c r="L480" s="10">
        <f t="shared" ref="L480:L481" si="365">K480-40000</f>
        <v>4196</v>
      </c>
      <c r="M480" s="10">
        <f t="shared" ref="M480:M481" si="366">L480-1</f>
        <v>4195</v>
      </c>
      <c r="N480" s="67" t="s">
        <v>419</v>
      </c>
      <c r="O480" s="10" t="s">
        <v>327</v>
      </c>
      <c r="P480" s="10">
        <v>3</v>
      </c>
      <c r="Q480" s="10"/>
      <c r="R480" s="222" t="s">
        <v>754</v>
      </c>
    </row>
    <row r="481" spans="2:26" s="56" customFormat="1" ht="15.6" x14ac:dyDescent="0.3">
      <c r="B481" s="10" t="s">
        <v>770</v>
      </c>
      <c r="C481" s="10" t="s">
        <v>321</v>
      </c>
      <c r="D481" s="10">
        <v>2</v>
      </c>
      <c r="E481" s="10">
        <f t="shared" si="356"/>
        <v>1</v>
      </c>
      <c r="F481" s="10">
        <v>0</v>
      </c>
      <c r="G481" s="10">
        <v>60000</v>
      </c>
      <c r="H481" s="10">
        <v>1</v>
      </c>
      <c r="I481" s="64" t="s">
        <v>386</v>
      </c>
      <c r="J481" s="10" t="s">
        <v>418</v>
      </c>
      <c r="K481" s="10">
        <f t="shared" si="360"/>
        <v>44197</v>
      </c>
      <c r="L481" s="10">
        <f t="shared" si="365"/>
        <v>4197</v>
      </c>
      <c r="M481" s="10">
        <f t="shared" si="366"/>
        <v>4196</v>
      </c>
      <c r="N481" s="67" t="s">
        <v>419</v>
      </c>
      <c r="O481" s="10" t="s">
        <v>327</v>
      </c>
      <c r="P481" s="10">
        <v>0</v>
      </c>
      <c r="Q481" s="10" t="s">
        <v>760</v>
      </c>
      <c r="R481" s="111"/>
    </row>
    <row r="482" spans="2:26" x14ac:dyDescent="0.3">
      <c r="B482" s="470" t="s">
        <v>875</v>
      </c>
      <c r="C482" s="471"/>
      <c r="D482" s="471"/>
      <c r="E482" s="471"/>
      <c r="F482" s="471"/>
      <c r="G482" s="471"/>
      <c r="H482" s="471"/>
      <c r="I482" s="471"/>
      <c r="J482" s="471"/>
      <c r="K482" s="471"/>
      <c r="L482" s="471"/>
      <c r="M482" s="471"/>
      <c r="N482" s="471"/>
      <c r="O482" s="471"/>
      <c r="P482" s="471"/>
      <c r="Q482" s="471"/>
      <c r="R482" s="472"/>
      <c r="S482" s="56"/>
      <c r="T482" s="26"/>
      <c r="U482" s="26"/>
      <c r="V482" s="26"/>
      <c r="W482" s="26"/>
      <c r="X482" s="26"/>
      <c r="Y482" s="26"/>
      <c r="Z482" s="26"/>
    </row>
    <row r="483" spans="2:26" s="56" customFormat="1" ht="62.4" x14ac:dyDescent="0.3">
      <c r="B483" s="10" t="s">
        <v>748</v>
      </c>
      <c r="C483" s="10" t="s">
        <v>321</v>
      </c>
      <c r="D483" s="67">
        <v>2</v>
      </c>
      <c r="E483" s="67">
        <f t="shared" ref="E483:E492" si="367">D483/2</f>
        <v>1</v>
      </c>
      <c r="F483" s="67">
        <v>0</v>
      </c>
      <c r="G483" s="67">
        <v>3</v>
      </c>
      <c r="H483" s="67">
        <v>1</v>
      </c>
      <c r="I483" s="67">
        <v>1</v>
      </c>
      <c r="J483" s="67" t="s">
        <v>418</v>
      </c>
      <c r="K483" s="67">
        <f>K481+E481</f>
        <v>44198</v>
      </c>
      <c r="L483" s="10">
        <f>K483-40000</f>
        <v>4198</v>
      </c>
      <c r="M483" s="10">
        <f>L483-1</f>
        <v>4197</v>
      </c>
      <c r="N483" s="67" t="s">
        <v>419</v>
      </c>
      <c r="O483" s="10" t="s">
        <v>327</v>
      </c>
      <c r="P483" s="67">
        <v>0</v>
      </c>
      <c r="Q483" s="67"/>
      <c r="R483" s="110" t="s">
        <v>749</v>
      </c>
    </row>
    <row r="484" spans="2:26" s="56" customFormat="1" ht="46.8" x14ac:dyDescent="0.3">
      <c r="B484" s="10" t="s">
        <v>863</v>
      </c>
      <c r="C484" s="10" t="s">
        <v>864</v>
      </c>
      <c r="D484" s="10">
        <v>2</v>
      </c>
      <c r="E484" s="10">
        <f t="shared" si="367"/>
        <v>1</v>
      </c>
      <c r="F484" s="10">
        <v>-50</v>
      </c>
      <c r="G484" s="10">
        <v>500</v>
      </c>
      <c r="H484" s="10">
        <v>1</v>
      </c>
      <c r="I484" s="67">
        <v>1</v>
      </c>
      <c r="J484" s="10" t="s">
        <v>418</v>
      </c>
      <c r="K484" s="10">
        <f t="shared" ref="K484" si="368">K483+E483</f>
        <v>44199</v>
      </c>
      <c r="L484" s="10">
        <f t="shared" ref="L484:L486" si="369">K484-40000</f>
        <v>4199</v>
      </c>
      <c r="M484" s="10">
        <f t="shared" ref="M484:M486" si="370">L484-1</f>
        <v>4198</v>
      </c>
      <c r="N484" s="67" t="s">
        <v>419</v>
      </c>
      <c r="O484" s="10" t="s">
        <v>327</v>
      </c>
      <c r="P484" s="10">
        <v>130</v>
      </c>
      <c r="Q484" s="10" t="s">
        <v>391</v>
      </c>
      <c r="R484" s="222" t="s">
        <v>831</v>
      </c>
    </row>
    <row r="485" spans="2:26" s="56" customFormat="1" ht="46.8" x14ac:dyDescent="0.3">
      <c r="B485" s="10"/>
      <c r="C485" s="10"/>
      <c r="D485" s="10"/>
      <c r="E485" s="10"/>
      <c r="F485" s="221">
        <v>-58</v>
      </c>
      <c r="G485" s="221">
        <v>932</v>
      </c>
      <c r="H485" s="10"/>
      <c r="I485" s="64"/>
      <c r="J485" s="10"/>
      <c r="K485" s="10"/>
      <c r="L485" s="10"/>
      <c r="M485" s="10"/>
      <c r="N485" s="10"/>
      <c r="O485" s="10"/>
      <c r="P485" s="10"/>
      <c r="Q485" s="221" t="s">
        <v>832</v>
      </c>
      <c r="R485" s="222" t="s">
        <v>831</v>
      </c>
    </row>
    <row r="486" spans="2:26" s="56" customFormat="1" ht="31.2" x14ac:dyDescent="0.3">
      <c r="B486" s="10" t="s">
        <v>865</v>
      </c>
      <c r="C486" s="10" t="s">
        <v>321</v>
      </c>
      <c r="D486" s="10">
        <v>2</v>
      </c>
      <c r="E486" s="10">
        <f t="shared" si="367"/>
        <v>1</v>
      </c>
      <c r="F486" s="10">
        <v>0</v>
      </c>
      <c r="G486" s="10">
        <v>1</v>
      </c>
      <c r="H486" s="10">
        <v>1</v>
      </c>
      <c r="I486" s="10">
        <v>1</v>
      </c>
      <c r="J486" s="10" t="s">
        <v>418</v>
      </c>
      <c r="K486" s="10">
        <f>K484+E484</f>
        <v>44200</v>
      </c>
      <c r="L486" s="10">
        <f t="shared" si="369"/>
        <v>4200</v>
      </c>
      <c r="M486" s="10">
        <f t="shared" si="370"/>
        <v>4199</v>
      </c>
      <c r="N486" s="10" t="s">
        <v>419</v>
      </c>
      <c r="O486" s="10" t="s">
        <v>327</v>
      </c>
      <c r="P486" s="10">
        <v>0</v>
      </c>
      <c r="Q486" s="10"/>
      <c r="R486" s="110" t="s">
        <v>758</v>
      </c>
    </row>
    <row r="487" spans="2:26" s="56" customFormat="1" ht="15.6" x14ac:dyDescent="0.3">
      <c r="B487" s="10" t="s">
        <v>320</v>
      </c>
      <c r="C487" s="10" t="s">
        <v>321</v>
      </c>
      <c r="D487" s="10">
        <v>2</v>
      </c>
      <c r="E487" s="10">
        <f t="shared" si="367"/>
        <v>1</v>
      </c>
      <c r="F487" s="10">
        <v>0</v>
      </c>
      <c r="G487" s="10">
        <v>0</v>
      </c>
      <c r="H487" s="10">
        <v>0</v>
      </c>
      <c r="I487" s="10">
        <v>0</v>
      </c>
      <c r="J487" s="10" t="s">
        <v>418</v>
      </c>
      <c r="K487" s="10">
        <f t="shared" ref="K487:K492" si="371">K486+E486</f>
        <v>44201</v>
      </c>
      <c r="L487" s="10">
        <f t="shared" ref="L487" si="372">K487-40000</f>
        <v>4201</v>
      </c>
      <c r="M487" s="10">
        <f t="shared" ref="M487" si="373">L487-1</f>
        <v>4200</v>
      </c>
      <c r="N487" s="67" t="s">
        <v>419</v>
      </c>
      <c r="O487" s="10" t="s">
        <v>324</v>
      </c>
      <c r="P487" s="10">
        <v>0</v>
      </c>
      <c r="Q487" s="10"/>
      <c r="R487" s="111"/>
    </row>
    <row r="488" spans="2:26" s="56" customFormat="1" ht="15.6" x14ac:dyDescent="0.3">
      <c r="B488" s="10" t="s">
        <v>821</v>
      </c>
      <c r="C488" s="10" t="s">
        <v>321</v>
      </c>
      <c r="D488" s="10">
        <v>2</v>
      </c>
      <c r="E488" s="10">
        <f t="shared" si="367"/>
        <v>1</v>
      </c>
      <c r="F488" s="10">
        <v>1</v>
      </c>
      <c r="G488" s="10">
        <v>60000</v>
      </c>
      <c r="H488" s="10">
        <v>1</v>
      </c>
      <c r="I488" s="64" t="s">
        <v>386</v>
      </c>
      <c r="J488" s="10" t="s">
        <v>418</v>
      </c>
      <c r="K488" s="10">
        <f t="shared" si="371"/>
        <v>44202</v>
      </c>
      <c r="L488" s="10">
        <f>K488-40000</f>
        <v>4202</v>
      </c>
      <c r="M488" s="10">
        <f>L488-1</f>
        <v>4201</v>
      </c>
      <c r="N488" s="67" t="s">
        <v>419</v>
      </c>
      <c r="O488" s="10" t="s">
        <v>327</v>
      </c>
      <c r="P488" s="10">
        <v>10</v>
      </c>
      <c r="Q488" s="10" t="s">
        <v>760</v>
      </c>
      <c r="R488" s="111"/>
    </row>
    <row r="489" spans="2:26" s="56" customFormat="1" ht="46.8" x14ac:dyDescent="0.3">
      <c r="B489" s="10" t="s">
        <v>866</v>
      </c>
      <c r="C489" s="10" t="s">
        <v>864</v>
      </c>
      <c r="D489" s="10">
        <v>2</v>
      </c>
      <c r="E489" s="10">
        <f t="shared" si="367"/>
        <v>1</v>
      </c>
      <c r="F489" s="10">
        <v>-50</v>
      </c>
      <c r="G489" s="10">
        <v>500</v>
      </c>
      <c r="H489" s="10">
        <v>1</v>
      </c>
      <c r="I489" s="67">
        <v>1</v>
      </c>
      <c r="J489" s="10" t="s">
        <v>418</v>
      </c>
      <c r="K489" s="10">
        <f t="shared" si="371"/>
        <v>44203</v>
      </c>
      <c r="L489" s="10">
        <f t="shared" ref="L489" si="374">K489-40000</f>
        <v>4203</v>
      </c>
      <c r="M489" s="10">
        <f t="shared" ref="M489" si="375">L489-1</f>
        <v>4202</v>
      </c>
      <c r="N489" s="67" t="s">
        <v>419</v>
      </c>
      <c r="O489" s="10" t="s">
        <v>327</v>
      </c>
      <c r="P489" s="10">
        <v>130</v>
      </c>
      <c r="Q489" s="10" t="s">
        <v>391</v>
      </c>
      <c r="R489" s="222" t="s">
        <v>831</v>
      </c>
    </row>
    <row r="490" spans="2:26" s="56" customFormat="1" ht="46.8" x14ac:dyDescent="0.3">
      <c r="B490" s="10"/>
      <c r="C490" s="10"/>
      <c r="D490" s="10"/>
      <c r="E490" s="10"/>
      <c r="F490" s="221">
        <v>-58</v>
      </c>
      <c r="G490" s="221">
        <v>932</v>
      </c>
      <c r="H490" s="10"/>
      <c r="I490" s="64"/>
      <c r="J490" s="10"/>
      <c r="K490" s="10"/>
      <c r="L490" s="10"/>
      <c r="M490" s="10"/>
      <c r="N490" s="10"/>
      <c r="O490" s="10"/>
      <c r="P490" s="10"/>
      <c r="Q490" s="221" t="s">
        <v>832</v>
      </c>
      <c r="R490" s="222" t="s">
        <v>831</v>
      </c>
    </row>
    <row r="491" spans="2:26" s="56" customFormat="1" ht="62.4" x14ac:dyDescent="0.3">
      <c r="B491" s="10" t="s">
        <v>753</v>
      </c>
      <c r="C491" s="10" t="s">
        <v>359</v>
      </c>
      <c r="D491" s="10">
        <v>2</v>
      </c>
      <c r="E491" s="10">
        <f t="shared" si="367"/>
        <v>1</v>
      </c>
      <c r="F491" s="10">
        <v>1</v>
      </c>
      <c r="G491" s="10">
        <v>15</v>
      </c>
      <c r="H491" s="10">
        <v>1</v>
      </c>
      <c r="I491" s="10">
        <v>1</v>
      </c>
      <c r="J491" s="10" t="s">
        <v>418</v>
      </c>
      <c r="K491" s="10">
        <f>K489+E489</f>
        <v>44204</v>
      </c>
      <c r="L491" s="10">
        <f t="shared" ref="L491:L492" si="376">K491-40000</f>
        <v>4204</v>
      </c>
      <c r="M491" s="10">
        <f t="shared" ref="M491:M492" si="377">L491-1</f>
        <v>4203</v>
      </c>
      <c r="N491" s="67" t="s">
        <v>419</v>
      </c>
      <c r="O491" s="10" t="s">
        <v>327</v>
      </c>
      <c r="P491" s="10">
        <v>3</v>
      </c>
      <c r="Q491" s="10"/>
      <c r="R491" s="222" t="s">
        <v>754</v>
      </c>
    </row>
    <row r="492" spans="2:26" s="56" customFormat="1" ht="15.6" x14ac:dyDescent="0.3">
      <c r="B492" s="10" t="s">
        <v>770</v>
      </c>
      <c r="C492" s="10" t="s">
        <v>321</v>
      </c>
      <c r="D492" s="10">
        <v>2</v>
      </c>
      <c r="E492" s="10">
        <f t="shared" si="367"/>
        <v>1</v>
      </c>
      <c r="F492" s="10">
        <v>0</v>
      </c>
      <c r="G492" s="10">
        <v>60000</v>
      </c>
      <c r="H492" s="10">
        <v>1</v>
      </c>
      <c r="I492" s="64" t="s">
        <v>386</v>
      </c>
      <c r="J492" s="10" t="s">
        <v>418</v>
      </c>
      <c r="K492" s="10">
        <f t="shared" si="371"/>
        <v>44205</v>
      </c>
      <c r="L492" s="10">
        <f t="shared" si="376"/>
        <v>4205</v>
      </c>
      <c r="M492" s="10">
        <f t="shared" si="377"/>
        <v>4204</v>
      </c>
      <c r="N492" s="67" t="s">
        <v>419</v>
      </c>
      <c r="O492" s="10" t="s">
        <v>327</v>
      </c>
      <c r="P492" s="10">
        <v>0</v>
      </c>
      <c r="Q492" s="10" t="s">
        <v>760</v>
      </c>
      <c r="R492" s="111"/>
    </row>
    <row r="493" spans="2:26" x14ac:dyDescent="0.3">
      <c r="B493" s="470" t="s">
        <v>876</v>
      </c>
      <c r="C493" s="471"/>
      <c r="D493" s="471"/>
      <c r="E493" s="471"/>
      <c r="F493" s="471"/>
      <c r="G493" s="471"/>
      <c r="H493" s="471"/>
      <c r="I493" s="471"/>
      <c r="J493" s="471"/>
      <c r="K493" s="471"/>
      <c r="L493" s="471"/>
      <c r="M493" s="471"/>
      <c r="N493" s="471"/>
      <c r="O493" s="471"/>
      <c r="P493" s="471"/>
      <c r="Q493" s="471"/>
      <c r="R493" s="472"/>
      <c r="S493" s="56"/>
      <c r="T493" s="26"/>
      <c r="U493" s="26"/>
      <c r="V493" s="26"/>
      <c r="W493" s="26"/>
      <c r="X493" s="26"/>
      <c r="Y493" s="26"/>
      <c r="Z493" s="26"/>
    </row>
    <row r="494" spans="2:26" s="56" customFormat="1" ht="62.4" x14ac:dyDescent="0.3">
      <c r="B494" s="10" t="s">
        <v>748</v>
      </c>
      <c r="C494" s="10" t="s">
        <v>321</v>
      </c>
      <c r="D494" s="67">
        <v>2</v>
      </c>
      <c r="E494" s="67">
        <f t="shared" ref="E494:E503" si="378">D494/2</f>
        <v>1</v>
      </c>
      <c r="F494" s="67">
        <v>0</v>
      </c>
      <c r="G494" s="67">
        <v>3</v>
      </c>
      <c r="H494" s="67">
        <v>1</v>
      </c>
      <c r="I494" s="67">
        <v>1</v>
      </c>
      <c r="J494" s="67" t="s">
        <v>418</v>
      </c>
      <c r="K494" s="67">
        <f>K492+E492</f>
        <v>44206</v>
      </c>
      <c r="L494" s="10">
        <f>K494-40000</f>
        <v>4206</v>
      </c>
      <c r="M494" s="10">
        <f>L494-1</f>
        <v>4205</v>
      </c>
      <c r="N494" s="67" t="s">
        <v>419</v>
      </c>
      <c r="O494" s="10" t="s">
        <v>327</v>
      </c>
      <c r="P494" s="67">
        <v>0</v>
      </c>
      <c r="Q494" s="67"/>
      <c r="R494" s="110" t="s">
        <v>749</v>
      </c>
    </row>
    <row r="495" spans="2:26" s="56" customFormat="1" ht="46.8" x14ac:dyDescent="0.3">
      <c r="B495" s="10" t="s">
        <v>863</v>
      </c>
      <c r="C495" s="10" t="s">
        <v>864</v>
      </c>
      <c r="D495" s="10">
        <v>2</v>
      </c>
      <c r="E495" s="10">
        <f t="shared" si="378"/>
        <v>1</v>
      </c>
      <c r="F495" s="10">
        <v>-50</v>
      </c>
      <c r="G495" s="10">
        <v>500</v>
      </c>
      <c r="H495" s="10">
        <v>1</v>
      </c>
      <c r="I495" s="67">
        <v>1</v>
      </c>
      <c r="J495" s="10" t="s">
        <v>418</v>
      </c>
      <c r="K495" s="10">
        <f t="shared" ref="K495" si="379">K494+E494</f>
        <v>44207</v>
      </c>
      <c r="L495" s="10">
        <f t="shared" ref="L495:L497" si="380">K495-40000</f>
        <v>4207</v>
      </c>
      <c r="M495" s="10">
        <f t="shared" ref="M495:M497" si="381">L495-1</f>
        <v>4206</v>
      </c>
      <c r="N495" s="67" t="s">
        <v>419</v>
      </c>
      <c r="O495" s="10" t="s">
        <v>327</v>
      </c>
      <c r="P495" s="10">
        <v>130</v>
      </c>
      <c r="Q495" s="10" t="s">
        <v>391</v>
      </c>
      <c r="R495" s="222" t="s">
        <v>831</v>
      </c>
    </row>
    <row r="496" spans="2:26" s="56" customFormat="1" ht="46.8" x14ac:dyDescent="0.3">
      <c r="B496" s="10"/>
      <c r="C496" s="10"/>
      <c r="D496" s="10"/>
      <c r="E496" s="10"/>
      <c r="F496" s="221">
        <v>-58</v>
      </c>
      <c r="G496" s="221">
        <v>932</v>
      </c>
      <c r="H496" s="10"/>
      <c r="I496" s="64"/>
      <c r="J496" s="10"/>
      <c r="K496" s="10"/>
      <c r="L496" s="10"/>
      <c r="M496" s="10"/>
      <c r="N496" s="10"/>
      <c r="O496" s="10"/>
      <c r="P496" s="10"/>
      <c r="Q496" s="221" t="s">
        <v>832</v>
      </c>
      <c r="R496" s="222" t="s">
        <v>831</v>
      </c>
    </row>
    <row r="497" spans="2:26" s="56" customFormat="1" ht="31.2" x14ac:dyDescent="0.3">
      <c r="B497" s="10" t="s">
        <v>865</v>
      </c>
      <c r="C497" s="10" t="s">
        <v>321</v>
      </c>
      <c r="D497" s="10">
        <v>2</v>
      </c>
      <c r="E497" s="10">
        <f t="shared" si="378"/>
        <v>1</v>
      </c>
      <c r="F497" s="10">
        <v>0</v>
      </c>
      <c r="G497" s="10">
        <v>1</v>
      </c>
      <c r="H497" s="10">
        <v>1</v>
      </c>
      <c r="I497" s="10">
        <v>1</v>
      </c>
      <c r="J497" s="10" t="s">
        <v>418</v>
      </c>
      <c r="K497" s="10">
        <f>K495+E495</f>
        <v>44208</v>
      </c>
      <c r="L497" s="10">
        <f t="shared" si="380"/>
        <v>4208</v>
      </c>
      <c r="M497" s="10">
        <f t="shared" si="381"/>
        <v>4207</v>
      </c>
      <c r="N497" s="10" t="s">
        <v>419</v>
      </c>
      <c r="O497" s="10" t="s">
        <v>327</v>
      </c>
      <c r="P497" s="10">
        <v>0</v>
      </c>
      <c r="Q497" s="10"/>
      <c r="R497" s="110" t="s">
        <v>758</v>
      </c>
    </row>
    <row r="498" spans="2:26" s="56" customFormat="1" ht="15.6" x14ac:dyDescent="0.3">
      <c r="B498" s="10" t="s">
        <v>320</v>
      </c>
      <c r="C498" s="10" t="s">
        <v>321</v>
      </c>
      <c r="D498" s="10">
        <v>2</v>
      </c>
      <c r="E498" s="10">
        <f t="shared" si="378"/>
        <v>1</v>
      </c>
      <c r="F498" s="10">
        <v>0</v>
      </c>
      <c r="G498" s="10">
        <v>0</v>
      </c>
      <c r="H498" s="10">
        <v>0</v>
      </c>
      <c r="I498" s="10">
        <v>0</v>
      </c>
      <c r="J498" s="10" t="s">
        <v>418</v>
      </c>
      <c r="K498" s="10">
        <f t="shared" ref="K498:K503" si="382">K497+E497</f>
        <v>44209</v>
      </c>
      <c r="L498" s="10">
        <f t="shared" ref="L498" si="383">K498-40000</f>
        <v>4209</v>
      </c>
      <c r="M498" s="10">
        <f t="shared" ref="M498" si="384">L498-1</f>
        <v>4208</v>
      </c>
      <c r="N498" s="67" t="s">
        <v>419</v>
      </c>
      <c r="O498" s="10" t="s">
        <v>324</v>
      </c>
      <c r="P498" s="10">
        <v>0</v>
      </c>
      <c r="Q498" s="10"/>
      <c r="R498" s="111"/>
    </row>
    <row r="499" spans="2:26" s="56" customFormat="1" ht="15.6" x14ac:dyDescent="0.3">
      <c r="B499" s="10" t="s">
        <v>821</v>
      </c>
      <c r="C499" s="10" t="s">
        <v>321</v>
      </c>
      <c r="D499" s="10">
        <v>2</v>
      </c>
      <c r="E499" s="10">
        <f t="shared" si="378"/>
        <v>1</v>
      </c>
      <c r="F499" s="10">
        <v>1</v>
      </c>
      <c r="G499" s="10">
        <v>60000</v>
      </c>
      <c r="H499" s="10">
        <v>1</v>
      </c>
      <c r="I499" s="64" t="s">
        <v>386</v>
      </c>
      <c r="J499" s="10" t="s">
        <v>418</v>
      </c>
      <c r="K499" s="10">
        <f t="shared" si="382"/>
        <v>44210</v>
      </c>
      <c r="L499" s="10">
        <f>K499-40000</f>
        <v>4210</v>
      </c>
      <c r="M499" s="10">
        <f>L499-1</f>
        <v>4209</v>
      </c>
      <c r="N499" s="67" t="s">
        <v>419</v>
      </c>
      <c r="O499" s="10" t="s">
        <v>327</v>
      </c>
      <c r="P499" s="10">
        <v>10</v>
      </c>
      <c r="Q499" s="10" t="s">
        <v>760</v>
      </c>
      <c r="R499" s="111"/>
    </row>
    <row r="500" spans="2:26" s="56" customFormat="1" ht="46.8" x14ac:dyDescent="0.3">
      <c r="B500" s="10" t="s">
        <v>866</v>
      </c>
      <c r="C500" s="10" t="s">
        <v>864</v>
      </c>
      <c r="D500" s="10">
        <v>2</v>
      </c>
      <c r="E500" s="10">
        <f t="shared" si="378"/>
        <v>1</v>
      </c>
      <c r="F500" s="10">
        <v>-50</v>
      </c>
      <c r="G500" s="10">
        <v>500</v>
      </c>
      <c r="H500" s="10">
        <v>1</v>
      </c>
      <c r="I500" s="67">
        <v>1</v>
      </c>
      <c r="J500" s="10" t="s">
        <v>418</v>
      </c>
      <c r="K500" s="10">
        <f t="shared" si="382"/>
        <v>44211</v>
      </c>
      <c r="L500" s="10">
        <f t="shared" ref="L500" si="385">K500-40000</f>
        <v>4211</v>
      </c>
      <c r="M500" s="10">
        <f t="shared" ref="M500" si="386">L500-1</f>
        <v>4210</v>
      </c>
      <c r="N500" s="67" t="s">
        <v>419</v>
      </c>
      <c r="O500" s="10" t="s">
        <v>327</v>
      </c>
      <c r="P500" s="10">
        <v>130</v>
      </c>
      <c r="Q500" s="10" t="s">
        <v>391</v>
      </c>
      <c r="R500" s="222" t="s">
        <v>831</v>
      </c>
    </row>
    <row r="501" spans="2:26" s="56" customFormat="1" ht="46.8" x14ac:dyDescent="0.3">
      <c r="B501" s="10"/>
      <c r="C501" s="10"/>
      <c r="D501" s="10"/>
      <c r="E501" s="10"/>
      <c r="F501" s="221">
        <v>-58</v>
      </c>
      <c r="G501" s="221">
        <v>932</v>
      </c>
      <c r="H501" s="10"/>
      <c r="I501" s="64"/>
      <c r="J501" s="10"/>
      <c r="K501" s="10"/>
      <c r="L501" s="10"/>
      <c r="M501" s="10"/>
      <c r="N501" s="10"/>
      <c r="O501" s="10"/>
      <c r="P501" s="10"/>
      <c r="Q501" s="221" t="s">
        <v>832</v>
      </c>
      <c r="R501" s="222" t="s">
        <v>831</v>
      </c>
    </row>
    <row r="502" spans="2:26" s="56" customFormat="1" ht="62.4" x14ac:dyDescent="0.3">
      <c r="B502" s="10" t="s">
        <v>753</v>
      </c>
      <c r="C502" s="10" t="s">
        <v>359</v>
      </c>
      <c r="D502" s="10">
        <v>2</v>
      </c>
      <c r="E502" s="10">
        <f t="shared" si="378"/>
        <v>1</v>
      </c>
      <c r="F502" s="10">
        <v>1</v>
      </c>
      <c r="G502" s="10">
        <v>15</v>
      </c>
      <c r="H502" s="10">
        <v>1</v>
      </c>
      <c r="I502" s="10">
        <v>1</v>
      </c>
      <c r="J502" s="10" t="s">
        <v>418</v>
      </c>
      <c r="K502" s="10">
        <f>K500+E500</f>
        <v>44212</v>
      </c>
      <c r="L502" s="10">
        <f t="shared" ref="L502:L503" si="387">K502-40000</f>
        <v>4212</v>
      </c>
      <c r="M502" s="10">
        <f t="shared" ref="M502:M503" si="388">L502-1</f>
        <v>4211</v>
      </c>
      <c r="N502" s="67" t="s">
        <v>419</v>
      </c>
      <c r="O502" s="10" t="s">
        <v>327</v>
      </c>
      <c r="P502" s="10">
        <v>3</v>
      </c>
      <c r="Q502" s="10"/>
      <c r="R502" s="222" t="s">
        <v>754</v>
      </c>
    </row>
    <row r="503" spans="2:26" s="56" customFormat="1" ht="15.6" x14ac:dyDescent="0.3">
      <c r="B503" s="10" t="s">
        <v>770</v>
      </c>
      <c r="C503" s="10" t="s">
        <v>321</v>
      </c>
      <c r="D503" s="10">
        <v>2</v>
      </c>
      <c r="E503" s="10">
        <f t="shared" si="378"/>
        <v>1</v>
      </c>
      <c r="F503" s="10">
        <v>0</v>
      </c>
      <c r="G503" s="10">
        <v>60000</v>
      </c>
      <c r="H503" s="10">
        <v>1</v>
      </c>
      <c r="I503" s="64" t="s">
        <v>386</v>
      </c>
      <c r="J503" s="10" t="s">
        <v>418</v>
      </c>
      <c r="K503" s="10">
        <f t="shared" si="382"/>
        <v>44213</v>
      </c>
      <c r="L503" s="10">
        <f t="shared" si="387"/>
        <v>4213</v>
      </c>
      <c r="M503" s="10">
        <f t="shared" si="388"/>
        <v>4212</v>
      </c>
      <c r="N503" s="67" t="s">
        <v>419</v>
      </c>
      <c r="O503" s="10" t="s">
        <v>327</v>
      </c>
      <c r="P503" s="10">
        <v>0</v>
      </c>
      <c r="Q503" s="10" t="s">
        <v>760</v>
      </c>
      <c r="R503" s="111"/>
    </row>
    <row r="504" spans="2:26" x14ac:dyDescent="0.3">
      <c r="B504" s="470" t="s">
        <v>877</v>
      </c>
      <c r="C504" s="471"/>
      <c r="D504" s="471"/>
      <c r="E504" s="471"/>
      <c r="F504" s="471"/>
      <c r="G504" s="471"/>
      <c r="H504" s="471"/>
      <c r="I504" s="471"/>
      <c r="J504" s="471"/>
      <c r="K504" s="471"/>
      <c r="L504" s="471"/>
      <c r="M504" s="471"/>
      <c r="N504" s="471"/>
      <c r="O504" s="471"/>
      <c r="P504" s="471"/>
      <c r="Q504" s="471"/>
      <c r="R504" s="472"/>
      <c r="S504" s="56"/>
      <c r="T504" s="26"/>
      <c r="U504" s="26"/>
      <c r="V504" s="26"/>
      <c r="W504" s="26"/>
      <c r="X504" s="26"/>
      <c r="Y504" s="26"/>
      <c r="Z504" s="26"/>
    </row>
    <row r="505" spans="2:26" s="56" customFormat="1" ht="62.4" x14ac:dyDescent="0.3">
      <c r="B505" s="10" t="s">
        <v>748</v>
      </c>
      <c r="C505" s="10" t="s">
        <v>321</v>
      </c>
      <c r="D505" s="67">
        <v>2</v>
      </c>
      <c r="E505" s="67">
        <f t="shared" ref="E505:E514" si="389">D505/2</f>
        <v>1</v>
      </c>
      <c r="F505" s="67">
        <v>0</v>
      </c>
      <c r="G505" s="67">
        <v>3</v>
      </c>
      <c r="H505" s="67">
        <v>1</v>
      </c>
      <c r="I505" s="67">
        <v>1</v>
      </c>
      <c r="J505" s="67" t="s">
        <v>418</v>
      </c>
      <c r="K505" s="67">
        <f>K503+E503</f>
        <v>44214</v>
      </c>
      <c r="L505" s="10">
        <f>K505-40000</f>
        <v>4214</v>
      </c>
      <c r="M505" s="10">
        <f>L505-1</f>
        <v>4213</v>
      </c>
      <c r="N505" s="67" t="s">
        <v>419</v>
      </c>
      <c r="O505" s="10" t="s">
        <v>327</v>
      </c>
      <c r="P505" s="67">
        <v>0</v>
      </c>
      <c r="Q505" s="67"/>
      <c r="R505" s="110" t="s">
        <v>749</v>
      </c>
    </row>
    <row r="506" spans="2:26" s="56" customFormat="1" ht="46.8" x14ac:dyDescent="0.3">
      <c r="B506" s="10" t="s">
        <v>863</v>
      </c>
      <c r="C506" s="10" t="s">
        <v>864</v>
      </c>
      <c r="D506" s="10">
        <v>2</v>
      </c>
      <c r="E506" s="10">
        <f t="shared" si="389"/>
        <v>1</v>
      </c>
      <c r="F506" s="10">
        <v>-50</v>
      </c>
      <c r="G506" s="10">
        <v>500</v>
      </c>
      <c r="H506" s="10">
        <v>1</v>
      </c>
      <c r="I506" s="67">
        <v>1</v>
      </c>
      <c r="J506" s="10" t="s">
        <v>418</v>
      </c>
      <c r="K506" s="10">
        <f t="shared" ref="K506" si="390">K505+E505</f>
        <v>44215</v>
      </c>
      <c r="L506" s="10">
        <f t="shared" ref="L506:L508" si="391">K506-40000</f>
        <v>4215</v>
      </c>
      <c r="M506" s="10">
        <f t="shared" ref="M506:M508" si="392">L506-1</f>
        <v>4214</v>
      </c>
      <c r="N506" s="67" t="s">
        <v>419</v>
      </c>
      <c r="O506" s="10" t="s">
        <v>327</v>
      </c>
      <c r="P506" s="10">
        <v>130</v>
      </c>
      <c r="Q506" s="10" t="s">
        <v>391</v>
      </c>
      <c r="R506" s="222" t="s">
        <v>831</v>
      </c>
    </row>
    <row r="507" spans="2:26" s="56" customFormat="1" ht="46.8" x14ac:dyDescent="0.3">
      <c r="B507" s="10"/>
      <c r="C507" s="10"/>
      <c r="D507" s="10"/>
      <c r="E507" s="10"/>
      <c r="F507" s="221">
        <v>-58</v>
      </c>
      <c r="G507" s="221">
        <v>932</v>
      </c>
      <c r="H507" s="10"/>
      <c r="I507" s="64"/>
      <c r="J507" s="10"/>
      <c r="K507" s="10"/>
      <c r="L507" s="10"/>
      <c r="M507" s="10"/>
      <c r="N507" s="10"/>
      <c r="O507" s="10"/>
      <c r="P507" s="10"/>
      <c r="Q507" s="221" t="s">
        <v>832</v>
      </c>
      <c r="R507" s="222" t="s">
        <v>831</v>
      </c>
    </row>
    <row r="508" spans="2:26" s="56" customFormat="1" ht="31.2" x14ac:dyDescent="0.3">
      <c r="B508" s="10" t="s">
        <v>865</v>
      </c>
      <c r="C508" s="10" t="s">
        <v>321</v>
      </c>
      <c r="D508" s="10">
        <v>2</v>
      </c>
      <c r="E508" s="10">
        <f t="shared" si="389"/>
        <v>1</v>
      </c>
      <c r="F508" s="10">
        <v>0</v>
      </c>
      <c r="G508" s="10">
        <v>1</v>
      </c>
      <c r="H508" s="10">
        <v>1</v>
      </c>
      <c r="I508" s="10">
        <v>1</v>
      </c>
      <c r="J508" s="10" t="s">
        <v>418</v>
      </c>
      <c r="K508" s="10">
        <f>K506+E506</f>
        <v>44216</v>
      </c>
      <c r="L508" s="10">
        <f t="shared" si="391"/>
        <v>4216</v>
      </c>
      <c r="M508" s="10">
        <f t="shared" si="392"/>
        <v>4215</v>
      </c>
      <c r="N508" s="10" t="s">
        <v>419</v>
      </c>
      <c r="O508" s="10" t="s">
        <v>327</v>
      </c>
      <c r="P508" s="10">
        <v>0</v>
      </c>
      <c r="Q508" s="10"/>
      <c r="R508" s="110" t="s">
        <v>758</v>
      </c>
    </row>
    <row r="509" spans="2:26" s="56" customFormat="1" ht="15.6" x14ac:dyDescent="0.3">
      <c r="B509" s="10" t="s">
        <v>320</v>
      </c>
      <c r="C509" s="10" t="s">
        <v>321</v>
      </c>
      <c r="D509" s="10">
        <v>2</v>
      </c>
      <c r="E509" s="10">
        <f t="shared" si="389"/>
        <v>1</v>
      </c>
      <c r="F509" s="10">
        <v>0</v>
      </c>
      <c r="G509" s="10">
        <v>0</v>
      </c>
      <c r="H509" s="10">
        <v>0</v>
      </c>
      <c r="I509" s="10">
        <v>0</v>
      </c>
      <c r="J509" s="10" t="s">
        <v>418</v>
      </c>
      <c r="K509" s="10">
        <f t="shared" ref="K509:K514" si="393">K508+E508</f>
        <v>44217</v>
      </c>
      <c r="L509" s="10">
        <f t="shared" ref="L509" si="394">K509-40000</f>
        <v>4217</v>
      </c>
      <c r="M509" s="10">
        <f t="shared" ref="M509" si="395">L509-1</f>
        <v>4216</v>
      </c>
      <c r="N509" s="67" t="s">
        <v>419</v>
      </c>
      <c r="O509" s="10" t="s">
        <v>324</v>
      </c>
      <c r="P509" s="10">
        <v>0</v>
      </c>
      <c r="Q509" s="10"/>
      <c r="R509" s="111"/>
    </row>
    <row r="510" spans="2:26" s="56" customFormat="1" ht="15.6" x14ac:dyDescent="0.3">
      <c r="B510" s="10" t="s">
        <v>821</v>
      </c>
      <c r="C510" s="10" t="s">
        <v>321</v>
      </c>
      <c r="D510" s="10">
        <v>2</v>
      </c>
      <c r="E510" s="10">
        <f t="shared" si="389"/>
        <v>1</v>
      </c>
      <c r="F510" s="10">
        <v>1</v>
      </c>
      <c r="G510" s="10">
        <v>60000</v>
      </c>
      <c r="H510" s="10">
        <v>1</v>
      </c>
      <c r="I510" s="64" t="s">
        <v>386</v>
      </c>
      <c r="J510" s="10" t="s">
        <v>418</v>
      </c>
      <c r="K510" s="10">
        <f t="shared" si="393"/>
        <v>44218</v>
      </c>
      <c r="L510" s="10">
        <f>K510-40000</f>
        <v>4218</v>
      </c>
      <c r="M510" s="10">
        <f>L510-1</f>
        <v>4217</v>
      </c>
      <c r="N510" s="67" t="s">
        <v>419</v>
      </c>
      <c r="O510" s="10" t="s">
        <v>327</v>
      </c>
      <c r="P510" s="10">
        <v>10</v>
      </c>
      <c r="Q510" s="10" t="s">
        <v>760</v>
      </c>
      <c r="R510" s="111"/>
    </row>
    <row r="511" spans="2:26" s="56" customFormat="1" ht="46.8" x14ac:dyDescent="0.3">
      <c r="B511" s="10" t="s">
        <v>866</v>
      </c>
      <c r="C511" s="10" t="s">
        <v>864</v>
      </c>
      <c r="D511" s="10">
        <v>2</v>
      </c>
      <c r="E511" s="10">
        <f t="shared" si="389"/>
        <v>1</v>
      </c>
      <c r="F511" s="10">
        <v>-50</v>
      </c>
      <c r="G511" s="10">
        <v>500</v>
      </c>
      <c r="H511" s="10">
        <v>1</v>
      </c>
      <c r="I511" s="67">
        <v>1</v>
      </c>
      <c r="J511" s="10" t="s">
        <v>418</v>
      </c>
      <c r="K511" s="10">
        <f t="shared" si="393"/>
        <v>44219</v>
      </c>
      <c r="L511" s="10">
        <f t="shared" ref="L511" si="396">K511-40000</f>
        <v>4219</v>
      </c>
      <c r="M511" s="10">
        <f t="shared" ref="M511" si="397">L511-1</f>
        <v>4218</v>
      </c>
      <c r="N511" s="67" t="s">
        <v>419</v>
      </c>
      <c r="O511" s="10" t="s">
        <v>327</v>
      </c>
      <c r="P511" s="10">
        <v>130</v>
      </c>
      <c r="Q511" s="10" t="s">
        <v>391</v>
      </c>
      <c r="R511" s="222" t="s">
        <v>831</v>
      </c>
    </row>
    <row r="512" spans="2:26" s="56" customFormat="1" ht="46.8" x14ac:dyDescent="0.3">
      <c r="B512" s="10"/>
      <c r="C512" s="10"/>
      <c r="D512" s="10"/>
      <c r="E512" s="10"/>
      <c r="F512" s="221">
        <v>-58</v>
      </c>
      <c r="G512" s="221">
        <v>932</v>
      </c>
      <c r="H512" s="10"/>
      <c r="I512" s="64"/>
      <c r="J512" s="10"/>
      <c r="K512" s="10"/>
      <c r="L512" s="10"/>
      <c r="M512" s="10"/>
      <c r="N512" s="10"/>
      <c r="O512" s="10"/>
      <c r="P512" s="10"/>
      <c r="Q512" s="221" t="s">
        <v>832</v>
      </c>
      <c r="R512" s="222" t="s">
        <v>831</v>
      </c>
    </row>
    <row r="513" spans="2:26" s="56" customFormat="1" ht="62.4" x14ac:dyDescent="0.3">
      <c r="B513" s="10" t="s">
        <v>753</v>
      </c>
      <c r="C513" s="10" t="s">
        <v>359</v>
      </c>
      <c r="D513" s="10">
        <v>2</v>
      </c>
      <c r="E513" s="10">
        <f t="shared" si="389"/>
        <v>1</v>
      </c>
      <c r="F513" s="10">
        <v>1</v>
      </c>
      <c r="G513" s="10">
        <v>15</v>
      </c>
      <c r="H513" s="10">
        <v>1</v>
      </c>
      <c r="I513" s="10">
        <v>1</v>
      </c>
      <c r="J513" s="10" t="s">
        <v>418</v>
      </c>
      <c r="K513" s="10">
        <f>K511+E511</f>
        <v>44220</v>
      </c>
      <c r="L513" s="10">
        <f t="shared" ref="L513:L514" si="398">K513-40000</f>
        <v>4220</v>
      </c>
      <c r="M513" s="10">
        <f t="shared" ref="M513:M514" si="399">L513-1</f>
        <v>4219</v>
      </c>
      <c r="N513" s="67" t="s">
        <v>419</v>
      </c>
      <c r="O513" s="10" t="s">
        <v>327</v>
      </c>
      <c r="P513" s="10">
        <v>3</v>
      </c>
      <c r="Q513" s="10"/>
      <c r="R513" s="222" t="s">
        <v>754</v>
      </c>
    </row>
    <row r="514" spans="2:26" s="56" customFormat="1" ht="15.6" x14ac:dyDescent="0.3">
      <c r="B514" s="10" t="s">
        <v>770</v>
      </c>
      <c r="C514" s="10" t="s">
        <v>321</v>
      </c>
      <c r="D514" s="10">
        <v>2</v>
      </c>
      <c r="E514" s="10">
        <f t="shared" si="389"/>
        <v>1</v>
      </c>
      <c r="F514" s="10">
        <v>0</v>
      </c>
      <c r="G514" s="10">
        <v>60000</v>
      </c>
      <c r="H514" s="10">
        <v>1</v>
      </c>
      <c r="I514" s="64" t="s">
        <v>386</v>
      </c>
      <c r="J514" s="10" t="s">
        <v>418</v>
      </c>
      <c r="K514" s="10">
        <f t="shared" si="393"/>
        <v>44221</v>
      </c>
      <c r="L514" s="10">
        <f t="shared" si="398"/>
        <v>4221</v>
      </c>
      <c r="M514" s="10">
        <f t="shared" si="399"/>
        <v>4220</v>
      </c>
      <c r="N514" s="67" t="s">
        <v>419</v>
      </c>
      <c r="O514" s="10" t="s">
        <v>327</v>
      </c>
      <c r="P514" s="10">
        <v>0</v>
      </c>
      <c r="Q514" s="10" t="s">
        <v>760</v>
      </c>
      <c r="R514" s="111"/>
    </row>
    <row r="515" spans="2:26" x14ac:dyDescent="0.3">
      <c r="B515" s="470" t="s">
        <v>878</v>
      </c>
      <c r="C515" s="471"/>
      <c r="D515" s="471"/>
      <c r="E515" s="471"/>
      <c r="F515" s="471"/>
      <c r="G515" s="471"/>
      <c r="H515" s="471"/>
      <c r="I515" s="471"/>
      <c r="J515" s="471"/>
      <c r="K515" s="471"/>
      <c r="L515" s="471"/>
      <c r="M515" s="471"/>
      <c r="N515" s="471"/>
      <c r="O515" s="471"/>
      <c r="P515" s="471"/>
      <c r="Q515" s="471"/>
      <c r="R515" s="472"/>
      <c r="S515" s="56"/>
      <c r="T515" s="26"/>
      <c r="U515" s="26"/>
      <c r="V515" s="26"/>
      <c r="W515" s="26"/>
      <c r="X515" s="26"/>
      <c r="Y515" s="26"/>
      <c r="Z515" s="26"/>
    </row>
    <row r="516" spans="2:26" s="56" customFormat="1" ht="62.4" x14ac:dyDescent="0.3">
      <c r="B516" s="10" t="s">
        <v>748</v>
      </c>
      <c r="C516" s="10" t="s">
        <v>321</v>
      </c>
      <c r="D516" s="67">
        <v>2</v>
      </c>
      <c r="E516" s="67">
        <f t="shared" ref="E516:E525" si="400">D516/2</f>
        <v>1</v>
      </c>
      <c r="F516" s="67">
        <v>0</v>
      </c>
      <c r="G516" s="67">
        <v>3</v>
      </c>
      <c r="H516" s="67">
        <v>1</v>
      </c>
      <c r="I516" s="67">
        <v>1</v>
      </c>
      <c r="J516" s="67" t="s">
        <v>418</v>
      </c>
      <c r="K516" s="67">
        <f>K514+E514</f>
        <v>44222</v>
      </c>
      <c r="L516" s="10">
        <f>K516-40000</f>
        <v>4222</v>
      </c>
      <c r="M516" s="10">
        <f>L516-1</f>
        <v>4221</v>
      </c>
      <c r="N516" s="67" t="s">
        <v>419</v>
      </c>
      <c r="O516" s="10" t="s">
        <v>327</v>
      </c>
      <c r="P516" s="67">
        <v>0</v>
      </c>
      <c r="Q516" s="67"/>
      <c r="R516" s="110" t="s">
        <v>749</v>
      </c>
    </row>
    <row r="517" spans="2:26" s="56" customFormat="1" ht="46.8" x14ac:dyDescent="0.3">
      <c r="B517" s="10" t="s">
        <v>863</v>
      </c>
      <c r="C517" s="10" t="s">
        <v>864</v>
      </c>
      <c r="D517" s="10">
        <v>2</v>
      </c>
      <c r="E517" s="10">
        <f t="shared" si="400"/>
        <v>1</v>
      </c>
      <c r="F517" s="10">
        <v>-50</v>
      </c>
      <c r="G517" s="10">
        <v>500</v>
      </c>
      <c r="H517" s="10">
        <v>1</v>
      </c>
      <c r="I517" s="67">
        <v>1</v>
      </c>
      <c r="J517" s="10" t="s">
        <v>418</v>
      </c>
      <c r="K517" s="10">
        <f t="shared" ref="K517" si="401">K516+E516</f>
        <v>44223</v>
      </c>
      <c r="L517" s="10">
        <f t="shared" ref="L517:L519" si="402">K517-40000</f>
        <v>4223</v>
      </c>
      <c r="M517" s="10">
        <f t="shared" ref="M517:M519" si="403">L517-1</f>
        <v>4222</v>
      </c>
      <c r="N517" s="67" t="s">
        <v>419</v>
      </c>
      <c r="O517" s="10" t="s">
        <v>327</v>
      </c>
      <c r="P517" s="10">
        <v>130</v>
      </c>
      <c r="Q517" s="10" t="s">
        <v>391</v>
      </c>
      <c r="R517" s="222" t="s">
        <v>831</v>
      </c>
    </row>
    <row r="518" spans="2:26" s="56" customFormat="1" ht="46.8" x14ac:dyDescent="0.3">
      <c r="B518" s="10"/>
      <c r="C518" s="10"/>
      <c r="D518" s="10"/>
      <c r="E518" s="10"/>
      <c r="F518" s="221">
        <v>-58</v>
      </c>
      <c r="G518" s="221">
        <v>932</v>
      </c>
      <c r="H518" s="10"/>
      <c r="I518" s="64"/>
      <c r="J518" s="10"/>
      <c r="K518" s="10"/>
      <c r="L518" s="10"/>
      <c r="M518" s="10"/>
      <c r="N518" s="10"/>
      <c r="O518" s="10"/>
      <c r="P518" s="10"/>
      <c r="Q518" s="221" t="s">
        <v>832</v>
      </c>
      <c r="R518" s="222" t="s">
        <v>831</v>
      </c>
    </row>
    <row r="519" spans="2:26" s="56" customFormat="1" ht="31.2" x14ac:dyDescent="0.3">
      <c r="B519" s="10" t="s">
        <v>865</v>
      </c>
      <c r="C519" s="10" t="s">
        <v>321</v>
      </c>
      <c r="D519" s="10">
        <v>2</v>
      </c>
      <c r="E519" s="10">
        <f t="shared" si="400"/>
        <v>1</v>
      </c>
      <c r="F519" s="10">
        <v>0</v>
      </c>
      <c r="G519" s="10">
        <v>1</v>
      </c>
      <c r="H519" s="10">
        <v>1</v>
      </c>
      <c r="I519" s="10">
        <v>1</v>
      </c>
      <c r="J519" s="10" t="s">
        <v>418</v>
      </c>
      <c r="K519" s="10">
        <f>K517+E517</f>
        <v>44224</v>
      </c>
      <c r="L519" s="10">
        <f t="shared" si="402"/>
        <v>4224</v>
      </c>
      <c r="M519" s="10">
        <f t="shared" si="403"/>
        <v>4223</v>
      </c>
      <c r="N519" s="10" t="s">
        <v>419</v>
      </c>
      <c r="O519" s="10" t="s">
        <v>327</v>
      </c>
      <c r="P519" s="10">
        <v>0</v>
      </c>
      <c r="Q519" s="10"/>
      <c r="R519" s="110" t="s">
        <v>758</v>
      </c>
    </row>
    <row r="520" spans="2:26" s="56" customFormat="1" ht="15.6" x14ac:dyDescent="0.3">
      <c r="B520" s="10" t="s">
        <v>320</v>
      </c>
      <c r="C520" s="10" t="s">
        <v>321</v>
      </c>
      <c r="D520" s="10">
        <v>2</v>
      </c>
      <c r="E520" s="10">
        <f t="shared" si="400"/>
        <v>1</v>
      </c>
      <c r="F520" s="10">
        <v>0</v>
      </c>
      <c r="G520" s="10">
        <v>0</v>
      </c>
      <c r="H520" s="10">
        <v>0</v>
      </c>
      <c r="I520" s="10">
        <v>0</v>
      </c>
      <c r="J520" s="10" t="s">
        <v>418</v>
      </c>
      <c r="K520" s="10">
        <f t="shared" ref="K520:K525" si="404">K519+E519</f>
        <v>44225</v>
      </c>
      <c r="L520" s="10">
        <f t="shared" ref="L520" si="405">K520-40000</f>
        <v>4225</v>
      </c>
      <c r="M520" s="10">
        <f t="shared" ref="M520" si="406">L520-1</f>
        <v>4224</v>
      </c>
      <c r="N520" s="67" t="s">
        <v>419</v>
      </c>
      <c r="O520" s="10" t="s">
        <v>324</v>
      </c>
      <c r="P520" s="10">
        <v>0</v>
      </c>
      <c r="Q520" s="10"/>
      <c r="R520" s="111"/>
    </row>
    <row r="521" spans="2:26" s="56" customFormat="1" ht="15.6" x14ac:dyDescent="0.3">
      <c r="B521" s="10" t="s">
        <v>821</v>
      </c>
      <c r="C521" s="10" t="s">
        <v>321</v>
      </c>
      <c r="D521" s="10">
        <v>2</v>
      </c>
      <c r="E521" s="10">
        <f t="shared" si="400"/>
        <v>1</v>
      </c>
      <c r="F521" s="10">
        <v>1</v>
      </c>
      <c r="G521" s="10">
        <v>60000</v>
      </c>
      <c r="H521" s="10">
        <v>1</v>
      </c>
      <c r="I521" s="64" t="s">
        <v>386</v>
      </c>
      <c r="J521" s="10" t="s">
        <v>418</v>
      </c>
      <c r="K521" s="10">
        <f t="shared" si="404"/>
        <v>44226</v>
      </c>
      <c r="L521" s="10">
        <f>K521-40000</f>
        <v>4226</v>
      </c>
      <c r="M521" s="10">
        <f>L521-1</f>
        <v>4225</v>
      </c>
      <c r="N521" s="67" t="s">
        <v>419</v>
      </c>
      <c r="O521" s="10" t="s">
        <v>327</v>
      </c>
      <c r="P521" s="10">
        <v>10</v>
      </c>
      <c r="Q521" s="10" t="s">
        <v>760</v>
      </c>
      <c r="R521" s="111"/>
    </row>
    <row r="522" spans="2:26" s="56" customFormat="1" ht="46.8" x14ac:dyDescent="0.3">
      <c r="B522" s="10" t="s">
        <v>866</v>
      </c>
      <c r="C522" s="10" t="s">
        <v>864</v>
      </c>
      <c r="D522" s="10">
        <v>2</v>
      </c>
      <c r="E522" s="10">
        <f t="shared" si="400"/>
        <v>1</v>
      </c>
      <c r="F522" s="10">
        <v>-50</v>
      </c>
      <c r="G522" s="10">
        <v>500</v>
      </c>
      <c r="H522" s="10">
        <v>1</v>
      </c>
      <c r="I522" s="67">
        <v>1</v>
      </c>
      <c r="J522" s="10" t="s">
        <v>418</v>
      </c>
      <c r="K522" s="10">
        <f t="shared" si="404"/>
        <v>44227</v>
      </c>
      <c r="L522" s="10">
        <f t="shared" ref="L522" si="407">K522-40000</f>
        <v>4227</v>
      </c>
      <c r="M522" s="10">
        <f t="shared" ref="M522" si="408">L522-1</f>
        <v>4226</v>
      </c>
      <c r="N522" s="67" t="s">
        <v>419</v>
      </c>
      <c r="O522" s="10" t="s">
        <v>327</v>
      </c>
      <c r="P522" s="10">
        <v>130</v>
      </c>
      <c r="Q522" s="10" t="s">
        <v>391</v>
      </c>
      <c r="R522" s="222" t="s">
        <v>831</v>
      </c>
    </row>
    <row r="523" spans="2:26" s="56" customFormat="1" ht="46.8" x14ac:dyDescent="0.3">
      <c r="B523" s="10"/>
      <c r="C523" s="10"/>
      <c r="D523" s="10"/>
      <c r="E523" s="10"/>
      <c r="F523" s="221">
        <v>-58</v>
      </c>
      <c r="G523" s="221">
        <v>932</v>
      </c>
      <c r="H523" s="10"/>
      <c r="I523" s="64"/>
      <c r="J523" s="10"/>
      <c r="K523" s="10"/>
      <c r="L523" s="10"/>
      <c r="M523" s="10"/>
      <c r="N523" s="10"/>
      <c r="O523" s="10"/>
      <c r="P523" s="10"/>
      <c r="Q523" s="221" t="s">
        <v>832</v>
      </c>
      <c r="R523" s="222" t="s">
        <v>831</v>
      </c>
    </row>
    <row r="524" spans="2:26" s="56" customFormat="1" ht="62.4" x14ac:dyDescent="0.3">
      <c r="B524" s="10" t="s">
        <v>753</v>
      </c>
      <c r="C524" s="10" t="s">
        <v>359</v>
      </c>
      <c r="D524" s="10">
        <v>2</v>
      </c>
      <c r="E524" s="10">
        <f t="shared" si="400"/>
        <v>1</v>
      </c>
      <c r="F524" s="10">
        <v>1</v>
      </c>
      <c r="G524" s="10">
        <v>15</v>
      </c>
      <c r="H524" s="10">
        <v>1</v>
      </c>
      <c r="I524" s="10">
        <v>1</v>
      </c>
      <c r="J524" s="10" t="s">
        <v>418</v>
      </c>
      <c r="K524" s="10">
        <f>K522+E522</f>
        <v>44228</v>
      </c>
      <c r="L524" s="10">
        <f t="shared" ref="L524:L525" si="409">K524-40000</f>
        <v>4228</v>
      </c>
      <c r="M524" s="10">
        <f t="shared" ref="M524:M525" si="410">L524-1</f>
        <v>4227</v>
      </c>
      <c r="N524" s="67" t="s">
        <v>419</v>
      </c>
      <c r="O524" s="10" t="s">
        <v>327</v>
      </c>
      <c r="P524" s="10">
        <v>3</v>
      </c>
      <c r="Q524" s="10"/>
      <c r="R524" s="222" t="s">
        <v>754</v>
      </c>
    </row>
    <row r="525" spans="2:26" s="56" customFormat="1" ht="15.6" x14ac:dyDescent="0.3">
      <c r="B525" s="10" t="s">
        <v>770</v>
      </c>
      <c r="C525" s="10" t="s">
        <v>321</v>
      </c>
      <c r="D525" s="10">
        <v>2</v>
      </c>
      <c r="E525" s="10">
        <f t="shared" si="400"/>
        <v>1</v>
      </c>
      <c r="F525" s="10">
        <v>0</v>
      </c>
      <c r="G525" s="10">
        <v>60000</v>
      </c>
      <c r="H525" s="10">
        <v>1</v>
      </c>
      <c r="I525" s="64" t="s">
        <v>386</v>
      </c>
      <c r="J525" s="10" t="s">
        <v>418</v>
      </c>
      <c r="K525" s="10">
        <f t="shared" si="404"/>
        <v>44229</v>
      </c>
      <c r="L525" s="10">
        <f t="shared" si="409"/>
        <v>4229</v>
      </c>
      <c r="M525" s="10">
        <f t="shared" si="410"/>
        <v>4228</v>
      </c>
      <c r="N525" s="67" t="s">
        <v>419</v>
      </c>
      <c r="O525" s="10" t="s">
        <v>327</v>
      </c>
      <c r="P525" s="10">
        <v>0</v>
      </c>
      <c r="Q525" s="10" t="s">
        <v>760</v>
      </c>
      <c r="R525" s="111"/>
    </row>
    <row r="526" spans="2:26" x14ac:dyDescent="0.3">
      <c r="B526" s="470" t="s">
        <v>879</v>
      </c>
      <c r="C526" s="471"/>
      <c r="D526" s="471"/>
      <c r="E526" s="471"/>
      <c r="F526" s="471"/>
      <c r="G526" s="471"/>
      <c r="H526" s="471"/>
      <c r="I526" s="471"/>
      <c r="J526" s="471"/>
      <c r="K526" s="471"/>
      <c r="L526" s="471"/>
      <c r="M526" s="471"/>
      <c r="N526" s="471"/>
      <c r="O526" s="471"/>
      <c r="P526" s="471"/>
      <c r="Q526" s="471"/>
      <c r="R526" s="472"/>
      <c r="S526" s="56"/>
      <c r="T526" s="26"/>
      <c r="U526" s="26"/>
      <c r="V526" s="26"/>
      <c r="W526" s="26"/>
      <c r="X526" s="26"/>
      <c r="Y526" s="26"/>
      <c r="Z526" s="26"/>
    </row>
    <row r="527" spans="2:26" s="56" customFormat="1" ht="62.4" x14ac:dyDescent="0.3">
      <c r="B527" s="10" t="s">
        <v>748</v>
      </c>
      <c r="C527" s="10" t="s">
        <v>321</v>
      </c>
      <c r="D527" s="67">
        <v>2</v>
      </c>
      <c r="E527" s="67">
        <f t="shared" ref="E527:E536" si="411">D527/2</f>
        <v>1</v>
      </c>
      <c r="F527" s="67">
        <v>0</v>
      </c>
      <c r="G527" s="67">
        <v>3</v>
      </c>
      <c r="H527" s="67">
        <v>1</v>
      </c>
      <c r="I527" s="67">
        <v>1</v>
      </c>
      <c r="J527" s="67" t="s">
        <v>418</v>
      </c>
      <c r="K527" s="67">
        <f>K525+E525</f>
        <v>44230</v>
      </c>
      <c r="L527" s="10">
        <f>K527-40000</f>
        <v>4230</v>
      </c>
      <c r="M527" s="10">
        <f>L527-1</f>
        <v>4229</v>
      </c>
      <c r="N527" s="67" t="s">
        <v>419</v>
      </c>
      <c r="O527" s="10" t="s">
        <v>327</v>
      </c>
      <c r="P527" s="67">
        <v>0</v>
      </c>
      <c r="Q527" s="67"/>
      <c r="R527" s="110" t="s">
        <v>749</v>
      </c>
    </row>
    <row r="528" spans="2:26" s="56" customFormat="1" ht="46.8" x14ac:dyDescent="0.3">
      <c r="B528" s="10" t="s">
        <v>863</v>
      </c>
      <c r="C528" s="10" t="s">
        <v>864</v>
      </c>
      <c r="D528" s="10">
        <v>2</v>
      </c>
      <c r="E528" s="10">
        <f t="shared" si="411"/>
        <v>1</v>
      </c>
      <c r="F528" s="10">
        <v>-50</v>
      </c>
      <c r="G528" s="10">
        <v>500</v>
      </c>
      <c r="H528" s="10">
        <v>1</v>
      </c>
      <c r="I528" s="67">
        <v>1</v>
      </c>
      <c r="J528" s="10" t="s">
        <v>418</v>
      </c>
      <c r="K528" s="10">
        <f t="shared" ref="K528" si="412">K527+E527</f>
        <v>44231</v>
      </c>
      <c r="L528" s="10">
        <f t="shared" ref="L528:L530" si="413">K528-40000</f>
        <v>4231</v>
      </c>
      <c r="M528" s="10">
        <f t="shared" ref="M528:M530" si="414">L528-1</f>
        <v>4230</v>
      </c>
      <c r="N528" s="67" t="s">
        <v>419</v>
      </c>
      <c r="O528" s="10" t="s">
        <v>327</v>
      </c>
      <c r="P528" s="10">
        <v>130</v>
      </c>
      <c r="Q528" s="10" t="s">
        <v>391</v>
      </c>
      <c r="R528" s="222" t="s">
        <v>831</v>
      </c>
    </row>
    <row r="529" spans="2:26" s="56" customFormat="1" ht="46.8" x14ac:dyDescent="0.3">
      <c r="B529" s="10"/>
      <c r="C529" s="10"/>
      <c r="D529" s="10"/>
      <c r="E529" s="10"/>
      <c r="F529" s="221">
        <v>-58</v>
      </c>
      <c r="G529" s="221">
        <v>932</v>
      </c>
      <c r="H529" s="10"/>
      <c r="I529" s="64"/>
      <c r="J529" s="10"/>
      <c r="K529" s="10"/>
      <c r="L529" s="10"/>
      <c r="M529" s="10"/>
      <c r="N529" s="10"/>
      <c r="O529" s="10"/>
      <c r="P529" s="10"/>
      <c r="Q529" s="221" t="s">
        <v>832</v>
      </c>
      <c r="R529" s="222" t="s">
        <v>831</v>
      </c>
    </row>
    <row r="530" spans="2:26" s="56" customFormat="1" ht="31.2" x14ac:dyDescent="0.3">
      <c r="B530" s="10" t="s">
        <v>865</v>
      </c>
      <c r="C530" s="10" t="s">
        <v>321</v>
      </c>
      <c r="D530" s="10">
        <v>2</v>
      </c>
      <c r="E530" s="10">
        <f t="shared" si="411"/>
        <v>1</v>
      </c>
      <c r="F530" s="10">
        <v>0</v>
      </c>
      <c r="G530" s="10">
        <v>1</v>
      </c>
      <c r="H530" s="10">
        <v>1</v>
      </c>
      <c r="I530" s="10">
        <v>1</v>
      </c>
      <c r="J530" s="10" t="s">
        <v>418</v>
      </c>
      <c r="K530" s="10">
        <f>K528+E528</f>
        <v>44232</v>
      </c>
      <c r="L530" s="10">
        <f t="shared" si="413"/>
        <v>4232</v>
      </c>
      <c r="M530" s="10">
        <f t="shared" si="414"/>
        <v>4231</v>
      </c>
      <c r="N530" s="10" t="s">
        <v>419</v>
      </c>
      <c r="O530" s="10" t="s">
        <v>327</v>
      </c>
      <c r="P530" s="10">
        <v>0</v>
      </c>
      <c r="Q530" s="10"/>
      <c r="R530" s="110" t="s">
        <v>758</v>
      </c>
    </row>
    <row r="531" spans="2:26" s="56" customFormat="1" ht="15.6" x14ac:dyDescent="0.3">
      <c r="B531" s="10" t="s">
        <v>320</v>
      </c>
      <c r="C531" s="10" t="s">
        <v>321</v>
      </c>
      <c r="D531" s="10">
        <v>2</v>
      </c>
      <c r="E531" s="10">
        <f t="shared" si="411"/>
        <v>1</v>
      </c>
      <c r="F531" s="10">
        <v>0</v>
      </c>
      <c r="G531" s="10">
        <v>0</v>
      </c>
      <c r="H531" s="10">
        <v>0</v>
      </c>
      <c r="I531" s="10">
        <v>0</v>
      </c>
      <c r="J531" s="10" t="s">
        <v>418</v>
      </c>
      <c r="K531" s="10">
        <f t="shared" ref="K531:K536" si="415">K530+E530</f>
        <v>44233</v>
      </c>
      <c r="L531" s="10">
        <f t="shared" ref="L531" si="416">K531-40000</f>
        <v>4233</v>
      </c>
      <c r="M531" s="10">
        <f t="shared" ref="M531" si="417">L531-1</f>
        <v>4232</v>
      </c>
      <c r="N531" s="67" t="s">
        <v>419</v>
      </c>
      <c r="O531" s="10" t="s">
        <v>324</v>
      </c>
      <c r="P531" s="10">
        <v>0</v>
      </c>
      <c r="Q531" s="10"/>
      <c r="R531" s="111"/>
    </row>
    <row r="532" spans="2:26" s="56" customFormat="1" ht="15.6" x14ac:dyDescent="0.3">
      <c r="B532" s="10" t="s">
        <v>821</v>
      </c>
      <c r="C532" s="10" t="s">
        <v>321</v>
      </c>
      <c r="D532" s="10">
        <v>2</v>
      </c>
      <c r="E532" s="10">
        <f t="shared" si="411"/>
        <v>1</v>
      </c>
      <c r="F532" s="10">
        <v>1</v>
      </c>
      <c r="G532" s="10">
        <v>60000</v>
      </c>
      <c r="H532" s="10">
        <v>1</v>
      </c>
      <c r="I532" s="64" t="s">
        <v>386</v>
      </c>
      <c r="J532" s="10" t="s">
        <v>418</v>
      </c>
      <c r="K532" s="10">
        <f t="shared" si="415"/>
        <v>44234</v>
      </c>
      <c r="L532" s="10">
        <f>K532-40000</f>
        <v>4234</v>
      </c>
      <c r="M532" s="10">
        <f>L532-1</f>
        <v>4233</v>
      </c>
      <c r="N532" s="67" t="s">
        <v>419</v>
      </c>
      <c r="O532" s="10" t="s">
        <v>327</v>
      </c>
      <c r="P532" s="10">
        <v>10</v>
      </c>
      <c r="Q532" s="10" t="s">
        <v>760</v>
      </c>
      <c r="R532" s="111"/>
    </row>
    <row r="533" spans="2:26" s="56" customFormat="1" ht="46.8" x14ac:dyDescent="0.3">
      <c r="B533" s="10" t="s">
        <v>866</v>
      </c>
      <c r="C533" s="10" t="s">
        <v>864</v>
      </c>
      <c r="D533" s="10">
        <v>2</v>
      </c>
      <c r="E533" s="10">
        <f t="shared" si="411"/>
        <v>1</v>
      </c>
      <c r="F533" s="10">
        <v>-50</v>
      </c>
      <c r="G533" s="10">
        <v>500</v>
      </c>
      <c r="H533" s="10">
        <v>1</v>
      </c>
      <c r="I533" s="67">
        <v>1</v>
      </c>
      <c r="J533" s="10" t="s">
        <v>418</v>
      </c>
      <c r="K533" s="10">
        <f t="shared" si="415"/>
        <v>44235</v>
      </c>
      <c r="L533" s="10">
        <f t="shared" ref="L533" si="418">K533-40000</f>
        <v>4235</v>
      </c>
      <c r="M533" s="10">
        <f t="shared" ref="M533" si="419">L533-1</f>
        <v>4234</v>
      </c>
      <c r="N533" s="67" t="s">
        <v>419</v>
      </c>
      <c r="O533" s="10" t="s">
        <v>327</v>
      </c>
      <c r="P533" s="10">
        <v>130</v>
      </c>
      <c r="Q533" s="10" t="s">
        <v>391</v>
      </c>
      <c r="R533" s="222" t="s">
        <v>831</v>
      </c>
    </row>
    <row r="534" spans="2:26" s="56" customFormat="1" ht="46.8" x14ac:dyDescent="0.3">
      <c r="B534" s="10"/>
      <c r="C534" s="10"/>
      <c r="D534" s="10"/>
      <c r="E534" s="10"/>
      <c r="F534" s="221">
        <v>-58</v>
      </c>
      <c r="G534" s="221">
        <v>932</v>
      </c>
      <c r="H534" s="10"/>
      <c r="I534" s="64"/>
      <c r="J534" s="10"/>
      <c r="K534" s="10"/>
      <c r="L534" s="10"/>
      <c r="M534" s="10"/>
      <c r="N534" s="10"/>
      <c r="O534" s="10"/>
      <c r="P534" s="10"/>
      <c r="Q534" s="221" t="s">
        <v>832</v>
      </c>
      <c r="R534" s="222" t="s">
        <v>831</v>
      </c>
    </row>
    <row r="535" spans="2:26" s="56" customFormat="1" ht="62.4" x14ac:dyDescent="0.3">
      <c r="B535" s="10" t="s">
        <v>753</v>
      </c>
      <c r="C535" s="10" t="s">
        <v>359</v>
      </c>
      <c r="D535" s="10">
        <v>2</v>
      </c>
      <c r="E535" s="10">
        <f t="shared" si="411"/>
        <v>1</v>
      </c>
      <c r="F535" s="10">
        <v>1</v>
      </c>
      <c r="G535" s="10">
        <v>15</v>
      </c>
      <c r="H535" s="10">
        <v>1</v>
      </c>
      <c r="I535" s="10">
        <v>1</v>
      </c>
      <c r="J535" s="10" t="s">
        <v>418</v>
      </c>
      <c r="K535" s="10">
        <f>K533+E533</f>
        <v>44236</v>
      </c>
      <c r="L535" s="10">
        <f t="shared" ref="L535:L536" si="420">K535-40000</f>
        <v>4236</v>
      </c>
      <c r="M535" s="10">
        <f t="shared" ref="M535:M536" si="421">L535-1</f>
        <v>4235</v>
      </c>
      <c r="N535" s="67" t="s">
        <v>419</v>
      </c>
      <c r="O535" s="10" t="s">
        <v>327</v>
      </c>
      <c r="P535" s="10">
        <v>3</v>
      </c>
      <c r="Q535" s="10"/>
      <c r="R535" s="222" t="s">
        <v>754</v>
      </c>
    </row>
    <row r="536" spans="2:26" s="56" customFormat="1" ht="15.6" x14ac:dyDescent="0.3">
      <c r="B536" s="10" t="s">
        <v>770</v>
      </c>
      <c r="C536" s="10" t="s">
        <v>321</v>
      </c>
      <c r="D536" s="10">
        <v>2</v>
      </c>
      <c r="E536" s="10">
        <f t="shared" si="411"/>
        <v>1</v>
      </c>
      <c r="F536" s="10">
        <v>0</v>
      </c>
      <c r="G536" s="10">
        <v>60000</v>
      </c>
      <c r="H536" s="10">
        <v>1</v>
      </c>
      <c r="I536" s="64" t="s">
        <v>386</v>
      </c>
      <c r="J536" s="10" t="s">
        <v>418</v>
      </c>
      <c r="K536" s="10">
        <f t="shared" si="415"/>
        <v>44237</v>
      </c>
      <c r="L536" s="10">
        <f t="shared" si="420"/>
        <v>4237</v>
      </c>
      <c r="M536" s="10">
        <f t="shared" si="421"/>
        <v>4236</v>
      </c>
      <c r="N536" s="67" t="s">
        <v>419</v>
      </c>
      <c r="O536" s="10" t="s">
        <v>327</v>
      </c>
      <c r="P536" s="10">
        <v>0</v>
      </c>
      <c r="Q536" s="10" t="s">
        <v>760</v>
      </c>
      <c r="R536" s="111"/>
    </row>
    <row r="537" spans="2:26" x14ac:dyDescent="0.3">
      <c r="B537" s="470" t="s">
        <v>880</v>
      </c>
      <c r="C537" s="471"/>
      <c r="D537" s="471"/>
      <c r="E537" s="471"/>
      <c r="F537" s="471"/>
      <c r="G537" s="471"/>
      <c r="H537" s="471"/>
      <c r="I537" s="471"/>
      <c r="J537" s="471"/>
      <c r="K537" s="471"/>
      <c r="L537" s="471"/>
      <c r="M537" s="471"/>
      <c r="N537" s="471"/>
      <c r="O537" s="471"/>
      <c r="P537" s="471"/>
      <c r="Q537" s="471"/>
      <c r="R537" s="472"/>
      <c r="S537" s="56"/>
      <c r="T537" s="26"/>
      <c r="U537" s="26"/>
      <c r="V537" s="26"/>
      <c r="W537" s="26"/>
      <c r="X537" s="26"/>
      <c r="Y537" s="26"/>
      <c r="Z537" s="26"/>
    </row>
    <row r="538" spans="2:26" s="56" customFormat="1" ht="62.4" x14ac:dyDescent="0.3">
      <c r="B538" s="10" t="s">
        <v>748</v>
      </c>
      <c r="C538" s="10" t="s">
        <v>321</v>
      </c>
      <c r="D538" s="67">
        <v>2</v>
      </c>
      <c r="E538" s="67">
        <f t="shared" ref="E538:E547" si="422">D538/2</f>
        <v>1</v>
      </c>
      <c r="F538" s="67">
        <v>0</v>
      </c>
      <c r="G538" s="67">
        <v>3</v>
      </c>
      <c r="H538" s="67">
        <v>1</v>
      </c>
      <c r="I538" s="67">
        <v>1</v>
      </c>
      <c r="J538" s="67" t="s">
        <v>418</v>
      </c>
      <c r="K538" s="67">
        <f>K536+E536</f>
        <v>44238</v>
      </c>
      <c r="L538" s="10">
        <f>K538-40000</f>
        <v>4238</v>
      </c>
      <c r="M538" s="10">
        <f>L538-1</f>
        <v>4237</v>
      </c>
      <c r="N538" s="67" t="s">
        <v>419</v>
      </c>
      <c r="O538" s="10" t="s">
        <v>327</v>
      </c>
      <c r="P538" s="67">
        <v>0</v>
      </c>
      <c r="Q538" s="67"/>
      <c r="R538" s="110" t="s">
        <v>749</v>
      </c>
    </row>
    <row r="539" spans="2:26" s="56" customFormat="1" ht="46.8" x14ac:dyDescent="0.3">
      <c r="B539" s="10" t="s">
        <v>863</v>
      </c>
      <c r="C539" s="10" t="s">
        <v>864</v>
      </c>
      <c r="D539" s="10">
        <v>2</v>
      </c>
      <c r="E539" s="10">
        <f t="shared" si="422"/>
        <v>1</v>
      </c>
      <c r="F539" s="10">
        <v>-50</v>
      </c>
      <c r="G539" s="10">
        <v>500</v>
      </c>
      <c r="H539" s="10">
        <v>1</v>
      </c>
      <c r="I539" s="67">
        <v>1</v>
      </c>
      <c r="J539" s="10" t="s">
        <v>418</v>
      </c>
      <c r="K539" s="10">
        <f t="shared" ref="K539" si="423">K538+E538</f>
        <v>44239</v>
      </c>
      <c r="L539" s="10">
        <f t="shared" ref="L539:L541" si="424">K539-40000</f>
        <v>4239</v>
      </c>
      <c r="M539" s="10">
        <f t="shared" ref="M539:M541" si="425">L539-1</f>
        <v>4238</v>
      </c>
      <c r="N539" s="67" t="s">
        <v>419</v>
      </c>
      <c r="O539" s="10" t="s">
        <v>327</v>
      </c>
      <c r="P539" s="10">
        <v>130</v>
      </c>
      <c r="Q539" s="10" t="s">
        <v>391</v>
      </c>
      <c r="R539" s="222" t="s">
        <v>831</v>
      </c>
    </row>
    <row r="540" spans="2:26" s="56" customFormat="1" ht="46.8" x14ac:dyDescent="0.3">
      <c r="B540" s="10"/>
      <c r="C540" s="10"/>
      <c r="D540" s="10"/>
      <c r="E540" s="10"/>
      <c r="F540" s="221">
        <v>-58</v>
      </c>
      <c r="G540" s="221">
        <v>932</v>
      </c>
      <c r="H540" s="10"/>
      <c r="I540" s="64"/>
      <c r="J540" s="10"/>
      <c r="K540" s="10"/>
      <c r="L540" s="10"/>
      <c r="M540" s="10"/>
      <c r="N540" s="10"/>
      <c r="O540" s="10"/>
      <c r="P540" s="10"/>
      <c r="Q540" s="221" t="s">
        <v>832</v>
      </c>
      <c r="R540" s="222" t="s">
        <v>831</v>
      </c>
    </row>
    <row r="541" spans="2:26" s="56" customFormat="1" ht="31.2" x14ac:dyDescent="0.3">
      <c r="B541" s="10" t="s">
        <v>865</v>
      </c>
      <c r="C541" s="10" t="s">
        <v>321</v>
      </c>
      <c r="D541" s="10">
        <v>2</v>
      </c>
      <c r="E541" s="10">
        <f t="shared" si="422"/>
        <v>1</v>
      </c>
      <c r="F541" s="10">
        <v>0</v>
      </c>
      <c r="G541" s="10">
        <v>1</v>
      </c>
      <c r="H541" s="10">
        <v>1</v>
      </c>
      <c r="I541" s="10">
        <v>1</v>
      </c>
      <c r="J541" s="10" t="s">
        <v>418</v>
      </c>
      <c r="K541" s="10">
        <f>K539+E539</f>
        <v>44240</v>
      </c>
      <c r="L541" s="10">
        <f t="shared" si="424"/>
        <v>4240</v>
      </c>
      <c r="M541" s="10">
        <f t="shared" si="425"/>
        <v>4239</v>
      </c>
      <c r="N541" s="10" t="s">
        <v>419</v>
      </c>
      <c r="O541" s="10" t="s">
        <v>327</v>
      </c>
      <c r="P541" s="10">
        <v>0</v>
      </c>
      <c r="Q541" s="10"/>
      <c r="R541" s="110" t="s">
        <v>758</v>
      </c>
    </row>
    <row r="542" spans="2:26" s="56" customFormat="1" ht="15.6" x14ac:dyDescent="0.3">
      <c r="B542" s="10" t="s">
        <v>320</v>
      </c>
      <c r="C542" s="10" t="s">
        <v>321</v>
      </c>
      <c r="D542" s="10">
        <v>2</v>
      </c>
      <c r="E542" s="10">
        <f t="shared" si="422"/>
        <v>1</v>
      </c>
      <c r="F542" s="10">
        <v>0</v>
      </c>
      <c r="G542" s="10">
        <v>0</v>
      </c>
      <c r="H542" s="10">
        <v>0</v>
      </c>
      <c r="I542" s="10">
        <v>0</v>
      </c>
      <c r="J542" s="10" t="s">
        <v>418</v>
      </c>
      <c r="K542" s="10">
        <f t="shared" ref="K542:K547" si="426">K541+E541</f>
        <v>44241</v>
      </c>
      <c r="L542" s="10">
        <f t="shared" ref="L542" si="427">K542-40000</f>
        <v>4241</v>
      </c>
      <c r="M542" s="10">
        <f t="shared" ref="M542" si="428">L542-1</f>
        <v>4240</v>
      </c>
      <c r="N542" s="67" t="s">
        <v>419</v>
      </c>
      <c r="O542" s="10" t="s">
        <v>324</v>
      </c>
      <c r="P542" s="10">
        <v>0</v>
      </c>
      <c r="Q542" s="10"/>
      <c r="R542" s="111"/>
    </row>
    <row r="543" spans="2:26" s="56" customFormat="1" ht="15.6" x14ac:dyDescent="0.3">
      <c r="B543" s="10" t="s">
        <v>821</v>
      </c>
      <c r="C543" s="10" t="s">
        <v>321</v>
      </c>
      <c r="D543" s="10">
        <v>2</v>
      </c>
      <c r="E543" s="10">
        <f t="shared" si="422"/>
        <v>1</v>
      </c>
      <c r="F543" s="10">
        <v>1</v>
      </c>
      <c r="G543" s="10">
        <v>60000</v>
      </c>
      <c r="H543" s="10">
        <v>1</v>
      </c>
      <c r="I543" s="64" t="s">
        <v>386</v>
      </c>
      <c r="J543" s="10" t="s">
        <v>418</v>
      </c>
      <c r="K543" s="10">
        <f t="shared" si="426"/>
        <v>44242</v>
      </c>
      <c r="L543" s="10">
        <f>K543-40000</f>
        <v>4242</v>
      </c>
      <c r="M543" s="10">
        <f>L543-1</f>
        <v>4241</v>
      </c>
      <c r="N543" s="67" t="s">
        <v>419</v>
      </c>
      <c r="O543" s="10" t="s">
        <v>327</v>
      </c>
      <c r="P543" s="10">
        <v>10</v>
      </c>
      <c r="Q543" s="10" t="s">
        <v>760</v>
      </c>
      <c r="R543" s="111"/>
    </row>
    <row r="544" spans="2:26" s="56" customFormat="1" ht="46.8" x14ac:dyDescent="0.3">
      <c r="B544" s="10" t="s">
        <v>866</v>
      </c>
      <c r="C544" s="10" t="s">
        <v>864</v>
      </c>
      <c r="D544" s="10">
        <v>2</v>
      </c>
      <c r="E544" s="10">
        <f t="shared" si="422"/>
        <v>1</v>
      </c>
      <c r="F544" s="10">
        <v>-50</v>
      </c>
      <c r="G544" s="10">
        <v>500</v>
      </c>
      <c r="H544" s="10">
        <v>1</v>
      </c>
      <c r="I544" s="67">
        <v>1</v>
      </c>
      <c r="J544" s="10" t="s">
        <v>418</v>
      </c>
      <c r="K544" s="10">
        <f t="shared" si="426"/>
        <v>44243</v>
      </c>
      <c r="L544" s="10">
        <f t="shared" ref="L544" si="429">K544-40000</f>
        <v>4243</v>
      </c>
      <c r="M544" s="10">
        <f t="shared" ref="M544" si="430">L544-1</f>
        <v>4242</v>
      </c>
      <c r="N544" s="67" t="s">
        <v>419</v>
      </c>
      <c r="O544" s="10" t="s">
        <v>327</v>
      </c>
      <c r="P544" s="10">
        <v>130</v>
      </c>
      <c r="Q544" s="10" t="s">
        <v>391</v>
      </c>
      <c r="R544" s="222" t="s">
        <v>831</v>
      </c>
    </row>
    <row r="545" spans="2:18" s="56" customFormat="1" ht="46.8" x14ac:dyDescent="0.3">
      <c r="B545" s="10"/>
      <c r="C545" s="10"/>
      <c r="D545" s="10"/>
      <c r="E545" s="10"/>
      <c r="F545" s="221">
        <v>-58</v>
      </c>
      <c r="G545" s="221">
        <v>932</v>
      </c>
      <c r="H545" s="10"/>
      <c r="I545" s="64"/>
      <c r="J545" s="10"/>
      <c r="K545" s="10"/>
      <c r="L545" s="10"/>
      <c r="M545" s="10"/>
      <c r="N545" s="10"/>
      <c r="O545" s="10"/>
      <c r="P545" s="10"/>
      <c r="Q545" s="221" t="s">
        <v>832</v>
      </c>
      <c r="R545" s="222" t="s">
        <v>831</v>
      </c>
    </row>
    <row r="546" spans="2:18" s="56" customFormat="1" ht="62.4" x14ac:dyDescent="0.3">
      <c r="B546" s="10" t="s">
        <v>753</v>
      </c>
      <c r="C546" s="10" t="s">
        <v>359</v>
      </c>
      <c r="D546" s="10">
        <v>2</v>
      </c>
      <c r="E546" s="10">
        <f t="shared" si="422"/>
        <v>1</v>
      </c>
      <c r="F546" s="10">
        <v>1</v>
      </c>
      <c r="G546" s="10">
        <v>15</v>
      </c>
      <c r="H546" s="10">
        <v>1</v>
      </c>
      <c r="I546" s="10">
        <v>1</v>
      </c>
      <c r="J546" s="10" t="s">
        <v>418</v>
      </c>
      <c r="K546" s="10">
        <f>K544+E544</f>
        <v>44244</v>
      </c>
      <c r="L546" s="10">
        <f t="shared" ref="L546:L547" si="431">K546-40000</f>
        <v>4244</v>
      </c>
      <c r="M546" s="10">
        <f t="shared" ref="M546:M547" si="432">L546-1</f>
        <v>4243</v>
      </c>
      <c r="N546" s="67" t="s">
        <v>419</v>
      </c>
      <c r="O546" s="10" t="s">
        <v>327</v>
      </c>
      <c r="P546" s="10">
        <v>3</v>
      </c>
      <c r="Q546" s="10"/>
      <c r="R546" s="222" t="s">
        <v>754</v>
      </c>
    </row>
    <row r="547" spans="2:18" s="56" customFormat="1" ht="15.6" x14ac:dyDescent="0.3">
      <c r="B547" s="10" t="s">
        <v>770</v>
      </c>
      <c r="C547" s="10" t="s">
        <v>321</v>
      </c>
      <c r="D547" s="10">
        <v>2</v>
      </c>
      <c r="E547" s="10">
        <f t="shared" si="422"/>
        <v>1</v>
      </c>
      <c r="F547" s="10">
        <v>0</v>
      </c>
      <c r="G547" s="10">
        <v>60000</v>
      </c>
      <c r="H547" s="10">
        <v>1</v>
      </c>
      <c r="I547" s="64" t="s">
        <v>386</v>
      </c>
      <c r="J547" s="10" t="s">
        <v>418</v>
      </c>
      <c r="K547" s="10">
        <f t="shared" si="426"/>
        <v>44245</v>
      </c>
      <c r="L547" s="10">
        <f t="shared" si="431"/>
        <v>4245</v>
      </c>
      <c r="M547" s="10">
        <f t="shared" si="432"/>
        <v>4244</v>
      </c>
      <c r="N547" s="67" t="s">
        <v>419</v>
      </c>
      <c r="O547" s="10" t="s">
        <v>327</v>
      </c>
      <c r="P547" s="10">
        <v>0</v>
      </c>
      <c r="Q547" s="10" t="s">
        <v>760</v>
      </c>
      <c r="R547" s="111"/>
    </row>
    <row r="550" spans="2:18" ht="21" x14ac:dyDescent="0.3">
      <c r="B550" s="474" t="s">
        <v>881</v>
      </c>
      <c r="C550" s="475"/>
      <c r="D550" s="475"/>
      <c r="E550" s="475"/>
      <c r="F550" s="475"/>
      <c r="G550" s="475"/>
      <c r="H550" s="475"/>
      <c r="I550" s="475"/>
      <c r="J550" s="475"/>
      <c r="K550" s="475"/>
      <c r="L550" s="475"/>
      <c r="M550" s="475"/>
      <c r="N550" s="475"/>
      <c r="O550" s="475"/>
      <c r="P550" s="475"/>
      <c r="Q550" s="475"/>
      <c r="R550" s="476"/>
    </row>
    <row r="551" spans="2:18" ht="15.6" x14ac:dyDescent="0.3">
      <c r="B551" s="477" t="s">
        <v>882</v>
      </c>
      <c r="C551" s="477"/>
      <c r="D551" s="477"/>
      <c r="E551" s="477"/>
      <c r="F551" s="477"/>
      <c r="G551" s="477"/>
      <c r="H551" s="477"/>
      <c r="I551" s="477"/>
      <c r="J551" s="477"/>
      <c r="K551" s="477"/>
      <c r="L551" s="477"/>
      <c r="M551" s="477"/>
      <c r="N551" s="477"/>
      <c r="O551" s="477"/>
      <c r="P551" s="477"/>
      <c r="Q551" s="477"/>
      <c r="R551" s="477"/>
    </row>
    <row r="552" spans="2:18" ht="15.6" x14ac:dyDescent="0.3">
      <c r="B552" s="10" t="s">
        <v>883</v>
      </c>
      <c r="C552" s="10" t="s">
        <v>321</v>
      </c>
      <c r="D552" s="74">
        <v>2</v>
      </c>
      <c r="E552" s="10">
        <f t="shared" ref="E552:E557" si="433">D552/2</f>
        <v>1</v>
      </c>
      <c r="F552" s="59">
        <v>3</v>
      </c>
      <c r="G552" s="59">
        <v>15</v>
      </c>
      <c r="H552" s="59">
        <v>1</v>
      </c>
      <c r="I552" s="59">
        <v>1</v>
      </c>
      <c r="J552" s="59" t="s">
        <v>418</v>
      </c>
      <c r="K552" s="59">
        <v>44251</v>
      </c>
      <c r="L552" s="10">
        <f>K552-40000</f>
        <v>4251</v>
      </c>
      <c r="M552" s="10">
        <f>L552-1</f>
        <v>4250</v>
      </c>
      <c r="N552" s="59" t="s">
        <v>419</v>
      </c>
      <c r="O552" s="10" t="s">
        <v>327</v>
      </c>
      <c r="P552" s="10">
        <v>3</v>
      </c>
      <c r="Q552" s="59" t="s">
        <v>389</v>
      </c>
      <c r="R552" s="111"/>
    </row>
    <row r="553" spans="2:18" ht="15.6" x14ac:dyDescent="0.3">
      <c r="B553" s="10" t="s">
        <v>884</v>
      </c>
      <c r="C553" s="10" t="s">
        <v>321</v>
      </c>
      <c r="D553" s="74">
        <v>2</v>
      </c>
      <c r="E553" s="10">
        <f t="shared" si="433"/>
        <v>1</v>
      </c>
      <c r="F553" s="59">
        <v>3</v>
      </c>
      <c r="G553" s="59">
        <v>15</v>
      </c>
      <c r="H553" s="59">
        <v>1</v>
      </c>
      <c r="I553" s="59">
        <v>1</v>
      </c>
      <c r="J553" s="59" t="s">
        <v>418</v>
      </c>
      <c r="K553" s="59">
        <f>K552+E552</f>
        <v>44252</v>
      </c>
      <c r="L553" s="10">
        <f t="shared" ref="L553:L557" si="434">K553-40000</f>
        <v>4252</v>
      </c>
      <c r="M553" s="10">
        <f t="shared" ref="M553:M557" si="435">L553-1</f>
        <v>4251</v>
      </c>
      <c r="N553" s="59" t="s">
        <v>419</v>
      </c>
      <c r="O553" s="10" t="s">
        <v>327</v>
      </c>
      <c r="P553" s="10">
        <v>3</v>
      </c>
      <c r="Q553" s="59" t="s">
        <v>389</v>
      </c>
      <c r="R553" s="111"/>
    </row>
    <row r="554" spans="2:18" ht="15.6" x14ac:dyDescent="0.3">
      <c r="B554" s="10" t="s">
        <v>885</v>
      </c>
      <c r="C554" s="10" t="s">
        <v>321</v>
      </c>
      <c r="D554" s="74">
        <v>2</v>
      </c>
      <c r="E554" s="10">
        <f t="shared" si="433"/>
        <v>1</v>
      </c>
      <c r="F554" s="59">
        <v>1</v>
      </c>
      <c r="G554" s="59">
        <v>15</v>
      </c>
      <c r="H554" s="59">
        <v>1</v>
      </c>
      <c r="I554" s="59">
        <v>1</v>
      </c>
      <c r="J554" s="59" t="s">
        <v>418</v>
      </c>
      <c r="K554" s="59">
        <f>K553+E553</f>
        <v>44253</v>
      </c>
      <c r="L554" s="10">
        <f t="shared" si="434"/>
        <v>4253</v>
      </c>
      <c r="M554" s="10">
        <f t="shared" si="435"/>
        <v>4252</v>
      </c>
      <c r="N554" s="59" t="s">
        <v>419</v>
      </c>
      <c r="O554" s="10" t="s">
        <v>327</v>
      </c>
      <c r="P554" s="10">
        <v>3</v>
      </c>
      <c r="Q554" s="59" t="s">
        <v>389</v>
      </c>
      <c r="R554" s="111"/>
    </row>
    <row r="555" spans="2:18" ht="15.6" x14ac:dyDescent="0.3">
      <c r="B555" s="10" t="s">
        <v>886</v>
      </c>
      <c r="C555" s="10" t="s">
        <v>321</v>
      </c>
      <c r="D555" s="10">
        <v>2</v>
      </c>
      <c r="E555" s="10">
        <f t="shared" si="433"/>
        <v>1</v>
      </c>
      <c r="F555" s="10">
        <v>3</v>
      </c>
      <c r="G555" s="10">
        <v>15</v>
      </c>
      <c r="H555" s="10">
        <v>1</v>
      </c>
      <c r="I555" s="10">
        <v>1</v>
      </c>
      <c r="J555" s="10" t="s">
        <v>418</v>
      </c>
      <c r="K555" s="10">
        <f t="shared" ref="K555:K557" si="436">K554+E555</f>
        <v>44254</v>
      </c>
      <c r="L555" s="10">
        <f t="shared" si="434"/>
        <v>4254</v>
      </c>
      <c r="M555" s="10">
        <f t="shared" si="435"/>
        <v>4253</v>
      </c>
      <c r="N555" s="59" t="s">
        <v>419</v>
      </c>
      <c r="O555" s="10" t="s">
        <v>327</v>
      </c>
      <c r="P555" s="10">
        <v>3</v>
      </c>
      <c r="Q555" s="10" t="s">
        <v>389</v>
      </c>
      <c r="R555" s="111"/>
    </row>
    <row r="556" spans="2:18" ht="15.6" x14ac:dyDescent="0.3">
      <c r="B556" s="10" t="s">
        <v>887</v>
      </c>
      <c r="C556" s="10" t="s">
        <v>321</v>
      </c>
      <c r="D556" s="10">
        <v>2</v>
      </c>
      <c r="E556" s="10">
        <f t="shared" si="433"/>
        <v>1</v>
      </c>
      <c r="F556" s="10">
        <v>1</v>
      </c>
      <c r="G556" s="10">
        <v>3</v>
      </c>
      <c r="H556" s="10">
        <v>1</v>
      </c>
      <c r="I556" s="10">
        <v>1</v>
      </c>
      <c r="J556" s="10" t="s">
        <v>418</v>
      </c>
      <c r="K556" s="10">
        <f t="shared" si="436"/>
        <v>44255</v>
      </c>
      <c r="L556" s="10">
        <f t="shared" si="434"/>
        <v>4255</v>
      </c>
      <c r="M556" s="10">
        <f t="shared" si="435"/>
        <v>4254</v>
      </c>
      <c r="N556" s="59" t="s">
        <v>419</v>
      </c>
      <c r="O556" s="10" t="s">
        <v>327</v>
      </c>
      <c r="P556" s="10">
        <v>1</v>
      </c>
      <c r="Q556" s="10" t="s">
        <v>782</v>
      </c>
      <c r="R556" s="111"/>
    </row>
    <row r="557" spans="2:18" ht="15.6" x14ac:dyDescent="0.3">
      <c r="B557" s="10" t="s">
        <v>888</v>
      </c>
      <c r="C557" s="10" t="s">
        <v>321</v>
      </c>
      <c r="D557" s="10">
        <v>2</v>
      </c>
      <c r="E557" s="10">
        <f t="shared" si="433"/>
        <v>1</v>
      </c>
      <c r="F557" s="10">
        <v>2</v>
      </c>
      <c r="G557" s="10">
        <v>15</v>
      </c>
      <c r="H557" s="10">
        <v>1</v>
      </c>
      <c r="I557" s="10">
        <v>1</v>
      </c>
      <c r="J557" s="10" t="s">
        <v>418</v>
      </c>
      <c r="K557" s="10">
        <f t="shared" si="436"/>
        <v>44256</v>
      </c>
      <c r="L557" s="10">
        <f t="shared" si="434"/>
        <v>4256</v>
      </c>
      <c r="M557" s="10">
        <f t="shared" si="435"/>
        <v>4255</v>
      </c>
      <c r="N557" s="59" t="s">
        <v>419</v>
      </c>
      <c r="O557" s="10" t="s">
        <v>327</v>
      </c>
      <c r="P557" s="10">
        <v>5</v>
      </c>
      <c r="Q557" s="10" t="s">
        <v>391</v>
      </c>
      <c r="R557" s="111"/>
    </row>
    <row r="558" spans="2:18" ht="15.6" x14ac:dyDescent="0.3">
      <c r="B558" s="216" t="s">
        <v>320</v>
      </c>
      <c r="C558" s="216" t="s">
        <v>321</v>
      </c>
      <c r="D558" s="216">
        <v>2</v>
      </c>
      <c r="E558" s="216">
        <f t="shared" ref="E558:E559" si="437">D558/2</f>
        <v>1</v>
      </c>
      <c r="F558" s="216">
        <v>0</v>
      </c>
      <c r="G558" s="216">
        <v>0</v>
      </c>
      <c r="H558" s="216">
        <v>1</v>
      </c>
      <c r="I558" s="216">
        <v>1</v>
      </c>
      <c r="J558" s="216" t="s">
        <v>418</v>
      </c>
      <c r="K558" s="216">
        <f t="shared" ref="K558:K559" si="438">K557+E558</f>
        <v>44257</v>
      </c>
      <c r="L558" s="216">
        <f t="shared" ref="L558:L559" si="439">K558-40000</f>
        <v>4257</v>
      </c>
      <c r="M558" s="216">
        <f t="shared" ref="M558:M559" si="440">L558-1</f>
        <v>4256</v>
      </c>
      <c r="N558" s="217" t="s">
        <v>419</v>
      </c>
      <c r="O558" s="216" t="s">
        <v>327</v>
      </c>
      <c r="P558" s="216">
        <v>0</v>
      </c>
      <c r="Q558" s="216"/>
      <c r="R558" s="218"/>
    </row>
    <row r="559" spans="2:18" ht="15.6" x14ac:dyDescent="0.3">
      <c r="B559" s="216" t="s">
        <v>320</v>
      </c>
      <c r="C559" s="216" t="s">
        <v>321</v>
      </c>
      <c r="D559" s="216">
        <v>2</v>
      </c>
      <c r="E559" s="216">
        <f t="shared" si="437"/>
        <v>1</v>
      </c>
      <c r="F559" s="216">
        <v>0</v>
      </c>
      <c r="G559" s="216">
        <v>0</v>
      </c>
      <c r="H559" s="216">
        <v>1</v>
      </c>
      <c r="I559" s="216">
        <v>1</v>
      </c>
      <c r="J559" s="216" t="s">
        <v>418</v>
      </c>
      <c r="K559" s="216">
        <f t="shared" si="438"/>
        <v>44258</v>
      </c>
      <c r="L559" s="216">
        <f t="shared" si="439"/>
        <v>4258</v>
      </c>
      <c r="M559" s="216">
        <f t="shared" si="440"/>
        <v>4257</v>
      </c>
      <c r="N559" s="217" t="s">
        <v>419</v>
      </c>
      <c r="O559" s="216" t="s">
        <v>327</v>
      </c>
      <c r="P559" s="216">
        <v>0</v>
      </c>
      <c r="Q559" s="216"/>
      <c r="R559" s="218"/>
    </row>
    <row r="560" spans="2:18" ht="15.6" x14ac:dyDescent="0.3">
      <c r="B560" s="473" t="s">
        <v>889</v>
      </c>
      <c r="C560" s="473"/>
      <c r="D560" s="473"/>
      <c r="E560" s="473"/>
      <c r="F560" s="473"/>
      <c r="G560" s="473"/>
      <c r="H560" s="473"/>
      <c r="I560" s="473"/>
      <c r="J560" s="473"/>
      <c r="K560" s="473"/>
      <c r="L560" s="473"/>
      <c r="M560" s="473"/>
      <c r="N560" s="473"/>
      <c r="O560" s="473"/>
      <c r="P560" s="473"/>
      <c r="Q560" s="473"/>
      <c r="R560" s="473"/>
    </row>
    <row r="561" spans="2:18" ht="62.4" x14ac:dyDescent="0.3">
      <c r="B561" s="216" t="s">
        <v>890</v>
      </c>
      <c r="C561" s="216" t="s">
        <v>321</v>
      </c>
      <c r="D561" s="219">
        <v>2</v>
      </c>
      <c r="E561" s="216">
        <f t="shared" ref="E561:E566" si="441">D561/2</f>
        <v>1</v>
      </c>
      <c r="F561" s="217">
        <v>0</v>
      </c>
      <c r="G561" s="217">
        <v>3</v>
      </c>
      <c r="H561" s="217">
        <v>1</v>
      </c>
      <c r="I561" s="217">
        <v>1</v>
      </c>
      <c r="J561" s="217" t="s">
        <v>418</v>
      </c>
      <c r="K561" s="217">
        <f>K559+E559</f>
        <v>44259</v>
      </c>
      <c r="L561" s="216">
        <f>K561-40000</f>
        <v>4259</v>
      </c>
      <c r="M561" s="216">
        <f>L561-1</f>
        <v>4258</v>
      </c>
      <c r="N561" s="217" t="s">
        <v>419</v>
      </c>
      <c r="O561" s="216" t="s">
        <v>327</v>
      </c>
      <c r="P561" s="216">
        <v>0</v>
      </c>
      <c r="Q561" s="217"/>
      <c r="R561" s="220" t="s">
        <v>891</v>
      </c>
    </row>
    <row r="562" spans="2:18" ht="46.8" x14ac:dyDescent="0.3">
      <c r="B562" s="216" t="s">
        <v>892</v>
      </c>
      <c r="C562" s="216" t="s">
        <v>321</v>
      </c>
      <c r="D562" s="219">
        <v>2</v>
      </c>
      <c r="E562" s="216">
        <f t="shared" si="441"/>
        <v>1</v>
      </c>
      <c r="F562" s="217">
        <v>0</v>
      </c>
      <c r="G562" s="217">
        <v>2</v>
      </c>
      <c r="H562" s="217">
        <v>1</v>
      </c>
      <c r="I562" s="217">
        <v>1</v>
      </c>
      <c r="J562" s="217" t="s">
        <v>418</v>
      </c>
      <c r="K562" s="217">
        <f>K561+E561</f>
        <v>44260</v>
      </c>
      <c r="L562" s="216">
        <f t="shared" ref="L562:L566" si="442">K562-40000</f>
        <v>4260</v>
      </c>
      <c r="M562" s="216">
        <f t="shared" ref="M562:M566" si="443">L562-1</f>
        <v>4259</v>
      </c>
      <c r="N562" s="217" t="s">
        <v>419</v>
      </c>
      <c r="O562" s="216" t="s">
        <v>327</v>
      </c>
      <c r="P562" s="216">
        <v>0</v>
      </c>
      <c r="Q562" s="217"/>
      <c r="R562" s="220" t="s">
        <v>893</v>
      </c>
    </row>
    <row r="563" spans="2:18" ht="46.8" x14ac:dyDescent="0.3">
      <c r="B563" s="216" t="s">
        <v>894</v>
      </c>
      <c r="C563" s="216" t="s">
        <v>321</v>
      </c>
      <c r="D563" s="219">
        <v>2</v>
      </c>
      <c r="E563" s="216">
        <f t="shared" si="441"/>
        <v>1</v>
      </c>
      <c r="F563" s="217">
        <v>0</v>
      </c>
      <c r="G563" s="217">
        <v>2</v>
      </c>
      <c r="H563" s="217">
        <v>1</v>
      </c>
      <c r="I563" s="217">
        <v>1</v>
      </c>
      <c r="J563" s="217" t="s">
        <v>418</v>
      </c>
      <c r="K563" s="217">
        <f>K562+E562</f>
        <v>44261</v>
      </c>
      <c r="L563" s="216">
        <f t="shared" si="442"/>
        <v>4261</v>
      </c>
      <c r="M563" s="216">
        <f t="shared" si="443"/>
        <v>4260</v>
      </c>
      <c r="N563" s="217" t="s">
        <v>419</v>
      </c>
      <c r="O563" s="216" t="s">
        <v>327</v>
      </c>
      <c r="P563" s="216">
        <v>0</v>
      </c>
      <c r="Q563" s="217"/>
      <c r="R563" s="220" t="s">
        <v>893</v>
      </c>
    </row>
    <row r="564" spans="2:18" ht="46.8" x14ac:dyDescent="0.3">
      <c r="B564" s="216" t="s">
        <v>895</v>
      </c>
      <c r="C564" s="216" t="s">
        <v>321</v>
      </c>
      <c r="D564" s="216">
        <v>2</v>
      </c>
      <c r="E564" s="216">
        <f t="shared" si="441"/>
        <v>1</v>
      </c>
      <c r="F564" s="217">
        <v>0</v>
      </c>
      <c r="G564" s="217">
        <v>2</v>
      </c>
      <c r="H564" s="216">
        <v>1</v>
      </c>
      <c r="I564" s="216">
        <v>1</v>
      </c>
      <c r="J564" s="216" t="s">
        <v>418</v>
      </c>
      <c r="K564" s="216">
        <f t="shared" ref="K564:K566" si="444">K563+E564</f>
        <v>44262</v>
      </c>
      <c r="L564" s="216">
        <f t="shared" si="442"/>
        <v>4262</v>
      </c>
      <c r="M564" s="216">
        <f t="shared" si="443"/>
        <v>4261</v>
      </c>
      <c r="N564" s="217" t="s">
        <v>419</v>
      </c>
      <c r="O564" s="216" t="s">
        <v>327</v>
      </c>
      <c r="P564" s="216">
        <v>0</v>
      </c>
      <c r="Q564" s="216"/>
      <c r="R564" s="220" t="s">
        <v>893</v>
      </c>
    </row>
    <row r="565" spans="2:18" ht="46.8" x14ac:dyDescent="0.3">
      <c r="B565" s="216" t="s">
        <v>896</v>
      </c>
      <c r="C565" s="216" t="s">
        <v>321</v>
      </c>
      <c r="D565" s="216">
        <v>2</v>
      </c>
      <c r="E565" s="216">
        <f t="shared" si="441"/>
        <v>1</v>
      </c>
      <c r="F565" s="217">
        <v>0</v>
      </c>
      <c r="G565" s="217">
        <v>2</v>
      </c>
      <c r="H565" s="216">
        <v>1</v>
      </c>
      <c r="I565" s="216">
        <v>1</v>
      </c>
      <c r="J565" s="216" t="s">
        <v>418</v>
      </c>
      <c r="K565" s="216">
        <f t="shared" si="444"/>
        <v>44263</v>
      </c>
      <c r="L565" s="216">
        <f t="shared" si="442"/>
        <v>4263</v>
      </c>
      <c r="M565" s="216">
        <f t="shared" si="443"/>
        <v>4262</v>
      </c>
      <c r="N565" s="217" t="s">
        <v>419</v>
      </c>
      <c r="O565" s="216" t="s">
        <v>327</v>
      </c>
      <c r="P565" s="216">
        <v>0</v>
      </c>
      <c r="Q565" s="216"/>
      <c r="R565" s="220" t="s">
        <v>893</v>
      </c>
    </row>
    <row r="566" spans="2:18" ht="46.8" x14ac:dyDescent="0.3">
      <c r="B566" s="216" t="s">
        <v>897</v>
      </c>
      <c r="C566" s="216" t="s">
        <v>321</v>
      </c>
      <c r="D566" s="216">
        <v>2</v>
      </c>
      <c r="E566" s="216">
        <f t="shared" si="441"/>
        <v>1</v>
      </c>
      <c r="F566" s="217">
        <v>0</v>
      </c>
      <c r="G566" s="217">
        <v>2</v>
      </c>
      <c r="H566" s="216">
        <v>1</v>
      </c>
      <c r="I566" s="216">
        <v>1</v>
      </c>
      <c r="J566" s="216" t="s">
        <v>418</v>
      </c>
      <c r="K566" s="216">
        <f t="shared" si="444"/>
        <v>44264</v>
      </c>
      <c r="L566" s="216">
        <f t="shared" si="442"/>
        <v>4264</v>
      </c>
      <c r="M566" s="216">
        <f t="shared" si="443"/>
        <v>4263</v>
      </c>
      <c r="N566" s="217" t="s">
        <v>419</v>
      </c>
      <c r="O566" s="216" t="s">
        <v>327</v>
      </c>
      <c r="P566" s="216">
        <v>0</v>
      </c>
      <c r="Q566" s="216"/>
      <c r="R566" s="220" t="s">
        <v>893</v>
      </c>
    </row>
    <row r="567" spans="2:18" ht="46.8" x14ac:dyDescent="0.3">
      <c r="B567" s="216" t="s">
        <v>898</v>
      </c>
      <c r="C567" s="216" t="s">
        <v>321</v>
      </c>
      <c r="D567" s="219">
        <v>2</v>
      </c>
      <c r="E567" s="216">
        <f t="shared" ref="E567:E576" si="445">D567/2</f>
        <v>1</v>
      </c>
      <c r="F567" s="217">
        <v>0</v>
      </c>
      <c r="G567" s="217">
        <v>2</v>
      </c>
      <c r="H567" s="217">
        <v>1</v>
      </c>
      <c r="I567" s="217">
        <v>1</v>
      </c>
      <c r="J567" s="217" t="s">
        <v>418</v>
      </c>
      <c r="K567" s="217">
        <f>K566+E566</f>
        <v>44265</v>
      </c>
      <c r="L567" s="216">
        <f t="shared" ref="L567:L576" si="446">K567-40000</f>
        <v>4265</v>
      </c>
      <c r="M567" s="216">
        <f t="shared" ref="M567:M576" si="447">L567-1</f>
        <v>4264</v>
      </c>
      <c r="N567" s="217" t="s">
        <v>419</v>
      </c>
      <c r="O567" s="216" t="s">
        <v>327</v>
      </c>
      <c r="P567" s="216">
        <v>0</v>
      </c>
      <c r="Q567" s="217"/>
      <c r="R567" s="220" t="s">
        <v>893</v>
      </c>
    </row>
    <row r="568" spans="2:18" ht="46.8" x14ac:dyDescent="0.3">
      <c r="B568" s="216" t="s">
        <v>899</v>
      </c>
      <c r="C568" s="216" t="s">
        <v>321</v>
      </c>
      <c r="D568" s="219">
        <v>2</v>
      </c>
      <c r="E568" s="216">
        <f t="shared" si="445"/>
        <v>1</v>
      </c>
      <c r="F568" s="217">
        <v>0</v>
      </c>
      <c r="G568" s="217">
        <v>2</v>
      </c>
      <c r="H568" s="217">
        <v>1</v>
      </c>
      <c r="I568" s="217">
        <v>1</v>
      </c>
      <c r="J568" s="217" t="s">
        <v>418</v>
      </c>
      <c r="K568" s="217">
        <f>K567+E567</f>
        <v>44266</v>
      </c>
      <c r="L568" s="216">
        <f t="shared" si="446"/>
        <v>4266</v>
      </c>
      <c r="M568" s="216">
        <f t="shared" si="447"/>
        <v>4265</v>
      </c>
      <c r="N568" s="217" t="s">
        <v>419</v>
      </c>
      <c r="O568" s="216" t="s">
        <v>327</v>
      </c>
      <c r="P568" s="216">
        <v>0</v>
      </c>
      <c r="Q568" s="217"/>
      <c r="R568" s="220" t="s">
        <v>893</v>
      </c>
    </row>
    <row r="569" spans="2:18" ht="46.8" x14ac:dyDescent="0.3">
      <c r="B569" s="216" t="s">
        <v>900</v>
      </c>
      <c r="C569" s="216" t="s">
        <v>321</v>
      </c>
      <c r="D569" s="216">
        <v>2</v>
      </c>
      <c r="E569" s="216">
        <f t="shared" si="445"/>
        <v>1</v>
      </c>
      <c r="F569" s="217">
        <v>0</v>
      </c>
      <c r="G569" s="217">
        <v>2</v>
      </c>
      <c r="H569" s="216">
        <v>1</v>
      </c>
      <c r="I569" s="216">
        <v>1</v>
      </c>
      <c r="J569" s="216" t="s">
        <v>418</v>
      </c>
      <c r="K569" s="216">
        <f t="shared" ref="K569:K571" si="448">K568+E569</f>
        <v>44267</v>
      </c>
      <c r="L569" s="216">
        <f t="shared" si="446"/>
        <v>4267</v>
      </c>
      <c r="M569" s="216">
        <f t="shared" si="447"/>
        <v>4266</v>
      </c>
      <c r="N569" s="217" t="s">
        <v>419</v>
      </c>
      <c r="O569" s="216" t="s">
        <v>327</v>
      </c>
      <c r="P569" s="216">
        <v>0</v>
      </c>
      <c r="Q569" s="216"/>
      <c r="R569" s="220" t="s">
        <v>893</v>
      </c>
    </row>
    <row r="570" spans="2:18" ht="46.8" x14ac:dyDescent="0.3">
      <c r="B570" s="216" t="s">
        <v>901</v>
      </c>
      <c r="C570" s="216" t="s">
        <v>321</v>
      </c>
      <c r="D570" s="216">
        <v>2</v>
      </c>
      <c r="E570" s="216">
        <f t="shared" si="445"/>
        <v>1</v>
      </c>
      <c r="F570" s="217">
        <v>0</v>
      </c>
      <c r="G570" s="217">
        <v>2</v>
      </c>
      <c r="H570" s="216">
        <v>1</v>
      </c>
      <c r="I570" s="216">
        <v>1</v>
      </c>
      <c r="J570" s="216" t="s">
        <v>418</v>
      </c>
      <c r="K570" s="216">
        <f t="shared" si="448"/>
        <v>44268</v>
      </c>
      <c r="L570" s="216">
        <f t="shared" si="446"/>
        <v>4268</v>
      </c>
      <c r="M570" s="216">
        <f t="shared" si="447"/>
        <v>4267</v>
      </c>
      <c r="N570" s="217" t="s">
        <v>419</v>
      </c>
      <c r="O570" s="216" t="s">
        <v>327</v>
      </c>
      <c r="P570" s="216">
        <v>0</v>
      </c>
      <c r="Q570" s="216"/>
      <c r="R570" s="220" t="s">
        <v>893</v>
      </c>
    </row>
    <row r="571" spans="2:18" ht="46.8" x14ac:dyDescent="0.3">
      <c r="B571" s="216" t="s">
        <v>902</v>
      </c>
      <c r="C571" s="216" t="s">
        <v>321</v>
      </c>
      <c r="D571" s="216">
        <v>2</v>
      </c>
      <c r="E571" s="216">
        <f t="shared" si="445"/>
        <v>1</v>
      </c>
      <c r="F571" s="217">
        <v>0</v>
      </c>
      <c r="G571" s="217">
        <v>2</v>
      </c>
      <c r="H571" s="216">
        <v>1</v>
      </c>
      <c r="I571" s="216">
        <v>1</v>
      </c>
      <c r="J571" s="216" t="s">
        <v>418</v>
      </c>
      <c r="K571" s="216">
        <f t="shared" si="448"/>
        <v>44269</v>
      </c>
      <c r="L571" s="216">
        <f t="shared" si="446"/>
        <v>4269</v>
      </c>
      <c r="M571" s="216">
        <f t="shared" si="447"/>
        <v>4268</v>
      </c>
      <c r="N571" s="217" t="s">
        <v>419</v>
      </c>
      <c r="O571" s="216" t="s">
        <v>327</v>
      </c>
      <c r="P571" s="216">
        <v>0</v>
      </c>
      <c r="Q571" s="216"/>
      <c r="R571" s="220" t="s">
        <v>893</v>
      </c>
    </row>
    <row r="572" spans="2:18" ht="46.8" x14ac:dyDescent="0.3">
      <c r="B572" s="216" t="s">
        <v>903</v>
      </c>
      <c r="C572" s="216" t="s">
        <v>321</v>
      </c>
      <c r="D572" s="219">
        <v>2</v>
      </c>
      <c r="E572" s="216">
        <f t="shared" si="445"/>
        <v>1</v>
      </c>
      <c r="F572" s="217">
        <v>0</v>
      </c>
      <c r="G572" s="217">
        <v>2</v>
      </c>
      <c r="H572" s="217">
        <v>1</v>
      </c>
      <c r="I572" s="217">
        <v>1</v>
      </c>
      <c r="J572" s="217" t="s">
        <v>418</v>
      </c>
      <c r="K572" s="217">
        <f>K571+E571</f>
        <v>44270</v>
      </c>
      <c r="L572" s="216">
        <f t="shared" si="446"/>
        <v>4270</v>
      </c>
      <c r="M572" s="216">
        <f t="shared" si="447"/>
        <v>4269</v>
      </c>
      <c r="N572" s="217" t="s">
        <v>419</v>
      </c>
      <c r="O572" s="216" t="s">
        <v>327</v>
      </c>
      <c r="P572" s="216">
        <v>0</v>
      </c>
      <c r="Q572" s="217"/>
      <c r="R572" s="220" t="s">
        <v>893</v>
      </c>
    </row>
    <row r="573" spans="2:18" ht="46.8" x14ac:dyDescent="0.3">
      <c r="B573" s="216" t="s">
        <v>904</v>
      </c>
      <c r="C573" s="216" t="s">
        <v>321</v>
      </c>
      <c r="D573" s="219">
        <v>2</v>
      </c>
      <c r="E573" s="216">
        <f t="shared" si="445"/>
        <v>1</v>
      </c>
      <c r="F573" s="217">
        <v>0</v>
      </c>
      <c r="G573" s="217">
        <v>2</v>
      </c>
      <c r="H573" s="217">
        <v>1</v>
      </c>
      <c r="I573" s="217">
        <v>1</v>
      </c>
      <c r="J573" s="217" t="s">
        <v>418</v>
      </c>
      <c r="K573" s="217">
        <f>K572+E572</f>
        <v>44271</v>
      </c>
      <c r="L573" s="216">
        <f t="shared" si="446"/>
        <v>4271</v>
      </c>
      <c r="M573" s="216">
        <f t="shared" si="447"/>
        <v>4270</v>
      </c>
      <c r="N573" s="217" t="s">
        <v>419</v>
      </c>
      <c r="O573" s="216" t="s">
        <v>327</v>
      </c>
      <c r="P573" s="216">
        <v>0</v>
      </c>
      <c r="Q573" s="217"/>
      <c r="R573" s="220" t="s">
        <v>893</v>
      </c>
    </row>
    <row r="574" spans="2:18" ht="46.8" x14ac:dyDescent="0.3">
      <c r="B574" s="216" t="s">
        <v>905</v>
      </c>
      <c r="C574" s="216" t="s">
        <v>321</v>
      </c>
      <c r="D574" s="216">
        <v>2</v>
      </c>
      <c r="E574" s="216">
        <f t="shared" si="445"/>
        <v>1</v>
      </c>
      <c r="F574" s="217">
        <v>0</v>
      </c>
      <c r="G574" s="217">
        <v>2</v>
      </c>
      <c r="H574" s="216">
        <v>1</v>
      </c>
      <c r="I574" s="216">
        <v>1</v>
      </c>
      <c r="J574" s="216" t="s">
        <v>418</v>
      </c>
      <c r="K574" s="216">
        <f t="shared" ref="K574:K576" si="449">K573+E574</f>
        <v>44272</v>
      </c>
      <c r="L574" s="216">
        <f t="shared" si="446"/>
        <v>4272</v>
      </c>
      <c r="M574" s="216">
        <f t="shared" si="447"/>
        <v>4271</v>
      </c>
      <c r="N574" s="217" t="s">
        <v>419</v>
      </c>
      <c r="O574" s="216" t="s">
        <v>327</v>
      </c>
      <c r="P574" s="216">
        <v>0</v>
      </c>
      <c r="Q574" s="216"/>
      <c r="R574" s="220" t="s">
        <v>893</v>
      </c>
    </row>
    <row r="575" spans="2:18" ht="15.6" x14ac:dyDescent="0.3">
      <c r="B575" s="216" t="s">
        <v>320</v>
      </c>
      <c r="C575" s="216" t="s">
        <v>321</v>
      </c>
      <c r="D575" s="216">
        <v>2</v>
      </c>
      <c r="E575" s="216">
        <f t="shared" si="445"/>
        <v>1</v>
      </c>
      <c r="F575" s="217">
        <v>0</v>
      </c>
      <c r="G575" s="216">
        <v>0</v>
      </c>
      <c r="H575" s="216">
        <v>1</v>
      </c>
      <c r="I575" s="216">
        <v>1</v>
      </c>
      <c r="J575" s="216" t="s">
        <v>418</v>
      </c>
      <c r="K575" s="216">
        <f t="shared" si="449"/>
        <v>44273</v>
      </c>
      <c r="L575" s="216">
        <f t="shared" si="446"/>
        <v>4273</v>
      </c>
      <c r="M575" s="216">
        <f t="shared" si="447"/>
        <v>4272</v>
      </c>
      <c r="N575" s="217" t="s">
        <v>419</v>
      </c>
      <c r="O575" s="216" t="s">
        <v>327</v>
      </c>
      <c r="P575" s="216">
        <v>0</v>
      </c>
      <c r="Q575" s="216"/>
      <c r="R575" s="218"/>
    </row>
    <row r="576" spans="2:18" ht="15.6" x14ac:dyDescent="0.3">
      <c r="B576" s="216" t="s">
        <v>320</v>
      </c>
      <c r="C576" s="216" t="s">
        <v>321</v>
      </c>
      <c r="D576" s="216">
        <v>2</v>
      </c>
      <c r="E576" s="216">
        <f t="shared" si="445"/>
        <v>1</v>
      </c>
      <c r="F576" s="217">
        <v>0</v>
      </c>
      <c r="G576" s="216">
        <v>0</v>
      </c>
      <c r="H576" s="216">
        <v>1</v>
      </c>
      <c r="I576" s="216">
        <v>1</v>
      </c>
      <c r="J576" s="216" t="s">
        <v>418</v>
      </c>
      <c r="K576" s="216">
        <f t="shared" si="449"/>
        <v>44274</v>
      </c>
      <c r="L576" s="216">
        <f t="shared" si="446"/>
        <v>4274</v>
      </c>
      <c r="M576" s="216">
        <f t="shared" si="447"/>
        <v>4273</v>
      </c>
      <c r="N576" s="217" t="s">
        <v>419</v>
      </c>
      <c r="O576" s="216" t="s">
        <v>327</v>
      </c>
      <c r="P576" s="216">
        <v>0</v>
      </c>
      <c r="Q576" s="216"/>
      <c r="R576" s="218"/>
    </row>
  </sheetData>
  <mergeCells count="72">
    <mergeCell ref="B47:R47"/>
    <mergeCell ref="B329:R329"/>
    <mergeCell ref="B63:R63"/>
    <mergeCell ref="B71:R71"/>
    <mergeCell ref="B79:R79"/>
    <mergeCell ref="B55:R55"/>
    <mergeCell ref="B191:R191"/>
    <mergeCell ref="B96:R96"/>
    <mergeCell ref="B135:R135"/>
    <mergeCell ref="B143:R143"/>
    <mergeCell ref="B165:R165"/>
    <mergeCell ref="B88:R88"/>
    <mergeCell ref="B173:R173"/>
    <mergeCell ref="B181:R181"/>
    <mergeCell ref="B232:R232"/>
    <mergeCell ref="B287:R287"/>
    <mergeCell ref="B3:R3"/>
    <mergeCell ref="B5:R5"/>
    <mergeCell ref="B24:R24"/>
    <mergeCell ref="B31:R31"/>
    <mergeCell ref="B38:R38"/>
    <mergeCell ref="B102:R102"/>
    <mergeCell ref="B149:R149"/>
    <mergeCell ref="B157:R157"/>
    <mergeCell ref="B110:R110"/>
    <mergeCell ref="B112:R112"/>
    <mergeCell ref="B121:R121"/>
    <mergeCell ref="B129:R129"/>
    <mergeCell ref="B220:R220"/>
    <mergeCell ref="B193:R193"/>
    <mergeCell ref="B201:R201"/>
    <mergeCell ref="B211:R211"/>
    <mergeCell ref="B335:R335"/>
    <mergeCell ref="B293:R293"/>
    <mergeCell ref="B299:R299"/>
    <mergeCell ref="B305:R305"/>
    <mergeCell ref="B311:R311"/>
    <mergeCell ref="B317:R317"/>
    <mergeCell ref="B268:R268"/>
    <mergeCell ref="B269:R269"/>
    <mergeCell ref="B275:R275"/>
    <mergeCell ref="B281:R281"/>
    <mergeCell ref="B238:R238"/>
    <mergeCell ref="B250:R250"/>
    <mergeCell ref="B226:R226"/>
    <mergeCell ref="B382:R382"/>
    <mergeCell ref="B383:R383"/>
    <mergeCell ref="B394:R394"/>
    <mergeCell ref="B405:R405"/>
    <mergeCell ref="B362:R362"/>
    <mergeCell ref="B371:R371"/>
    <mergeCell ref="B343:R343"/>
    <mergeCell ref="B344:R344"/>
    <mergeCell ref="B255:R255"/>
    <mergeCell ref="B323:R323"/>
    <mergeCell ref="B260:R260"/>
    <mergeCell ref="B353:R353"/>
    <mergeCell ref="B416:R416"/>
    <mergeCell ref="B427:R427"/>
    <mergeCell ref="B438:R438"/>
    <mergeCell ref="B449:R449"/>
    <mergeCell ref="B460:R460"/>
    <mergeCell ref="B471:R471"/>
    <mergeCell ref="B560:R560"/>
    <mergeCell ref="B537:R537"/>
    <mergeCell ref="B482:R482"/>
    <mergeCell ref="B493:R493"/>
    <mergeCell ref="B504:R504"/>
    <mergeCell ref="B515:R515"/>
    <mergeCell ref="B526:R526"/>
    <mergeCell ref="B550:R550"/>
    <mergeCell ref="B551:R551"/>
  </mergeCells>
  <phoneticPr fontId="30" type="noConversion"/>
  <conditionalFormatting sqref="B34:B37">
    <cfRule type="cellIs" dxfId="502" priority="4928" stopIfTrue="1" operator="notEqual">
      <formula>INDIRECT("Dummy_for_Comparison2!"&amp;ADDRESS(ROW(),COLUMN()))</formula>
    </cfRule>
  </conditionalFormatting>
  <conditionalFormatting sqref="B3:C3">
    <cfRule type="cellIs" dxfId="501" priority="5059" stopIfTrue="1" operator="notEqual">
      <formula>INDIRECT("Dummy_for_Comparison2!"&amp;ADDRESS(ROW(),COLUMN()))</formula>
    </cfRule>
  </conditionalFormatting>
  <conditionalFormatting sqref="B8:C23">
    <cfRule type="cellIs" dxfId="500" priority="1221" stopIfTrue="1" operator="notEqual">
      <formula>INDIRECT("Dummy_for_Comparison2!"&amp;ADDRESS(ROW(),COLUMN()))</formula>
    </cfRule>
  </conditionalFormatting>
  <conditionalFormatting sqref="B39:C46">
    <cfRule type="cellIs" dxfId="499" priority="1215" stopIfTrue="1" operator="notEqual">
      <formula>INDIRECT("Dummy_for_Comparison2!"&amp;ADDRESS(ROW(),COLUMN()))</formula>
    </cfRule>
  </conditionalFormatting>
  <conditionalFormatting sqref="B110:C110">
    <cfRule type="cellIs" dxfId="498" priority="4774" stopIfTrue="1" operator="notEqual">
      <formula>INDIRECT("Dummy_for_Comparison2!"&amp;ADDRESS(ROW(),COLUMN()))</formula>
    </cfRule>
  </conditionalFormatting>
  <conditionalFormatting sqref="B191:C191">
    <cfRule type="cellIs" dxfId="497" priority="4773" stopIfTrue="1" operator="notEqual">
      <formula>INDIRECT("Dummy_for_Comparison2!"&amp;ADDRESS(ROW(),COLUMN()))</formula>
    </cfRule>
  </conditionalFormatting>
  <conditionalFormatting sqref="B194:C211">
    <cfRule type="cellIs" dxfId="496" priority="1177" stopIfTrue="1" operator="notEqual">
      <formula>INDIRECT("Dummy_for_Comparison2!"&amp;ADDRESS(ROW(),COLUMN()))</formula>
    </cfRule>
  </conditionalFormatting>
  <conditionalFormatting sqref="B220:C220">
    <cfRule type="cellIs" dxfId="495" priority="1106" stopIfTrue="1" operator="notEqual">
      <formula>INDIRECT("Dummy_for_Comparison2!"&amp;ADDRESS(ROW(),COLUMN()))</formula>
    </cfRule>
  </conditionalFormatting>
  <conditionalFormatting sqref="B226:C232">
    <cfRule type="cellIs" dxfId="494" priority="11" stopIfTrue="1" operator="notEqual">
      <formula>INDIRECT("Dummy_for_Comparison2!"&amp;ADDRESS(ROW(),COLUMN()))</formula>
    </cfRule>
  </conditionalFormatting>
  <conditionalFormatting sqref="B238:C246">
    <cfRule type="cellIs" dxfId="493" priority="409" stopIfTrue="1" operator="notEqual">
      <formula>INDIRECT("Dummy_for_Comparison2!"&amp;ADDRESS(ROW(),COLUMN()))</formula>
    </cfRule>
  </conditionalFormatting>
  <conditionalFormatting sqref="B250:C265">
    <cfRule type="cellIs" dxfId="492" priority="565" stopIfTrue="1" operator="notEqual">
      <formula>INDIRECT("Dummy_for_Comparison2!"&amp;ADDRESS(ROW(),COLUMN()))</formula>
    </cfRule>
  </conditionalFormatting>
  <conditionalFormatting sqref="B268:C269">
    <cfRule type="cellIs" dxfId="491" priority="4663" stopIfTrue="1" operator="notEqual">
      <formula>INDIRECT("Dummy_for_Comparison2!"&amp;ADDRESS(ROW(),COLUMN()))</formula>
    </cfRule>
  </conditionalFormatting>
  <conditionalFormatting sqref="B275:C275">
    <cfRule type="cellIs" dxfId="490" priority="4646" stopIfTrue="1" operator="notEqual">
      <formula>INDIRECT("Dummy_for_Comparison2!"&amp;ADDRESS(ROW(),COLUMN()))</formula>
    </cfRule>
  </conditionalFormatting>
  <conditionalFormatting sqref="B281:C281">
    <cfRule type="cellIs" dxfId="489" priority="4630" stopIfTrue="1" operator="notEqual">
      <formula>INDIRECT("Dummy_for_Comparison2!"&amp;ADDRESS(ROW(),COLUMN()))</formula>
    </cfRule>
  </conditionalFormatting>
  <conditionalFormatting sqref="B287:C287">
    <cfRule type="cellIs" dxfId="488" priority="4614" stopIfTrue="1" operator="notEqual">
      <formula>INDIRECT("Dummy_for_Comparison2!"&amp;ADDRESS(ROW(),COLUMN()))</formula>
    </cfRule>
  </conditionalFormatting>
  <conditionalFormatting sqref="B293:C293">
    <cfRule type="cellIs" dxfId="487" priority="4598" stopIfTrue="1" operator="notEqual">
      <formula>INDIRECT("Dummy_for_Comparison2!"&amp;ADDRESS(ROW(),COLUMN()))</formula>
    </cfRule>
  </conditionalFormatting>
  <conditionalFormatting sqref="B299:C299">
    <cfRule type="cellIs" dxfId="486" priority="4582" stopIfTrue="1" operator="notEqual">
      <formula>INDIRECT("Dummy_for_Comparison2!"&amp;ADDRESS(ROW(),COLUMN()))</formula>
    </cfRule>
  </conditionalFormatting>
  <conditionalFormatting sqref="B305:C305">
    <cfRule type="cellIs" dxfId="485" priority="4566" stopIfTrue="1" operator="notEqual">
      <formula>INDIRECT("Dummy_for_Comparison2!"&amp;ADDRESS(ROW(),COLUMN()))</formula>
    </cfRule>
  </conditionalFormatting>
  <conditionalFormatting sqref="B311:C311">
    <cfRule type="cellIs" dxfId="484" priority="4424" stopIfTrue="1" operator="notEqual">
      <formula>INDIRECT("Dummy_for_Comparison2!"&amp;ADDRESS(ROW(),COLUMN()))</formula>
    </cfRule>
  </conditionalFormatting>
  <conditionalFormatting sqref="B317:C317">
    <cfRule type="cellIs" dxfId="483" priority="4534" stopIfTrue="1" operator="notEqual">
      <formula>INDIRECT("Dummy_for_Comparison2!"&amp;ADDRESS(ROW(),COLUMN()))</formula>
    </cfRule>
  </conditionalFormatting>
  <conditionalFormatting sqref="B323:C323">
    <cfRule type="cellIs" dxfId="482" priority="4518" stopIfTrue="1" operator="notEqual">
      <formula>INDIRECT("Dummy_for_Comparison2!"&amp;ADDRESS(ROW(),COLUMN()))</formula>
    </cfRule>
  </conditionalFormatting>
  <conditionalFormatting sqref="B329:C329">
    <cfRule type="cellIs" dxfId="481" priority="4502" stopIfTrue="1" operator="notEqual">
      <formula>INDIRECT("Dummy_for_Comparison2!"&amp;ADDRESS(ROW(),COLUMN()))</formula>
    </cfRule>
  </conditionalFormatting>
  <conditionalFormatting sqref="B335:C335">
    <cfRule type="cellIs" dxfId="480" priority="4486" stopIfTrue="1" operator="notEqual">
      <formula>INDIRECT("Dummy_for_Comparison2!"&amp;ADDRESS(ROW(),COLUMN()))</formula>
    </cfRule>
  </conditionalFormatting>
  <conditionalFormatting sqref="B343:C379">
    <cfRule type="cellIs" dxfId="479" priority="790" stopIfTrue="1" operator="notEqual">
      <formula>INDIRECT("Dummy_for_Comparison2!"&amp;ADDRESS(ROW(),COLUMN()))</formula>
    </cfRule>
  </conditionalFormatting>
  <conditionalFormatting sqref="B382:C385">
    <cfRule type="cellIs" dxfId="478" priority="1838" stopIfTrue="1" operator="notEqual">
      <formula>INDIRECT("Dummy_for_Comparison2!"&amp;ADDRESS(ROW(),COLUMN()))</formula>
    </cfRule>
  </conditionalFormatting>
  <conditionalFormatting sqref="B394:C396">
    <cfRule type="cellIs" dxfId="477" priority="1057" stopIfTrue="1" operator="notEqual">
      <formula>INDIRECT("Dummy_for_Comparison2!"&amp;ADDRESS(ROW(),COLUMN()))</formula>
    </cfRule>
  </conditionalFormatting>
  <conditionalFormatting sqref="B405:C407">
    <cfRule type="cellIs" dxfId="476" priority="1039" stopIfTrue="1" operator="notEqual">
      <formula>INDIRECT("Dummy_for_Comparison2!"&amp;ADDRESS(ROW(),COLUMN()))</formula>
    </cfRule>
  </conditionalFormatting>
  <conditionalFormatting sqref="B416:C418">
    <cfRule type="cellIs" dxfId="475" priority="1021" stopIfTrue="1" operator="notEqual">
      <formula>INDIRECT("Dummy_for_Comparison2!"&amp;ADDRESS(ROW(),COLUMN()))</formula>
    </cfRule>
  </conditionalFormatting>
  <conditionalFormatting sqref="B427:C429">
    <cfRule type="cellIs" dxfId="474" priority="1003" stopIfTrue="1" operator="notEqual">
      <formula>INDIRECT("Dummy_for_Comparison2!"&amp;ADDRESS(ROW(),COLUMN()))</formula>
    </cfRule>
  </conditionalFormatting>
  <conditionalFormatting sqref="B438:C440">
    <cfRule type="cellIs" dxfId="473" priority="985" stopIfTrue="1" operator="notEqual">
      <formula>INDIRECT("Dummy_for_Comparison2!"&amp;ADDRESS(ROW(),COLUMN()))</formula>
    </cfRule>
  </conditionalFormatting>
  <conditionalFormatting sqref="B449:C451">
    <cfRule type="cellIs" dxfId="472" priority="967" stopIfTrue="1" operator="notEqual">
      <formula>INDIRECT("Dummy_for_Comparison2!"&amp;ADDRESS(ROW(),COLUMN()))</formula>
    </cfRule>
  </conditionalFormatting>
  <conditionalFormatting sqref="B460:C462">
    <cfRule type="cellIs" dxfId="471" priority="949" stopIfTrue="1" operator="notEqual">
      <formula>INDIRECT("Dummy_for_Comparison2!"&amp;ADDRESS(ROW(),COLUMN()))</formula>
    </cfRule>
  </conditionalFormatting>
  <conditionalFormatting sqref="B471:C473">
    <cfRule type="cellIs" dxfId="470" priority="931" stopIfTrue="1" operator="notEqual">
      <formula>INDIRECT("Dummy_for_Comparison2!"&amp;ADDRESS(ROW(),COLUMN()))</formula>
    </cfRule>
  </conditionalFormatting>
  <conditionalFormatting sqref="B482:C484">
    <cfRule type="cellIs" dxfId="469" priority="913" stopIfTrue="1" operator="notEqual">
      <formula>INDIRECT("Dummy_for_Comparison2!"&amp;ADDRESS(ROW(),COLUMN()))</formula>
    </cfRule>
  </conditionalFormatting>
  <conditionalFormatting sqref="B493:C495">
    <cfRule type="cellIs" dxfId="468" priority="895" stopIfTrue="1" operator="notEqual">
      <formula>INDIRECT("Dummy_for_Comparison2!"&amp;ADDRESS(ROW(),COLUMN()))</formula>
    </cfRule>
  </conditionalFormatting>
  <conditionalFormatting sqref="B504:C506">
    <cfRule type="cellIs" dxfId="467" priority="877" stopIfTrue="1" operator="notEqual">
      <formula>INDIRECT("Dummy_for_Comparison2!"&amp;ADDRESS(ROW(),COLUMN()))</formula>
    </cfRule>
  </conditionalFormatting>
  <conditionalFormatting sqref="B515:C517">
    <cfRule type="cellIs" dxfId="466" priority="859" stopIfTrue="1" operator="notEqual">
      <formula>INDIRECT("Dummy_for_Comparison2!"&amp;ADDRESS(ROW(),COLUMN()))</formula>
    </cfRule>
  </conditionalFormatting>
  <conditionalFormatting sqref="B526:C528">
    <cfRule type="cellIs" dxfId="465" priority="841" stopIfTrue="1" operator="notEqual">
      <formula>INDIRECT("Dummy_for_Comparison2!"&amp;ADDRESS(ROW(),COLUMN()))</formula>
    </cfRule>
  </conditionalFormatting>
  <conditionalFormatting sqref="B537:C539">
    <cfRule type="cellIs" dxfId="464" priority="823" stopIfTrue="1" operator="notEqual">
      <formula>INDIRECT("Dummy_for_Comparison2!"&amp;ADDRESS(ROW(),COLUMN()))</formula>
    </cfRule>
  </conditionalFormatting>
  <conditionalFormatting sqref="B550:C550">
    <cfRule type="cellIs" dxfId="463" priority="4306" stopIfTrue="1" operator="notEqual">
      <formula>INDIRECT("Dummy_for_Comparison2!"&amp;ADDRESS(ROW(),COLUMN()))</formula>
    </cfRule>
  </conditionalFormatting>
  <conditionalFormatting sqref="B551:C551">
    <cfRule type="cellIs" dxfId="462" priority="4290" stopIfTrue="1" operator="notEqual">
      <formula>INDIRECT("Dummy_for_Comparison8!"&amp;ADDRESS(ROW(),COLUMN()))</formula>
    </cfRule>
  </conditionalFormatting>
  <conditionalFormatting sqref="B552:C557">
    <cfRule type="cellIs" dxfId="461" priority="1792" stopIfTrue="1" operator="notEqual">
      <formula>INDIRECT("Dummy_for_Comparison2!"&amp;ADDRESS(ROW(),COLUMN()))</formula>
    </cfRule>
  </conditionalFormatting>
  <conditionalFormatting sqref="B560:C560">
    <cfRule type="cellIs" dxfId="460" priority="556" stopIfTrue="1" operator="notEqual">
      <formula>INDIRECT("Dummy_for_Comparison8!"&amp;ADDRESS(ROW(),COLUMN()))</formula>
    </cfRule>
  </conditionalFormatting>
  <conditionalFormatting sqref="B561:C576">
    <cfRule type="cellIs" dxfId="459" priority="482" stopIfTrue="1" operator="notEqual">
      <formula>INDIRECT("Dummy_for_Comparison2!"&amp;ADDRESS(ROW(),COLUMN()))</formula>
    </cfRule>
  </conditionalFormatting>
  <conditionalFormatting sqref="B558:K559">
    <cfRule type="cellIs" dxfId="458" priority="520" stopIfTrue="1" operator="notEqual">
      <formula>INDIRECT("Dummy_for_Comparison2!"&amp;ADDRESS(ROW(),COLUMN()))</formula>
    </cfRule>
  </conditionalFormatting>
  <conditionalFormatting sqref="B2:M2 P2:XFD2 S3:XFD3 B6:M6 S6:T15 B7:K7 J16:K16 B24:XFD24 P25:R27 S25:T29 B31:R31 S31:S33 AD31:XFD35 P32:R32 B32:K33 D36:J36 K36:K37 B38:XFD38 D39:K41 D43:E43 B79:XFD79 P103:R104 B108:XFD108 B109:R109 S109:XFD112 B111:R112 B121:XFD121 B129:XFD129 B143:XFD143 B149:XFD149 B157:XFD157 B193:R193 S193:S195 AD193:XFD195 S268:XFD340 B341:XFD342 D345:K345 K346:K352 F347:H347 P349:XFD349 B380:XFD381 B548:XFD549 B577:XFD1048576">
    <cfRule type="cellIs" dxfId="457" priority="5061" stopIfTrue="1" operator="notEqual">
      <formula>INDIRECT("Dummy_for_Comparison2!"&amp;ADDRESS(ROW(),COLUMN()))</formula>
    </cfRule>
  </conditionalFormatting>
  <conditionalFormatting sqref="B25:O30">
    <cfRule type="cellIs" dxfId="456" priority="1219" stopIfTrue="1" operator="notEqual">
      <formula>INDIRECT("Dummy_for_Comparison2!"&amp;ADDRESS(ROW(),COLUMN()))</formula>
    </cfRule>
  </conditionalFormatting>
  <conditionalFormatting sqref="B97:O101">
    <cfRule type="cellIs" dxfId="455" priority="1201" stopIfTrue="1" operator="notEqual">
      <formula>INDIRECT("Dummy_for_Comparison2!"&amp;ADDRESS(ROW(),COLUMN()))</formula>
    </cfRule>
  </conditionalFormatting>
  <conditionalFormatting sqref="B103:O107">
    <cfRule type="cellIs" dxfId="454" priority="1199" stopIfTrue="1" operator="notEqual">
      <formula>INDIRECT("Dummy_for_Comparison2!"&amp;ADDRESS(ROW(),COLUMN()))</formula>
    </cfRule>
  </conditionalFormatting>
  <conditionalFormatting sqref="B166:O172">
    <cfRule type="cellIs" dxfId="453" priority="1183" stopIfTrue="1" operator="notEqual">
      <formula>INDIRECT("Dummy_for_Comparison2!"&amp;ADDRESS(ROW(),COLUMN()))</formula>
    </cfRule>
  </conditionalFormatting>
  <conditionalFormatting sqref="B174:O180">
    <cfRule type="cellIs" dxfId="452" priority="1181" stopIfTrue="1" operator="notEqual">
      <formula>INDIRECT("Dummy_for_Comparison2!"&amp;ADDRESS(ROW(),COLUMN()))</formula>
    </cfRule>
  </conditionalFormatting>
  <conditionalFormatting sqref="B182:O188">
    <cfRule type="cellIs" dxfId="451" priority="1179" stopIfTrue="1" operator="notEqual">
      <formula>INDIRECT("Dummy_for_Comparison2!"&amp;ADDRESS(ROW(),COLUMN()))</formula>
    </cfRule>
  </conditionalFormatting>
  <conditionalFormatting sqref="B212:O219">
    <cfRule type="cellIs" dxfId="450" priority="1506" stopIfTrue="1" operator="notEqual">
      <formula>INDIRECT("Dummy_for_Comparison2!"&amp;ADDRESS(ROW(),COLUMN()))</formula>
    </cfRule>
  </conditionalFormatting>
  <conditionalFormatting sqref="B221:O225">
    <cfRule type="cellIs" dxfId="449" priority="1175" stopIfTrue="1" operator="notEqual">
      <formula>INDIRECT("Dummy_for_Comparison2!"&amp;ADDRESS(ROW(),COLUMN()))</formula>
    </cfRule>
  </conditionalFormatting>
  <conditionalFormatting sqref="B233:O237">
    <cfRule type="cellIs" dxfId="448" priority="1173" stopIfTrue="1" operator="notEqual">
      <formula>INDIRECT("Dummy_for_Comparison2!"&amp;ADDRESS(ROW(),COLUMN()))</formula>
    </cfRule>
  </conditionalFormatting>
  <conditionalFormatting sqref="B247:O249">
    <cfRule type="cellIs" dxfId="447" priority="1171" stopIfTrue="1" operator="notEqual">
      <formula>INDIRECT("Dummy_for_Comparison2!"&amp;ADDRESS(ROW(),COLUMN()))</formula>
    </cfRule>
  </conditionalFormatting>
  <conditionalFormatting sqref="B397:O397">
    <cfRule type="cellIs" dxfId="446" priority="45" stopIfTrue="1" operator="notEqual">
      <formula>INDIRECT("Dummy_for_Comparison2!"&amp;ADDRESS(ROW(),COLUMN()))</formula>
    </cfRule>
  </conditionalFormatting>
  <conditionalFormatting sqref="B408:O408">
    <cfRule type="cellIs" dxfId="445" priority="43" stopIfTrue="1" operator="notEqual">
      <formula>INDIRECT("Dummy_for_Comparison2!"&amp;ADDRESS(ROW(),COLUMN()))</formula>
    </cfRule>
  </conditionalFormatting>
  <conditionalFormatting sqref="B419:O419">
    <cfRule type="cellIs" dxfId="444" priority="41" stopIfTrue="1" operator="notEqual">
      <formula>INDIRECT("Dummy_for_Comparison2!"&amp;ADDRESS(ROW(),COLUMN()))</formula>
    </cfRule>
  </conditionalFormatting>
  <conditionalFormatting sqref="B430:O430">
    <cfRule type="cellIs" dxfId="443" priority="39" stopIfTrue="1" operator="notEqual">
      <formula>INDIRECT("Dummy_for_Comparison2!"&amp;ADDRESS(ROW(),COLUMN()))</formula>
    </cfRule>
  </conditionalFormatting>
  <conditionalFormatting sqref="B441:O441">
    <cfRule type="cellIs" dxfId="442" priority="37" stopIfTrue="1" operator="notEqual">
      <formula>INDIRECT("Dummy_for_Comparison2!"&amp;ADDRESS(ROW(),COLUMN()))</formula>
    </cfRule>
  </conditionalFormatting>
  <conditionalFormatting sqref="B452:O452">
    <cfRule type="cellIs" dxfId="441" priority="35" stopIfTrue="1" operator="notEqual">
      <formula>INDIRECT("Dummy_for_Comparison2!"&amp;ADDRESS(ROW(),COLUMN()))</formula>
    </cfRule>
  </conditionalFormatting>
  <conditionalFormatting sqref="B463:O463">
    <cfRule type="cellIs" dxfId="440" priority="33" stopIfTrue="1" operator="notEqual">
      <formula>INDIRECT("Dummy_for_Comparison2!"&amp;ADDRESS(ROW(),COLUMN()))</formula>
    </cfRule>
  </conditionalFormatting>
  <conditionalFormatting sqref="B474:O474">
    <cfRule type="cellIs" dxfId="439" priority="31" stopIfTrue="1" operator="notEqual">
      <formula>INDIRECT("Dummy_for_Comparison2!"&amp;ADDRESS(ROW(),COLUMN()))</formula>
    </cfRule>
  </conditionalFormatting>
  <conditionalFormatting sqref="B485:O485">
    <cfRule type="cellIs" dxfId="438" priority="29" stopIfTrue="1" operator="notEqual">
      <formula>INDIRECT("Dummy_for_Comparison2!"&amp;ADDRESS(ROW(),COLUMN()))</formula>
    </cfRule>
  </conditionalFormatting>
  <conditionalFormatting sqref="B496:O496">
    <cfRule type="cellIs" dxfId="437" priority="27" stopIfTrue="1" operator="notEqual">
      <formula>INDIRECT("Dummy_for_Comparison2!"&amp;ADDRESS(ROW(),COLUMN()))</formula>
    </cfRule>
  </conditionalFormatting>
  <conditionalFormatting sqref="B507:O507">
    <cfRule type="cellIs" dxfId="436" priority="25" stopIfTrue="1" operator="notEqual">
      <formula>INDIRECT("Dummy_for_Comparison2!"&amp;ADDRESS(ROW(),COLUMN()))</formula>
    </cfRule>
  </conditionalFormatting>
  <conditionalFormatting sqref="B518:O518">
    <cfRule type="cellIs" dxfId="435" priority="23" stopIfTrue="1" operator="notEqual">
      <formula>INDIRECT("Dummy_for_Comparison2!"&amp;ADDRESS(ROW(),COLUMN()))</formula>
    </cfRule>
  </conditionalFormatting>
  <conditionalFormatting sqref="B529:O529">
    <cfRule type="cellIs" dxfId="434" priority="21" stopIfTrue="1" operator="notEqual">
      <formula>INDIRECT("Dummy_for_Comparison2!"&amp;ADDRESS(ROW(),COLUMN()))</formula>
    </cfRule>
  </conditionalFormatting>
  <conditionalFormatting sqref="B540:O540">
    <cfRule type="cellIs" dxfId="433" priority="19" stopIfTrue="1" operator="notEqual">
      <formula>INDIRECT("Dummy_for_Comparison2!"&amp;ADDRESS(ROW(),COLUMN()))</formula>
    </cfRule>
  </conditionalFormatting>
  <conditionalFormatting sqref="B386:Q386">
    <cfRule type="cellIs" dxfId="432" priority="396" stopIfTrue="1" operator="notEqual">
      <formula>INDIRECT("Dummy_for_Comparison2!"&amp;ADDRESS(ROW(),COLUMN()))</formula>
    </cfRule>
  </conditionalFormatting>
  <conditionalFormatting sqref="B398:Q404">
    <cfRule type="cellIs" dxfId="431" priority="44" stopIfTrue="1" operator="notEqual">
      <formula>INDIRECT("Dummy_for_Comparison2!"&amp;ADDRESS(ROW(),COLUMN()))</formula>
    </cfRule>
  </conditionalFormatting>
  <conditionalFormatting sqref="B409:Q415">
    <cfRule type="cellIs" dxfId="430" priority="42" stopIfTrue="1" operator="notEqual">
      <formula>INDIRECT("Dummy_for_Comparison2!"&amp;ADDRESS(ROW(),COLUMN()))</formula>
    </cfRule>
  </conditionalFormatting>
  <conditionalFormatting sqref="B420:Q426">
    <cfRule type="cellIs" dxfId="429" priority="40" stopIfTrue="1" operator="notEqual">
      <formula>INDIRECT("Dummy_for_Comparison2!"&amp;ADDRESS(ROW(),COLUMN()))</formula>
    </cfRule>
  </conditionalFormatting>
  <conditionalFormatting sqref="B431:Q437">
    <cfRule type="cellIs" dxfId="428" priority="38" stopIfTrue="1" operator="notEqual">
      <formula>INDIRECT("Dummy_for_Comparison2!"&amp;ADDRESS(ROW(),COLUMN()))</formula>
    </cfRule>
  </conditionalFormatting>
  <conditionalFormatting sqref="B442:Q448">
    <cfRule type="cellIs" dxfId="427" priority="36" stopIfTrue="1" operator="notEqual">
      <formula>INDIRECT("Dummy_for_Comparison2!"&amp;ADDRESS(ROW(),COLUMN()))</formula>
    </cfRule>
  </conditionalFormatting>
  <conditionalFormatting sqref="B453:Q459">
    <cfRule type="cellIs" dxfId="426" priority="34" stopIfTrue="1" operator="notEqual">
      <formula>INDIRECT("Dummy_for_Comparison2!"&amp;ADDRESS(ROW(),COLUMN()))</formula>
    </cfRule>
  </conditionalFormatting>
  <conditionalFormatting sqref="B464:Q470">
    <cfRule type="cellIs" dxfId="425" priority="32" stopIfTrue="1" operator="notEqual">
      <formula>INDIRECT("Dummy_for_Comparison2!"&amp;ADDRESS(ROW(),COLUMN()))</formula>
    </cfRule>
  </conditionalFormatting>
  <conditionalFormatting sqref="B475:Q481">
    <cfRule type="cellIs" dxfId="424" priority="30" stopIfTrue="1" operator="notEqual">
      <formula>INDIRECT("Dummy_for_Comparison2!"&amp;ADDRESS(ROW(),COLUMN()))</formula>
    </cfRule>
  </conditionalFormatting>
  <conditionalFormatting sqref="B486:Q492">
    <cfRule type="cellIs" dxfId="423" priority="28" stopIfTrue="1" operator="notEqual">
      <formula>INDIRECT("Dummy_for_Comparison2!"&amp;ADDRESS(ROW(),COLUMN()))</formula>
    </cfRule>
  </conditionalFormatting>
  <conditionalFormatting sqref="B497:Q503">
    <cfRule type="cellIs" dxfId="422" priority="26" stopIfTrue="1" operator="notEqual">
      <formula>INDIRECT("Dummy_for_Comparison2!"&amp;ADDRESS(ROW(),COLUMN()))</formula>
    </cfRule>
  </conditionalFormatting>
  <conditionalFormatting sqref="B508:Q514">
    <cfRule type="cellIs" dxfId="421" priority="24" stopIfTrue="1" operator="notEqual">
      <formula>INDIRECT("Dummy_for_Comparison2!"&amp;ADDRESS(ROW(),COLUMN()))</formula>
    </cfRule>
  </conditionalFormatting>
  <conditionalFormatting sqref="B519:Q525">
    <cfRule type="cellIs" dxfId="420" priority="22" stopIfTrue="1" operator="notEqual">
      <formula>INDIRECT("Dummy_for_Comparison2!"&amp;ADDRESS(ROW(),COLUMN()))</formula>
    </cfRule>
  </conditionalFormatting>
  <conditionalFormatting sqref="B530:Q536">
    <cfRule type="cellIs" dxfId="419" priority="20" stopIfTrue="1" operator="notEqual">
      <formula>INDIRECT("Dummy_for_Comparison2!"&amp;ADDRESS(ROW(),COLUMN()))</formula>
    </cfRule>
  </conditionalFormatting>
  <conditionalFormatting sqref="B541:Q547">
    <cfRule type="cellIs" dxfId="418" priority="18" stopIfTrue="1" operator="notEqual">
      <formula>INDIRECT("Dummy_for_Comparison2!"&amp;ADDRESS(ROW(),COLUMN()))</formula>
    </cfRule>
  </conditionalFormatting>
  <conditionalFormatting sqref="B270:R274">
    <cfRule type="cellIs" dxfId="417" priority="448" stopIfTrue="1" operator="notEqual">
      <formula>INDIRECT("Dummy_for_Comparison2!"&amp;ADDRESS(ROW(),COLUMN()))</formula>
    </cfRule>
  </conditionalFormatting>
  <conditionalFormatting sqref="B276:R280">
    <cfRule type="cellIs" dxfId="416" priority="447" stopIfTrue="1" operator="notEqual">
      <formula>INDIRECT("Dummy_for_Comparison2!"&amp;ADDRESS(ROW(),COLUMN()))</formula>
    </cfRule>
  </conditionalFormatting>
  <conditionalFormatting sqref="B282:R286">
    <cfRule type="cellIs" dxfId="415" priority="446" stopIfTrue="1" operator="notEqual">
      <formula>INDIRECT("Dummy_for_Comparison2!"&amp;ADDRESS(ROW(),COLUMN()))</formula>
    </cfRule>
  </conditionalFormatting>
  <conditionalFormatting sqref="B288:R292">
    <cfRule type="cellIs" dxfId="414" priority="445" stopIfTrue="1" operator="notEqual">
      <formula>INDIRECT("Dummy_for_Comparison2!"&amp;ADDRESS(ROW(),COLUMN()))</formula>
    </cfRule>
  </conditionalFormatting>
  <conditionalFormatting sqref="B294:R298">
    <cfRule type="cellIs" dxfId="413" priority="444" stopIfTrue="1" operator="notEqual">
      <formula>INDIRECT("Dummy_for_Comparison2!"&amp;ADDRESS(ROW(),COLUMN()))</formula>
    </cfRule>
  </conditionalFormatting>
  <conditionalFormatting sqref="B300:R304">
    <cfRule type="cellIs" dxfId="412" priority="443" stopIfTrue="1" operator="notEqual">
      <formula>INDIRECT("Dummy_for_Comparison2!"&amp;ADDRESS(ROW(),COLUMN()))</formula>
    </cfRule>
  </conditionalFormatting>
  <conditionalFormatting sqref="B306:R310">
    <cfRule type="cellIs" dxfId="411" priority="442" stopIfTrue="1" operator="notEqual">
      <formula>INDIRECT("Dummy_for_Comparison2!"&amp;ADDRESS(ROW(),COLUMN()))</formula>
    </cfRule>
  </conditionalFormatting>
  <conditionalFormatting sqref="B312:R316">
    <cfRule type="cellIs" dxfId="410" priority="441" stopIfTrue="1" operator="notEqual">
      <formula>INDIRECT("Dummy_for_Comparison2!"&amp;ADDRESS(ROW(),COLUMN()))</formula>
    </cfRule>
  </conditionalFormatting>
  <conditionalFormatting sqref="B318:R322">
    <cfRule type="cellIs" dxfId="409" priority="440" stopIfTrue="1" operator="notEqual">
      <formula>INDIRECT("Dummy_for_Comparison2!"&amp;ADDRESS(ROW(),COLUMN()))</formula>
    </cfRule>
  </conditionalFormatting>
  <conditionalFormatting sqref="B324:R328">
    <cfRule type="cellIs" dxfId="408" priority="439" stopIfTrue="1" operator="notEqual">
      <formula>INDIRECT("Dummy_for_Comparison2!"&amp;ADDRESS(ROW(),COLUMN()))</formula>
    </cfRule>
  </conditionalFormatting>
  <conditionalFormatting sqref="B330:R334">
    <cfRule type="cellIs" dxfId="407" priority="438" stopIfTrue="1" operator="notEqual">
      <formula>INDIRECT("Dummy_for_Comparison2!"&amp;ADDRESS(ROW(),COLUMN()))</formula>
    </cfRule>
  </conditionalFormatting>
  <conditionalFormatting sqref="B336:R340">
    <cfRule type="cellIs" dxfId="406" priority="437" stopIfTrue="1" operator="notEqual">
      <formula>INDIRECT("Dummy_for_Comparison2!"&amp;ADDRESS(ROW(),COLUMN()))</formula>
    </cfRule>
  </conditionalFormatting>
  <conditionalFormatting sqref="B48:T54">
    <cfRule type="cellIs" dxfId="405" priority="9" stopIfTrue="1" operator="notEqual">
      <formula>INDIRECT("Dummy_for_Comparison2!"&amp;ADDRESS(ROW(),COLUMN()))</formula>
    </cfRule>
  </conditionalFormatting>
  <conditionalFormatting sqref="B56:T62">
    <cfRule type="cellIs" dxfId="404" priority="471" stopIfTrue="1" operator="notEqual">
      <formula>INDIRECT("Dummy_for_Comparison2!"&amp;ADDRESS(ROW(),COLUMN()))</formula>
    </cfRule>
  </conditionalFormatting>
  <conditionalFormatting sqref="B64:T70">
    <cfRule type="cellIs" dxfId="403" priority="470" stopIfTrue="1" operator="notEqual">
      <formula>INDIRECT("Dummy_for_Comparison2!"&amp;ADDRESS(ROW(),COLUMN()))</formula>
    </cfRule>
  </conditionalFormatting>
  <conditionalFormatting sqref="B72:T78">
    <cfRule type="cellIs" dxfId="402" priority="469" stopIfTrue="1" operator="notEqual">
      <formula>INDIRECT("Dummy_for_Comparison2!"&amp;ADDRESS(ROW(),COLUMN()))</formula>
    </cfRule>
  </conditionalFormatting>
  <conditionalFormatting sqref="B80:T87">
    <cfRule type="cellIs" dxfId="401" priority="468" stopIfTrue="1" operator="notEqual">
      <formula>INDIRECT("Dummy_for_Comparison2!"&amp;ADDRESS(ROW(),COLUMN()))</formula>
    </cfRule>
  </conditionalFormatting>
  <conditionalFormatting sqref="B89:T95">
    <cfRule type="cellIs" dxfId="400" priority="467" stopIfTrue="1" operator="notEqual">
      <formula>INDIRECT("Dummy_for_Comparison2!"&amp;ADDRESS(ROW(),COLUMN()))</formula>
    </cfRule>
  </conditionalFormatting>
  <conditionalFormatting sqref="B113:T120">
    <cfRule type="cellIs" dxfId="399" priority="464" stopIfTrue="1" operator="notEqual">
      <formula>INDIRECT("Dummy_for_Comparison2!"&amp;ADDRESS(ROW(),COLUMN()))</formula>
    </cfRule>
  </conditionalFormatting>
  <conditionalFormatting sqref="B122:T128">
    <cfRule type="cellIs" dxfId="398" priority="463" stopIfTrue="1" operator="notEqual">
      <formula>INDIRECT("Dummy_for_Comparison2!"&amp;ADDRESS(ROW(),COLUMN()))</formula>
    </cfRule>
  </conditionalFormatting>
  <conditionalFormatting sqref="B130:T134">
    <cfRule type="cellIs" dxfId="397" priority="462" stopIfTrue="1" operator="notEqual">
      <formula>INDIRECT("Dummy_for_Comparison2!"&amp;ADDRESS(ROW(),COLUMN()))</formula>
    </cfRule>
  </conditionalFormatting>
  <conditionalFormatting sqref="B136:T142">
    <cfRule type="cellIs" dxfId="396" priority="461" stopIfTrue="1" operator="notEqual">
      <formula>INDIRECT("Dummy_for_Comparison2!"&amp;ADDRESS(ROW(),COLUMN()))</formula>
    </cfRule>
  </conditionalFormatting>
  <conditionalFormatting sqref="B144:T148">
    <cfRule type="cellIs" dxfId="395" priority="460" stopIfTrue="1" operator="notEqual">
      <formula>INDIRECT("Dummy_for_Comparison2!"&amp;ADDRESS(ROW(),COLUMN()))</formula>
    </cfRule>
  </conditionalFormatting>
  <conditionalFormatting sqref="B150:T156">
    <cfRule type="cellIs" dxfId="394" priority="459" stopIfTrue="1" operator="notEqual">
      <formula>INDIRECT("Dummy_for_Comparison2!"&amp;ADDRESS(ROW(),COLUMN()))</formula>
    </cfRule>
  </conditionalFormatting>
  <conditionalFormatting sqref="B158:T164">
    <cfRule type="cellIs" dxfId="393" priority="458" stopIfTrue="1" operator="notEqual">
      <formula>INDIRECT("Dummy_for_Comparison2!"&amp;ADDRESS(ROW(),COLUMN()))</formula>
    </cfRule>
  </conditionalFormatting>
  <conditionalFormatting sqref="B4:XFD5">
    <cfRule type="cellIs" dxfId="392" priority="4776" stopIfTrue="1" operator="notEqual">
      <formula>INDIRECT("Dummy_for_Comparison2!"&amp;ADDRESS(ROW(),COLUMN()))</formula>
    </cfRule>
  </conditionalFormatting>
  <conditionalFormatting sqref="B47:XFD47">
    <cfRule type="cellIs" dxfId="391" priority="1305" stopIfTrue="1" operator="notEqual">
      <formula>INDIRECT("Dummy_for_Comparison2!"&amp;ADDRESS(ROW(),COLUMN()))</formula>
    </cfRule>
  </conditionalFormatting>
  <conditionalFormatting sqref="B55:XFD55">
    <cfRule type="cellIs" dxfId="390" priority="1303" stopIfTrue="1" operator="notEqual">
      <formula>INDIRECT("Dummy_for_Comparison2!"&amp;ADDRESS(ROW(),COLUMN()))</formula>
    </cfRule>
  </conditionalFormatting>
  <conditionalFormatting sqref="B63:XFD63">
    <cfRule type="cellIs" dxfId="389" priority="564" stopIfTrue="1" operator="notEqual">
      <formula>INDIRECT("Dummy_for_Comparison2!"&amp;ADDRESS(ROW(),COLUMN()))</formula>
    </cfRule>
  </conditionalFormatting>
  <conditionalFormatting sqref="B71:XFD71">
    <cfRule type="cellIs" dxfId="388" priority="563" stopIfTrue="1" operator="notEqual">
      <formula>INDIRECT("Dummy_for_Comparison2!"&amp;ADDRESS(ROW(),COLUMN()))</formula>
    </cfRule>
  </conditionalFormatting>
  <conditionalFormatting sqref="B88:XFD88">
    <cfRule type="cellIs" dxfId="387" priority="1297" stopIfTrue="1" operator="notEqual">
      <formula>INDIRECT("Dummy_for_Comparison2!"&amp;ADDRESS(ROW(),COLUMN()))</formula>
    </cfRule>
  </conditionalFormatting>
  <conditionalFormatting sqref="B96:XFD96">
    <cfRule type="cellIs" dxfId="386" priority="4824" stopIfTrue="1" operator="notEqual">
      <formula>INDIRECT("Dummy_for_Comparison2!"&amp;ADDRESS(ROW(),COLUMN()))</formula>
    </cfRule>
  </conditionalFormatting>
  <conditionalFormatting sqref="B102:XFD102">
    <cfRule type="cellIs" dxfId="385" priority="4812" stopIfTrue="1" operator="notEqual">
      <formula>INDIRECT("Dummy_for_Comparison2!"&amp;ADDRESS(ROW(),COLUMN()))</formula>
    </cfRule>
  </conditionalFormatting>
  <conditionalFormatting sqref="B135:XFD135">
    <cfRule type="cellIs" dxfId="384" priority="1295" stopIfTrue="1" operator="notEqual">
      <formula>INDIRECT("Dummy_for_Comparison2!"&amp;ADDRESS(ROW(),COLUMN()))</formula>
    </cfRule>
  </conditionalFormatting>
  <conditionalFormatting sqref="B165:XFD165 B173:XFD173">
    <cfRule type="cellIs" dxfId="383" priority="4375" stopIfTrue="1" operator="notEqual">
      <formula>INDIRECT("Dummy_for_Comparison2!"&amp;ADDRESS(ROW(),COLUMN()))</formula>
    </cfRule>
  </conditionalFormatting>
  <conditionalFormatting sqref="B181:XFD181">
    <cfRule type="cellIs" dxfId="382" priority="4348" stopIfTrue="1" operator="notEqual">
      <formula>INDIRECT("Dummy_for_Comparison2!"&amp;ADDRESS(ROW(),COLUMN()))</formula>
    </cfRule>
  </conditionalFormatting>
  <conditionalFormatting sqref="B189:XFD189">
    <cfRule type="cellIs" dxfId="381" priority="4977" stopIfTrue="1" operator="notEqual">
      <formula>INDIRECT("Dummy_for_Comparison2!"&amp;ADDRESS(ROW(),COLUMN()))</formula>
    </cfRule>
  </conditionalFormatting>
  <conditionalFormatting sqref="B192:XFD192">
    <cfRule type="cellIs" dxfId="380" priority="4775" stopIfTrue="1" operator="notEqual">
      <formula>INDIRECT("Dummy_for_Comparison2!"&amp;ADDRESS(ROW(),COLUMN()))</formula>
    </cfRule>
  </conditionalFormatting>
  <conditionalFormatting sqref="B266:XFD267">
    <cfRule type="cellIs" dxfId="379" priority="4392" stopIfTrue="1" operator="notEqual">
      <formula>INDIRECT("Dummy_for_Comparison2!"&amp;ADDRESS(ROW(),COLUMN()))</formula>
    </cfRule>
  </conditionalFormatting>
  <conditionalFormatting sqref="B387:XFD393">
    <cfRule type="cellIs" dxfId="378" priority="46" stopIfTrue="1" operator="notEqual">
      <formula>INDIRECT("Dummy_for_Comparison2!"&amp;ADDRESS(ROW(),COLUMN()))</formula>
    </cfRule>
  </conditionalFormatting>
  <conditionalFormatting sqref="C34:C36">
    <cfRule type="cellIs" dxfId="377" priority="1217" stopIfTrue="1" operator="notEqual">
      <formula>INDIRECT("Dummy_for_Comparison2!"&amp;ADDRESS(ROW(),COLUMN()))</formula>
    </cfRule>
  </conditionalFormatting>
  <conditionalFormatting sqref="C37:J37">
    <cfRule type="cellIs" dxfId="376" priority="4687" stopIfTrue="1" operator="notEqual">
      <formula>INDIRECT("Dummy_for_Comparison2!"&amp;ADDRESS(ROW(),COLUMN()))</formula>
    </cfRule>
  </conditionalFormatting>
  <conditionalFormatting sqref="D42">
    <cfRule type="cellIs" dxfId="375" priority="4702" stopIfTrue="1" operator="notEqual">
      <formula>INDIRECT("Dummy_for_Comparison2!"&amp;ADDRESS(ROW(),COLUMN()))</formula>
    </cfRule>
  </conditionalFormatting>
  <conditionalFormatting sqref="D15:E15 J15">
    <cfRule type="cellIs" dxfId="374" priority="4253" stopIfTrue="1" operator="notEqual">
      <formula>INDIRECT("Dummy_for_Comparison2!"&amp;ADDRESS(ROW(),COLUMN()))</formula>
    </cfRule>
  </conditionalFormatting>
  <conditionalFormatting sqref="D227:E228 P227:Q229 J228:K229">
    <cfRule type="cellIs" dxfId="373" priority="578" stopIfTrue="1" operator="notEqual">
      <formula>INDIRECT("Dummy_for_Comparison2!"&amp;ADDRESS(ROW(),COLUMN()))</formula>
    </cfRule>
  </conditionalFormatting>
  <conditionalFormatting sqref="D244:E246 P246:Q247">
    <cfRule type="cellIs" dxfId="372" priority="414" stopIfTrue="1" operator="notEqual">
      <formula>INDIRECT("Dummy_for_Comparison2!"&amp;ADDRESS(ROW(),COLUMN()))</formula>
    </cfRule>
  </conditionalFormatting>
  <conditionalFormatting sqref="D347:E352">
    <cfRule type="cellIs" dxfId="371" priority="4138" stopIfTrue="1" operator="notEqual">
      <formula>INDIRECT("Dummy_for_Comparison2!"&amp;ADDRESS(ROW(),COLUMN()))</formula>
    </cfRule>
  </conditionalFormatting>
  <conditionalFormatting sqref="D356:E361">
    <cfRule type="cellIs" dxfId="370" priority="809" stopIfTrue="1" operator="notEqual">
      <formula>INDIRECT("Dummy_for_Comparison2!"&amp;ADDRESS(ROW(),COLUMN()))</formula>
    </cfRule>
  </conditionalFormatting>
  <conditionalFormatting sqref="D365:E370">
    <cfRule type="cellIs" dxfId="369" priority="801" stopIfTrue="1" operator="notEqual">
      <formula>INDIRECT("Dummy_for_Comparison2!"&amp;ADDRESS(ROW(),COLUMN()))</formula>
    </cfRule>
  </conditionalFormatting>
  <conditionalFormatting sqref="D374:E379">
    <cfRule type="cellIs" dxfId="368" priority="793" stopIfTrue="1" operator="notEqual">
      <formula>INDIRECT("Dummy_for_Comparison2!"&amp;ADDRESS(ROW(),COLUMN()))</formula>
    </cfRule>
  </conditionalFormatting>
  <conditionalFormatting sqref="D564:E566">
    <cfRule type="cellIs" dxfId="367" priority="550" stopIfTrue="1" operator="notEqual">
      <formula>INDIRECT("Dummy_for_Comparison2!"&amp;ADDRESS(ROW(),COLUMN()))</formula>
    </cfRule>
  </conditionalFormatting>
  <conditionalFormatting sqref="D569:E571">
    <cfRule type="cellIs" dxfId="366" priority="509" stopIfTrue="1" operator="notEqual">
      <formula>INDIRECT("Dummy_for_Comparison2!"&amp;ADDRESS(ROW(),COLUMN()))</formula>
    </cfRule>
  </conditionalFormatting>
  <conditionalFormatting sqref="D574:E576 G575:G576">
    <cfRule type="cellIs" dxfId="365" priority="490" stopIfTrue="1" operator="notEqual">
      <formula>INDIRECT("Dummy_for_Comparison2!"&amp;ADDRESS(ROW(),COLUMN()))</formula>
    </cfRule>
  </conditionalFormatting>
  <conditionalFormatting sqref="D18:F23 H18:J23">
    <cfRule type="cellIs" dxfId="364" priority="1312" stopIfTrue="1" operator="notEqual">
      <formula>INDIRECT("Dummy_for_Comparison2!"&amp;ADDRESS(ROW(),COLUMN()))</formula>
    </cfRule>
  </conditionalFormatting>
  <conditionalFormatting sqref="D194:G200">
    <cfRule type="cellIs" dxfId="363" priority="1" stopIfTrue="1" operator="notEqual">
      <formula>INDIRECT("Dummy_for_Comparison2!"&amp;ADDRESS(ROW(),COLUMN()))</formula>
    </cfRule>
  </conditionalFormatting>
  <conditionalFormatting sqref="D346:H346 J346:J349">
    <cfRule type="cellIs" dxfId="362" priority="4022" stopIfTrue="1" operator="notEqual">
      <formula>INDIRECT("Dummy_for_Comparison2!"&amp;ADDRESS(ROW(),COLUMN()))</formula>
    </cfRule>
  </conditionalFormatting>
  <conditionalFormatting sqref="D355:H355 J355:J358">
    <cfRule type="cellIs" dxfId="361" priority="3006" stopIfTrue="1" operator="notEqual">
      <formula>INDIRECT("Dummy_for_Comparison2!"&amp;ADDRESS(ROW(),COLUMN()))</formula>
    </cfRule>
  </conditionalFormatting>
  <conditionalFormatting sqref="D364:H364 J364:J367">
    <cfRule type="cellIs" dxfId="360" priority="2987" stopIfTrue="1" operator="notEqual">
      <formula>INDIRECT("Dummy_for_Comparison2!"&amp;ADDRESS(ROW(),COLUMN()))</formula>
    </cfRule>
  </conditionalFormatting>
  <conditionalFormatting sqref="D373:H373 J373:J376">
    <cfRule type="cellIs" dxfId="359" priority="2968" stopIfTrue="1" operator="notEqual">
      <formula>INDIRECT("Dummy_for_Comparison2!"&amp;ADDRESS(ROW(),COLUMN()))</formula>
    </cfRule>
  </conditionalFormatting>
  <conditionalFormatting sqref="D229:I229">
    <cfRule type="cellIs" dxfId="358" priority="574" stopIfTrue="1" operator="notEqual">
      <formula>INDIRECT("Dummy_for_Comparison2!"&amp;ADDRESS(ROW(),COLUMN()))</formula>
    </cfRule>
  </conditionalFormatting>
  <conditionalFormatting sqref="D11:J12">
    <cfRule type="cellIs" dxfId="357" priority="4221" stopIfTrue="1" operator="notEqual">
      <formula>INDIRECT("Dummy_for_Comparison2!"&amp;ADDRESS(ROW(),COLUMN()))</formula>
    </cfRule>
  </conditionalFormatting>
  <conditionalFormatting sqref="D15:J17">
    <cfRule type="cellIs" dxfId="356" priority="4691" stopIfTrue="1" operator="notEqual">
      <formula>INDIRECT("Dummy_for_Comparison2!"&amp;ADDRESS(ROW(),COLUMN()))</formula>
    </cfRule>
  </conditionalFormatting>
  <conditionalFormatting sqref="D81:J81">
    <cfRule type="cellIs" dxfId="355" priority="4995" stopIfTrue="1" operator="notEqual">
      <formula>INDIRECT("Dummy_for_Comparison2!"&amp;ADDRESS(ROW(),COLUMN()))</formula>
    </cfRule>
  </conditionalFormatting>
  <conditionalFormatting sqref="D114:J114">
    <cfRule type="cellIs" dxfId="354" priority="4992" stopIfTrue="1" operator="notEqual">
      <formula>INDIRECT("Dummy_for_Comparison2!"&amp;ADDRESS(ROW(),COLUMN()))</formula>
    </cfRule>
  </conditionalFormatting>
  <conditionalFormatting sqref="D239:J243 F244:J244">
    <cfRule type="cellIs" dxfId="353" priority="4382" stopIfTrue="1" operator="notEqual">
      <formula>INDIRECT("Dummy_for_Comparison2!"&amp;ADDRESS(ROW(),COLUMN()))</formula>
    </cfRule>
  </conditionalFormatting>
  <conditionalFormatting sqref="D406:J407">
    <cfRule type="cellIs" dxfId="352" priority="1041" stopIfTrue="1" operator="notEqual">
      <formula>INDIRECT("Dummy_for_Comparison2!"&amp;ADDRESS(ROW(),COLUMN()))</formula>
    </cfRule>
  </conditionalFormatting>
  <conditionalFormatting sqref="D8:K15 K17:K23">
    <cfRule type="cellIs" dxfId="351" priority="4220" stopIfTrue="1" operator="notEqual">
      <formula>INDIRECT("Dummy_for_Comparison2!"&amp;ADDRESS(ROW(),COLUMN()))</formula>
    </cfRule>
  </conditionalFormatting>
  <conditionalFormatting sqref="D44:K46">
    <cfRule type="cellIs" dxfId="350" priority="4685" stopIfTrue="1" operator="notEqual">
      <formula>INDIRECT("Dummy_for_Comparison2!"&amp;ADDRESS(ROW(),COLUMN()))</formula>
    </cfRule>
  </conditionalFormatting>
  <conditionalFormatting sqref="D230:K231">
    <cfRule type="cellIs" dxfId="349" priority="596" stopIfTrue="1" operator="notEqual">
      <formula>INDIRECT("Dummy_for_Comparison2!"&amp;ADDRESS(ROW(),COLUMN()))</formula>
    </cfRule>
  </conditionalFormatting>
  <conditionalFormatting sqref="D354:K354 G356:H356">
    <cfRule type="cellIs" dxfId="348" priority="3023" stopIfTrue="1" operator="notEqual">
      <formula>INDIRECT("Dummy_for_Comparison2!"&amp;ADDRESS(ROW(),COLUMN()))</formula>
    </cfRule>
  </conditionalFormatting>
  <conditionalFormatting sqref="D363:K363 G365:H365">
    <cfRule type="cellIs" dxfId="347" priority="3004" stopIfTrue="1" operator="notEqual">
      <formula>INDIRECT("Dummy_for_Comparison2!"&amp;ADDRESS(ROW(),COLUMN()))</formula>
    </cfRule>
  </conditionalFormatting>
  <conditionalFormatting sqref="D372:K372 G374:H374">
    <cfRule type="cellIs" dxfId="346" priority="2985" stopIfTrue="1" operator="notEqual">
      <formula>INDIRECT("Dummy_for_Comparison2!"&amp;ADDRESS(ROW(),COLUMN()))</formula>
    </cfRule>
  </conditionalFormatting>
  <conditionalFormatting sqref="D555:K557">
    <cfRule type="cellIs" dxfId="345" priority="4281" stopIfTrue="1" operator="notEqual">
      <formula>INDIRECT("Dummy_for_Comparison2!"&amp;ADDRESS(ROW(),COLUMN()))</formula>
    </cfRule>
  </conditionalFormatting>
  <conditionalFormatting sqref="D251:O254">
    <cfRule type="cellIs" dxfId="344" priority="1501" stopIfTrue="1" operator="notEqual">
      <formula>INDIRECT("Dummy_for_Comparison2!"&amp;ADDRESS(ROW(),COLUMN()))</formula>
    </cfRule>
  </conditionalFormatting>
  <conditionalFormatting sqref="D256:O259">
    <cfRule type="cellIs" dxfId="343" priority="580" stopIfTrue="1" operator="notEqual">
      <formula>INDIRECT("Dummy_for_Comparison2!"&amp;ADDRESS(ROW(),COLUMN()))</formula>
    </cfRule>
  </conditionalFormatting>
  <conditionalFormatting sqref="D261:O265">
    <cfRule type="cellIs" dxfId="342" priority="608" stopIfTrue="1" operator="notEqual">
      <formula>INDIRECT("Dummy_for_Comparison2!"&amp;ADDRESS(ROW(),COLUMN()))</formula>
    </cfRule>
  </conditionalFormatting>
  <conditionalFormatting sqref="D395:O396">
    <cfRule type="cellIs" dxfId="341" priority="1055" stopIfTrue="1" operator="notEqual">
      <formula>INDIRECT("Dummy_for_Comparison2!"&amp;ADDRESS(ROW(),COLUMN()))</formula>
    </cfRule>
  </conditionalFormatting>
  <conditionalFormatting sqref="D417:O418">
    <cfRule type="cellIs" dxfId="340" priority="1019" stopIfTrue="1" operator="notEqual">
      <formula>INDIRECT("Dummy_for_Comparison2!"&amp;ADDRESS(ROW(),COLUMN()))</formula>
    </cfRule>
  </conditionalFormatting>
  <conditionalFormatting sqref="D428:O429">
    <cfRule type="cellIs" dxfId="339" priority="1001" stopIfTrue="1" operator="notEqual">
      <formula>INDIRECT("Dummy_for_Comparison2!"&amp;ADDRESS(ROW(),COLUMN()))</formula>
    </cfRule>
  </conditionalFormatting>
  <conditionalFormatting sqref="D439:O440">
    <cfRule type="cellIs" dxfId="338" priority="983" stopIfTrue="1" operator="notEqual">
      <formula>INDIRECT("Dummy_for_Comparison2!"&amp;ADDRESS(ROW(),COLUMN()))</formula>
    </cfRule>
  </conditionalFormatting>
  <conditionalFormatting sqref="D450:O451">
    <cfRule type="cellIs" dxfId="337" priority="965" stopIfTrue="1" operator="notEqual">
      <formula>INDIRECT("Dummy_for_Comparison2!"&amp;ADDRESS(ROW(),COLUMN()))</formula>
    </cfRule>
  </conditionalFormatting>
  <conditionalFormatting sqref="D461:O462">
    <cfRule type="cellIs" dxfId="336" priority="947" stopIfTrue="1" operator="notEqual">
      <formula>INDIRECT("Dummy_for_Comparison2!"&amp;ADDRESS(ROW(),COLUMN()))</formula>
    </cfRule>
  </conditionalFormatting>
  <conditionalFormatting sqref="D472:O473">
    <cfRule type="cellIs" dxfId="335" priority="929" stopIfTrue="1" operator="notEqual">
      <formula>INDIRECT("Dummy_for_Comparison2!"&amp;ADDRESS(ROW(),COLUMN()))</formula>
    </cfRule>
  </conditionalFormatting>
  <conditionalFormatting sqref="D483:O484">
    <cfRule type="cellIs" dxfId="334" priority="911" stopIfTrue="1" operator="notEqual">
      <formula>INDIRECT("Dummy_for_Comparison2!"&amp;ADDRESS(ROW(),COLUMN()))</formula>
    </cfRule>
  </conditionalFormatting>
  <conditionalFormatting sqref="D494:O495">
    <cfRule type="cellIs" dxfId="333" priority="893" stopIfTrue="1" operator="notEqual">
      <formula>INDIRECT("Dummy_for_Comparison2!"&amp;ADDRESS(ROW(),COLUMN()))</formula>
    </cfRule>
  </conditionalFormatting>
  <conditionalFormatting sqref="D505:O506">
    <cfRule type="cellIs" dxfId="332" priority="875" stopIfTrue="1" operator="notEqual">
      <formula>INDIRECT("Dummy_for_Comparison2!"&amp;ADDRESS(ROW(),COLUMN()))</formula>
    </cfRule>
  </conditionalFormatting>
  <conditionalFormatting sqref="D516:O517">
    <cfRule type="cellIs" dxfId="331" priority="857" stopIfTrue="1" operator="notEqual">
      <formula>INDIRECT("Dummy_for_Comparison2!"&amp;ADDRESS(ROW(),COLUMN()))</formula>
    </cfRule>
  </conditionalFormatting>
  <conditionalFormatting sqref="D527:O528">
    <cfRule type="cellIs" dxfId="330" priority="839" stopIfTrue="1" operator="notEqual">
      <formula>INDIRECT("Dummy_for_Comparison2!"&amp;ADDRESS(ROW(),COLUMN()))</formula>
    </cfRule>
  </conditionalFormatting>
  <conditionalFormatting sqref="D538:O539">
    <cfRule type="cellIs" dxfId="329" priority="821" stopIfTrue="1" operator="notEqual">
      <formula>INDIRECT("Dummy_for_Comparison2!"&amp;ADDRESS(ROW(),COLUMN()))</formula>
    </cfRule>
  </conditionalFormatting>
  <conditionalFormatting sqref="D384:Q385">
    <cfRule type="cellIs" dxfId="328" priority="1483" stopIfTrue="1" operator="notEqual">
      <formula>INDIRECT("Dummy_for_Comparison2!"&amp;ADDRESS(ROW(),COLUMN()))</formula>
    </cfRule>
  </conditionalFormatting>
  <conditionalFormatting sqref="D202:R210">
    <cfRule type="cellIs" dxfId="327" priority="1380" stopIfTrue="1" operator="notEqual">
      <formula>INDIRECT("Dummy_for_Comparison2!"&amp;ADDRESS(ROW(),COLUMN()))</formula>
    </cfRule>
  </conditionalFormatting>
  <conditionalFormatting sqref="E552:E554">
    <cfRule type="cellIs" dxfId="326" priority="4286" stopIfTrue="1" operator="notEqual">
      <formula>INDIRECT("Dummy_for_Comparison2!"&amp;ADDRESS(ROW(),COLUMN()))</formula>
    </cfRule>
  </conditionalFormatting>
  <conditionalFormatting sqref="E561:E563">
    <cfRule type="cellIs" dxfId="325" priority="553" stopIfTrue="1" operator="notEqual">
      <formula>INDIRECT("Dummy_for_Comparison2!"&amp;ADDRESS(ROW(),COLUMN()))</formula>
    </cfRule>
  </conditionalFormatting>
  <conditionalFormatting sqref="E567:E568">
    <cfRule type="cellIs" dxfId="324" priority="512" stopIfTrue="1" operator="notEqual">
      <formula>INDIRECT("Dummy_for_Comparison2!"&amp;ADDRESS(ROW(),COLUMN()))</formula>
    </cfRule>
  </conditionalFormatting>
  <conditionalFormatting sqref="E572:E573">
    <cfRule type="cellIs" dxfId="323" priority="493" stopIfTrue="1" operator="notEqual">
      <formula>INDIRECT("Dummy_for_Comparison2!"&amp;ADDRESS(ROW(),COLUMN()))</formula>
    </cfRule>
  </conditionalFormatting>
  <conditionalFormatting sqref="F356:F358">
    <cfRule type="cellIs" dxfId="322" priority="1082" stopIfTrue="1" operator="notEqual">
      <formula>INDIRECT("Dummy_for_Comparison2!"&amp;ADDRESS(ROW(),COLUMN()))</formula>
    </cfRule>
  </conditionalFormatting>
  <conditionalFormatting sqref="F365:F367">
    <cfRule type="cellIs" dxfId="321" priority="1080" stopIfTrue="1" operator="notEqual">
      <formula>INDIRECT("Dummy_for_Comparison2!"&amp;ADDRESS(ROW(),COLUMN()))</formula>
    </cfRule>
  </conditionalFormatting>
  <conditionalFormatting sqref="F374:F376">
    <cfRule type="cellIs" dxfId="320" priority="1074" stopIfTrue="1" operator="notEqual">
      <formula>INDIRECT("Dummy_for_Comparison2!"&amp;ADDRESS(ROW(),COLUMN()))</formula>
    </cfRule>
  </conditionalFormatting>
  <conditionalFormatting sqref="F245:H246">
    <cfRule type="cellIs" dxfId="319" priority="17" stopIfTrue="1" operator="notEqual">
      <formula>INDIRECT("Dummy_for_Comparison2!"&amp;ADDRESS(ROW(),COLUMN()))</formula>
    </cfRule>
  </conditionalFormatting>
  <conditionalFormatting sqref="F228:I228">
    <cfRule type="cellIs" dxfId="318" priority="575" stopIfTrue="1" operator="notEqual">
      <formula>INDIRECT("Dummy_for_Comparison2!"&amp;ADDRESS(ROW(),COLUMN()))</formula>
    </cfRule>
  </conditionalFormatting>
  <conditionalFormatting sqref="F348:I349">
    <cfRule type="cellIs" dxfId="317" priority="1086" stopIfTrue="1" operator="notEqual">
      <formula>INDIRECT("Dummy_for_Comparison2!"&amp;ADDRESS(ROW(),COLUMN()))</formula>
    </cfRule>
  </conditionalFormatting>
  <conditionalFormatting sqref="F350:J352">
    <cfRule type="cellIs" dxfId="316" priority="4133" stopIfTrue="1" operator="notEqual">
      <formula>INDIRECT("Dummy_for_Comparison2!"&amp;ADDRESS(ROW(),COLUMN()))</formula>
    </cfRule>
  </conditionalFormatting>
  <conditionalFormatting sqref="F359:J361">
    <cfRule type="cellIs" dxfId="315" priority="8" stopIfTrue="1" operator="notEqual">
      <formula>INDIRECT("Dummy_for_Comparison2!"&amp;ADDRESS(ROW(),COLUMN()))</formula>
    </cfRule>
  </conditionalFormatting>
  <conditionalFormatting sqref="F368:J370">
    <cfRule type="cellIs" dxfId="314" priority="7" stopIfTrue="1" operator="notEqual">
      <formula>INDIRECT("Dummy_for_Comparison2!"&amp;ADDRESS(ROW(),COLUMN()))</formula>
    </cfRule>
  </conditionalFormatting>
  <conditionalFormatting sqref="F377:J379">
    <cfRule type="cellIs" dxfId="313" priority="6" stopIfTrue="1" operator="notEqual">
      <formula>INDIRECT("Dummy_for_Comparison2!"&amp;ADDRESS(ROW(),COLUMN()))</formula>
    </cfRule>
  </conditionalFormatting>
  <conditionalFormatting sqref="F42:K43">
    <cfRule type="cellIs" dxfId="312" priority="1370" stopIfTrue="1" operator="notEqual">
      <formula>INDIRECT("Dummy_for_Comparison2!"&amp;ADDRESS(ROW(),COLUMN()))</formula>
    </cfRule>
  </conditionalFormatting>
  <conditionalFormatting sqref="F227:K227">
    <cfRule type="cellIs" dxfId="311" priority="562" stopIfTrue="1" operator="notEqual">
      <formula>INDIRECT("Dummy_for_Comparison2!"&amp;ADDRESS(ROW(),COLUMN()))</formula>
    </cfRule>
  </conditionalFormatting>
  <conditionalFormatting sqref="G16:G23">
    <cfRule type="cellIs" dxfId="310" priority="1311" stopIfTrue="1" operator="notEqual">
      <formula>INDIRECT("Dummy_for_Comparison2!"&amp;ADDRESS(ROW(),COLUMN()))</formula>
    </cfRule>
  </conditionalFormatting>
  <conditionalFormatting sqref="G357:I358">
    <cfRule type="cellIs" dxfId="309" priority="3008" stopIfTrue="1" operator="notEqual">
      <formula>INDIRECT("Dummy_for_Comparison2!"&amp;ADDRESS(ROW(),COLUMN()))</formula>
    </cfRule>
  </conditionalFormatting>
  <conditionalFormatting sqref="G366:I367">
    <cfRule type="cellIs" dxfId="308" priority="2989" stopIfTrue="1" operator="notEqual">
      <formula>INDIRECT("Dummy_for_Comparison2!"&amp;ADDRESS(ROW(),COLUMN()))</formula>
    </cfRule>
  </conditionalFormatting>
  <conditionalFormatting sqref="G375:I376">
    <cfRule type="cellIs" dxfId="307" priority="2970" stopIfTrue="1" operator="notEqual">
      <formula>INDIRECT("Dummy_for_Comparison2!"&amp;ADDRESS(ROW(),COLUMN()))</formula>
    </cfRule>
  </conditionalFormatting>
  <conditionalFormatting sqref="H195:I196">
    <cfRule type="cellIs" dxfId="306" priority="4315" stopIfTrue="1" operator="notEqual">
      <formula>INDIRECT("Dummy_for_Comparison2!"&amp;ADDRESS(ROW(),COLUMN()))</formula>
    </cfRule>
  </conditionalFormatting>
  <conditionalFormatting sqref="H194:K194">
    <cfRule type="cellIs" dxfId="305" priority="4796" stopIfTrue="1" operator="notEqual">
      <formula>INDIRECT("Dummy_for_Comparison2!"&amp;ADDRESS(ROW(),COLUMN()))</formula>
    </cfRule>
  </conditionalFormatting>
  <conditionalFormatting sqref="H196:K200">
    <cfRule type="cellIs" dxfId="304" priority="1107" stopIfTrue="1" operator="notEqual">
      <formula>INDIRECT("Dummy_for_Comparison2!"&amp;ADDRESS(ROW(),COLUMN()))</formula>
    </cfRule>
  </conditionalFormatting>
  <conditionalFormatting sqref="H564:K566">
    <cfRule type="cellIs" dxfId="303" priority="549" stopIfTrue="1" operator="notEqual">
      <formula>INDIRECT("Dummy_for_Comparison2!"&amp;ADDRESS(ROW(),COLUMN()))</formula>
    </cfRule>
  </conditionalFormatting>
  <conditionalFormatting sqref="H569:K571">
    <cfRule type="cellIs" dxfId="302" priority="508" stopIfTrue="1" operator="notEqual">
      <formula>INDIRECT("Dummy_for_Comparison2!"&amp;ADDRESS(ROW(),COLUMN()))</formula>
    </cfRule>
  </conditionalFormatting>
  <conditionalFormatting sqref="H574:K576">
    <cfRule type="cellIs" dxfId="301" priority="489" stopIfTrue="1" operator="notEqual">
      <formula>INDIRECT("Dummy_for_Comparison2!"&amp;ADDRESS(ROW(),COLUMN()))</formula>
    </cfRule>
  </conditionalFormatting>
  <conditionalFormatting sqref="I17:I23">
    <cfRule type="cellIs" dxfId="300" priority="1307" stopIfTrue="1" operator="notEqual">
      <formula>INDIRECT("Dummy_for_Comparison2!"&amp;ADDRESS(ROW(),COLUMN()))</formula>
    </cfRule>
  </conditionalFormatting>
  <conditionalFormatting sqref="I346:I347">
    <cfRule type="cellIs" dxfId="299" priority="4082" stopIfTrue="1" operator="notEqual">
      <formula>INDIRECT("Dummy_for_Comparison2!"&amp;ADDRESS(ROW(),COLUMN()))</formula>
    </cfRule>
  </conditionalFormatting>
  <conditionalFormatting sqref="I355:I356">
    <cfRule type="cellIs" dxfId="298" priority="3010" stopIfTrue="1" operator="notEqual">
      <formula>INDIRECT("Dummy_for_Comparison2!"&amp;ADDRESS(ROW(),COLUMN()))</formula>
    </cfRule>
  </conditionalFormatting>
  <conditionalFormatting sqref="I364:I365">
    <cfRule type="cellIs" dxfId="297" priority="2991" stopIfTrue="1" operator="notEqual">
      <formula>INDIRECT("Dummy_for_Comparison2!"&amp;ADDRESS(ROW(),COLUMN()))</formula>
    </cfRule>
  </conditionalFormatting>
  <conditionalFormatting sqref="I373:I374">
    <cfRule type="cellIs" dxfId="296" priority="2972" stopIfTrue="1" operator="notEqual">
      <formula>INDIRECT("Dummy_for_Comparison2!"&amp;ADDRESS(ROW(),COLUMN()))</formula>
    </cfRule>
  </conditionalFormatting>
  <conditionalFormatting sqref="I245:J245">
    <cfRule type="cellIs" dxfId="295" priority="1316" stopIfTrue="1" operator="notEqual">
      <formula>INDIRECT("Dummy_for_Comparison2!"&amp;ADDRESS(ROW(),COLUMN()))</formula>
    </cfRule>
  </conditionalFormatting>
  <conditionalFormatting sqref="I246:O246">
    <cfRule type="cellIs" dxfId="294" priority="407" stopIfTrue="1" operator="notEqual">
      <formula>INDIRECT("Dummy_for_Comparison2!"&amp;ADDRESS(ROW(),COLUMN()))</formula>
    </cfRule>
  </conditionalFormatting>
  <conditionalFormatting sqref="J195:K195">
    <cfRule type="cellIs" dxfId="293" priority="4794" stopIfTrue="1" operator="notEqual">
      <formula>INDIRECT("Dummy_for_Comparison2!"&amp;ADDRESS(ROW(),COLUMN()))</formula>
    </cfRule>
  </conditionalFormatting>
  <conditionalFormatting sqref="K355:K361">
    <cfRule type="cellIs" dxfId="292" priority="810" stopIfTrue="1" operator="notEqual">
      <formula>INDIRECT("Dummy_for_Comparison2!"&amp;ADDRESS(ROW(),COLUMN()))</formula>
    </cfRule>
  </conditionalFormatting>
  <conditionalFormatting sqref="K364:K370">
    <cfRule type="cellIs" dxfId="291" priority="802" stopIfTrue="1" operator="notEqual">
      <formula>INDIRECT("Dummy_for_Comparison2!"&amp;ADDRESS(ROW(),COLUMN()))</formula>
    </cfRule>
  </conditionalFormatting>
  <conditionalFormatting sqref="K373:K379">
    <cfRule type="cellIs" dxfId="290" priority="794" stopIfTrue="1" operator="notEqual">
      <formula>INDIRECT("Dummy_for_Comparison2!"&amp;ADDRESS(ROW(),COLUMN()))</formula>
    </cfRule>
  </conditionalFormatting>
  <conditionalFormatting sqref="K405:O407">
    <cfRule type="cellIs" dxfId="289" priority="1037" stopIfTrue="1" operator="notEqual">
      <formula>INDIRECT("Dummy_for_Comparison2!"&amp;ADDRESS(ROW(),COLUMN()))</formula>
    </cfRule>
  </conditionalFormatting>
  <conditionalFormatting sqref="K239:Q245">
    <cfRule type="cellIs" dxfId="288" priority="1258" stopIfTrue="1" operator="notEqual">
      <formula>INDIRECT("Dummy_for_Comparison2!"&amp;ADDRESS(ROW(),COLUMN()))</formula>
    </cfRule>
  </conditionalFormatting>
  <conditionalFormatting sqref="L7:M23">
    <cfRule type="cellIs" dxfId="287" priority="1449" stopIfTrue="1" operator="notEqual">
      <formula>INDIRECT("Dummy_for_Comparison2!"&amp;ADDRESS(ROW(),COLUMN()))</formula>
    </cfRule>
  </conditionalFormatting>
  <conditionalFormatting sqref="L552:M559">
    <cfRule type="cellIs" dxfId="286" priority="518" stopIfTrue="1" operator="notEqual">
      <formula>INDIRECT("Dummy_for_Comparison2!"&amp;ADDRESS(ROW(),COLUMN()))</formula>
    </cfRule>
  </conditionalFormatting>
  <conditionalFormatting sqref="L561:M576">
    <cfRule type="cellIs" dxfId="285" priority="480" stopIfTrue="1" operator="notEqual">
      <formula>INDIRECT("Dummy_for_Comparison2!"&amp;ADDRESS(ROW(),COLUMN()))</formula>
    </cfRule>
  </conditionalFormatting>
  <conditionalFormatting sqref="L32:O37">
    <cfRule type="cellIs" dxfId="284" priority="1371" stopIfTrue="1" operator="notEqual">
      <formula>INDIRECT("Dummy_for_Comparison2!"&amp;ADDRESS(ROW(),COLUMN()))</formula>
    </cfRule>
  </conditionalFormatting>
  <conditionalFormatting sqref="L194:O200">
    <cfRule type="cellIs" dxfId="283" priority="1414" stopIfTrue="1" operator="notEqual">
      <formula>INDIRECT("Dummy_for_Comparison2!"&amp;ADDRESS(ROW(),COLUMN()))</formula>
    </cfRule>
  </conditionalFormatting>
  <conditionalFormatting sqref="L227:O231">
    <cfRule type="cellIs" dxfId="282" priority="568" stopIfTrue="1" operator="notEqual">
      <formula>INDIRECT("Dummy_for_Comparison2!"&amp;ADDRESS(ROW(),COLUMN()))</formula>
    </cfRule>
  </conditionalFormatting>
  <conditionalFormatting sqref="L345:O352">
    <cfRule type="cellIs" dxfId="281" priority="1487" stopIfTrue="1" operator="notEqual">
      <formula>INDIRECT("Dummy_for_Comparison2!"&amp;ADDRESS(ROW(),COLUMN()))</formula>
    </cfRule>
  </conditionalFormatting>
  <conditionalFormatting sqref="L354:R361">
    <cfRule type="cellIs" dxfId="280" priority="435" stopIfTrue="1" operator="notEqual">
      <formula>INDIRECT("Dummy_for_Comparison2!"&amp;ADDRESS(ROW(),COLUMN()))</formula>
    </cfRule>
  </conditionalFormatting>
  <conditionalFormatting sqref="L363:R370">
    <cfRule type="cellIs" dxfId="279" priority="5" stopIfTrue="1" operator="notEqual">
      <formula>INDIRECT("Dummy_for_Comparison2!"&amp;ADDRESS(ROW(),COLUMN()))</formula>
    </cfRule>
  </conditionalFormatting>
  <conditionalFormatting sqref="L372:R379">
    <cfRule type="cellIs" dxfId="278" priority="4" stopIfTrue="1" operator="notEqual">
      <formula>INDIRECT("Dummy_for_Comparison2!"&amp;ADDRESS(ROW(),COLUMN()))</formula>
    </cfRule>
  </conditionalFormatting>
  <conditionalFormatting sqref="L39:T46">
    <cfRule type="cellIs" dxfId="277" priority="473" stopIfTrue="1" operator="notEqual">
      <formula>INDIRECT("Dummy_for_Comparison2!"&amp;ADDRESS(ROW(),COLUMN()))</formula>
    </cfRule>
  </conditionalFormatting>
  <conditionalFormatting sqref="N2:O2">
    <cfRule type="cellIs" dxfId="276" priority="4963" stopIfTrue="1" operator="notEqual">
      <formula>INDIRECT("Dummy_for_Comparison6!"&amp;ADDRESS(ROW(),COLUMN()))</formula>
    </cfRule>
  </conditionalFormatting>
  <conditionalFormatting sqref="N6:O23">
    <cfRule type="cellIs" dxfId="275" priority="1447" stopIfTrue="1" operator="notEqual">
      <formula>INDIRECT("Dummy_for_Comparison2!"&amp;ADDRESS(ROW(),COLUMN()))</formula>
    </cfRule>
  </conditionalFormatting>
  <conditionalFormatting sqref="O552:P559">
    <cfRule type="cellIs" dxfId="274" priority="519" stopIfTrue="1" operator="notEqual">
      <formula>INDIRECT("Dummy_for_Comparison2!"&amp;ADDRESS(ROW(),COLUMN()))</formula>
    </cfRule>
  </conditionalFormatting>
  <conditionalFormatting sqref="O561:P576">
    <cfRule type="cellIs" dxfId="273" priority="481" stopIfTrue="1" operator="notEqual">
      <formula>INDIRECT("Dummy_for_Comparison2!"&amp;ADDRESS(ROW(),COLUMN()))</formula>
    </cfRule>
  </conditionalFormatting>
  <conditionalFormatting sqref="P33:P35 D34:K35">
    <cfRule type="cellIs" dxfId="272" priority="1374" stopIfTrue="1" operator="notEqual">
      <formula>INDIRECT("Dummy_for_Comparison2!"&amp;ADDRESS(ROW(),COLUMN()))</formula>
    </cfRule>
  </conditionalFormatting>
  <conditionalFormatting sqref="P230:P231">
    <cfRule type="cellIs" dxfId="271" priority="595" stopIfTrue="1" operator="notEqual">
      <formula>INDIRECT("Dummy_for_Comparison2!"&amp;ADDRESS(ROW(),COLUMN()))</formula>
    </cfRule>
  </conditionalFormatting>
  <conditionalFormatting sqref="P10:Q23">
    <cfRule type="cellIs" dxfId="270" priority="1448" stopIfTrue="1" operator="notEqual">
      <formula>INDIRECT("Dummy_for_Comparison2!"&amp;ADDRESS(ROW(),COLUMN()))</formula>
    </cfRule>
  </conditionalFormatting>
  <conditionalFormatting sqref="P28:Q30">
    <cfRule type="cellIs" dxfId="269" priority="1379" stopIfTrue="1" operator="notEqual">
      <formula>INDIRECT("Dummy_for_Comparison2!"&amp;ADDRESS(ROW(),COLUMN()))</formula>
    </cfRule>
  </conditionalFormatting>
  <conditionalFormatting sqref="P99:Q101">
    <cfRule type="cellIs" dxfId="268" priority="4814" stopIfTrue="1" operator="notEqual">
      <formula>INDIRECT("Dummy_for_Comparison2!"&amp;ADDRESS(ROW(),COLUMN()))</formula>
    </cfRule>
  </conditionalFormatting>
  <conditionalFormatting sqref="P105:Q107">
    <cfRule type="cellIs" dxfId="267" priority="4801" stopIfTrue="1" operator="notEqual">
      <formula>INDIRECT("Dummy_for_Comparison2!"&amp;ADDRESS(ROW(),COLUMN()))</formula>
    </cfRule>
  </conditionalFormatting>
  <conditionalFormatting sqref="P170:Q172">
    <cfRule type="cellIs" dxfId="266" priority="4360" stopIfTrue="1" operator="notEqual">
      <formula>INDIRECT("Dummy_for_Comparison2!"&amp;ADDRESS(ROW(),COLUMN()))</formula>
    </cfRule>
  </conditionalFormatting>
  <conditionalFormatting sqref="P178:Q180">
    <cfRule type="cellIs" dxfId="265" priority="4354" stopIfTrue="1" operator="notEqual">
      <formula>INDIRECT("Dummy_for_Comparison2!"&amp;ADDRESS(ROW(),COLUMN()))</formula>
    </cfRule>
  </conditionalFormatting>
  <conditionalFormatting sqref="P186:Q188">
    <cfRule type="cellIs" dxfId="264" priority="4335" stopIfTrue="1" operator="notEqual">
      <formula>INDIRECT("Dummy_for_Comparison2!"&amp;ADDRESS(ROW(),COLUMN()))</formula>
    </cfRule>
  </conditionalFormatting>
  <conditionalFormatting sqref="P221:Q223">
    <cfRule type="cellIs" dxfId="263" priority="4471" stopIfTrue="1" operator="notEqual">
      <formula>INDIRECT("Dummy_for_Comparison2!"&amp;ADDRESS(ROW(),COLUMN()))</formula>
    </cfRule>
  </conditionalFormatting>
  <conditionalFormatting sqref="P396:Q397">
    <cfRule type="cellIs" dxfId="262" priority="381" stopIfTrue="1" operator="notEqual">
      <formula>INDIRECT("Dummy_for_Comparison2!"&amp;ADDRESS(ROW(),COLUMN()))</formula>
    </cfRule>
  </conditionalFormatting>
  <conditionalFormatting sqref="P407:Q408">
    <cfRule type="cellIs" dxfId="261" priority="359" stopIfTrue="1" operator="notEqual">
      <formula>INDIRECT("Dummy_for_Comparison2!"&amp;ADDRESS(ROW(),COLUMN()))</formula>
    </cfRule>
  </conditionalFormatting>
  <conditionalFormatting sqref="P418:Q419">
    <cfRule type="cellIs" dxfId="260" priority="337" stopIfTrue="1" operator="notEqual">
      <formula>INDIRECT("Dummy_for_Comparison2!"&amp;ADDRESS(ROW(),COLUMN()))</formula>
    </cfRule>
  </conditionalFormatting>
  <conditionalFormatting sqref="P429:Q430">
    <cfRule type="cellIs" dxfId="259" priority="315" stopIfTrue="1" operator="notEqual">
      <formula>INDIRECT("Dummy_for_Comparison2!"&amp;ADDRESS(ROW(),COLUMN()))</formula>
    </cfRule>
  </conditionalFormatting>
  <conditionalFormatting sqref="P440:Q441">
    <cfRule type="cellIs" dxfId="258" priority="293" stopIfTrue="1" operator="notEqual">
      <formula>INDIRECT("Dummy_for_Comparison2!"&amp;ADDRESS(ROW(),COLUMN()))</formula>
    </cfRule>
  </conditionalFormatting>
  <conditionalFormatting sqref="P451:Q452">
    <cfRule type="cellIs" dxfId="257" priority="271" stopIfTrue="1" operator="notEqual">
      <formula>INDIRECT("Dummy_for_Comparison2!"&amp;ADDRESS(ROW(),COLUMN()))</formula>
    </cfRule>
  </conditionalFormatting>
  <conditionalFormatting sqref="P462:Q463">
    <cfRule type="cellIs" dxfId="256" priority="249" stopIfTrue="1" operator="notEqual">
      <formula>INDIRECT("Dummy_for_Comparison2!"&amp;ADDRESS(ROW(),COLUMN()))</formula>
    </cfRule>
  </conditionalFormatting>
  <conditionalFormatting sqref="P473:Q474">
    <cfRule type="cellIs" dxfId="255" priority="227" stopIfTrue="1" operator="notEqual">
      <formula>INDIRECT("Dummy_for_Comparison2!"&amp;ADDRESS(ROW(),COLUMN()))</formula>
    </cfRule>
  </conditionalFormatting>
  <conditionalFormatting sqref="P484:Q485">
    <cfRule type="cellIs" dxfId="254" priority="205" stopIfTrue="1" operator="notEqual">
      <formula>INDIRECT("Dummy_for_Comparison2!"&amp;ADDRESS(ROW(),COLUMN()))</formula>
    </cfRule>
  </conditionalFormatting>
  <conditionalFormatting sqref="P495:Q496">
    <cfRule type="cellIs" dxfId="253" priority="183" stopIfTrue="1" operator="notEqual">
      <formula>INDIRECT("Dummy_for_Comparison2!"&amp;ADDRESS(ROW(),COLUMN()))</formula>
    </cfRule>
  </conditionalFormatting>
  <conditionalFormatting sqref="P506:Q507">
    <cfRule type="cellIs" dxfId="252" priority="161" stopIfTrue="1" operator="notEqual">
      <formula>INDIRECT("Dummy_for_Comparison2!"&amp;ADDRESS(ROW(),COLUMN()))</formula>
    </cfRule>
  </conditionalFormatting>
  <conditionalFormatting sqref="P517:Q518">
    <cfRule type="cellIs" dxfId="251" priority="139" stopIfTrue="1" operator="notEqual">
      <formula>INDIRECT("Dummy_for_Comparison2!"&amp;ADDRESS(ROW(),COLUMN()))</formula>
    </cfRule>
  </conditionalFormatting>
  <conditionalFormatting sqref="P528:Q529">
    <cfRule type="cellIs" dxfId="250" priority="117" stopIfTrue="1" operator="notEqual">
      <formula>INDIRECT("Dummy_for_Comparison2!"&amp;ADDRESS(ROW(),COLUMN()))</formula>
    </cfRule>
  </conditionalFormatting>
  <conditionalFormatting sqref="P539:Q540">
    <cfRule type="cellIs" dxfId="249" priority="95" stopIfTrue="1" operator="notEqual">
      <formula>INDIRECT("Dummy_for_Comparison2!"&amp;ADDRESS(ROW(),COLUMN()))</formula>
    </cfRule>
  </conditionalFormatting>
  <conditionalFormatting sqref="P6:R14">
    <cfRule type="cellIs" dxfId="248" priority="4195" stopIfTrue="1" operator="notEqual">
      <formula>INDIRECT("Dummy_for_Comparison2!"&amp;ADDRESS(ROW(),COLUMN()))</formula>
    </cfRule>
  </conditionalFormatting>
  <conditionalFormatting sqref="P97:R98">
    <cfRule type="cellIs" dxfId="247" priority="3210" stopIfTrue="1" operator="notEqual">
      <formula>INDIRECT("Dummy_for_Comparison2!"&amp;ADDRESS(ROW(),COLUMN()))</formula>
    </cfRule>
  </conditionalFormatting>
  <conditionalFormatting sqref="P166:R169">
    <cfRule type="cellIs" dxfId="246" priority="3209" stopIfTrue="1" operator="notEqual">
      <formula>INDIRECT("Dummy_for_Comparison2!"&amp;ADDRESS(ROW(),COLUMN()))</formula>
    </cfRule>
  </conditionalFormatting>
  <conditionalFormatting sqref="P174:R177">
    <cfRule type="cellIs" dxfId="245" priority="3208" stopIfTrue="1" operator="notEqual">
      <formula>INDIRECT("Dummy_for_Comparison2!"&amp;ADDRESS(ROW(),COLUMN()))</formula>
    </cfRule>
  </conditionalFormatting>
  <conditionalFormatting sqref="P182:R185">
    <cfRule type="cellIs" dxfId="244" priority="3207" stopIfTrue="1" operator="notEqual">
      <formula>INDIRECT("Dummy_for_Comparison2!"&amp;ADDRESS(ROW(),COLUMN()))</formula>
    </cfRule>
  </conditionalFormatting>
  <conditionalFormatting sqref="P194:R199">
    <cfRule type="cellIs" dxfId="243" priority="454" stopIfTrue="1" operator="notEqual">
      <formula>INDIRECT("Dummy_for_Comparison2!"&amp;ADDRESS(ROW(),COLUMN()))</formula>
    </cfRule>
  </conditionalFormatting>
  <conditionalFormatting sqref="P212:R212">
    <cfRule type="cellIs" dxfId="242" priority="3167" stopIfTrue="1" operator="notEqual">
      <formula>INDIRECT("Dummy_for_Comparison2!"&amp;ADDRESS(ROW(),COLUMN()))</formula>
    </cfRule>
  </conditionalFormatting>
  <conditionalFormatting sqref="P233:R233">
    <cfRule type="cellIs" dxfId="241" priority="3160" stopIfTrue="1" operator="notEqual">
      <formula>INDIRECT("Dummy_for_Comparison2!"&amp;ADDRESS(ROW(),COLUMN()))</formula>
    </cfRule>
  </conditionalFormatting>
  <conditionalFormatting sqref="P251:R251">
    <cfRule type="cellIs" dxfId="240" priority="3157" stopIfTrue="1" operator="notEqual">
      <formula>INDIRECT("Dummy_for_Comparison2!"&amp;ADDRESS(ROW(),COLUMN()))</formula>
    </cfRule>
  </conditionalFormatting>
  <conditionalFormatting sqref="P256:R256">
    <cfRule type="cellIs" dxfId="239" priority="3154" stopIfTrue="1" operator="notEqual">
      <formula>INDIRECT("Dummy_for_Comparison2!"&amp;ADDRESS(ROW(),COLUMN()))</formula>
    </cfRule>
  </conditionalFormatting>
  <conditionalFormatting sqref="P261:R264">
    <cfRule type="cellIs" dxfId="238" priority="449" stopIfTrue="1" operator="notEqual">
      <formula>INDIRECT("Dummy_for_Comparison2!"&amp;ADDRESS(ROW(),COLUMN()))</formula>
    </cfRule>
  </conditionalFormatting>
  <conditionalFormatting sqref="P345:R348">
    <cfRule type="cellIs" dxfId="237" priority="4143" stopIfTrue="1" operator="notEqual">
      <formula>INDIRECT("Dummy_for_Comparison2!"&amp;ADDRESS(ROW(),COLUMN()))</formula>
    </cfRule>
  </conditionalFormatting>
  <conditionalFormatting sqref="P350:R352">
    <cfRule type="cellIs" dxfId="236" priority="3" stopIfTrue="1" operator="notEqual">
      <formula>INDIRECT("Dummy_for_Comparison2!"&amp;ADDRESS(ROW(),COLUMN()))</formula>
    </cfRule>
  </conditionalFormatting>
  <conditionalFormatting sqref="P395:R395">
    <cfRule type="cellIs" dxfId="235" priority="2529" stopIfTrue="1" operator="notEqual">
      <formula>INDIRECT("Dummy_for_Comparison2!"&amp;ADDRESS(ROW(),COLUMN()))</formula>
    </cfRule>
  </conditionalFormatting>
  <conditionalFormatting sqref="P406:R406">
    <cfRule type="cellIs" dxfId="234" priority="2484" stopIfTrue="1" operator="notEqual">
      <formula>INDIRECT("Dummy_for_Comparison2!"&amp;ADDRESS(ROW(),COLUMN()))</formula>
    </cfRule>
  </conditionalFormatting>
  <conditionalFormatting sqref="P417:R417">
    <cfRule type="cellIs" dxfId="233" priority="2439" stopIfTrue="1" operator="notEqual">
      <formula>INDIRECT("Dummy_for_Comparison2!"&amp;ADDRESS(ROW(),COLUMN()))</formula>
    </cfRule>
  </conditionalFormatting>
  <conditionalFormatting sqref="P428:R428">
    <cfRule type="cellIs" dxfId="232" priority="2394" stopIfTrue="1" operator="notEqual">
      <formula>INDIRECT("Dummy_for_Comparison2!"&amp;ADDRESS(ROW(),COLUMN()))</formula>
    </cfRule>
  </conditionalFormatting>
  <conditionalFormatting sqref="P439:R439">
    <cfRule type="cellIs" dxfId="231" priority="2349" stopIfTrue="1" operator="notEqual">
      <formula>INDIRECT("Dummy_for_Comparison2!"&amp;ADDRESS(ROW(),COLUMN()))</formula>
    </cfRule>
  </conditionalFormatting>
  <conditionalFormatting sqref="P450:R450">
    <cfRule type="cellIs" dxfId="230" priority="2304" stopIfTrue="1" operator="notEqual">
      <formula>INDIRECT("Dummy_for_Comparison2!"&amp;ADDRESS(ROW(),COLUMN()))</formula>
    </cfRule>
  </conditionalFormatting>
  <conditionalFormatting sqref="P461:R461">
    <cfRule type="cellIs" dxfId="229" priority="2259" stopIfTrue="1" operator="notEqual">
      <formula>INDIRECT("Dummy_for_Comparison2!"&amp;ADDRESS(ROW(),COLUMN()))</formula>
    </cfRule>
  </conditionalFormatting>
  <conditionalFormatting sqref="P472:R472">
    <cfRule type="cellIs" dxfId="228" priority="2214" stopIfTrue="1" operator="notEqual">
      <formula>INDIRECT("Dummy_for_Comparison2!"&amp;ADDRESS(ROW(),COLUMN()))</formula>
    </cfRule>
  </conditionalFormatting>
  <conditionalFormatting sqref="P483:R483">
    <cfRule type="cellIs" dxfId="227" priority="2169" stopIfTrue="1" operator="notEqual">
      <formula>INDIRECT("Dummy_for_Comparison2!"&amp;ADDRESS(ROW(),COLUMN()))</formula>
    </cfRule>
  </conditionalFormatting>
  <conditionalFormatting sqref="P494:R494">
    <cfRule type="cellIs" dxfId="226" priority="2124" stopIfTrue="1" operator="notEqual">
      <formula>INDIRECT("Dummy_for_Comparison2!"&amp;ADDRESS(ROW(),COLUMN()))</formula>
    </cfRule>
  </conditionalFormatting>
  <conditionalFormatting sqref="P505:R505">
    <cfRule type="cellIs" dxfId="225" priority="2079" stopIfTrue="1" operator="notEqual">
      <formula>INDIRECT("Dummy_for_Comparison2!"&amp;ADDRESS(ROW(),COLUMN()))</formula>
    </cfRule>
  </conditionalFormatting>
  <conditionalFormatting sqref="P516:R516">
    <cfRule type="cellIs" dxfId="224" priority="2034" stopIfTrue="1" operator="notEqual">
      <formula>INDIRECT("Dummy_for_Comparison2!"&amp;ADDRESS(ROW(),COLUMN()))</formula>
    </cfRule>
  </conditionalFormatting>
  <conditionalFormatting sqref="P527:R527">
    <cfRule type="cellIs" dxfId="223" priority="1989" stopIfTrue="1" operator="notEqual">
      <formula>INDIRECT("Dummy_for_Comparison2!"&amp;ADDRESS(ROW(),COLUMN()))</formula>
    </cfRule>
  </conditionalFormatting>
  <conditionalFormatting sqref="P538:R538">
    <cfRule type="cellIs" dxfId="222" priority="1944" stopIfTrue="1" operator="notEqual">
      <formula>INDIRECT("Dummy_for_Comparison2!"&amp;ADDRESS(ROW(),COLUMN()))</formula>
    </cfRule>
  </conditionalFormatting>
  <conditionalFormatting sqref="P36:T37">
    <cfRule type="cellIs" dxfId="221" priority="474" stopIfTrue="1" operator="notEqual">
      <formula>INDIRECT("Dummy_for_Comparison2!"&amp;ADDRESS(ROW(),COLUMN()))</formula>
    </cfRule>
  </conditionalFormatting>
  <conditionalFormatting sqref="P200:T200">
    <cfRule type="cellIs" dxfId="220" priority="4788" stopIfTrue="1" operator="notEqual">
      <formula>INDIRECT("Dummy_for_Comparison2!"&amp;ADDRESS(ROW(),COLUMN()))</formula>
    </cfRule>
  </conditionalFormatting>
  <conditionalFormatting sqref="P217:T217">
    <cfRule type="cellIs" dxfId="219" priority="4782" stopIfTrue="1" operator="notEqual">
      <formula>INDIRECT("Dummy_for_Comparison2!"&amp;ADDRESS(ROW(),COLUMN()))</formula>
    </cfRule>
  </conditionalFormatting>
  <conditionalFormatting sqref="P219:T219">
    <cfRule type="cellIs" dxfId="218" priority="4786" stopIfTrue="1" operator="notEqual">
      <formula>INDIRECT("Dummy_for_Comparison2!"&amp;ADDRESS(ROW(),COLUMN()))</formula>
    </cfRule>
  </conditionalFormatting>
  <conditionalFormatting sqref="P225:T225">
    <cfRule type="cellIs" dxfId="217" priority="4755" stopIfTrue="1" operator="notEqual">
      <formula>INDIRECT("Dummy_for_Comparison2!"&amp;ADDRESS(ROW(),COLUMN()))</formula>
    </cfRule>
  </conditionalFormatting>
  <conditionalFormatting sqref="P237:T237">
    <cfRule type="cellIs" dxfId="216" priority="4455" stopIfTrue="1" operator="notEqual">
      <formula>INDIRECT("Dummy_for_Comparison2!"&amp;ADDRESS(ROW(),COLUMN()))</formula>
    </cfRule>
  </conditionalFormatting>
  <conditionalFormatting sqref="P265:T265">
    <cfRule type="cellIs" dxfId="215" priority="637" stopIfTrue="1" operator="notEqual">
      <formula>INDIRECT("Dummy_for_Comparison2!"&amp;ADDRESS(ROW(),COLUMN()))</formula>
    </cfRule>
  </conditionalFormatting>
  <conditionalFormatting sqref="P213:XFD216">
    <cfRule type="cellIs" dxfId="214" priority="4781" stopIfTrue="1" operator="notEqual">
      <formula>INDIRECT("Dummy_for_Comparison2!"&amp;ADDRESS(ROW(),COLUMN()))</formula>
    </cfRule>
  </conditionalFormatting>
  <conditionalFormatting sqref="P234:XFD236">
    <cfRule type="cellIs" dxfId="213" priority="451" stopIfTrue="1" operator="notEqual">
      <formula>INDIRECT("Dummy_for_Comparison2!"&amp;ADDRESS(ROW(),COLUMN()))</formula>
    </cfRule>
  </conditionalFormatting>
  <conditionalFormatting sqref="P248:XFD249">
    <cfRule type="cellIs" dxfId="212" priority="1257" stopIfTrue="1" operator="notEqual">
      <formula>INDIRECT("Dummy_for_Comparison2!"&amp;ADDRESS(ROW(),COLUMN()))</formula>
    </cfRule>
  </conditionalFormatting>
  <conditionalFormatting sqref="P252:XFD254">
    <cfRule type="cellIs" dxfId="211" priority="1256" stopIfTrue="1" operator="notEqual">
      <formula>INDIRECT("Dummy_for_Comparison2!"&amp;ADDRESS(ROW(),COLUMN()))</formula>
    </cfRule>
  </conditionalFormatting>
  <conditionalFormatting sqref="P257:XFD259">
    <cfRule type="cellIs" dxfId="210" priority="589" stopIfTrue="1" operator="notEqual">
      <formula>INDIRECT("Dummy_for_Comparison2!"&amp;ADDRESS(ROW(),COLUMN()))</formula>
    </cfRule>
  </conditionalFormatting>
  <conditionalFormatting sqref="Q230">
    <cfRule type="cellIs" dxfId="209" priority="601" stopIfTrue="1" operator="notEqual">
      <formula>INDIRECT("Dummy_for_Comparison2!"&amp;ADDRESS(ROW(),COLUMN()))</formula>
    </cfRule>
  </conditionalFormatting>
  <conditionalFormatting sqref="Q555:Q559">
    <cfRule type="cellIs" dxfId="208" priority="517" stopIfTrue="1" operator="notEqual">
      <formula>INDIRECT("Dummy_for_Comparison2!"&amp;ADDRESS(ROW(),COLUMN()))</formula>
    </cfRule>
  </conditionalFormatting>
  <conditionalFormatting sqref="Q564:Q566">
    <cfRule type="cellIs" dxfId="207" priority="539" stopIfTrue="1" operator="notEqual">
      <formula>INDIRECT("Dummy_for_Comparison2!"&amp;ADDRESS(ROW(),COLUMN()))</formula>
    </cfRule>
  </conditionalFormatting>
  <conditionalFormatting sqref="Q569:Q571">
    <cfRule type="cellIs" dxfId="206" priority="498" stopIfTrue="1" operator="notEqual">
      <formula>INDIRECT("Dummy_for_Comparison2!"&amp;ADDRESS(ROW(),COLUMN()))</formula>
    </cfRule>
  </conditionalFormatting>
  <conditionalFormatting sqref="Q574:Q576">
    <cfRule type="cellIs" dxfId="205" priority="479" stopIfTrue="1" operator="notEqual">
      <formula>INDIRECT("Dummy_for_Comparison2!"&amp;ADDRESS(ROW(),COLUMN()))</formula>
    </cfRule>
  </conditionalFormatting>
  <conditionalFormatting sqref="Q33:R33">
    <cfRule type="cellIs" dxfId="204" priority="5054" stopIfTrue="1" operator="notEqual">
      <formula>INDIRECT("Dummy_for_Comparison2!"&amp;ADDRESS(ROW(),COLUMN()))</formula>
    </cfRule>
  </conditionalFormatting>
  <conditionalFormatting sqref="Q34:T35">
    <cfRule type="cellIs" dxfId="203" priority="1281" stopIfTrue="1" operator="notEqual">
      <formula>INDIRECT("Dummy_for_Comparison2!"&amp;ADDRESS(ROW(),COLUMN()))</formula>
    </cfRule>
  </conditionalFormatting>
  <conditionalFormatting sqref="Q231:T231">
    <cfRule type="cellIs" dxfId="202" priority="4724" stopIfTrue="1" operator="notEqual">
      <formula>INDIRECT("Dummy_for_Comparison2!"&amp;ADDRESS(ROW(),COLUMN()))</formula>
    </cfRule>
  </conditionalFormatting>
  <conditionalFormatting sqref="R15">
    <cfRule type="cellIs" dxfId="201" priority="3271" stopIfTrue="1" operator="notEqual">
      <formula>INDIRECT("Dummy_for_Comparison2!"&amp;ADDRESS(ROW(),COLUMN()))</formula>
    </cfRule>
  </conditionalFormatting>
  <conditionalFormatting sqref="R28:R29">
    <cfRule type="cellIs" dxfId="200" priority="475" stopIfTrue="1" operator="notEqual">
      <formula>INDIRECT("Dummy_for_Comparison2!"&amp;ADDRESS(ROW(),COLUMN()))</formula>
    </cfRule>
  </conditionalFormatting>
  <conditionalFormatting sqref="R99:R100">
    <cfRule type="cellIs" dxfId="199" priority="466" stopIfTrue="1" operator="notEqual">
      <formula>INDIRECT("Dummy_for_Comparison2!"&amp;ADDRESS(ROW(),COLUMN()))</formula>
    </cfRule>
  </conditionalFormatting>
  <conditionalFormatting sqref="R105:R106">
    <cfRule type="cellIs" dxfId="198" priority="465" stopIfTrue="1" operator="notEqual">
      <formula>INDIRECT("Dummy_for_Comparison2!"&amp;ADDRESS(ROW(),COLUMN()))</formula>
    </cfRule>
  </conditionalFormatting>
  <conditionalFormatting sqref="R170:R171">
    <cfRule type="cellIs" dxfId="197" priority="457" stopIfTrue="1" operator="notEqual">
      <formula>INDIRECT("Dummy_for_Comparison2!"&amp;ADDRESS(ROW(),COLUMN()))</formula>
    </cfRule>
  </conditionalFormatting>
  <conditionalFormatting sqref="R178:R179">
    <cfRule type="cellIs" dxfId="196" priority="456" stopIfTrue="1" operator="notEqual">
      <formula>INDIRECT("Dummy_for_Comparison2!"&amp;ADDRESS(ROW(),COLUMN()))</formula>
    </cfRule>
  </conditionalFormatting>
  <conditionalFormatting sqref="R186:R187">
    <cfRule type="cellIs" dxfId="195" priority="455" stopIfTrue="1" operator="notEqual">
      <formula>INDIRECT("Dummy_for_Comparison2!"&amp;ADDRESS(ROW(),COLUMN()))</formula>
    </cfRule>
  </conditionalFormatting>
  <conditionalFormatting sqref="R221">
    <cfRule type="cellIs" dxfId="194" priority="3164" stopIfTrue="1" operator="notEqual">
      <formula>INDIRECT("Dummy_for_Comparison2!"&amp;ADDRESS(ROW(),COLUMN()))</formula>
    </cfRule>
  </conditionalFormatting>
  <conditionalFormatting sqref="R227:R230">
    <cfRule type="cellIs" dxfId="193" priority="452" stopIfTrue="1" operator="notEqual">
      <formula>INDIRECT("Dummy_for_Comparison2!"&amp;ADDRESS(ROW(),COLUMN()))</formula>
    </cfRule>
  </conditionalFormatting>
  <conditionalFormatting sqref="R239">
    <cfRule type="cellIs" dxfId="192" priority="3206" stopIfTrue="1" operator="notEqual">
      <formula>INDIRECT("Dummy_for_Comparison2!"&amp;ADDRESS(ROW(),COLUMN()))</formula>
    </cfRule>
  </conditionalFormatting>
  <conditionalFormatting sqref="R384:R386">
    <cfRule type="cellIs" dxfId="191" priority="395" stopIfTrue="1" operator="notEqual">
      <formula>INDIRECT("Dummy_for_Comparison2!"&amp;ADDRESS(ROW(),COLUMN()))</formula>
    </cfRule>
  </conditionalFormatting>
  <conditionalFormatting sqref="R396:R404">
    <cfRule type="cellIs" dxfId="190" priority="73" stopIfTrue="1" operator="notEqual">
      <formula>INDIRECT("Dummy_for_Comparison2!"&amp;ADDRESS(ROW(),COLUMN()))</formula>
    </cfRule>
  </conditionalFormatting>
  <conditionalFormatting sqref="R407:R415">
    <cfRule type="cellIs" dxfId="189" priority="71" stopIfTrue="1" operator="notEqual">
      <formula>INDIRECT("Dummy_for_Comparison2!"&amp;ADDRESS(ROW(),COLUMN()))</formula>
    </cfRule>
  </conditionalFormatting>
  <conditionalFormatting sqref="R418:R426">
    <cfRule type="cellIs" dxfId="188" priority="69" stopIfTrue="1" operator="notEqual">
      <formula>INDIRECT("Dummy_for_Comparison2!"&amp;ADDRESS(ROW(),COLUMN()))</formula>
    </cfRule>
  </conditionalFormatting>
  <conditionalFormatting sqref="R429:R437">
    <cfRule type="cellIs" dxfId="187" priority="67" stopIfTrue="1" operator="notEqual">
      <formula>INDIRECT("Dummy_for_Comparison2!"&amp;ADDRESS(ROW(),COLUMN()))</formula>
    </cfRule>
  </conditionalFormatting>
  <conditionalFormatting sqref="R440:R448">
    <cfRule type="cellIs" dxfId="186" priority="65" stopIfTrue="1" operator="notEqual">
      <formula>INDIRECT("Dummy_for_Comparison2!"&amp;ADDRESS(ROW(),COLUMN()))</formula>
    </cfRule>
  </conditionalFormatting>
  <conditionalFormatting sqref="R451:R459">
    <cfRule type="cellIs" dxfId="185" priority="63" stopIfTrue="1" operator="notEqual">
      <formula>INDIRECT("Dummy_for_Comparison2!"&amp;ADDRESS(ROW(),COLUMN()))</formula>
    </cfRule>
  </conditionalFormatting>
  <conditionalFormatting sqref="R462:R470">
    <cfRule type="cellIs" dxfId="184" priority="61" stopIfTrue="1" operator="notEqual">
      <formula>INDIRECT("Dummy_for_Comparison2!"&amp;ADDRESS(ROW(),COLUMN()))</formula>
    </cfRule>
  </conditionalFormatting>
  <conditionalFormatting sqref="R473:R481">
    <cfRule type="cellIs" dxfId="183" priority="59" stopIfTrue="1" operator="notEqual">
      <formula>INDIRECT("Dummy_for_Comparison2!"&amp;ADDRESS(ROW(),COLUMN()))</formula>
    </cfRule>
  </conditionalFormatting>
  <conditionalFormatting sqref="R484:R492">
    <cfRule type="cellIs" dxfId="182" priority="57" stopIfTrue="1" operator="notEqual">
      <formula>INDIRECT("Dummy_for_Comparison2!"&amp;ADDRESS(ROW(),COLUMN()))</formula>
    </cfRule>
  </conditionalFormatting>
  <conditionalFormatting sqref="R495:R503">
    <cfRule type="cellIs" dxfId="181" priority="55" stopIfTrue="1" operator="notEqual">
      <formula>INDIRECT("Dummy_for_Comparison2!"&amp;ADDRESS(ROW(),COLUMN()))</formula>
    </cfRule>
  </conditionalFormatting>
  <conditionalFormatting sqref="R506:R514">
    <cfRule type="cellIs" dxfId="180" priority="53" stopIfTrue="1" operator="notEqual">
      <formula>INDIRECT("Dummy_for_Comparison2!"&amp;ADDRESS(ROW(),COLUMN()))</formula>
    </cfRule>
  </conditionalFormatting>
  <conditionalFormatting sqref="R517:R525">
    <cfRule type="cellIs" dxfId="179" priority="51" stopIfTrue="1" operator="notEqual">
      <formula>INDIRECT("Dummy_for_Comparison2!"&amp;ADDRESS(ROW(),COLUMN()))</formula>
    </cfRule>
  </conditionalFormatting>
  <conditionalFormatting sqref="R528:R536">
    <cfRule type="cellIs" dxfId="178" priority="49" stopIfTrue="1" operator="notEqual">
      <formula>INDIRECT("Dummy_for_Comparison2!"&amp;ADDRESS(ROW(),COLUMN()))</formula>
    </cfRule>
  </conditionalFormatting>
  <conditionalFormatting sqref="R539:R547">
    <cfRule type="cellIs" dxfId="177" priority="47" stopIfTrue="1" operator="notEqual">
      <formula>INDIRECT("Dummy_for_Comparison2!"&amp;ADDRESS(ROW(),COLUMN()))</formula>
    </cfRule>
  </conditionalFormatting>
  <conditionalFormatting sqref="R552:R559">
    <cfRule type="cellIs" dxfId="176" priority="522" stopIfTrue="1" operator="notEqual">
      <formula>INDIRECT("Dummy_for_Comparison2!"&amp;ADDRESS(ROW(),COLUMN()))</formula>
    </cfRule>
  </conditionalFormatting>
  <conditionalFormatting sqref="R561:R576">
    <cfRule type="cellIs" dxfId="175" priority="487" stopIfTrue="1" operator="notEqual">
      <formula>INDIRECT("Dummy_for_Comparison2!"&amp;ADDRESS(ROW(),COLUMN()))</formula>
    </cfRule>
  </conditionalFormatting>
  <conditionalFormatting sqref="R17:T23">
    <cfRule type="cellIs" dxfId="174" priority="1444" stopIfTrue="1" operator="notEqual">
      <formula>INDIRECT("Dummy_for_Comparison2!"&amp;ADDRESS(ROW(),COLUMN()))</formula>
    </cfRule>
  </conditionalFormatting>
  <conditionalFormatting sqref="R222:XFD223">
    <cfRule type="cellIs" dxfId="173" priority="453" stopIfTrue="1" operator="notEqual">
      <formula>INDIRECT("Dummy_for_Comparison2!"&amp;ADDRESS(ROW(),COLUMN()))</formula>
    </cfRule>
  </conditionalFormatting>
  <conditionalFormatting sqref="R240:XFD247">
    <cfRule type="cellIs" dxfId="172" priority="406" stopIfTrue="1" operator="notEqual">
      <formula>INDIRECT("Dummy_for_Comparison2!"&amp;ADDRESS(ROW(),COLUMN()))</formula>
    </cfRule>
  </conditionalFormatting>
  <conditionalFormatting sqref="S97:T100 V97:XFD101 R101:T101">
    <cfRule type="cellIs" dxfId="171" priority="4820" stopIfTrue="1" operator="notEqual">
      <formula>INDIRECT("Dummy_for_Comparison2!"&amp;ADDRESS(ROW(),COLUMN()))</formula>
    </cfRule>
  </conditionalFormatting>
  <conditionalFormatting sqref="S103:T106 V103:XFD107 R107:T107">
    <cfRule type="cellIs" dxfId="170" priority="4807" stopIfTrue="1" operator="notEqual">
      <formula>INDIRECT("Dummy_for_Comparison2!"&amp;ADDRESS(ROW(),COLUMN()))</formula>
    </cfRule>
  </conditionalFormatting>
  <conditionalFormatting sqref="S166:T171 V166:XFD172 R172:T172">
    <cfRule type="cellIs" dxfId="169" priority="4368" stopIfTrue="1" operator="notEqual">
      <formula>INDIRECT("Dummy_for_Comparison2!"&amp;ADDRESS(ROW(),COLUMN()))</formula>
    </cfRule>
  </conditionalFormatting>
  <conditionalFormatting sqref="S174:T179 V174:XFD180 R180:T180">
    <cfRule type="cellIs" dxfId="168" priority="4367" stopIfTrue="1" operator="notEqual">
      <formula>INDIRECT("Dummy_for_Comparison2!"&amp;ADDRESS(ROW(),COLUMN()))</formula>
    </cfRule>
  </conditionalFormatting>
  <conditionalFormatting sqref="S182:T187 V182:XFD188 R188:T188">
    <cfRule type="cellIs" dxfId="167" priority="4343" stopIfTrue="1" operator="notEqual">
      <formula>INDIRECT("Dummy_for_Comparison2!"&amp;ADDRESS(ROW(),COLUMN()))</formula>
    </cfRule>
  </conditionalFormatting>
  <conditionalFormatting sqref="S196:T199 V196:XFD200">
    <cfRule type="cellIs" dxfId="166" priority="4789" stopIfTrue="1" operator="notEqual">
      <formula>INDIRECT("Dummy_for_Comparison2!"&amp;ADDRESS(ROW(),COLUMN()))</formula>
    </cfRule>
  </conditionalFormatting>
  <conditionalFormatting sqref="S191:XFD191">
    <cfRule type="cellIs" dxfId="165" priority="4777" stopIfTrue="1" operator="notEqual">
      <formula>INDIRECT("Dummy_for_Comparison2!"&amp;ADDRESS(ROW(),COLUMN()))</formula>
    </cfRule>
  </conditionalFormatting>
  <conditionalFormatting sqref="S211:XFD212 P218:XFD218">
    <cfRule type="cellIs" dxfId="164" priority="4799" stopIfTrue="1" operator="notEqual">
      <formula>INDIRECT("Dummy_for_Comparison2!"&amp;ADDRESS(ROW(),COLUMN()))</formula>
    </cfRule>
  </conditionalFormatting>
  <conditionalFormatting sqref="S220:XFD221 P224:XFD224">
    <cfRule type="cellIs" dxfId="163" priority="4758" stopIfTrue="1" operator="notEqual">
      <formula>INDIRECT("Dummy_for_Comparison2!"&amp;ADDRESS(ROW(),COLUMN()))</formula>
    </cfRule>
  </conditionalFormatting>
  <conditionalFormatting sqref="S226:XFD230">
    <cfRule type="cellIs" dxfId="162" priority="643" stopIfTrue="1" operator="notEqual">
      <formula>INDIRECT("Dummy_for_Comparison2!"&amp;ADDRESS(ROW(),COLUMN()))</formula>
    </cfRule>
  </conditionalFormatting>
  <conditionalFormatting sqref="S232:XFD233">
    <cfRule type="cellIs" dxfId="161" priority="4458" stopIfTrue="1" operator="notEqual">
      <formula>INDIRECT("Dummy_for_Comparison2!"&amp;ADDRESS(ROW(),COLUMN()))</formula>
    </cfRule>
  </conditionalFormatting>
  <conditionalFormatting sqref="S238:XFD239">
    <cfRule type="cellIs" dxfId="160" priority="4423" stopIfTrue="1" operator="notEqual">
      <formula>INDIRECT("Dummy_for_Comparison2!"&amp;ADDRESS(ROW(),COLUMN()))</formula>
    </cfRule>
  </conditionalFormatting>
  <conditionalFormatting sqref="S250:XFD251">
    <cfRule type="cellIs" dxfId="159" priority="4181" stopIfTrue="1" operator="notEqual">
      <formula>INDIRECT("Dummy_for_Comparison2!"&amp;ADDRESS(ROW(),COLUMN()))</formula>
    </cfRule>
  </conditionalFormatting>
  <conditionalFormatting sqref="S255:XFD256">
    <cfRule type="cellIs" dxfId="158" priority="4165" stopIfTrue="1" operator="notEqual">
      <formula>INDIRECT("Dummy_for_Comparison2!"&amp;ADDRESS(ROW(),COLUMN()))</formula>
    </cfRule>
  </conditionalFormatting>
  <conditionalFormatting sqref="S260:XFD264">
    <cfRule type="cellIs" dxfId="157" priority="634" stopIfTrue="1" operator="notEqual">
      <formula>INDIRECT("Dummy_for_Comparison2!"&amp;ADDRESS(ROW(),COLUMN()))</formula>
    </cfRule>
  </conditionalFormatting>
  <conditionalFormatting sqref="S343:XFD348">
    <cfRule type="cellIs" dxfId="156" priority="4147" stopIfTrue="1" operator="notEqual">
      <formula>INDIRECT("Dummy_for_Comparison2!"&amp;ADDRESS(ROW(),COLUMN()))</formula>
    </cfRule>
  </conditionalFormatting>
  <conditionalFormatting sqref="S350:XFD379">
    <cfRule type="cellIs" dxfId="155" priority="4016" stopIfTrue="1" operator="notEqual">
      <formula>INDIRECT("Dummy_for_Comparison2!"&amp;ADDRESS(ROW(),COLUMN()))</formula>
    </cfRule>
  </conditionalFormatting>
  <conditionalFormatting sqref="S382:XFD386">
    <cfRule type="cellIs" dxfId="154" priority="404" stopIfTrue="1" operator="notEqual">
      <formula>INDIRECT("Dummy_for_Comparison2!"&amp;ADDRESS(ROW(),COLUMN()))</formula>
    </cfRule>
  </conditionalFormatting>
  <conditionalFormatting sqref="S394:XFD547">
    <cfRule type="cellIs" dxfId="153" priority="85" stopIfTrue="1" operator="notEqual">
      <formula>INDIRECT("Dummy_for_Comparison2!"&amp;ADDRESS(ROW(),COLUMN()))</formula>
    </cfRule>
  </conditionalFormatting>
  <conditionalFormatting sqref="S550:XFD576">
    <cfRule type="cellIs" dxfId="152" priority="496" stopIfTrue="1" operator="notEqual">
      <formula>INDIRECT("Dummy_for_Comparison2!"&amp;ADDRESS(ROW(),COLUMN()))</formula>
    </cfRule>
  </conditionalFormatting>
  <conditionalFormatting sqref="T32:T33">
    <cfRule type="cellIs" dxfId="151" priority="5060" stopIfTrue="1" operator="notEqual">
      <formula>INDIRECT("Dummy_for_Comparison2!"&amp;ADDRESS(ROW(),COLUMN()))</formula>
    </cfRule>
  </conditionalFormatting>
  <conditionalFormatting sqref="T194:T195">
    <cfRule type="cellIs" dxfId="150" priority="4795" stopIfTrue="1" operator="notEqual">
      <formula>INDIRECT("Dummy_for_Comparison2!"&amp;ADDRESS(ROW(),COLUMN()))</formula>
    </cfRule>
  </conditionalFormatting>
  <conditionalFormatting sqref="U201:XFD210">
    <cfRule type="cellIs" dxfId="149" priority="1404" stopIfTrue="1" operator="notEqual">
      <formula>INDIRECT("Dummy_for_Comparison2!"&amp;ADDRESS(ROW(),COLUMN()))</formula>
    </cfRule>
  </conditionalFormatting>
  <conditionalFormatting sqref="V6:XFD23 P16:T16">
    <cfRule type="cellIs" dxfId="148" priority="4991" stopIfTrue="1" operator="notEqual">
      <formula>INDIRECT("Dummy_for_Comparison2!"&amp;ADDRESS(ROW(),COLUMN()))</formula>
    </cfRule>
  </conditionalFormatting>
  <conditionalFormatting sqref="V25:XFD30 R30:T30">
    <cfRule type="cellIs" dxfId="147" priority="4990" stopIfTrue="1" operator="notEqual">
      <formula>INDIRECT("Dummy_for_Comparison2!"&amp;ADDRESS(ROW(),COLUMN()))</formula>
    </cfRule>
  </conditionalFormatting>
  <conditionalFormatting sqref="V36:XFD37">
    <cfRule type="cellIs" dxfId="146" priority="4989" stopIfTrue="1" operator="notEqual">
      <formula>INDIRECT("Dummy_for_Comparison2!"&amp;ADDRESS(ROW(),COLUMN()))</formula>
    </cfRule>
  </conditionalFormatting>
  <conditionalFormatting sqref="V39:XFD46">
    <cfRule type="cellIs" dxfId="145" priority="4988" stopIfTrue="1" operator="notEqual">
      <formula>INDIRECT("Dummy_for_Comparison2!"&amp;ADDRESS(ROW(),COLUMN()))</formula>
    </cfRule>
  </conditionalFormatting>
  <conditionalFormatting sqref="V48:XFD54">
    <cfRule type="cellIs" dxfId="144" priority="4667" stopIfTrue="1" operator="notEqual">
      <formula>INDIRECT("Dummy_for_Comparison2!"&amp;ADDRESS(ROW(),COLUMN()))</formula>
    </cfRule>
  </conditionalFormatting>
  <conditionalFormatting sqref="V56:XFD62">
    <cfRule type="cellIs" dxfId="143" priority="4766" stopIfTrue="1" operator="notEqual">
      <formula>INDIRECT("Dummy_for_Comparison2!"&amp;ADDRESS(ROW(),COLUMN()))</formula>
    </cfRule>
  </conditionalFormatting>
  <conditionalFormatting sqref="V64:XFD70">
    <cfRule type="cellIs" dxfId="142" priority="4987" stopIfTrue="1" operator="notEqual">
      <formula>INDIRECT("Dummy_for_Comparison2!"&amp;ADDRESS(ROW(),COLUMN()))</formula>
    </cfRule>
  </conditionalFormatting>
  <conditionalFormatting sqref="V72:XFD78">
    <cfRule type="cellIs" dxfId="141" priority="4957" stopIfTrue="1" operator="notEqual">
      <formula>INDIRECT("Dummy_for_Comparison2!"&amp;ADDRESS(ROW(),COLUMN()))</formula>
    </cfRule>
  </conditionalFormatting>
  <conditionalFormatting sqref="V80:XFD87">
    <cfRule type="cellIs" dxfId="140" priority="4986" stopIfTrue="1" operator="notEqual">
      <formula>INDIRECT("Dummy_for_Comparison2!"&amp;ADDRESS(ROW(),COLUMN()))</formula>
    </cfRule>
  </conditionalFormatting>
  <conditionalFormatting sqref="V89:XFD95">
    <cfRule type="cellIs" dxfId="139" priority="4985" stopIfTrue="1" operator="notEqual">
      <formula>INDIRECT("Dummy_for_Comparison2!"&amp;ADDRESS(ROW(),COLUMN()))</formula>
    </cfRule>
  </conditionalFormatting>
  <conditionalFormatting sqref="V113:XFD120">
    <cfRule type="cellIs" dxfId="138" priority="4984" stopIfTrue="1" operator="notEqual">
      <formula>INDIRECT("Dummy_for_Comparison2!"&amp;ADDRESS(ROW(),COLUMN()))</formula>
    </cfRule>
  </conditionalFormatting>
  <conditionalFormatting sqref="V122:XFD128">
    <cfRule type="cellIs" dxfId="137" priority="4983" stopIfTrue="1" operator="notEqual">
      <formula>INDIRECT("Dummy_for_Comparison2!"&amp;ADDRESS(ROW(),COLUMN()))</formula>
    </cfRule>
  </conditionalFormatting>
  <conditionalFormatting sqref="V130:XFD134">
    <cfRule type="cellIs" dxfId="136" priority="4982" stopIfTrue="1" operator="notEqual">
      <formula>INDIRECT("Dummy_for_Comparison2!"&amp;ADDRESS(ROW(),COLUMN()))</formula>
    </cfRule>
  </conditionalFormatting>
  <conditionalFormatting sqref="V136:XFD142">
    <cfRule type="cellIs" dxfId="135" priority="4981" stopIfTrue="1" operator="notEqual">
      <formula>INDIRECT("Dummy_for_Comparison2!"&amp;ADDRESS(ROW(),COLUMN()))</formula>
    </cfRule>
  </conditionalFormatting>
  <conditionalFormatting sqref="V144:XFD148">
    <cfRule type="cellIs" dxfId="134" priority="4980" stopIfTrue="1" operator="notEqual">
      <formula>INDIRECT("Dummy_for_Comparison2!"&amp;ADDRESS(ROW(),COLUMN()))</formula>
    </cfRule>
  </conditionalFormatting>
  <conditionalFormatting sqref="V150:XFD156">
    <cfRule type="cellIs" dxfId="133" priority="4979" stopIfTrue="1" operator="notEqual">
      <formula>INDIRECT("Dummy_for_Comparison2!"&amp;ADDRESS(ROW(),COLUMN()))</formula>
    </cfRule>
  </conditionalFormatting>
  <conditionalFormatting sqref="V158:XFD164">
    <cfRule type="cellIs" dxfId="132" priority="4978" stopIfTrue="1" operator="notEqual">
      <formula>INDIRECT("Dummy_for_Comparison2!"&amp;ADDRESS(ROW(),COLUMN()))</formula>
    </cfRule>
  </conditionalFormatting>
  <conditionalFormatting sqref="V217:XFD217">
    <cfRule type="cellIs" dxfId="131" priority="4783" stopIfTrue="1" operator="notEqual">
      <formula>INDIRECT("Dummy_for_Comparison2!"&amp;ADDRESS(ROW(),COLUMN()))</formula>
    </cfRule>
  </conditionalFormatting>
  <conditionalFormatting sqref="V219:XFD219">
    <cfRule type="cellIs" dxfId="130" priority="4787" stopIfTrue="1" operator="notEqual">
      <formula>INDIRECT("Dummy_for_Comparison2!"&amp;ADDRESS(ROW(),COLUMN()))</formula>
    </cfRule>
  </conditionalFormatting>
  <conditionalFormatting sqref="V225:XFD227 S226:T227">
    <cfRule type="cellIs" dxfId="129" priority="4756" stopIfTrue="1" operator="notEqual">
      <formula>INDIRECT("Dummy_for_Comparison2!"&amp;ADDRESS(ROW(),COLUMN()))</formula>
    </cfRule>
  </conditionalFormatting>
  <conditionalFormatting sqref="V231:XFD231">
    <cfRule type="cellIs" dxfId="128" priority="4725" stopIfTrue="1" operator="notEqual">
      <formula>INDIRECT("Dummy_for_Comparison2!"&amp;ADDRESS(ROW(),COLUMN()))</formula>
    </cfRule>
  </conditionalFormatting>
  <conditionalFormatting sqref="V237:XFD237">
    <cfRule type="cellIs" dxfId="127" priority="4456" stopIfTrue="1" operator="notEqual">
      <formula>INDIRECT("Dummy_for_Comparison2!"&amp;ADDRESS(ROW(),COLUMN()))</formula>
    </cfRule>
  </conditionalFormatting>
  <conditionalFormatting sqref="V265:XFD265">
    <cfRule type="cellIs" dxfId="126" priority="638" stopIfTrue="1" operator="notEqual">
      <formula>INDIRECT("Dummy_for_Comparison2!"&amp;ADDRESS(ROW(),COLUMN()))</formula>
    </cfRule>
  </conditionalFormatting>
  <pageMargins left="0.7" right="0.7" top="0.75" bottom="0.75" header="0.3" footer="0.3"/>
  <pageSetup paperSize="9" orientation="portrait" r:id="rId1"/>
  <headerFooter>
    <oddFooter>&amp;C_x000D_&amp;1#&amp;"Calibri"&amp;6&amp;K626469 General</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HT476"/>
  <sheetViews>
    <sheetView zoomScale="62" zoomScaleNormal="60" workbookViewId="0">
      <pane ySplit="2" topLeftCell="A3" activePane="bottomLeft" state="frozen"/>
      <selection pane="bottomLeft" activeCell="K9" sqref="K9"/>
    </sheetView>
  </sheetViews>
  <sheetFormatPr defaultColWidth="9.44140625" defaultRowHeight="15.6" x14ac:dyDescent="0.3"/>
  <cols>
    <col min="1" max="1" width="9.44140625" style="6"/>
    <col min="2" max="2" width="39.5546875" style="46" bestFit="1" customWidth="1"/>
    <col min="3" max="3" width="14.5546875" style="21" customWidth="1"/>
    <col min="4" max="4" width="11" style="47" customWidth="1"/>
    <col min="5" max="5" width="12" style="8" customWidth="1"/>
    <col min="6" max="6" width="17.44140625" style="8" bestFit="1" customWidth="1"/>
    <col min="7" max="7" width="12.5546875" style="8" bestFit="1" customWidth="1"/>
    <col min="8" max="8" width="12.77734375" style="8" bestFit="1" customWidth="1"/>
    <col min="9" max="9" width="33.21875" style="8" customWidth="1"/>
    <col min="10" max="10" width="26.5546875" style="8" customWidth="1"/>
    <col min="11" max="11" width="16.5546875" style="8" customWidth="1"/>
    <col min="12" max="12" width="23.21875" style="8" bestFit="1" customWidth="1"/>
    <col min="13" max="13" width="16.5546875" style="8" customWidth="1"/>
    <col min="14" max="14" width="16.5546875" style="53" bestFit="1" customWidth="1"/>
    <col min="15" max="15" width="11.5546875" style="53" customWidth="1"/>
    <col min="16" max="16" width="12" style="53" customWidth="1"/>
    <col min="17" max="17" width="13.44140625" style="8" bestFit="1" customWidth="1"/>
    <col min="18" max="18" width="29.5546875" style="8" customWidth="1"/>
    <col min="19" max="21" width="9.44140625" style="6" customWidth="1"/>
    <col min="22" max="22" width="10.5546875" style="6" customWidth="1"/>
    <col min="23" max="23" width="11.5546875" style="6" customWidth="1"/>
    <col min="24" max="24" width="11.44140625" style="6" customWidth="1"/>
    <col min="25" max="25" width="11.5546875" style="6" customWidth="1"/>
    <col min="26" max="26" width="12.5546875" style="6" customWidth="1"/>
    <col min="27" max="27" width="13.44140625" style="6" customWidth="1"/>
    <col min="28" max="28" width="11.5546875" style="6" customWidth="1"/>
    <col min="29" max="16384" width="9.44140625" style="6"/>
  </cols>
  <sheetData>
    <row r="1" spans="2:28" ht="16.8" thickBot="1" x14ac:dyDescent="0.35">
      <c r="B1" s="22"/>
      <c r="C1" s="159"/>
      <c r="D1" s="58"/>
      <c r="E1" s="58"/>
      <c r="F1" s="63"/>
      <c r="G1" s="63"/>
      <c r="H1" s="63"/>
      <c r="I1" s="58"/>
      <c r="J1" s="58"/>
      <c r="K1" s="63"/>
      <c r="L1" s="63"/>
      <c r="M1" s="63"/>
      <c r="N1" s="52"/>
      <c r="O1" s="52"/>
      <c r="P1" s="52"/>
      <c r="Q1" s="58"/>
      <c r="R1" s="58"/>
    </row>
    <row r="2" spans="2:28" ht="36" customHeight="1" thickBot="1" x14ac:dyDescent="0.35">
      <c r="B2" s="195" t="s">
        <v>303</v>
      </c>
      <c r="C2" s="65" t="s">
        <v>304</v>
      </c>
      <c r="D2" s="65" t="s">
        <v>305</v>
      </c>
      <c r="E2" s="65" t="s">
        <v>306</v>
      </c>
      <c r="F2" s="65" t="s">
        <v>307</v>
      </c>
      <c r="G2" s="65" t="s">
        <v>308</v>
      </c>
      <c r="H2" s="65" t="s">
        <v>309</v>
      </c>
      <c r="I2" s="65" t="s">
        <v>310</v>
      </c>
      <c r="J2" s="65" t="s">
        <v>311</v>
      </c>
      <c r="K2" s="65" t="s">
        <v>745</v>
      </c>
      <c r="L2" s="65" t="s">
        <v>312</v>
      </c>
      <c r="M2" s="65" t="s">
        <v>313</v>
      </c>
      <c r="N2" s="71" t="s">
        <v>314</v>
      </c>
      <c r="O2" s="71" t="s">
        <v>315</v>
      </c>
      <c r="P2" s="65" t="s">
        <v>316</v>
      </c>
      <c r="Q2" s="65" t="s">
        <v>317</v>
      </c>
      <c r="R2" s="66" t="s">
        <v>318</v>
      </c>
    </row>
    <row r="3" spans="2:28" ht="16.2" x14ac:dyDescent="0.3">
      <c r="B3" s="83"/>
      <c r="C3" s="159"/>
      <c r="D3" s="58"/>
      <c r="E3" s="58"/>
      <c r="F3" s="63"/>
      <c r="G3" s="63"/>
      <c r="H3" s="63"/>
      <c r="I3" s="58"/>
      <c r="J3" s="58"/>
      <c r="K3" s="63"/>
      <c r="L3" s="63"/>
      <c r="M3" s="63"/>
      <c r="N3" s="52"/>
      <c r="O3" s="52"/>
      <c r="P3" s="52"/>
      <c r="Q3" s="58"/>
      <c r="R3" s="58"/>
    </row>
    <row r="4" spans="2:28" x14ac:dyDescent="0.3">
      <c r="V4" s="8"/>
      <c r="W4" s="8"/>
      <c r="X4" s="8"/>
      <c r="Y4" s="8"/>
      <c r="Z4" s="8"/>
      <c r="AA4" s="8"/>
      <c r="AB4" s="8"/>
    </row>
    <row r="5" spans="2:28" x14ac:dyDescent="0.3">
      <c r="B5" s="479" t="s">
        <v>906</v>
      </c>
      <c r="C5" s="480"/>
      <c r="D5" s="480"/>
      <c r="E5" s="480"/>
      <c r="F5" s="480"/>
      <c r="G5" s="480"/>
      <c r="H5" s="480"/>
      <c r="I5" s="480"/>
      <c r="J5" s="480"/>
      <c r="K5" s="480"/>
      <c r="L5" s="480"/>
      <c r="M5" s="480"/>
      <c r="N5" s="480"/>
      <c r="O5" s="480"/>
      <c r="P5" s="480"/>
      <c r="Q5" s="480"/>
      <c r="R5" s="481"/>
      <c r="V5" s="8"/>
      <c r="W5" s="8"/>
      <c r="X5" s="8"/>
      <c r="Y5" s="8"/>
      <c r="Z5" s="8"/>
      <c r="AA5" s="8"/>
      <c r="AB5" s="8"/>
    </row>
    <row r="6" spans="2:28" ht="356.55" customHeight="1" x14ac:dyDescent="0.3">
      <c r="B6" s="10" t="s">
        <v>907</v>
      </c>
      <c r="C6" s="10" t="s">
        <v>321</v>
      </c>
      <c r="D6" s="10">
        <v>2</v>
      </c>
      <c r="E6" s="10">
        <f>D6/2</f>
        <v>1</v>
      </c>
      <c r="F6" s="10">
        <v>1</v>
      </c>
      <c r="G6" s="117">
        <v>15</v>
      </c>
      <c r="H6" s="10">
        <v>1</v>
      </c>
      <c r="I6" s="10">
        <v>1</v>
      </c>
      <c r="J6" s="10" t="s">
        <v>418</v>
      </c>
      <c r="K6" s="10">
        <v>44376</v>
      </c>
      <c r="L6" s="10">
        <f t="shared" ref="L6:L23" si="0">K6-40000</f>
        <v>4376</v>
      </c>
      <c r="M6" s="10">
        <v>4375</v>
      </c>
      <c r="N6" s="10" t="s">
        <v>419</v>
      </c>
      <c r="O6" s="10" t="s">
        <v>327</v>
      </c>
      <c r="P6" s="10">
        <v>8</v>
      </c>
      <c r="Q6" s="10"/>
      <c r="R6" s="116" t="s">
        <v>908</v>
      </c>
      <c r="V6" s="8"/>
      <c r="W6" s="8"/>
      <c r="X6" s="8"/>
      <c r="Y6" s="8"/>
      <c r="Z6" s="8"/>
      <c r="AA6" s="8"/>
      <c r="AB6" s="8"/>
    </row>
    <row r="7" spans="2:28" x14ac:dyDescent="0.3">
      <c r="B7" s="10" t="s">
        <v>320</v>
      </c>
      <c r="C7" s="10" t="s">
        <v>321</v>
      </c>
      <c r="D7" s="10">
        <v>2</v>
      </c>
      <c r="E7" s="10">
        <f>D7/2</f>
        <v>1</v>
      </c>
      <c r="F7" s="10">
        <v>0</v>
      </c>
      <c r="G7" s="10">
        <v>0</v>
      </c>
      <c r="H7" s="10">
        <v>0</v>
      </c>
      <c r="I7" s="10">
        <v>0</v>
      </c>
      <c r="J7" s="10" t="s">
        <v>418</v>
      </c>
      <c r="K7" s="10">
        <f>K6+E6</f>
        <v>44377</v>
      </c>
      <c r="L7" s="10">
        <f t="shared" si="0"/>
        <v>4377</v>
      </c>
      <c r="M7" s="10">
        <f t="shared" ref="M7:M23" si="1">L7-1</f>
        <v>4376</v>
      </c>
      <c r="N7" s="10" t="s">
        <v>419</v>
      </c>
      <c r="O7" s="10" t="s">
        <v>327</v>
      </c>
      <c r="P7" s="10">
        <v>0</v>
      </c>
      <c r="Q7" s="10"/>
      <c r="R7" s="110"/>
      <c r="V7" s="8"/>
      <c r="W7" s="8"/>
      <c r="X7" s="8"/>
      <c r="Y7" s="8"/>
      <c r="Z7" s="8"/>
      <c r="AA7" s="8"/>
      <c r="AB7" s="8"/>
    </row>
    <row r="8" spans="2:28" ht="168.6" customHeight="1" x14ac:dyDescent="0.3">
      <c r="B8" s="10" t="s">
        <v>909</v>
      </c>
      <c r="C8" s="10" t="s">
        <v>321</v>
      </c>
      <c r="D8" s="10">
        <v>2</v>
      </c>
      <c r="E8" s="10">
        <f>D8/2</f>
        <v>1</v>
      </c>
      <c r="F8" s="10">
        <v>0</v>
      </c>
      <c r="G8" s="10">
        <v>8</v>
      </c>
      <c r="H8" s="10">
        <v>1</v>
      </c>
      <c r="I8" s="10">
        <v>1</v>
      </c>
      <c r="J8" s="10" t="s">
        <v>418</v>
      </c>
      <c r="K8" s="10">
        <f t="shared" ref="K8:K19" si="2">K7+E7</f>
        <v>44378</v>
      </c>
      <c r="L8" s="10">
        <f t="shared" si="0"/>
        <v>4378</v>
      </c>
      <c r="M8" s="10">
        <f t="shared" si="1"/>
        <v>4377</v>
      </c>
      <c r="N8" s="10" t="s">
        <v>419</v>
      </c>
      <c r="O8" s="10" t="s">
        <v>327</v>
      </c>
      <c r="P8" s="10">
        <v>0</v>
      </c>
      <c r="Q8" s="10"/>
      <c r="R8" s="110" t="s">
        <v>910</v>
      </c>
      <c r="V8" s="8"/>
      <c r="W8" s="8"/>
      <c r="X8" s="8"/>
      <c r="Y8" s="8"/>
      <c r="Z8" s="8"/>
      <c r="AA8" s="8"/>
      <c r="AB8" s="8"/>
    </row>
    <row r="9" spans="2:28" ht="255.6" customHeight="1" x14ac:dyDescent="0.3">
      <c r="B9" s="10" t="s">
        <v>911</v>
      </c>
      <c r="C9" s="10" t="s">
        <v>321</v>
      </c>
      <c r="D9" s="10">
        <v>2</v>
      </c>
      <c r="E9" s="10">
        <f t="shared" ref="E9:E19" si="3">D9/2</f>
        <v>1</v>
      </c>
      <c r="F9" s="10">
        <v>0</v>
      </c>
      <c r="G9" s="10">
        <v>10</v>
      </c>
      <c r="H9" s="10">
        <v>1</v>
      </c>
      <c r="I9" s="10">
        <v>1</v>
      </c>
      <c r="J9" s="10" t="s">
        <v>418</v>
      </c>
      <c r="K9" s="10">
        <f t="shared" si="2"/>
        <v>44379</v>
      </c>
      <c r="L9" s="10">
        <f t="shared" si="0"/>
        <v>4379</v>
      </c>
      <c r="M9" s="10">
        <f t="shared" si="1"/>
        <v>4378</v>
      </c>
      <c r="N9" s="10" t="s">
        <v>419</v>
      </c>
      <c r="O9" s="10" t="s">
        <v>327</v>
      </c>
      <c r="P9" s="10">
        <v>2</v>
      </c>
      <c r="Q9" s="10"/>
      <c r="R9" s="353" t="s">
        <v>912</v>
      </c>
      <c r="V9" s="8"/>
      <c r="W9" s="8"/>
      <c r="X9" s="8"/>
      <c r="Y9" s="8"/>
      <c r="Z9" s="8"/>
      <c r="AA9" s="8"/>
      <c r="AB9" s="8"/>
    </row>
    <row r="10" spans="2:28" ht="182.55" customHeight="1" x14ac:dyDescent="0.3">
      <c r="B10" s="10" t="s">
        <v>913</v>
      </c>
      <c r="C10" s="10" t="s">
        <v>321</v>
      </c>
      <c r="D10" s="10">
        <v>2</v>
      </c>
      <c r="E10" s="10">
        <f t="shared" si="3"/>
        <v>1</v>
      </c>
      <c r="F10" s="10">
        <v>0</v>
      </c>
      <c r="G10" s="10">
        <v>8</v>
      </c>
      <c r="H10" s="10">
        <v>1</v>
      </c>
      <c r="I10" s="10">
        <v>1</v>
      </c>
      <c r="J10" s="10" t="s">
        <v>418</v>
      </c>
      <c r="K10" s="10">
        <f t="shared" si="2"/>
        <v>44380</v>
      </c>
      <c r="L10" s="10">
        <f t="shared" si="0"/>
        <v>4380</v>
      </c>
      <c r="M10" s="10">
        <f t="shared" si="1"/>
        <v>4379</v>
      </c>
      <c r="N10" s="10" t="s">
        <v>419</v>
      </c>
      <c r="O10" s="10" t="s">
        <v>327</v>
      </c>
      <c r="P10" s="10">
        <v>0</v>
      </c>
      <c r="Q10" s="10"/>
      <c r="R10" s="110" t="s">
        <v>910</v>
      </c>
      <c r="V10" s="8"/>
      <c r="W10" s="8"/>
      <c r="X10" s="8"/>
      <c r="Y10" s="8"/>
      <c r="Z10" s="8"/>
      <c r="AA10" s="8"/>
      <c r="AB10" s="8"/>
    </row>
    <row r="11" spans="2:28" ht="236.55" customHeight="1" x14ac:dyDescent="0.3">
      <c r="B11" s="10" t="s">
        <v>914</v>
      </c>
      <c r="C11" s="10" t="s">
        <v>321</v>
      </c>
      <c r="D11" s="10">
        <v>2</v>
      </c>
      <c r="E11" s="10">
        <f t="shared" si="3"/>
        <v>1</v>
      </c>
      <c r="F11" s="10">
        <v>0</v>
      </c>
      <c r="G11" s="10">
        <v>10</v>
      </c>
      <c r="H11" s="10">
        <v>1</v>
      </c>
      <c r="I11" s="10">
        <v>1</v>
      </c>
      <c r="J11" s="10" t="s">
        <v>418</v>
      </c>
      <c r="K11" s="10">
        <f t="shared" si="2"/>
        <v>44381</v>
      </c>
      <c r="L11" s="10">
        <f t="shared" si="0"/>
        <v>4381</v>
      </c>
      <c r="M11" s="10">
        <f t="shared" si="1"/>
        <v>4380</v>
      </c>
      <c r="N11" s="10" t="s">
        <v>419</v>
      </c>
      <c r="O11" s="10" t="s">
        <v>327</v>
      </c>
      <c r="P11" s="10">
        <v>2</v>
      </c>
      <c r="Q11" s="10"/>
      <c r="R11" s="353" t="s">
        <v>912</v>
      </c>
      <c r="V11" s="8"/>
      <c r="W11" s="8"/>
      <c r="X11" s="8"/>
      <c r="Y11" s="8"/>
      <c r="Z11" s="8"/>
      <c r="AA11" s="8"/>
      <c r="AB11" s="8"/>
    </row>
    <row r="12" spans="2:28" ht="166.35" customHeight="1" x14ac:dyDescent="0.3">
      <c r="B12" s="10" t="s">
        <v>915</v>
      </c>
      <c r="C12" s="10" t="s">
        <v>321</v>
      </c>
      <c r="D12" s="10">
        <v>2</v>
      </c>
      <c r="E12" s="10">
        <f t="shared" si="3"/>
        <v>1</v>
      </c>
      <c r="F12" s="10">
        <v>0</v>
      </c>
      <c r="G12" s="10">
        <v>8</v>
      </c>
      <c r="H12" s="10">
        <v>1</v>
      </c>
      <c r="I12" s="10">
        <v>1</v>
      </c>
      <c r="J12" s="10" t="s">
        <v>418</v>
      </c>
      <c r="K12" s="10">
        <f t="shared" si="2"/>
        <v>44382</v>
      </c>
      <c r="L12" s="10">
        <f t="shared" si="0"/>
        <v>4382</v>
      </c>
      <c r="M12" s="10">
        <f t="shared" si="1"/>
        <v>4381</v>
      </c>
      <c r="N12" s="10" t="s">
        <v>419</v>
      </c>
      <c r="O12" s="10" t="s">
        <v>327</v>
      </c>
      <c r="P12" s="10">
        <v>0</v>
      </c>
      <c r="Q12" s="10"/>
      <c r="R12" s="110" t="s">
        <v>910</v>
      </c>
      <c r="V12" s="8"/>
      <c r="W12" s="8"/>
      <c r="X12" s="8"/>
      <c r="Y12" s="8"/>
      <c r="Z12" s="8"/>
      <c r="AA12" s="8"/>
      <c r="AB12" s="8"/>
    </row>
    <row r="13" spans="2:28" s="26" customFormat="1" ht="236.55" customHeight="1" x14ac:dyDescent="0.3">
      <c r="B13" s="10" t="s">
        <v>916</v>
      </c>
      <c r="C13" s="10" t="s">
        <v>321</v>
      </c>
      <c r="D13" s="10">
        <v>2</v>
      </c>
      <c r="E13" s="10">
        <f t="shared" si="3"/>
        <v>1</v>
      </c>
      <c r="F13" s="10">
        <v>0</v>
      </c>
      <c r="G13" s="10">
        <v>10</v>
      </c>
      <c r="H13" s="10">
        <v>1</v>
      </c>
      <c r="I13" s="10">
        <v>1</v>
      </c>
      <c r="J13" s="10" t="s">
        <v>418</v>
      </c>
      <c r="K13" s="10">
        <f t="shared" si="2"/>
        <v>44383</v>
      </c>
      <c r="L13" s="10">
        <f t="shared" si="0"/>
        <v>4383</v>
      </c>
      <c r="M13" s="10">
        <f t="shared" si="1"/>
        <v>4382</v>
      </c>
      <c r="N13" s="10" t="s">
        <v>419</v>
      </c>
      <c r="O13" s="10" t="s">
        <v>327</v>
      </c>
      <c r="P13" s="10">
        <v>2</v>
      </c>
      <c r="Q13" s="10"/>
      <c r="R13" s="353" t="s">
        <v>912</v>
      </c>
      <c r="S13" s="6"/>
      <c r="T13" s="56"/>
      <c r="U13" s="56"/>
      <c r="V13" s="16"/>
      <c r="W13" s="16"/>
      <c r="X13" s="16"/>
      <c r="Y13" s="16"/>
      <c r="Z13" s="56"/>
      <c r="AA13" s="56"/>
      <c r="AB13" s="56"/>
    </row>
    <row r="14" spans="2:28" s="26" customFormat="1" ht="178.35" customHeight="1" x14ac:dyDescent="0.3">
      <c r="B14" s="10" t="s">
        <v>917</v>
      </c>
      <c r="C14" s="10" t="s">
        <v>321</v>
      </c>
      <c r="D14" s="10">
        <v>2</v>
      </c>
      <c r="E14" s="10">
        <f t="shared" si="3"/>
        <v>1</v>
      </c>
      <c r="F14" s="10">
        <v>0</v>
      </c>
      <c r="G14" s="10">
        <v>8</v>
      </c>
      <c r="H14" s="10">
        <v>1</v>
      </c>
      <c r="I14" s="10">
        <v>1</v>
      </c>
      <c r="J14" s="10" t="s">
        <v>418</v>
      </c>
      <c r="K14" s="10">
        <f t="shared" si="2"/>
        <v>44384</v>
      </c>
      <c r="L14" s="10">
        <f t="shared" si="0"/>
        <v>4384</v>
      </c>
      <c r="M14" s="10">
        <f t="shared" si="1"/>
        <v>4383</v>
      </c>
      <c r="N14" s="10" t="s">
        <v>419</v>
      </c>
      <c r="O14" s="10" t="s">
        <v>327</v>
      </c>
      <c r="P14" s="10">
        <v>0</v>
      </c>
      <c r="Q14" s="10"/>
      <c r="R14" s="110" t="s">
        <v>910</v>
      </c>
      <c r="S14" s="6"/>
      <c r="T14" s="56"/>
      <c r="U14" s="56"/>
      <c r="V14" s="16"/>
      <c r="W14" s="16"/>
      <c r="X14" s="16"/>
      <c r="Y14" s="16"/>
      <c r="Z14" s="56"/>
      <c r="AA14" s="56"/>
      <c r="AB14" s="56"/>
    </row>
    <row r="15" spans="2:28" s="26" customFormat="1" ht="237.6" customHeight="1" x14ac:dyDescent="0.3">
      <c r="B15" s="10" t="s">
        <v>918</v>
      </c>
      <c r="C15" s="10" t="s">
        <v>321</v>
      </c>
      <c r="D15" s="10">
        <v>2</v>
      </c>
      <c r="E15" s="10">
        <f t="shared" si="3"/>
        <v>1</v>
      </c>
      <c r="F15" s="10">
        <v>0</v>
      </c>
      <c r="G15" s="10">
        <v>10</v>
      </c>
      <c r="H15" s="10">
        <v>1</v>
      </c>
      <c r="I15" s="10">
        <v>1</v>
      </c>
      <c r="J15" s="10" t="s">
        <v>418</v>
      </c>
      <c r="K15" s="10">
        <f t="shared" si="2"/>
        <v>44385</v>
      </c>
      <c r="L15" s="10">
        <f t="shared" si="0"/>
        <v>4385</v>
      </c>
      <c r="M15" s="10">
        <f t="shared" si="1"/>
        <v>4384</v>
      </c>
      <c r="N15" s="10" t="s">
        <v>419</v>
      </c>
      <c r="O15" s="10" t="s">
        <v>327</v>
      </c>
      <c r="P15" s="10">
        <v>2</v>
      </c>
      <c r="Q15" s="10"/>
      <c r="R15" s="353" t="s">
        <v>912</v>
      </c>
      <c r="S15" s="6"/>
      <c r="T15" s="56"/>
      <c r="U15" s="56"/>
      <c r="V15" s="16"/>
      <c r="W15" s="16"/>
      <c r="X15" s="16"/>
      <c r="Y15" s="16"/>
      <c r="Z15" s="56"/>
      <c r="AA15" s="56"/>
      <c r="AB15" s="56"/>
    </row>
    <row r="16" spans="2:28" s="26" customFormat="1" ht="180.6" customHeight="1" x14ac:dyDescent="0.3">
      <c r="B16" s="10" t="s">
        <v>919</v>
      </c>
      <c r="C16" s="10" t="s">
        <v>321</v>
      </c>
      <c r="D16" s="10">
        <v>2</v>
      </c>
      <c r="E16" s="10">
        <f t="shared" si="3"/>
        <v>1</v>
      </c>
      <c r="F16" s="10">
        <v>0</v>
      </c>
      <c r="G16" s="10">
        <v>8</v>
      </c>
      <c r="H16" s="10">
        <v>1</v>
      </c>
      <c r="I16" s="10">
        <v>1</v>
      </c>
      <c r="J16" s="10" t="s">
        <v>418</v>
      </c>
      <c r="K16" s="10">
        <f t="shared" si="2"/>
        <v>44386</v>
      </c>
      <c r="L16" s="10">
        <f t="shared" si="0"/>
        <v>4386</v>
      </c>
      <c r="M16" s="10">
        <f t="shared" si="1"/>
        <v>4385</v>
      </c>
      <c r="N16" s="10" t="s">
        <v>419</v>
      </c>
      <c r="O16" s="10" t="s">
        <v>327</v>
      </c>
      <c r="P16" s="10">
        <v>0</v>
      </c>
      <c r="Q16" s="10"/>
      <c r="R16" s="110" t="s">
        <v>910</v>
      </c>
      <c r="S16" s="6"/>
      <c r="T16" s="56"/>
      <c r="U16" s="56"/>
      <c r="V16" s="16"/>
      <c r="W16" s="16"/>
      <c r="X16" s="16"/>
      <c r="Y16" s="16"/>
      <c r="Z16" s="56"/>
      <c r="AA16" s="56"/>
      <c r="AB16" s="56"/>
    </row>
    <row r="17" spans="2:28" s="26" customFormat="1" ht="242.55" customHeight="1" x14ac:dyDescent="0.3">
      <c r="B17" s="10" t="s">
        <v>920</v>
      </c>
      <c r="C17" s="10" t="s">
        <v>321</v>
      </c>
      <c r="D17" s="10">
        <v>2</v>
      </c>
      <c r="E17" s="10">
        <f t="shared" si="3"/>
        <v>1</v>
      </c>
      <c r="F17" s="10">
        <v>0</v>
      </c>
      <c r="G17" s="10">
        <v>10</v>
      </c>
      <c r="H17" s="10">
        <v>1</v>
      </c>
      <c r="I17" s="10">
        <v>1</v>
      </c>
      <c r="J17" s="10" t="s">
        <v>418</v>
      </c>
      <c r="K17" s="10">
        <f t="shared" si="2"/>
        <v>44387</v>
      </c>
      <c r="L17" s="10">
        <f t="shared" si="0"/>
        <v>4387</v>
      </c>
      <c r="M17" s="10">
        <f t="shared" si="1"/>
        <v>4386</v>
      </c>
      <c r="N17" s="10" t="s">
        <v>419</v>
      </c>
      <c r="O17" s="10" t="s">
        <v>327</v>
      </c>
      <c r="P17" s="10">
        <v>2</v>
      </c>
      <c r="Q17" s="10"/>
      <c r="R17" s="353" t="s">
        <v>912</v>
      </c>
      <c r="S17" s="6"/>
      <c r="T17" s="56"/>
      <c r="U17" s="56"/>
      <c r="V17" s="16"/>
      <c r="W17" s="16"/>
      <c r="X17" s="16"/>
      <c r="Y17" s="16"/>
      <c r="Z17" s="56"/>
      <c r="AA17" s="56"/>
      <c r="AB17" s="56"/>
    </row>
    <row r="18" spans="2:28" s="26" customFormat="1" ht="46.8" x14ac:dyDescent="0.3">
      <c r="B18" s="10" t="s">
        <v>921</v>
      </c>
      <c r="C18" s="10" t="s">
        <v>321</v>
      </c>
      <c r="D18" s="10">
        <v>2</v>
      </c>
      <c r="E18" s="10">
        <f t="shared" si="3"/>
        <v>1</v>
      </c>
      <c r="F18" s="10">
        <v>0</v>
      </c>
      <c r="G18" s="10">
        <v>2</v>
      </c>
      <c r="H18" s="10">
        <v>1</v>
      </c>
      <c r="I18" s="10">
        <v>1</v>
      </c>
      <c r="J18" s="10" t="s">
        <v>418</v>
      </c>
      <c r="K18" s="10">
        <f t="shared" si="2"/>
        <v>44388</v>
      </c>
      <c r="L18" s="10">
        <f t="shared" si="0"/>
        <v>4388</v>
      </c>
      <c r="M18" s="10">
        <f t="shared" si="1"/>
        <v>4387</v>
      </c>
      <c r="N18" s="10" t="s">
        <v>419</v>
      </c>
      <c r="O18" s="10" t="s">
        <v>327</v>
      </c>
      <c r="P18" s="10">
        <v>0</v>
      </c>
      <c r="Q18" s="10"/>
      <c r="R18" s="110" t="s">
        <v>922</v>
      </c>
      <c r="S18" s="6"/>
      <c r="T18" s="56"/>
      <c r="U18" s="56"/>
      <c r="V18" s="16"/>
      <c r="W18" s="16"/>
      <c r="X18" s="16"/>
      <c r="Y18" s="16"/>
      <c r="Z18" s="56"/>
      <c r="AA18" s="56"/>
      <c r="AB18" s="56"/>
    </row>
    <row r="19" spans="2:28" s="26" customFormat="1" x14ac:dyDescent="0.3">
      <c r="B19" s="10" t="s">
        <v>320</v>
      </c>
      <c r="C19" s="10" t="s">
        <v>321</v>
      </c>
      <c r="D19" s="10">
        <v>2</v>
      </c>
      <c r="E19" s="10">
        <f t="shared" si="3"/>
        <v>1</v>
      </c>
      <c r="F19" s="10">
        <v>0</v>
      </c>
      <c r="G19" s="10">
        <v>0</v>
      </c>
      <c r="H19" s="10">
        <v>0</v>
      </c>
      <c r="I19" s="10">
        <v>0</v>
      </c>
      <c r="J19" s="10" t="s">
        <v>418</v>
      </c>
      <c r="K19" s="10">
        <f t="shared" si="2"/>
        <v>44389</v>
      </c>
      <c r="L19" s="10">
        <f t="shared" si="0"/>
        <v>4389</v>
      </c>
      <c r="M19" s="10">
        <f t="shared" si="1"/>
        <v>4388</v>
      </c>
      <c r="N19" s="10" t="s">
        <v>419</v>
      </c>
      <c r="O19" s="10" t="s">
        <v>324</v>
      </c>
      <c r="P19" s="10">
        <v>0</v>
      </c>
      <c r="Q19" s="10"/>
      <c r="R19" s="10"/>
      <c r="S19" s="6"/>
      <c r="T19" s="56"/>
      <c r="U19" s="56"/>
      <c r="V19" s="16"/>
      <c r="W19" s="16"/>
      <c r="X19" s="16"/>
      <c r="Y19" s="16"/>
      <c r="Z19" s="56"/>
      <c r="AA19" s="56"/>
      <c r="AB19" s="56"/>
    </row>
    <row r="20" spans="2:28" s="26" customFormat="1" x14ac:dyDescent="0.3">
      <c r="B20" s="10" t="s">
        <v>320</v>
      </c>
      <c r="C20" s="10" t="s">
        <v>321</v>
      </c>
      <c r="D20" s="10">
        <v>2</v>
      </c>
      <c r="E20" s="10">
        <f t="shared" ref="E20:E21" si="4">D20/2</f>
        <v>1</v>
      </c>
      <c r="F20" s="10">
        <v>0</v>
      </c>
      <c r="G20" s="10">
        <v>0</v>
      </c>
      <c r="H20" s="10">
        <v>0</v>
      </c>
      <c r="I20" s="10">
        <v>0</v>
      </c>
      <c r="J20" s="10" t="s">
        <v>418</v>
      </c>
      <c r="K20" s="10">
        <f t="shared" ref="K20:K21" si="5">K19+E19</f>
        <v>44390</v>
      </c>
      <c r="L20" s="10">
        <f t="shared" si="0"/>
        <v>4390</v>
      </c>
      <c r="M20" s="10">
        <f t="shared" si="1"/>
        <v>4389</v>
      </c>
      <c r="N20" s="10" t="s">
        <v>419</v>
      </c>
      <c r="O20" s="10" t="s">
        <v>324</v>
      </c>
      <c r="P20" s="10">
        <v>0</v>
      </c>
      <c r="Q20" s="10"/>
      <c r="R20" s="10"/>
      <c r="S20" s="6"/>
      <c r="T20" s="56"/>
      <c r="U20" s="56"/>
      <c r="V20" s="16"/>
      <c r="W20" s="16"/>
      <c r="X20" s="16"/>
      <c r="Y20" s="16"/>
      <c r="Z20" s="56"/>
      <c r="AA20" s="56"/>
      <c r="AB20" s="56"/>
    </row>
    <row r="21" spans="2:28" s="26" customFormat="1" x14ac:dyDescent="0.3">
      <c r="B21" s="10" t="s">
        <v>320</v>
      </c>
      <c r="C21" s="10" t="s">
        <v>321</v>
      </c>
      <c r="D21" s="10">
        <v>2</v>
      </c>
      <c r="E21" s="10">
        <f t="shared" si="4"/>
        <v>1</v>
      </c>
      <c r="F21" s="10">
        <v>0</v>
      </c>
      <c r="G21" s="10">
        <v>0</v>
      </c>
      <c r="H21" s="10">
        <v>0</v>
      </c>
      <c r="I21" s="10">
        <v>0</v>
      </c>
      <c r="J21" s="10" t="s">
        <v>418</v>
      </c>
      <c r="K21" s="10">
        <f t="shared" si="5"/>
        <v>44391</v>
      </c>
      <c r="L21" s="10">
        <f t="shared" si="0"/>
        <v>4391</v>
      </c>
      <c r="M21" s="10">
        <f t="shared" si="1"/>
        <v>4390</v>
      </c>
      <c r="N21" s="10" t="s">
        <v>419</v>
      </c>
      <c r="O21" s="10" t="s">
        <v>324</v>
      </c>
      <c r="P21" s="10">
        <v>0</v>
      </c>
      <c r="Q21" s="10"/>
      <c r="R21" s="10"/>
      <c r="S21" s="6"/>
      <c r="T21" s="56"/>
      <c r="U21" s="56"/>
      <c r="V21" s="16"/>
      <c r="W21" s="16"/>
      <c r="X21" s="16"/>
      <c r="Y21" s="16"/>
      <c r="Z21" s="56"/>
      <c r="AA21" s="56"/>
      <c r="AB21" s="56"/>
    </row>
    <row r="22" spans="2:28" s="26" customFormat="1" x14ac:dyDescent="0.3">
      <c r="B22" s="10" t="s">
        <v>320</v>
      </c>
      <c r="C22" s="10" t="s">
        <v>321</v>
      </c>
      <c r="D22" s="10">
        <v>2</v>
      </c>
      <c r="E22" s="10">
        <f t="shared" ref="E22" si="6">D22/2</f>
        <v>1</v>
      </c>
      <c r="F22" s="10">
        <v>0</v>
      </c>
      <c r="G22" s="10">
        <v>0</v>
      </c>
      <c r="H22" s="10">
        <v>0</v>
      </c>
      <c r="I22" s="10">
        <v>0</v>
      </c>
      <c r="J22" s="10" t="s">
        <v>418</v>
      </c>
      <c r="K22" s="10">
        <f t="shared" ref="K22" si="7">K21+E21</f>
        <v>44392</v>
      </c>
      <c r="L22" s="10">
        <f t="shared" si="0"/>
        <v>4392</v>
      </c>
      <c r="M22" s="10">
        <f t="shared" si="1"/>
        <v>4391</v>
      </c>
      <c r="N22" s="10" t="s">
        <v>419</v>
      </c>
      <c r="O22" s="10" t="s">
        <v>324</v>
      </c>
      <c r="P22" s="10">
        <v>0</v>
      </c>
      <c r="Q22" s="10"/>
      <c r="R22" s="10"/>
      <c r="S22" s="6"/>
      <c r="T22" s="56"/>
      <c r="U22" s="56"/>
      <c r="V22" s="16"/>
      <c r="W22" s="16"/>
      <c r="X22" s="16"/>
      <c r="Y22" s="16"/>
      <c r="Z22" s="56"/>
      <c r="AA22" s="56"/>
      <c r="AB22" s="56"/>
    </row>
    <row r="23" spans="2:28" s="26" customFormat="1" x14ac:dyDescent="0.3">
      <c r="B23" s="10" t="s">
        <v>320</v>
      </c>
      <c r="C23" s="10" t="s">
        <v>321</v>
      </c>
      <c r="D23" s="10">
        <v>2</v>
      </c>
      <c r="E23" s="10">
        <f t="shared" ref="E23" si="8">D23/2</f>
        <v>1</v>
      </c>
      <c r="F23" s="10">
        <v>0</v>
      </c>
      <c r="G23" s="10">
        <v>0</v>
      </c>
      <c r="H23" s="10">
        <v>0</v>
      </c>
      <c r="I23" s="10">
        <v>0</v>
      </c>
      <c r="J23" s="10" t="s">
        <v>418</v>
      </c>
      <c r="K23" s="10">
        <f t="shared" ref="K23" si="9">K22+E22</f>
        <v>44393</v>
      </c>
      <c r="L23" s="10">
        <f t="shared" si="0"/>
        <v>4393</v>
      </c>
      <c r="M23" s="10">
        <f t="shared" si="1"/>
        <v>4392</v>
      </c>
      <c r="N23" s="10" t="s">
        <v>419</v>
      </c>
      <c r="O23" s="10" t="s">
        <v>324</v>
      </c>
      <c r="P23" s="10">
        <v>0</v>
      </c>
      <c r="Q23" s="10"/>
      <c r="R23" s="10"/>
      <c r="S23" s="6"/>
      <c r="T23" s="56"/>
      <c r="U23" s="56"/>
      <c r="V23" s="16"/>
      <c r="W23" s="16"/>
      <c r="X23" s="16"/>
      <c r="Y23" s="16"/>
      <c r="Z23" s="56"/>
      <c r="AA23" s="56"/>
      <c r="AB23" s="56"/>
    </row>
    <row r="25" spans="2:28" x14ac:dyDescent="0.3">
      <c r="B25" s="482" t="s">
        <v>923</v>
      </c>
      <c r="C25" s="483"/>
      <c r="D25" s="483"/>
      <c r="E25" s="483"/>
      <c r="F25" s="483"/>
      <c r="G25" s="483"/>
      <c r="H25" s="483"/>
      <c r="I25" s="483"/>
      <c r="J25" s="483"/>
      <c r="K25" s="483"/>
      <c r="L25" s="483"/>
      <c r="M25" s="483"/>
      <c r="N25" s="483"/>
      <c r="O25" s="483"/>
      <c r="P25" s="483"/>
      <c r="Q25" s="483"/>
      <c r="R25" s="484"/>
      <c r="V25" s="8"/>
      <c r="W25" s="8"/>
      <c r="X25" s="8"/>
      <c r="Y25" s="8"/>
      <c r="Z25" s="8"/>
      <c r="AA25" s="8"/>
      <c r="AB25" s="8"/>
    </row>
    <row r="26" spans="2:28" x14ac:dyDescent="0.3">
      <c r="B26" s="10" t="s">
        <v>924</v>
      </c>
      <c r="C26" s="10" t="s">
        <v>321</v>
      </c>
      <c r="D26" s="10">
        <v>2</v>
      </c>
      <c r="E26" s="10">
        <f>D26/2</f>
        <v>1</v>
      </c>
      <c r="F26" s="10">
        <v>1</v>
      </c>
      <c r="G26" s="10">
        <v>247</v>
      </c>
      <c r="H26" s="10">
        <v>1</v>
      </c>
      <c r="I26" s="10">
        <v>1</v>
      </c>
      <c r="J26" s="10" t="s">
        <v>418</v>
      </c>
      <c r="K26" s="10">
        <f>K23+E23</f>
        <v>44394</v>
      </c>
      <c r="L26" s="10">
        <f t="shared" ref="L26:L31" si="10">K26-40000</f>
        <v>4394</v>
      </c>
      <c r="M26" s="10">
        <f t="shared" ref="M26:M31" si="11">L26-1</f>
        <v>4393</v>
      </c>
      <c r="N26" s="10" t="s">
        <v>925</v>
      </c>
      <c r="O26" s="10" t="s">
        <v>327</v>
      </c>
      <c r="P26" s="10">
        <v>1</v>
      </c>
      <c r="Q26" s="10"/>
      <c r="R26" s="10"/>
      <c r="V26" s="8"/>
      <c r="W26" s="8"/>
      <c r="X26" s="8"/>
      <c r="Y26" s="8"/>
      <c r="Z26" s="8"/>
      <c r="AA26" s="8"/>
      <c r="AB26" s="8"/>
    </row>
    <row r="27" spans="2:28" ht="46.8" x14ac:dyDescent="0.3">
      <c r="B27" s="10" t="s">
        <v>926</v>
      </c>
      <c r="C27" s="10" t="s">
        <v>321</v>
      </c>
      <c r="D27" s="10">
        <v>2</v>
      </c>
      <c r="E27" s="10">
        <f>D27/2</f>
        <v>1</v>
      </c>
      <c r="F27" s="10">
        <v>0</v>
      </c>
      <c r="G27" s="10">
        <v>2</v>
      </c>
      <c r="H27" s="10">
        <v>1</v>
      </c>
      <c r="I27" s="10">
        <v>1</v>
      </c>
      <c r="J27" s="10" t="s">
        <v>418</v>
      </c>
      <c r="K27" s="10">
        <f>K26+$E26</f>
        <v>44395</v>
      </c>
      <c r="L27" s="10">
        <f t="shared" si="10"/>
        <v>4395</v>
      </c>
      <c r="M27" s="10">
        <f t="shared" si="11"/>
        <v>4394</v>
      </c>
      <c r="N27" s="10" t="s">
        <v>925</v>
      </c>
      <c r="O27" s="10" t="s">
        <v>327</v>
      </c>
      <c r="P27" s="10">
        <v>2</v>
      </c>
      <c r="Q27" s="10"/>
      <c r="R27" s="110" t="s">
        <v>927</v>
      </c>
      <c r="V27" s="8"/>
      <c r="W27" s="8"/>
      <c r="X27" s="8"/>
      <c r="Y27" s="8"/>
      <c r="Z27" s="8"/>
      <c r="AA27" s="8"/>
      <c r="AB27" s="8"/>
    </row>
    <row r="28" spans="2:28" ht="109.2" x14ac:dyDescent="0.3">
      <c r="B28" s="10" t="s">
        <v>928</v>
      </c>
      <c r="C28" s="10" t="s">
        <v>321</v>
      </c>
      <c r="D28" s="10">
        <v>2</v>
      </c>
      <c r="E28" s="10">
        <f>D28/2</f>
        <v>1</v>
      </c>
      <c r="F28" s="10">
        <v>0</v>
      </c>
      <c r="G28" s="10">
        <v>6</v>
      </c>
      <c r="H28" s="10">
        <v>1</v>
      </c>
      <c r="I28" s="10">
        <v>1</v>
      </c>
      <c r="J28" s="10" t="s">
        <v>418</v>
      </c>
      <c r="K28" s="10">
        <f>K27+$E27</f>
        <v>44396</v>
      </c>
      <c r="L28" s="10">
        <f t="shared" si="10"/>
        <v>4396</v>
      </c>
      <c r="M28" s="10">
        <f t="shared" si="11"/>
        <v>4395</v>
      </c>
      <c r="N28" s="10" t="s">
        <v>925</v>
      </c>
      <c r="O28" s="10" t="s">
        <v>327</v>
      </c>
      <c r="P28" s="10">
        <v>3</v>
      </c>
      <c r="Q28" s="10"/>
      <c r="R28" s="110" t="s">
        <v>929</v>
      </c>
      <c r="V28" s="8"/>
      <c r="W28" s="8"/>
      <c r="X28" s="8"/>
      <c r="Y28" s="8"/>
      <c r="Z28" s="8"/>
      <c r="AA28" s="8"/>
      <c r="AB28" s="8"/>
    </row>
    <row r="29" spans="2:28" x14ac:dyDescent="0.3">
      <c r="B29" s="10" t="s">
        <v>320</v>
      </c>
      <c r="C29" s="10" t="s">
        <v>321</v>
      </c>
      <c r="D29" s="10">
        <v>2</v>
      </c>
      <c r="E29" s="10">
        <f>D29/2</f>
        <v>1</v>
      </c>
      <c r="F29" s="10">
        <v>0</v>
      </c>
      <c r="G29" s="10">
        <v>0</v>
      </c>
      <c r="H29" s="10">
        <v>0</v>
      </c>
      <c r="I29" s="10">
        <v>0</v>
      </c>
      <c r="J29" s="10" t="s">
        <v>418</v>
      </c>
      <c r="K29" s="10">
        <f>K28+$E28</f>
        <v>44397</v>
      </c>
      <c r="L29" s="10">
        <f t="shared" si="10"/>
        <v>4397</v>
      </c>
      <c r="M29" s="10">
        <f t="shared" si="11"/>
        <v>4396</v>
      </c>
      <c r="N29" s="10" t="s">
        <v>925</v>
      </c>
      <c r="O29" s="10" t="s">
        <v>324</v>
      </c>
      <c r="P29" s="10">
        <v>0</v>
      </c>
      <c r="Q29" s="10"/>
      <c r="R29" s="10"/>
      <c r="V29" s="8"/>
      <c r="W29" s="8"/>
      <c r="X29" s="8"/>
      <c r="Y29" s="8"/>
      <c r="Z29" s="8"/>
      <c r="AA29" s="8"/>
      <c r="AB29" s="8"/>
    </row>
    <row r="30" spans="2:28" s="26" customFormat="1" x14ac:dyDescent="0.3">
      <c r="B30" s="10" t="s">
        <v>930</v>
      </c>
      <c r="C30" s="10" t="s">
        <v>321</v>
      </c>
      <c r="D30" s="10">
        <v>2</v>
      </c>
      <c r="E30" s="10">
        <f t="shared" ref="E30:E31" si="12">D30/2</f>
        <v>1</v>
      </c>
      <c r="F30" s="10">
        <v>1</v>
      </c>
      <c r="G30" s="10">
        <v>60000</v>
      </c>
      <c r="H30" s="10">
        <v>1</v>
      </c>
      <c r="I30" s="10">
        <v>1</v>
      </c>
      <c r="J30" s="10" t="s">
        <v>418</v>
      </c>
      <c r="K30" s="10">
        <f t="shared" ref="K30:K31" si="13">K29+E29</f>
        <v>44398</v>
      </c>
      <c r="L30" s="10">
        <f t="shared" si="10"/>
        <v>4398</v>
      </c>
      <c r="M30" s="10">
        <f t="shared" si="11"/>
        <v>4397</v>
      </c>
      <c r="N30" s="10" t="s">
        <v>925</v>
      </c>
      <c r="O30" s="10" t="s">
        <v>327</v>
      </c>
      <c r="P30" s="10">
        <v>1</v>
      </c>
      <c r="Q30" s="10" t="s">
        <v>329</v>
      </c>
      <c r="R30" s="10"/>
      <c r="S30" s="6"/>
      <c r="T30" s="56"/>
      <c r="U30" s="56"/>
      <c r="V30" s="16"/>
      <c r="W30" s="16"/>
      <c r="X30" s="16"/>
      <c r="Y30" s="16"/>
      <c r="Z30" s="56"/>
      <c r="AA30" s="56"/>
      <c r="AB30" s="56"/>
    </row>
    <row r="31" spans="2:28" s="26" customFormat="1" ht="46.8" x14ac:dyDescent="0.3">
      <c r="B31" s="10" t="s">
        <v>931</v>
      </c>
      <c r="C31" s="10" t="s">
        <v>359</v>
      </c>
      <c r="D31" s="10">
        <v>2</v>
      </c>
      <c r="E31" s="10">
        <f t="shared" si="12"/>
        <v>1</v>
      </c>
      <c r="F31" s="10">
        <v>0</v>
      </c>
      <c r="G31" s="10">
        <v>1</v>
      </c>
      <c r="H31" s="10">
        <v>1</v>
      </c>
      <c r="I31" s="10">
        <v>1</v>
      </c>
      <c r="J31" s="10" t="s">
        <v>418</v>
      </c>
      <c r="K31" s="10">
        <f t="shared" si="13"/>
        <v>44399</v>
      </c>
      <c r="L31" s="10">
        <f t="shared" si="10"/>
        <v>4399</v>
      </c>
      <c r="M31" s="10">
        <f t="shared" si="11"/>
        <v>4398</v>
      </c>
      <c r="N31" s="10" t="s">
        <v>925</v>
      </c>
      <c r="O31" s="10" t="s">
        <v>327</v>
      </c>
      <c r="P31" s="10">
        <v>0</v>
      </c>
      <c r="Q31" s="10"/>
      <c r="R31" s="110" t="s">
        <v>932</v>
      </c>
      <c r="S31" s="6"/>
      <c r="T31" s="56"/>
      <c r="U31" s="56"/>
      <c r="V31" s="16"/>
      <c r="W31" s="16"/>
      <c r="X31" s="16"/>
      <c r="Y31" s="16"/>
      <c r="Z31" s="56"/>
      <c r="AA31" s="56"/>
      <c r="AB31" s="56"/>
    </row>
    <row r="32" spans="2:28" x14ac:dyDescent="0.3">
      <c r="B32" s="68"/>
      <c r="C32" s="68"/>
      <c r="D32" s="68"/>
      <c r="E32" s="68"/>
      <c r="F32" s="68"/>
      <c r="G32" s="68"/>
      <c r="H32" s="68"/>
      <c r="I32" s="68"/>
      <c r="J32" s="68"/>
      <c r="K32" s="68"/>
      <c r="L32" s="68"/>
      <c r="M32" s="68"/>
      <c r="N32" s="68"/>
      <c r="O32" s="68"/>
      <c r="P32" s="68"/>
      <c r="Q32" s="68"/>
      <c r="R32" s="68"/>
      <c r="V32" s="8"/>
      <c r="W32" s="8"/>
      <c r="X32" s="8"/>
      <c r="Y32" s="8"/>
      <c r="Z32" s="8"/>
      <c r="AA32" s="8"/>
      <c r="AB32" s="8"/>
    </row>
    <row r="33" spans="2:28" x14ac:dyDescent="0.3">
      <c r="B33" s="479" t="s">
        <v>933</v>
      </c>
      <c r="C33" s="480"/>
      <c r="D33" s="480"/>
      <c r="E33" s="480"/>
      <c r="F33" s="480"/>
      <c r="G33" s="480"/>
      <c r="H33" s="480"/>
      <c r="I33" s="480"/>
      <c r="J33" s="480"/>
      <c r="K33" s="480"/>
      <c r="L33" s="480"/>
      <c r="M33" s="480"/>
      <c r="N33" s="480"/>
      <c r="O33" s="480"/>
      <c r="P33" s="480"/>
      <c r="Q33" s="480"/>
      <c r="R33" s="481"/>
      <c r="V33" s="8"/>
      <c r="W33" s="8"/>
      <c r="X33" s="8"/>
      <c r="Y33" s="8"/>
      <c r="Z33" s="8"/>
      <c r="AA33" s="8"/>
      <c r="AB33" s="8"/>
    </row>
    <row r="34" spans="2:28" x14ac:dyDescent="0.3">
      <c r="B34" s="10" t="s">
        <v>924</v>
      </c>
      <c r="C34" s="10" t="s">
        <v>321</v>
      </c>
      <c r="D34" s="10">
        <v>2</v>
      </c>
      <c r="E34" s="10">
        <f>D34/2</f>
        <v>1</v>
      </c>
      <c r="F34" s="10">
        <v>1</v>
      </c>
      <c r="G34" s="10">
        <v>247</v>
      </c>
      <c r="H34" s="10">
        <v>1</v>
      </c>
      <c r="I34" s="10">
        <v>1</v>
      </c>
      <c r="J34" s="10" t="s">
        <v>418</v>
      </c>
      <c r="K34" s="10">
        <f>K31+E31</f>
        <v>44400</v>
      </c>
      <c r="L34" s="10">
        <f t="shared" ref="L34:L39" si="14">K34-40000</f>
        <v>4400</v>
      </c>
      <c r="M34" s="10">
        <f t="shared" ref="M34:M39" si="15">L34-1</f>
        <v>4399</v>
      </c>
      <c r="N34" s="10" t="s">
        <v>925</v>
      </c>
      <c r="O34" s="10" t="s">
        <v>327</v>
      </c>
      <c r="P34" s="10">
        <v>1</v>
      </c>
      <c r="Q34" s="10"/>
      <c r="R34" s="10"/>
      <c r="V34" s="8"/>
      <c r="W34" s="8"/>
      <c r="X34" s="8"/>
      <c r="Y34" s="8"/>
      <c r="Z34" s="8"/>
      <c r="AA34" s="8"/>
      <c r="AB34" s="8"/>
    </row>
    <row r="35" spans="2:28" ht="46.8" x14ac:dyDescent="0.3">
      <c r="B35" s="10" t="s">
        <v>926</v>
      </c>
      <c r="C35" s="10" t="s">
        <v>321</v>
      </c>
      <c r="D35" s="10">
        <v>2</v>
      </c>
      <c r="E35" s="10">
        <f>D35/2</f>
        <v>1</v>
      </c>
      <c r="F35" s="10">
        <v>0</v>
      </c>
      <c r="G35" s="10">
        <v>2</v>
      </c>
      <c r="H35" s="10">
        <v>1</v>
      </c>
      <c r="I35" s="10">
        <v>1</v>
      </c>
      <c r="J35" s="10" t="s">
        <v>418</v>
      </c>
      <c r="K35" s="10">
        <f>K34+$E34</f>
        <v>44401</v>
      </c>
      <c r="L35" s="10">
        <f t="shared" si="14"/>
        <v>4401</v>
      </c>
      <c r="M35" s="10">
        <f t="shared" si="15"/>
        <v>4400</v>
      </c>
      <c r="N35" s="10" t="s">
        <v>925</v>
      </c>
      <c r="O35" s="10" t="s">
        <v>327</v>
      </c>
      <c r="P35" s="10">
        <v>2</v>
      </c>
      <c r="Q35" s="10"/>
      <c r="R35" s="110" t="s">
        <v>927</v>
      </c>
      <c r="V35" s="8"/>
      <c r="W35" s="8"/>
      <c r="X35" s="8"/>
      <c r="Y35" s="8"/>
      <c r="Z35" s="8"/>
      <c r="AA35" s="8"/>
      <c r="AB35" s="8"/>
    </row>
    <row r="36" spans="2:28" ht="109.2" x14ac:dyDescent="0.3">
      <c r="B36" s="10" t="s">
        <v>928</v>
      </c>
      <c r="C36" s="10" t="s">
        <v>321</v>
      </c>
      <c r="D36" s="10">
        <v>2</v>
      </c>
      <c r="E36" s="10">
        <f>D36/2</f>
        <v>1</v>
      </c>
      <c r="F36" s="10">
        <v>0</v>
      </c>
      <c r="G36" s="10">
        <v>6</v>
      </c>
      <c r="H36" s="10">
        <v>1</v>
      </c>
      <c r="I36" s="10">
        <v>1</v>
      </c>
      <c r="J36" s="10" t="s">
        <v>418</v>
      </c>
      <c r="K36" s="10">
        <f>K35+$E35</f>
        <v>44402</v>
      </c>
      <c r="L36" s="10">
        <f t="shared" si="14"/>
        <v>4402</v>
      </c>
      <c r="M36" s="10">
        <f t="shared" si="15"/>
        <v>4401</v>
      </c>
      <c r="N36" s="10" t="s">
        <v>925</v>
      </c>
      <c r="O36" s="10" t="s">
        <v>327</v>
      </c>
      <c r="P36" s="10">
        <v>3</v>
      </c>
      <c r="Q36" s="10"/>
      <c r="R36" s="110" t="s">
        <v>929</v>
      </c>
      <c r="V36" s="8"/>
      <c r="W36" s="8"/>
      <c r="X36" s="8"/>
      <c r="Y36" s="8"/>
      <c r="Z36" s="8"/>
      <c r="AA36" s="8"/>
      <c r="AB36" s="8"/>
    </row>
    <row r="37" spans="2:28" ht="31.2" x14ac:dyDescent="0.3">
      <c r="B37" s="193" t="s">
        <v>934</v>
      </c>
      <c r="C37" s="193" t="s">
        <v>321</v>
      </c>
      <c r="D37" s="193">
        <v>2</v>
      </c>
      <c r="E37" s="193">
        <f>D37/2</f>
        <v>1</v>
      </c>
      <c r="F37" s="193">
        <v>0</v>
      </c>
      <c r="G37" s="193">
        <v>1</v>
      </c>
      <c r="H37" s="193">
        <v>1</v>
      </c>
      <c r="I37" s="193">
        <v>1</v>
      </c>
      <c r="J37" s="193" t="s">
        <v>418</v>
      </c>
      <c r="K37" s="193">
        <f>K36+$E36</f>
        <v>44403</v>
      </c>
      <c r="L37" s="193">
        <f t="shared" si="14"/>
        <v>4403</v>
      </c>
      <c r="M37" s="193">
        <f t="shared" si="15"/>
        <v>4402</v>
      </c>
      <c r="N37" s="193" t="s">
        <v>925</v>
      </c>
      <c r="O37" s="193" t="s">
        <v>324</v>
      </c>
      <c r="P37" s="193">
        <v>0</v>
      </c>
      <c r="Q37" s="193"/>
      <c r="R37" s="202" t="s">
        <v>935</v>
      </c>
      <c r="V37" s="8"/>
      <c r="W37" s="8"/>
      <c r="X37" s="8"/>
      <c r="Y37" s="8"/>
      <c r="Z37" s="8"/>
      <c r="AA37" s="8"/>
      <c r="AB37" s="8"/>
    </row>
    <row r="38" spans="2:28" s="26" customFormat="1" x14ac:dyDescent="0.3">
      <c r="B38" s="10" t="s">
        <v>930</v>
      </c>
      <c r="C38" s="10" t="s">
        <v>321</v>
      </c>
      <c r="D38" s="10">
        <v>2</v>
      </c>
      <c r="E38" s="10">
        <f t="shared" ref="E38:E39" si="16">D38/2</f>
        <v>1</v>
      </c>
      <c r="F38" s="10">
        <v>1</v>
      </c>
      <c r="G38" s="10">
        <v>60000</v>
      </c>
      <c r="H38" s="10">
        <v>1</v>
      </c>
      <c r="I38" s="10">
        <v>1</v>
      </c>
      <c r="J38" s="10" t="s">
        <v>418</v>
      </c>
      <c r="K38" s="10">
        <f t="shared" ref="K38:K39" si="17">K37+E37</f>
        <v>44404</v>
      </c>
      <c r="L38" s="10">
        <f t="shared" si="14"/>
        <v>4404</v>
      </c>
      <c r="M38" s="10">
        <f t="shared" si="15"/>
        <v>4403</v>
      </c>
      <c r="N38" s="10" t="s">
        <v>925</v>
      </c>
      <c r="O38" s="10" t="s">
        <v>327</v>
      </c>
      <c r="P38" s="10">
        <v>1</v>
      </c>
      <c r="Q38" s="10" t="s">
        <v>329</v>
      </c>
      <c r="R38" s="10"/>
      <c r="S38" s="6"/>
      <c r="T38" s="56"/>
      <c r="U38" s="56"/>
      <c r="V38" s="16"/>
      <c r="W38" s="16"/>
      <c r="X38" s="16"/>
      <c r="Y38" s="16"/>
      <c r="Z38" s="56"/>
      <c r="AA38" s="56"/>
      <c r="AB38" s="56"/>
    </row>
    <row r="39" spans="2:28" s="26" customFormat="1" ht="46.8" x14ac:dyDescent="0.3">
      <c r="B39" s="10" t="s">
        <v>931</v>
      </c>
      <c r="C39" s="10" t="s">
        <v>359</v>
      </c>
      <c r="D39" s="10">
        <v>2</v>
      </c>
      <c r="E39" s="10">
        <f t="shared" si="16"/>
        <v>1</v>
      </c>
      <c r="F39" s="10">
        <v>0</v>
      </c>
      <c r="G39" s="10">
        <v>1</v>
      </c>
      <c r="H39" s="10">
        <v>1</v>
      </c>
      <c r="I39" s="10">
        <v>1</v>
      </c>
      <c r="J39" s="10" t="s">
        <v>418</v>
      </c>
      <c r="K39" s="10">
        <f t="shared" si="17"/>
        <v>44405</v>
      </c>
      <c r="L39" s="10">
        <f t="shared" si="14"/>
        <v>4405</v>
      </c>
      <c r="M39" s="10">
        <f t="shared" si="15"/>
        <v>4404</v>
      </c>
      <c r="N39" s="10" t="s">
        <v>925</v>
      </c>
      <c r="O39" s="10" t="s">
        <v>327</v>
      </c>
      <c r="P39" s="10">
        <v>0</v>
      </c>
      <c r="Q39" s="10"/>
      <c r="R39" s="110" t="s">
        <v>932</v>
      </c>
      <c r="S39" s="6"/>
      <c r="T39" s="56"/>
      <c r="U39" s="56"/>
      <c r="V39" s="16"/>
      <c r="W39" s="16"/>
      <c r="X39" s="16"/>
      <c r="Y39" s="16"/>
      <c r="Z39" s="56"/>
      <c r="AA39" s="56"/>
      <c r="AB39" s="56"/>
    </row>
    <row r="41" spans="2:28" x14ac:dyDescent="0.3">
      <c r="B41" s="482" t="s">
        <v>936</v>
      </c>
      <c r="C41" s="483"/>
      <c r="D41" s="483"/>
      <c r="E41" s="483"/>
      <c r="F41" s="483"/>
      <c r="G41" s="483"/>
      <c r="H41" s="483"/>
      <c r="I41" s="483"/>
      <c r="J41" s="483"/>
      <c r="K41" s="483"/>
      <c r="L41" s="483"/>
      <c r="M41" s="483"/>
      <c r="N41" s="483"/>
      <c r="O41" s="483"/>
      <c r="P41" s="483"/>
      <c r="Q41" s="483"/>
      <c r="R41" s="484"/>
      <c r="V41" s="8"/>
      <c r="W41" s="8"/>
      <c r="X41" s="8"/>
      <c r="Y41" s="8"/>
      <c r="Z41" s="8"/>
      <c r="AA41" s="8"/>
      <c r="AB41" s="8"/>
    </row>
    <row r="42" spans="2:28" ht="15" customHeight="1" x14ac:dyDescent="0.3">
      <c r="B42" s="10" t="s">
        <v>937</v>
      </c>
      <c r="C42" s="10" t="s">
        <v>321</v>
      </c>
      <c r="D42" s="10">
        <v>2</v>
      </c>
      <c r="E42" s="10">
        <f>D42/2</f>
        <v>1</v>
      </c>
      <c r="F42" s="10">
        <v>2</v>
      </c>
      <c r="G42" s="10">
        <v>126</v>
      </c>
      <c r="H42" s="10">
        <v>1</v>
      </c>
      <c r="I42" s="10">
        <v>1</v>
      </c>
      <c r="J42" s="10" t="s">
        <v>418</v>
      </c>
      <c r="K42" s="10">
        <f>K39+E39</f>
        <v>44406</v>
      </c>
      <c r="L42" s="10">
        <f t="shared" ref="L42:L47" si="18">K42-40000</f>
        <v>4406</v>
      </c>
      <c r="M42" s="10">
        <f t="shared" ref="M42:M47" si="19">L42-1</f>
        <v>4405</v>
      </c>
      <c r="N42" s="10" t="s">
        <v>419</v>
      </c>
      <c r="O42" s="10" t="s">
        <v>327</v>
      </c>
      <c r="P42" s="10">
        <v>126</v>
      </c>
      <c r="Q42" s="10"/>
      <c r="R42" s="10"/>
      <c r="V42" s="8"/>
      <c r="W42" s="8"/>
      <c r="X42" s="8"/>
      <c r="Y42" s="8"/>
      <c r="Z42" s="8"/>
      <c r="AA42" s="8"/>
      <c r="AB42" s="8"/>
    </row>
    <row r="43" spans="2:28" x14ac:dyDescent="0.3">
      <c r="B43" s="10" t="s">
        <v>938</v>
      </c>
      <c r="C43" s="10" t="s">
        <v>321</v>
      </c>
      <c r="D43" s="10">
        <v>2</v>
      </c>
      <c r="E43" s="10">
        <f>D43/2</f>
        <v>1</v>
      </c>
      <c r="F43" s="10">
        <v>0</v>
      </c>
      <c r="G43" s="10">
        <v>1</v>
      </c>
      <c r="H43" s="10">
        <v>1</v>
      </c>
      <c r="I43" s="10">
        <v>1</v>
      </c>
      <c r="J43" s="10" t="s">
        <v>418</v>
      </c>
      <c r="K43" s="10">
        <f>K42+$E42</f>
        <v>44407</v>
      </c>
      <c r="L43" s="10">
        <f t="shared" si="18"/>
        <v>4407</v>
      </c>
      <c r="M43" s="10">
        <f t="shared" si="19"/>
        <v>4406</v>
      </c>
      <c r="N43" s="10" t="s">
        <v>419</v>
      </c>
      <c r="O43" s="10" t="s">
        <v>327</v>
      </c>
      <c r="P43" s="10">
        <v>0</v>
      </c>
      <c r="Q43" s="10"/>
      <c r="R43" s="110"/>
      <c r="V43" s="8"/>
      <c r="W43" s="8"/>
      <c r="X43" s="8"/>
      <c r="Y43" s="8"/>
      <c r="Z43" s="8"/>
      <c r="AA43" s="8"/>
      <c r="AB43" s="8"/>
    </row>
    <row r="44" spans="2:28" ht="46.8" x14ac:dyDescent="0.3">
      <c r="B44" s="10" t="s">
        <v>939</v>
      </c>
      <c r="C44" s="10" t="s">
        <v>321</v>
      </c>
      <c r="D44" s="10">
        <v>2</v>
      </c>
      <c r="E44" s="10">
        <f>D44/2</f>
        <v>1</v>
      </c>
      <c r="F44" s="10">
        <v>0</v>
      </c>
      <c r="G44" s="10">
        <v>2</v>
      </c>
      <c r="H44" s="10">
        <v>1</v>
      </c>
      <c r="I44" s="10">
        <v>1</v>
      </c>
      <c r="J44" s="10" t="s">
        <v>418</v>
      </c>
      <c r="K44" s="10">
        <f>K43+$E43</f>
        <v>44408</v>
      </c>
      <c r="L44" s="10">
        <f t="shared" ref="L44" si="20">K44-40000</f>
        <v>4408</v>
      </c>
      <c r="M44" s="10">
        <f t="shared" ref="M44" si="21">L44-1</f>
        <v>4407</v>
      </c>
      <c r="N44" s="10" t="s">
        <v>419</v>
      </c>
      <c r="O44" s="10" t="s">
        <v>327</v>
      </c>
      <c r="P44" s="10">
        <v>0</v>
      </c>
      <c r="Q44" s="10"/>
      <c r="R44" s="110" t="s">
        <v>940</v>
      </c>
      <c r="T44" s="8"/>
      <c r="V44" s="8"/>
      <c r="W44" s="8"/>
      <c r="X44" s="8"/>
      <c r="Y44" s="8"/>
      <c r="Z44" s="8"/>
      <c r="AA44" s="8"/>
      <c r="AB44" s="8"/>
    </row>
    <row r="45" spans="2:28" ht="15" customHeight="1" x14ac:dyDescent="0.3">
      <c r="B45" s="10" t="s">
        <v>320</v>
      </c>
      <c r="C45" s="10" t="s">
        <v>321</v>
      </c>
      <c r="D45" s="10">
        <v>2</v>
      </c>
      <c r="E45" s="10">
        <f>D45/2</f>
        <v>1</v>
      </c>
      <c r="F45" s="10">
        <v>0</v>
      </c>
      <c r="G45" s="10">
        <v>0</v>
      </c>
      <c r="H45" s="10">
        <v>0</v>
      </c>
      <c r="I45" s="10">
        <v>0</v>
      </c>
      <c r="J45" s="10" t="s">
        <v>418</v>
      </c>
      <c r="K45" s="10">
        <f>K44+$E44</f>
        <v>44409</v>
      </c>
      <c r="L45" s="10">
        <f t="shared" si="18"/>
        <v>4409</v>
      </c>
      <c r="M45" s="10">
        <f t="shared" si="19"/>
        <v>4408</v>
      </c>
      <c r="N45" s="10" t="s">
        <v>419</v>
      </c>
      <c r="O45" s="10" t="s">
        <v>324</v>
      </c>
      <c r="P45" s="10">
        <v>0</v>
      </c>
      <c r="Q45" s="10"/>
      <c r="R45" s="10"/>
      <c r="V45" s="8"/>
      <c r="W45" s="8"/>
      <c r="X45" s="8"/>
      <c r="Y45" s="8"/>
      <c r="Z45" s="8"/>
      <c r="AA45" s="8"/>
      <c r="AB45" s="8"/>
    </row>
    <row r="46" spans="2:28" s="26" customFormat="1" x14ac:dyDescent="0.3">
      <c r="B46" s="10" t="s">
        <v>320</v>
      </c>
      <c r="C46" s="10" t="s">
        <v>321</v>
      </c>
      <c r="D46" s="10">
        <v>2</v>
      </c>
      <c r="E46" s="10">
        <f t="shared" ref="E46:E47" si="22">D46/2</f>
        <v>1</v>
      </c>
      <c r="F46" s="10">
        <v>0</v>
      </c>
      <c r="G46" s="10">
        <v>0</v>
      </c>
      <c r="H46" s="10">
        <v>0</v>
      </c>
      <c r="I46" s="10">
        <v>0</v>
      </c>
      <c r="J46" s="10" t="s">
        <v>418</v>
      </c>
      <c r="K46" s="10">
        <f t="shared" ref="K46:K47" si="23">K45+E45</f>
        <v>44410</v>
      </c>
      <c r="L46" s="10">
        <f t="shared" si="18"/>
        <v>4410</v>
      </c>
      <c r="M46" s="10">
        <f t="shared" si="19"/>
        <v>4409</v>
      </c>
      <c r="N46" s="10" t="s">
        <v>419</v>
      </c>
      <c r="O46" s="10" t="s">
        <v>324</v>
      </c>
      <c r="P46" s="10">
        <v>0</v>
      </c>
      <c r="Q46" s="10"/>
      <c r="R46" s="10"/>
      <c r="S46" s="6"/>
      <c r="T46" s="56"/>
      <c r="U46" s="56"/>
      <c r="V46" s="16"/>
      <c r="W46" s="16"/>
      <c r="X46" s="16"/>
      <c r="Y46" s="16"/>
      <c r="Z46" s="56"/>
      <c r="AA46" s="56"/>
      <c r="AB46" s="56"/>
    </row>
    <row r="47" spans="2:28" s="26" customFormat="1" x14ac:dyDescent="0.3">
      <c r="B47" s="10" t="s">
        <v>320</v>
      </c>
      <c r="C47" s="10" t="s">
        <v>321</v>
      </c>
      <c r="D47" s="10">
        <v>2</v>
      </c>
      <c r="E47" s="10">
        <f t="shared" si="22"/>
        <v>1</v>
      </c>
      <c r="F47" s="10">
        <v>0</v>
      </c>
      <c r="G47" s="10">
        <v>0</v>
      </c>
      <c r="H47" s="10">
        <v>0</v>
      </c>
      <c r="I47" s="10">
        <v>0</v>
      </c>
      <c r="J47" s="10" t="s">
        <v>418</v>
      </c>
      <c r="K47" s="10">
        <f t="shared" si="23"/>
        <v>44411</v>
      </c>
      <c r="L47" s="10">
        <f t="shared" si="18"/>
        <v>4411</v>
      </c>
      <c r="M47" s="10">
        <f t="shared" si="19"/>
        <v>4410</v>
      </c>
      <c r="N47" s="10" t="s">
        <v>419</v>
      </c>
      <c r="O47" s="10" t="s">
        <v>324</v>
      </c>
      <c r="P47" s="10">
        <v>0</v>
      </c>
      <c r="Q47" s="10"/>
      <c r="R47" s="10"/>
      <c r="S47" s="6"/>
      <c r="T47" s="56"/>
      <c r="U47" s="56"/>
      <c r="V47" s="16"/>
      <c r="W47" s="16"/>
      <c r="X47" s="16"/>
      <c r="Y47" s="16"/>
      <c r="Z47" s="56"/>
      <c r="AA47" s="56"/>
      <c r="AB47" s="56"/>
    </row>
    <row r="48" spans="2:28" x14ac:dyDescent="0.3">
      <c r="V48" s="8"/>
      <c r="W48" s="8"/>
      <c r="X48" s="8"/>
      <c r="Y48" s="8"/>
      <c r="Z48" s="8"/>
      <c r="AA48" s="8"/>
      <c r="AB48" s="8"/>
    </row>
    <row r="49" spans="1:228" s="48" customFormat="1" x14ac:dyDescent="0.3">
      <c r="A49" s="6"/>
      <c r="B49" s="477" t="s">
        <v>941</v>
      </c>
      <c r="C49" s="477"/>
      <c r="D49" s="477"/>
      <c r="E49" s="477"/>
      <c r="F49" s="477"/>
      <c r="G49" s="477"/>
      <c r="H49" s="477"/>
      <c r="I49" s="477"/>
      <c r="J49" s="477"/>
      <c r="K49" s="477"/>
      <c r="L49" s="477"/>
      <c r="M49" s="477"/>
      <c r="N49" s="477"/>
      <c r="O49" s="477"/>
      <c r="P49" s="477"/>
      <c r="Q49" s="477"/>
      <c r="R49" s="477"/>
      <c r="S49" s="6"/>
      <c r="T49" s="6"/>
      <c r="U49" s="6"/>
      <c r="V49" s="8"/>
      <c r="W49" s="8"/>
      <c r="X49" s="8"/>
      <c r="Y49" s="8"/>
      <c r="Z49" s="8"/>
      <c r="AA49" s="8"/>
      <c r="AB49" s="8"/>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row>
    <row r="50" spans="1:228" x14ac:dyDescent="0.3">
      <c r="B50" s="10" t="s">
        <v>942</v>
      </c>
      <c r="C50" s="10" t="s">
        <v>321</v>
      </c>
      <c r="D50" s="10">
        <v>2</v>
      </c>
      <c r="E50" s="10">
        <f t="shared" ref="E50:E58" si="24">D50/2</f>
        <v>1</v>
      </c>
      <c r="F50" s="10">
        <v>1</v>
      </c>
      <c r="G50" s="10">
        <v>31</v>
      </c>
      <c r="H50" s="10">
        <v>1</v>
      </c>
      <c r="I50" s="10">
        <v>1</v>
      </c>
      <c r="J50" s="10" t="s">
        <v>418</v>
      </c>
      <c r="K50" s="10">
        <f>K47+E47</f>
        <v>44412</v>
      </c>
      <c r="L50" s="10">
        <f t="shared" ref="L50:L58" si="25">K50-40000</f>
        <v>4412</v>
      </c>
      <c r="M50" s="10">
        <f t="shared" ref="M50:M58" si="26">L50-1</f>
        <v>4411</v>
      </c>
      <c r="N50" s="10" t="s">
        <v>943</v>
      </c>
      <c r="O50" s="10" t="s">
        <v>327</v>
      </c>
      <c r="P50" s="10">
        <v>1</v>
      </c>
      <c r="Q50" s="10"/>
      <c r="R50" s="10"/>
      <c r="U50" s="397"/>
      <c r="V50" s="8"/>
      <c r="W50" s="8"/>
      <c r="X50" s="8"/>
      <c r="Y50" s="8"/>
      <c r="Z50" s="8"/>
      <c r="AA50" s="8"/>
      <c r="AB50" s="8"/>
    </row>
    <row r="51" spans="1:228" x14ac:dyDescent="0.3">
      <c r="B51" s="10" t="s">
        <v>944</v>
      </c>
      <c r="C51" s="10" t="s">
        <v>321</v>
      </c>
      <c r="D51" s="10">
        <v>2</v>
      </c>
      <c r="E51" s="10">
        <f t="shared" si="24"/>
        <v>1</v>
      </c>
      <c r="F51" s="10">
        <v>1</v>
      </c>
      <c r="G51" s="10">
        <v>12</v>
      </c>
      <c r="H51" s="10">
        <v>1</v>
      </c>
      <c r="I51" s="10">
        <v>1</v>
      </c>
      <c r="J51" s="10" t="s">
        <v>418</v>
      </c>
      <c r="K51" s="10">
        <f t="shared" ref="K51:K56" si="27">K50+$E50</f>
        <v>44413</v>
      </c>
      <c r="L51" s="10">
        <f t="shared" si="25"/>
        <v>4413</v>
      </c>
      <c r="M51" s="10">
        <f t="shared" si="26"/>
        <v>4412</v>
      </c>
      <c r="N51" s="10" t="s">
        <v>943</v>
      </c>
      <c r="O51" s="10" t="s">
        <v>327</v>
      </c>
      <c r="P51" s="10">
        <v>1</v>
      </c>
      <c r="Q51" s="10"/>
      <c r="R51" s="10"/>
      <c r="V51" s="8"/>
      <c r="W51" s="8"/>
      <c r="X51" s="8"/>
      <c r="Y51" s="8"/>
      <c r="Z51" s="8"/>
      <c r="AA51" s="8"/>
      <c r="AB51" s="8"/>
    </row>
    <row r="52" spans="1:228" x14ac:dyDescent="0.3">
      <c r="B52" s="10" t="s">
        <v>945</v>
      </c>
      <c r="C52" s="10" t="s">
        <v>321</v>
      </c>
      <c r="D52" s="10">
        <v>2</v>
      </c>
      <c r="E52" s="10">
        <f t="shared" si="24"/>
        <v>1</v>
      </c>
      <c r="F52" s="10">
        <v>2000</v>
      </c>
      <c r="G52" s="10">
        <v>2999</v>
      </c>
      <c r="H52" s="10">
        <v>1</v>
      </c>
      <c r="I52" s="10">
        <v>1</v>
      </c>
      <c r="J52" s="10" t="s">
        <v>418</v>
      </c>
      <c r="K52" s="10">
        <f t="shared" si="27"/>
        <v>44414</v>
      </c>
      <c r="L52" s="10">
        <f t="shared" si="25"/>
        <v>4414</v>
      </c>
      <c r="M52" s="10">
        <f t="shared" si="26"/>
        <v>4413</v>
      </c>
      <c r="N52" s="10" t="s">
        <v>943</v>
      </c>
      <c r="O52" s="10" t="s">
        <v>327</v>
      </c>
      <c r="P52" s="354">
        <v>2024</v>
      </c>
      <c r="Q52" s="10"/>
      <c r="R52" s="10"/>
      <c r="V52" s="8"/>
      <c r="W52" s="8"/>
      <c r="X52" s="8"/>
      <c r="Y52" s="8"/>
      <c r="Z52" s="8"/>
      <c r="AA52" s="8"/>
      <c r="AB52" s="8"/>
    </row>
    <row r="53" spans="1:228" x14ac:dyDescent="0.3">
      <c r="B53" s="10" t="s">
        <v>946</v>
      </c>
      <c r="C53" s="10" t="s">
        <v>321</v>
      </c>
      <c r="D53" s="10">
        <v>2</v>
      </c>
      <c r="E53" s="10">
        <f t="shared" si="24"/>
        <v>1</v>
      </c>
      <c r="F53" s="10">
        <v>0</v>
      </c>
      <c r="G53" s="10">
        <v>23</v>
      </c>
      <c r="H53" s="10">
        <v>1</v>
      </c>
      <c r="I53" s="10">
        <v>1</v>
      </c>
      <c r="J53" s="10" t="s">
        <v>418</v>
      </c>
      <c r="K53" s="10">
        <f t="shared" si="27"/>
        <v>44415</v>
      </c>
      <c r="L53" s="10">
        <f t="shared" si="25"/>
        <v>4415</v>
      </c>
      <c r="M53" s="10">
        <f t="shared" si="26"/>
        <v>4414</v>
      </c>
      <c r="N53" s="10" t="s">
        <v>943</v>
      </c>
      <c r="O53" s="10" t="s">
        <v>327</v>
      </c>
      <c r="P53" s="10">
        <v>0</v>
      </c>
      <c r="Q53" s="10"/>
      <c r="R53" s="10"/>
      <c r="V53" s="8"/>
      <c r="W53" s="8"/>
      <c r="X53" s="8"/>
      <c r="Y53" s="8"/>
      <c r="Z53" s="8"/>
      <c r="AA53" s="8"/>
      <c r="AB53" s="8"/>
    </row>
    <row r="54" spans="1:228" x14ac:dyDescent="0.3">
      <c r="B54" s="10" t="s">
        <v>947</v>
      </c>
      <c r="C54" s="10" t="s">
        <v>321</v>
      </c>
      <c r="D54" s="10">
        <v>2</v>
      </c>
      <c r="E54" s="10">
        <f t="shared" si="24"/>
        <v>1</v>
      </c>
      <c r="F54" s="10">
        <v>0</v>
      </c>
      <c r="G54" s="10">
        <v>59</v>
      </c>
      <c r="H54" s="10">
        <v>1</v>
      </c>
      <c r="I54" s="10">
        <v>1</v>
      </c>
      <c r="J54" s="10" t="s">
        <v>418</v>
      </c>
      <c r="K54" s="10">
        <f t="shared" si="27"/>
        <v>44416</v>
      </c>
      <c r="L54" s="10">
        <f t="shared" si="25"/>
        <v>4416</v>
      </c>
      <c r="M54" s="10">
        <f t="shared" si="26"/>
        <v>4415</v>
      </c>
      <c r="N54" s="10" t="s">
        <v>943</v>
      </c>
      <c r="O54" s="10" t="s">
        <v>327</v>
      </c>
      <c r="P54" s="10">
        <v>0</v>
      </c>
      <c r="Q54" s="10"/>
      <c r="R54" s="10"/>
      <c r="V54" s="8"/>
      <c r="W54" s="8"/>
      <c r="X54" s="8"/>
      <c r="Y54" s="8"/>
      <c r="Z54" s="8"/>
      <c r="AA54" s="8"/>
      <c r="AB54" s="8"/>
    </row>
    <row r="55" spans="1:228" x14ac:dyDescent="0.3">
      <c r="B55" s="10" t="s">
        <v>948</v>
      </c>
      <c r="C55" s="10" t="s">
        <v>321</v>
      </c>
      <c r="D55" s="10">
        <v>2</v>
      </c>
      <c r="E55" s="10">
        <f t="shared" si="24"/>
        <v>1</v>
      </c>
      <c r="F55" s="10">
        <v>0</v>
      </c>
      <c r="G55" s="10">
        <v>59</v>
      </c>
      <c r="H55" s="10">
        <v>1</v>
      </c>
      <c r="I55" s="10">
        <v>1</v>
      </c>
      <c r="J55" s="10" t="s">
        <v>418</v>
      </c>
      <c r="K55" s="10">
        <f t="shared" si="27"/>
        <v>44417</v>
      </c>
      <c r="L55" s="10">
        <f t="shared" si="25"/>
        <v>4417</v>
      </c>
      <c r="M55" s="10">
        <f t="shared" si="26"/>
        <v>4416</v>
      </c>
      <c r="N55" s="10" t="s">
        <v>943</v>
      </c>
      <c r="O55" s="10" t="s">
        <v>327</v>
      </c>
      <c r="P55" s="10">
        <v>0</v>
      </c>
      <c r="Q55" s="10"/>
      <c r="R55" s="10"/>
      <c r="V55" s="8"/>
      <c r="W55" s="8"/>
      <c r="X55" s="8"/>
      <c r="Y55" s="8"/>
      <c r="Z55" s="8"/>
      <c r="AA55" s="8"/>
      <c r="AB55" s="8"/>
    </row>
    <row r="56" spans="1:228" x14ac:dyDescent="0.3">
      <c r="B56" s="10" t="s">
        <v>320</v>
      </c>
      <c r="C56" s="10" t="s">
        <v>321</v>
      </c>
      <c r="D56" s="10">
        <v>2</v>
      </c>
      <c r="E56" s="10">
        <f t="shared" ref="E56" si="28">D56/2</f>
        <v>1</v>
      </c>
      <c r="F56" s="10">
        <v>0</v>
      </c>
      <c r="G56" s="10">
        <v>0</v>
      </c>
      <c r="H56" s="10">
        <v>0</v>
      </c>
      <c r="I56" s="10">
        <v>0</v>
      </c>
      <c r="J56" s="10" t="s">
        <v>418</v>
      </c>
      <c r="K56" s="10">
        <f t="shared" si="27"/>
        <v>44418</v>
      </c>
      <c r="L56" s="10">
        <f t="shared" si="25"/>
        <v>4418</v>
      </c>
      <c r="M56" s="10">
        <f t="shared" si="26"/>
        <v>4417</v>
      </c>
      <c r="N56" s="10" t="s">
        <v>943</v>
      </c>
      <c r="O56" s="10" t="s">
        <v>324</v>
      </c>
      <c r="P56" s="10">
        <v>0</v>
      </c>
      <c r="Q56" s="10"/>
      <c r="R56" s="10"/>
      <c r="V56" s="8"/>
      <c r="W56" s="8"/>
      <c r="X56" s="8"/>
      <c r="Y56" s="8"/>
      <c r="Z56" s="8"/>
      <c r="AA56" s="8"/>
      <c r="AB56" s="8"/>
    </row>
    <row r="57" spans="1:228" s="26" customFormat="1" x14ac:dyDescent="0.3">
      <c r="B57" s="10" t="s">
        <v>320</v>
      </c>
      <c r="C57" s="10" t="s">
        <v>321</v>
      </c>
      <c r="D57" s="10">
        <v>2</v>
      </c>
      <c r="E57" s="10">
        <f t="shared" si="24"/>
        <v>1</v>
      </c>
      <c r="F57" s="10">
        <v>0</v>
      </c>
      <c r="G57" s="10">
        <v>0</v>
      </c>
      <c r="H57" s="10">
        <v>0</v>
      </c>
      <c r="I57" s="10">
        <v>0</v>
      </c>
      <c r="J57" s="10" t="s">
        <v>418</v>
      </c>
      <c r="K57" s="10">
        <f t="shared" ref="K57:K58" si="29">K56+E56</f>
        <v>44419</v>
      </c>
      <c r="L57" s="10">
        <f t="shared" si="25"/>
        <v>4419</v>
      </c>
      <c r="M57" s="10">
        <f t="shared" si="26"/>
        <v>4418</v>
      </c>
      <c r="N57" s="10" t="s">
        <v>943</v>
      </c>
      <c r="O57" s="10" t="s">
        <v>324</v>
      </c>
      <c r="P57" s="10">
        <v>0</v>
      </c>
      <c r="Q57" s="10"/>
      <c r="R57" s="10"/>
      <c r="S57" s="6"/>
      <c r="T57" s="6"/>
      <c r="U57" s="56"/>
      <c r="V57" s="16"/>
      <c r="W57" s="16"/>
      <c r="X57" s="16"/>
      <c r="Y57" s="16"/>
      <c r="Z57" s="56"/>
      <c r="AA57" s="56"/>
      <c r="AB57" s="56"/>
    </row>
    <row r="58" spans="1:228" s="26" customFormat="1" x14ac:dyDescent="0.3">
      <c r="B58" s="10" t="s">
        <v>949</v>
      </c>
      <c r="C58" s="10" t="s">
        <v>321</v>
      </c>
      <c r="D58" s="10">
        <v>2</v>
      </c>
      <c r="E58" s="10">
        <f t="shared" si="24"/>
        <v>1</v>
      </c>
      <c r="F58" s="10">
        <v>0</v>
      </c>
      <c r="G58" s="10">
        <v>1</v>
      </c>
      <c r="H58" s="10">
        <v>1</v>
      </c>
      <c r="I58" s="10">
        <v>1</v>
      </c>
      <c r="J58" s="10" t="s">
        <v>418</v>
      </c>
      <c r="K58" s="10">
        <f t="shared" si="29"/>
        <v>44420</v>
      </c>
      <c r="L58" s="10">
        <f t="shared" si="25"/>
        <v>4420</v>
      </c>
      <c r="M58" s="10">
        <f t="shared" si="26"/>
        <v>4419</v>
      </c>
      <c r="N58" s="10" t="s">
        <v>943</v>
      </c>
      <c r="O58" s="10" t="s">
        <v>324</v>
      </c>
      <c r="P58" s="10">
        <v>0</v>
      </c>
      <c r="Q58" s="10"/>
      <c r="R58" s="10"/>
      <c r="S58" s="6"/>
      <c r="T58" s="6"/>
      <c r="U58" s="56"/>
      <c r="V58" s="16"/>
      <c r="W58" s="16"/>
      <c r="X58" s="16"/>
      <c r="Y58" s="16"/>
      <c r="Z58" s="56"/>
      <c r="AA58" s="56"/>
      <c r="AB58" s="56"/>
    </row>
    <row r="59" spans="1:228" x14ac:dyDescent="0.3">
      <c r="B59" s="23"/>
      <c r="C59" s="13"/>
      <c r="D59" s="12"/>
      <c r="E59" s="13"/>
      <c r="F59" s="13"/>
      <c r="G59" s="13"/>
      <c r="H59" s="13"/>
      <c r="I59" s="24"/>
      <c r="J59" s="25"/>
      <c r="K59" s="34"/>
      <c r="L59" s="34"/>
      <c r="M59" s="34"/>
      <c r="V59" s="8"/>
      <c r="W59" s="8"/>
      <c r="X59" s="8"/>
      <c r="Y59" s="8"/>
      <c r="Z59" s="8"/>
      <c r="AA59" s="8"/>
      <c r="AB59" s="8"/>
    </row>
    <row r="60" spans="1:228" x14ac:dyDescent="0.3">
      <c r="B60" s="477" t="s">
        <v>950</v>
      </c>
      <c r="C60" s="477"/>
      <c r="D60" s="477"/>
      <c r="E60" s="477"/>
      <c r="F60" s="477"/>
      <c r="G60" s="477"/>
      <c r="H60" s="477"/>
      <c r="I60" s="477"/>
      <c r="J60" s="477"/>
      <c r="K60" s="477"/>
      <c r="L60" s="477"/>
      <c r="M60" s="477"/>
      <c r="N60" s="477"/>
      <c r="O60" s="477"/>
      <c r="P60" s="477"/>
      <c r="Q60" s="477"/>
      <c r="R60" s="477"/>
      <c r="V60" s="8"/>
      <c r="W60" s="8"/>
      <c r="X60" s="8"/>
      <c r="Y60" s="8"/>
      <c r="Z60" s="8"/>
      <c r="AA60" s="8"/>
      <c r="AB60" s="8"/>
    </row>
    <row r="61" spans="1:228" s="14" customFormat="1" ht="31.2" x14ac:dyDescent="0.3">
      <c r="B61" s="193" t="s">
        <v>951</v>
      </c>
      <c r="C61" s="10" t="s">
        <v>321</v>
      </c>
      <c r="D61" s="10">
        <v>2</v>
      </c>
      <c r="E61" s="10">
        <f t="shared" ref="E61" si="30">D61/2</f>
        <v>1</v>
      </c>
      <c r="F61" s="193">
        <v>0</v>
      </c>
      <c r="G61" s="193">
        <v>1</v>
      </c>
      <c r="H61" s="193">
        <v>1</v>
      </c>
      <c r="I61" s="193">
        <v>1</v>
      </c>
      <c r="J61" s="10" t="s">
        <v>418</v>
      </c>
      <c r="K61" s="10">
        <f>K58+E58</f>
        <v>44421</v>
      </c>
      <c r="L61" s="10">
        <f t="shared" ref="L61" si="31">K61-40000</f>
        <v>4421</v>
      </c>
      <c r="M61" s="10">
        <f t="shared" ref="M61" si="32">L61-1</f>
        <v>4420</v>
      </c>
      <c r="N61" s="10" t="s">
        <v>419</v>
      </c>
      <c r="O61" s="10" t="s">
        <v>327</v>
      </c>
      <c r="P61" s="10">
        <v>0</v>
      </c>
      <c r="Q61" s="10"/>
      <c r="R61" s="211" t="s">
        <v>952</v>
      </c>
      <c r="V61" s="35"/>
      <c r="W61" s="35"/>
      <c r="X61" s="35"/>
      <c r="Y61" s="35"/>
      <c r="Z61" s="35"/>
      <c r="AA61" s="35"/>
      <c r="AB61" s="35"/>
    </row>
    <row r="62" spans="1:228" s="14" customFormat="1" x14ac:dyDescent="0.3">
      <c r="B62" s="190" t="s">
        <v>953</v>
      </c>
      <c r="C62" s="10" t="s">
        <v>321</v>
      </c>
      <c r="D62" s="10">
        <v>2</v>
      </c>
      <c r="E62" s="10">
        <f t="shared" ref="E62:E78" si="33">D62/2</f>
        <v>1</v>
      </c>
      <c r="F62" s="10">
        <v>0</v>
      </c>
      <c r="G62" s="10">
        <v>511</v>
      </c>
      <c r="H62" s="10">
        <v>1</v>
      </c>
      <c r="I62" s="10">
        <v>1</v>
      </c>
      <c r="J62" s="10" t="s">
        <v>418</v>
      </c>
      <c r="K62" s="10">
        <f t="shared" ref="K62:K92" si="34">K61+E61</f>
        <v>44422</v>
      </c>
      <c r="L62" s="10">
        <f t="shared" ref="L62:L92" si="35">K62-40000</f>
        <v>4422</v>
      </c>
      <c r="M62" s="10">
        <f t="shared" ref="M62:M92" si="36">L62-1</f>
        <v>4421</v>
      </c>
      <c r="N62" s="10" t="s">
        <v>419</v>
      </c>
      <c r="O62" s="10" t="s">
        <v>327</v>
      </c>
      <c r="P62" s="10">
        <v>1</v>
      </c>
      <c r="Q62" s="10"/>
      <c r="R62" s="111" t="s">
        <v>350</v>
      </c>
      <c r="V62" s="35"/>
      <c r="W62" s="35"/>
      <c r="X62" s="35"/>
      <c r="Y62" s="35"/>
      <c r="Z62" s="35"/>
      <c r="AA62" s="35"/>
      <c r="AB62" s="35"/>
    </row>
    <row r="63" spans="1:228" s="14" customFormat="1" x14ac:dyDescent="0.3">
      <c r="B63" s="10" t="s">
        <v>954</v>
      </c>
      <c r="C63" s="10" t="s">
        <v>321</v>
      </c>
      <c r="D63" s="10">
        <v>2</v>
      </c>
      <c r="E63" s="10">
        <f t="shared" si="33"/>
        <v>1</v>
      </c>
      <c r="F63" s="10">
        <v>0</v>
      </c>
      <c r="G63" s="10">
        <v>3</v>
      </c>
      <c r="H63" s="10">
        <v>1</v>
      </c>
      <c r="I63" s="10">
        <v>1</v>
      </c>
      <c r="J63" s="10" t="s">
        <v>418</v>
      </c>
      <c r="K63" s="10">
        <f t="shared" si="34"/>
        <v>44423</v>
      </c>
      <c r="L63" s="10">
        <f t="shared" si="35"/>
        <v>4423</v>
      </c>
      <c r="M63" s="10">
        <f t="shared" si="36"/>
        <v>4422</v>
      </c>
      <c r="N63" s="10" t="s">
        <v>419</v>
      </c>
      <c r="O63" s="10" t="s">
        <v>327</v>
      </c>
      <c r="P63" s="10">
        <v>0</v>
      </c>
      <c r="Q63" s="10"/>
      <c r="R63" s="111"/>
      <c r="V63" s="35"/>
      <c r="W63" s="35"/>
      <c r="X63" s="35"/>
      <c r="Y63" s="35"/>
      <c r="Z63" s="35"/>
      <c r="AA63" s="35"/>
      <c r="AB63" s="35"/>
    </row>
    <row r="64" spans="1:228" s="14" customFormat="1" x14ac:dyDescent="0.3">
      <c r="B64" s="10" t="s">
        <v>955</v>
      </c>
      <c r="C64" s="10" t="s">
        <v>321</v>
      </c>
      <c r="D64" s="10">
        <v>2</v>
      </c>
      <c r="E64" s="10">
        <f t="shared" si="33"/>
        <v>1</v>
      </c>
      <c r="F64" s="10">
        <v>0</v>
      </c>
      <c r="G64" s="10">
        <v>31</v>
      </c>
      <c r="H64" s="10">
        <v>1</v>
      </c>
      <c r="I64" s="10">
        <v>1</v>
      </c>
      <c r="J64" s="10" t="s">
        <v>418</v>
      </c>
      <c r="K64" s="10">
        <f>K63+E63</f>
        <v>44424</v>
      </c>
      <c r="L64" s="10">
        <f t="shared" si="35"/>
        <v>4424</v>
      </c>
      <c r="M64" s="10">
        <f t="shared" si="36"/>
        <v>4423</v>
      </c>
      <c r="N64" s="10" t="s">
        <v>419</v>
      </c>
      <c r="O64" s="10" t="s">
        <v>327</v>
      </c>
      <c r="P64" s="10">
        <v>11</v>
      </c>
      <c r="Q64" s="10"/>
      <c r="R64" s="111" t="s">
        <v>343</v>
      </c>
      <c r="V64" s="35"/>
      <c r="W64" s="35"/>
      <c r="X64" s="35"/>
      <c r="Y64" s="35"/>
      <c r="Z64" s="35"/>
      <c r="AA64" s="35"/>
      <c r="AB64" s="35"/>
    </row>
    <row r="65" spans="2:28" x14ac:dyDescent="0.3">
      <c r="B65" s="10" t="s">
        <v>956</v>
      </c>
      <c r="C65" s="10" t="s">
        <v>321</v>
      </c>
      <c r="D65" s="10">
        <v>2</v>
      </c>
      <c r="E65" s="10">
        <f t="shared" si="33"/>
        <v>1</v>
      </c>
      <c r="F65" s="10">
        <v>0</v>
      </c>
      <c r="G65" s="10">
        <v>31</v>
      </c>
      <c r="H65" s="10">
        <v>1</v>
      </c>
      <c r="I65" s="10">
        <v>1</v>
      </c>
      <c r="J65" s="10" t="s">
        <v>418</v>
      </c>
      <c r="K65" s="10">
        <f t="shared" si="34"/>
        <v>44425</v>
      </c>
      <c r="L65" s="10">
        <f t="shared" si="35"/>
        <v>4425</v>
      </c>
      <c r="M65" s="10">
        <f t="shared" si="36"/>
        <v>4424</v>
      </c>
      <c r="N65" s="10" t="s">
        <v>419</v>
      </c>
      <c r="O65" s="10" t="s">
        <v>327</v>
      </c>
      <c r="P65" s="10">
        <v>0</v>
      </c>
      <c r="Q65" s="10"/>
      <c r="R65" s="111" t="s">
        <v>343</v>
      </c>
      <c r="V65" s="8"/>
      <c r="W65" s="8"/>
      <c r="X65" s="8"/>
      <c r="Y65" s="8"/>
      <c r="Z65" s="8"/>
      <c r="AA65" s="8"/>
      <c r="AB65" s="8"/>
    </row>
    <row r="66" spans="2:28" s="14" customFormat="1" x14ac:dyDescent="0.3">
      <c r="B66" s="10" t="s">
        <v>957</v>
      </c>
      <c r="C66" s="10" t="s">
        <v>321</v>
      </c>
      <c r="D66" s="10">
        <v>2</v>
      </c>
      <c r="E66" s="10">
        <f t="shared" si="33"/>
        <v>1</v>
      </c>
      <c r="F66" s="10">
        <v>0</v>
      </c>
      <c r="G66" s="10">
        <v>31</v>
      </c>
      <c r="H66" s="10">
        <v>1</v>
      </c>
      <c r="I66" s="10">
        <v>1</v>
      </c>
      <c r="J66" s="10" t="s">
        <v>418</v>
      </c>
      <c r="K66" s="10">
        <f t="shared" si="34"/>
        <v>44426</v>
      </c>
      <c r="L66" s="10">
        <f t="shared" si="35"/>
        <v>4426</v>
      </c>
      <c r="M66" s="10">
        <f t="shared" si="36"/>
        <v>4425</v>
      </c>
      <c r="N66" s="10" t="s">
        <v>419</v>
      </c>
      <c r="O66" s="10" t="s">
        <v>327</v>
      </c>
      <c r="P66" s="10">
        <v>0</v>
      </c>
      <c r="Q66" s="10"/>
      <c r="R66" s="111" t="s">
        <v>343</v>
      </c>
      <c r="V66" s="35"/>
      <c r="W66" s="35"/>
      <c r="X66" s="35"/>
      <c r="Y66" s="35"/>
      <c r="Z66" s="35"/>
      <c r="AA66" s="35"/>
      <c r="AB66" s="35"/>
    </row>
    <row r="67" spans="2:28" s="14" customFormat="1" x14ac:dyDescent="0.3">
      <c r="B67" s="10" t="s">
        <v>958</v>
      </c>
      <c r="C67" s="10" t="s">
        <v>321</v>
      </c>
      <c r="D67" s="10">
        <v>2</v>
      </c>
      <c r="E67" s="10">
        <f t="shared" si="33"/>
        <v>1</v>
      </c>
      <c r="F67" s="10">
        <v>0</v>
      </c>
      <c r="G67" s="10">
        <v>31</v>
      </c>
      <c r="H67" s="10">
        <v>1</v>
      </c>
      <c r="I67" s="10">
        <v>1</v>
      </c>
      <c r="J67" s="10" t="s">
        <v>418</v>
      </c>
      <c r="K67" s="10">
        <f t="shared" si="34"/>
        <v>44427</v>
      </c>
      <c r="L67" s="10">
        <f t="shared" si="35"/>
        <v>4427</v>
      </c>
      <c r="M67" s="10">
        <f t="shared" si="36"/>
        <v>4426</v>
      </c>
      <c r="N67" s="10" t="s">
        <v>419</v>
      </c>
      <c r="O67" s="10" t="s">
        <v>327</v>
      </c>
      <c r="P67" s="10">
        <v>0</v>
      </c>
      <c r="Q67" s="10"/>
      <c r="R67" s="111" t="s">
        <v>343</v>
      </c>
      <c r="V67" s="35"/>
      <c r="W67" s="35"/>
      <c r="X67" s="35"/>
      <c r="Y67" s="35"/>
      <c r="Z67" s="35"/>
      <c r="AA67" s="35"/>
      <c r="AB67" s="35"/>
    </row>
    <row r="68" spans="2:28" s="14" customFormat="1" x14ac:dyDescent="0.3">
      <c r="B68" s="10" t="s">
        <v>959</v>
      </c>
      <c r="C68" s="10" t="s">
        <v>321</v>
      </c>
      <c r="D68" s="10">
        <v>2</v>
      </c>
      <c r="E68" s="10">
        <f t="shared" si="33"/>
        <v>1</v>
      </c>
      <c r="F68" s="10">
        <v>0</v>
      </c>
      <c r="G68" s="10">
        <v>31</v>
      </c>
      <c r="H68" s="10">
        <v>1</v>
      </c>
      <c r="I68" s="10">
        <v>1</v>
      </c>
      <c r="J68" s="10" t="s">
        <v>418</v>
      </c>
      <c r="K68" s="10">
        <f t="shared" si="34"/>
        <v>44428</v>
      </c>
      <c r="L68" s="10">
        <f t="shared" si="35"/>
        <v>4428</v>
      </c>
      <c r="M68" s="10">
        <f t="shared" si="36"/>
        <v>4427</v>
      </c>
      <c r="N68" s="10" t="s">
        <v>419</v>
      </c>
      <c r="O68" s="10" t="s">
        <v>327</v>
      </c>
      <c r="P68" s="10">
        <v>11</v>
      </c>
      <c r="Q68" s="10"/>
      <c r="R68" s="111" t="s">
        <v>343</v>
      </c>
      <c r="V68" s="35"/>
      <c r="W68" s="35"/>
      <c r="X68" s="35"/>
      <c r="Y68" s="35"/>
      <c r="Z68" s="35"/>
      <c r="AA68" s="35"/>
      <c r="AB68" s="35"/>
    </row>
    <row r="69" spans="2:28" s="14" customFormat="1" x14ac:dyDescent="0.3">
      <c r="B69" s="10" t="s">
        <v>960</v>
      </c>
      <c r="C69" s="10" t="s">
        <v>321</v>
      </c>
      <c r="D69" s="10">
        <v>2</v>
      </c>
      <c r="E69" s="10">
        <f t="shared" si="33"/>
        <v>1</v>
      </c>
      <c r="F69" s="10">
        <v>0</v>
      </c>
      <c r="G69" s="10">
        <v>31</v>
      </c>
      <c r="H69" s="10">
        <v>1</v>
      </c>
      <c r="I69" s="10">
        <v>1</v>
      </c>
      <c r="J69" s="10" t="s">
        <v>418</v>
      </c>
      <c r="K69" s="10">
        <f t="shared" si="34"/>
        <v>44429</v>
      </c>
      <c r="L69" s="10">
        <f t="shared" si="35"/>
        <v>4429</v>
      </c>
      <c r="M69" s="10">
        <f t="shared" si="36"/>
        <v>4428</v>
      </c>
      <c r="N69" s="10" t="s">
        <v>419</v>
      </c>
      <c r="O69" s="10" t="s">
        <v>327</v>
      </c>
      <c r="P69" s="10">
        <v>0</v>
      </c>
      <c r="Q69" s="10"/>
      <c r="R69" s="111" t="s">
        <v>343</v>
      </c>
      <c r="V69" s="35"/>
      <c r="W69" s="35"/>
      <c r="X69" s="35"/>
      <c r="Y69" s="35"/>
      <c r="Z69" s="35"/>
      <c r="AA69" s="35"/>
      <c r="AB69" s="35"/>
    </row>
    <row r="70" spans="2:28" s="14" customFormat="1" x14ac:dyDescent="0.3">
      <c r="B70" s="10" t="s">
        <v>961</v>
      </c>
      <c r="C70" s="10" t="s">
        <v>321</v>
      </c>
      <c r="D70" s="10">
        <v>2</v>
      </c>
      <c r="E70" s="10">
        <f t="shared" si="33"/>
        <v>1</v>
      </c>
      <c r="F70" s="10">
        <v>0</v>
      </c>
      <c r="G70" s="10">
        <v>31</v>
      </c>
      <c r="H70" s="10">
        <v>1</v>
      </c>
      <c r="I70" s="10">
        <v>1</v>
      </c>
      <c r="J70" s="10" t="s">
        <v>418</v>
      </c>
      <c r="K70" s="10">
        <f t="shared" si="34"/>
        <v>44430</v>
      </c>
      <c r="L70" s="10">
        <f t="shared" si="35"/>
        <v>4430</v>
      </c>
      <c r="M70" s="10">
        <f t="shared" si="36"/>
        <v>4429</v>
      </c>
      <c r="N70" s="10" t="s">
        <v>419</v>
      </c>
      <c r="O70" s="10" t="s">
        <v>327</v>
      </c>
      <c r="P70" s="10">
        <v>0</v>
      </c>
      <c r="Q70" s="10"/>
      <c r="R70" s="111" t="s">
        <v>343</v>
      </c>
      <c r="V70" s="35"/>
      <c r="W70" s="35"/>
      <c r="X70" s="35"/>
      <c r="Y70" s="35"/>
      <c r="Z70" s="35"/>
      <c r="AA70" s="35"/>
      <c r="AB70" s="35"/>
    </row>
    <row r="71" spans="2:28" s="14" customFormat="1" x14ac:dyDescent="0.3">
      <c r="B71" s="10" t="s">
        <v>962</v>
      </c>
      <c r="C71" s="10" t="s">
        <v>321</v>
      </c>
      <c r="D71" s="10">
        <v>2</v>
      </c>
      <c r="E71" s="10">
        <f t="shared" si="33"/>
        <v>1</v>
      </c>
      <c r="F71" s="10">
        <v>0</v>
      </c>
      <c r="G71" s="10">
        <v>31</v>
      </c>
      <c r="H71" s="10">
        <v>1</v>
      </c>
      <c r="I71" s="10">
        <v>1</v>
      </c>
      <c r="J71" s="10" t="s">
        <v>418</v>
      </c>
      <c r="K71" s="10">
        <f t="shared" si="34"/>
        <v>44431</v>
      </c>
      <c r="L71" s="10">
        <f t="shared" si="35"/>
        <v>4431</v>
      </c>
      <c r="M71" s="10">
        <f t="shared" si="36"/>
        <v>4430</v>
      </c>
      <c r="N71" s="10" t="s">
        <v>419</v>
      </c>
      <c r="O71" s="10" t="s">
        <v>327</v>
      </c>
      <c r="P71" s="10">
        <v>0</v>
      </c>
      <c r="Q71" s="10"/>
      <c r="R71" s="111" t="s">
        <v>343</v>
      </c>
      <c r="V71" s="35"/>
      <c r="W71" s="35"/>
      <c r="X71" s="35"/>
      <c r="Y71" s="35"/>
      <c r="Z71" s="35"/>
      <c r="AA71" s="35"/>
      <c r="AB71" s="35"/>
    </row>
    <row r="72" spans="2:28" s="14" customFormat="1" ht="31.2" x14ac:dyDescent="0.3">
      <c r="B72" s="10" t="s">
        <v>963</v>
      </c>
      <c r="C72" s="10" t="s">
        <v>321</v>
      </c>
      <c r="D72" s="10">
        <v>2</v>
      </c>
      <c r="E72" s="10">
        <f t="shared" si="33"/>
        <v>1</v>
      </c>
      <c r="F72" s="10">
        <v>0</v>
      </c>
      <c r="G72" s="10">
        <v>1</v>
      </c>
      <c r="H72" s="10">
        <v>1</v>
      </c>
      <c r="I72" s="10">
        <v>1</v>
      </c>
      <c r="J72" s="10" t="s">
        <v>418</v>
      </c>
      <c r="K72" s="10">
        <f t="shared" si="34"/>
        <v>44432</v>
      </c>
      <c r="L72" s="10">
        <f t="shared" si="35"/>
        <v>4432</v>
      </c>
      <c r="M72" s="10">
        <f t="shared" si="36"/>
        <v>4431</v>
      </c>
      <c r="N72" s="10" t="s">
        <v>419</v>
      </c>
      <c r="O72" s="10" t="s">
        <v>327</v>
      </c>
      <c r="P72" s="10">
        <v>0</v>
      </c>
      <c r="Q72" s="10"/>
      <c r="R72" s="110" t="s">
        <v>964</v>
      </c>
      <c r="V72" s="35"/>
      <c r="W72" s="35"/>
      <c r="X72" s="35"/>
      <c r="Y72" s="35"/>
      <c r="Z72" s="35"/>
      <c r="AA72" s="35"/>
      <c r="AB72" s="35"/>
    </row>
    <row r="73" spans="2:28" s="26" customFormat="1" ht="31.2" x14ac:dyDescent="0.3">
      <c r="B73" s="10" t="s">
        <v>965</v>
      </c>
      <c r="C73" s="10" t="s">
        <v>321</v>
      </c>
      <c r="D73" s="10">
        <v>2</v>
      </c>
      <c r="E73" s="10">
        <f t="shared" si="33"/>
        <v>1</v>
      </c>
      <c r="F73" s="10">
        <v>0</v>
      </c>
      <c r="G73" s="10">
        <v>1</v>
      </c>
      <c r="H73" s="10">
        <v>1</v>
      </c>
      <c r="I73" s="10">
        <v>1</v>
      </c>
      <c r="J73" s="10" t="s">
        <v>418</v>
      </c>
      <c r="K73" s="10">
        <f t="shared" si="34"/>
        <v>44433</v>
      </c>
      <c r="L73" s="10">
        <f t="shared" si="35"/>
        <v>4433</v>
      </c>
      <c r="M73" s="10">
        <f t="shared" si="36"/>
        <v>4432</v>
      </c>
      <c r="N73" s="10" t="s">
        <v>419</v>
      </c>
      <c r="O73" s="10" t="s">
        <v>327</v>
      </c>
      <c r="P73" s="10">
        <v>0</v>
      </c>
      <c r="Q73" s="10"/>
      <c r="R73" s="110" t="s">
        <v>964</v>
      </c>
      <c r="S73" s="29"/>
      <c r="T73" s="56"/>
      <c r="U73" s="56"/>
      <c r="V73" s="16"/>
      <c r="W73" s="16"/>
      <c r="X73" s="16"/>
      <c r="Y73" s="16"/>
      <c r="Z73" s="56"/>
      <c r="AA73" s="56"/>
      <c r="AB73" s="56"/>
    </row>
    <row r="74" spans="2:28" s="26" customFormat="1" ht="31.2" x14ac:dyDescent="0.3">
      <c r="B74" s="10" t="s">
        <v>966</v>
      </c>
      <c r="C74" s="10" t="s">
        <v>321</v>
      </c>
      <c r="D74" s="10">
        <v>2</v>
      </c>
      <c r="E74" s="10">
        <f t="shared" si="33"/>
        <v>1</v>
      </c>
      <c r="F74" s="10">
        <v>0</v>
      </c>
      <c r="G74" s="10">
        <v>1</v>
      </c>
      <c r="H74" s="10">
        <v>1</v>
      </c>
      <c r="I74" s="10">
        <v>1</v>
      </c>
      <c r="J74" s="10" t="s">
        <v>418</v>
      </c>
      <c r="K74" s="10">
        <f t="shared" si="34"/>
        <v>44434</v>
      </c>
      <c r="L74" s="10">
        <f t="shared" si="35"/>
        <v>4434</v>
      </c>
      <c r="M74" s="10">
        <f t="shared" si="36"/>
        <v>4433</v>
      </c>
      <c r="N74" s="10" t="s">
        <v>419</v>
      </c>
      <c r="O74" s="10" t="s">
        <v>327</v>
      </c>
      <c r="P74" s="10">
        <v>0</v>
      </c>
      <c r="Q74" s="10"/>
      <c r="R74" s="110" t="s">
        <v>964</v>
      </c>
      <c r="S74" s="29"/>
      <c r="T74" s="56"/>
      <c r="U74" s="56"/>
      <c r="V74" s="16"/>
      <c r="W74" s="16"/>
      <c r="X74" s="16"/>
      <c r="Y74" s="16"/>
      <c r="Z74" s="56"/>
      <c r="AA74" s="56"/>
      <c r="AB74" s="56"/>
    </row>
    <row r="75" spans="2:28" s="26" customFormat="1" ht="31.2" x14ac:dyDescent="0.3">
      <c r="B75" s="10" t="s">
        <v>967</v>
      </c>
      <c r="C75" s="10" t="s">
        <v>321</v>
      </c>
      <c r="D75" s="10">
        <v>2</v>
      </c>
      <c r="E75" s="10">
        <f t="shared" si="33"/>
        <v>1</v>
      </c>
      <c r="F75" s="10">
        <v>0</v>
      </c>
      <c r="G75" s="10">
        <v>1</v>
      </c>
      <c r="H75" s="10">
        <v>1</v>
      </c>
      <c r="I75" s="10">
        <v>1</v>
      </c>
      <c r="J75" s="10" t="s">
        <v>418</v>
      </c>
      <c r="K75" s="10">
        <f t="shared" si="34"/>
        <v>44435</v>
      </c>
      <c r="L75" s="10">
        <f t="shared" si="35"/>
        <v>4435</v>
      </c>
      <c r="M75" s="10">
        <f t="shared" si="36"/>
        <v>4434</v>
      </c>
      <c r="N75" s="10" t="s">
        <v>419</v>
      </c>
      <c r="O75" s="10" t="s">
        <v>324</v>
      </c>
      <c r="P75" s="10">
        <v>0</v>
      </c>
      <c r="Q75" s="10"/>
      <c r="R75" s="110" t="s">
        <v>968</v>
      </c>
      <c r="S75" s="29"/>
      <c r="T75" s="56"/>
      <c r="U75" s="56"/>
      <c r="V75" s="16"/>
      <c r="W75" s="16"/>
      <c r="X75" s="16"/>
      <c r="Y75" s="16"/>
      <c r="Z75" s="56"/>
      <c r="AA75" s="56"/>
      <c r="AB75" s="56"/>
    </row>
    <row r="76" spans="2:28" s="26" customFormat="1" ht="31.2" x14ac:dyDescent="0.3">
      <c r="B76" s="10" t="s">
        <v>969</v>
      </c>
      <c r="C76" s="10" t="s">
        <v>321</v>
      </c>
      <c r="D76" s="10">
        <v>2</v>
      </c>
      <c r="E76" s="10">
        <f t="shared" ref="E76" si="37">D76/2</f>
        <v>1</v>
      </c>
      <c r="F76" s="10">
        <v>0</v>
      </c>
      <c r="G76" s="10">
        <v>1</v>
      </c>
      <c r="H76" s="10">
        <v>1</v>
      </c>
      <c r="I76" s="10">
        <v>1</v>
      </c>
      <c r="J76" s="10" t="s">
        <v>418</v>
      </c>
      <c r="K76" s="10">
        <f t="shared" ref="K76" si="38">K75+E75</f>
        <v>44436</v>
      </c>
      <c r="L76" s="10">
        <f t="shared" ref="L76" si="39">K76-40000</f>
        <v>4436</v>
      </c>
      <c r="M76" s="10">
        <f t="shared" ref="M76" si="40">L76-1</f>
        <v>4435</v>
      </c>
      <c r="N76" s="10" t="s">
        <v>419</v>
      </c>
      <c r="O76" s="10" t="s">
        <v>327</v>
      </c>
      <c r="P76" s="10">
        <v>0</v>
      </c>
      <c r="Q76" s="10"/>
      <c r="R76" s="110" t="s">
        <v>964</v>
      </c>
      <c r="S76" s="29"/>
      <c r="T76" s="56"/>
      <c r="U76" s="56"/>
      <c r="V76" s="16"/>
      <c r="W76" s="16"/>
      <c r="X76" s="16"/>
      <c r="Y76" s="16"/>
      <c r="Z76" s="56"/>
      <c r="AA76" s="56"/>
      <c r="AB76" s="56"/>
    </row>
    <row r="77" spans="2:28" s="26" customFormat="1" x14ac:dyDescent="0.3">
      <c r="B77" s="10" t="s">
        <v>320</v>
      </c>
      <c r="C77" s="10" t="s">
        <v>321</v>
      </c>
      <c r="D77" s="10">
        <v>2</v>
      </c>
      <c r="E77" s="10">
        <f t="shared" si="33"/>
        <v>1</v>
      </c>
      <c r="F77" s="10">
        <v>0</v>
      </c>
      <c r="G77" s="10">
        <v>0</v>
      </c>
      <c r="H77" s="10">
        <v>0</v>
      </c>
      <c r="I77" s="10">
        <v>0</v>
      </c>
      <c r="J77" s="10" t="s">
        <v>418</v>
      </c>
      <c r="K77" s="10">
        <f t="shared" si="34"/>
        <v>44437</v>
      </c>
      <c r="L77" s="10">
        <f t="shared" si="35"/>
        <v>4437</v>
      </c>
      <c r="M77" s="10">
        <f t="shared" si="36"/>
        <v>4436</v>
      </c>
      <c r="N77" s="10" t="s">
        <v>419</v>
      </c>
      <c r="O77" s="10" t="s">
        <v>324</v>
      </c>
      <c r="P77" s="10">
        <v>0</v>
      </c>
      <c r="Q77" s="10"/>
      <c r="R77" s="111"/>
      <c r="S77" s="29"/>
      <c r="T77" s="56"/>
      <c r="U77" s="56"/>
      <c r="V77" s="16"/>
      <c r="W77" s="16"/>
      <c r="X77" s="16"/>
      <c r="Y77" s="16"/>
      <c r="Z77" s="56"/>
      <c r="AA77" s="56"/>
      <c r="AB77" s="56"/>
    </row>
    <row r="78" spans="2:28" s="26" customFormat="1" x14ac:dyDescent="0.3">
      <c r="B78" s="10" t="s">
        <v>320</v>
      </c>
      <c r="C78" s="10" t="s">
        <v>321</v>
      </c>
      <c r="D78" s="10">
        <v>2</v>
      </c>
      <c r="E78" s="10">
        <f t="shared" si="33"/>
        <v>1</v>
      </c>
      <c r="F78" s="10">
        <v>0</v>
      </c>
      <c r="G78" s="10">
        <v>0</v>
      </c>
      <c r="H78" s="10">
        <v>0</v>
      </c>
      <c r="I78" s="10">
        <v>0</v>
      </c>
      <c r="J78" s="10" t="s">
        <v>418</v>
      </c>
      <c r="K78" s="10">
        <f t="shared" si="34"/>
        <v>44438</v>
      </c>
      <c r="L78" s="10">
        <f t="shared" si="35"/>
        <v>4438</v>
      </c>
      <c r="M78" s="10">
        <f t="shared" si="36"/>
        <v>4437</v>
      </c>
      <c r="N78" s="10" t="s">
        <v>419</v>
      </c>
      <c r="O78" s="10" t="s">
        <v>324</v>
      </c>
      <c r="P78" s="10">
        <v>0</v>
      </c>
      <c r="Q78" s="10"/>
      <c r="R78" s="111"/>
      <c r="S78" s="29"/>
      <c r="T78" s="56"/>
      <c r="U78" s="56"/>
      <c r="V78" s="16"/>
      <c r="W78" s="16"/>
      <c r="X78" s="16"/>
      <c r="Y78" s="16"/>
      <c r="Z78" s="56"/>
      <c r="AA78" s="56"/>
      <c r="AB78" s="56"/>
    </row>
    <row r="79" spans="2:28" s="14" customFormat="1" ht="31.2" x14ac:dyDescent="0.3">
      <c r="B79" s="10" t="s">
        <v>970</v>
      </c>
      <c r="C79" s="10" t="s">
        <v>321</v>
      </c>
      <c r="D79" s="10">
        <v>2</v>
      </c>
      <c r="E79" s="10">
        <f>D79/2</f>
        <v>1</v>
      </c>
      <c r="F79" s="10">
        <v>0</v>
      </c>
      <c r="G79" s="10">
        <v>1</v>
      </c>
      <c r="H79" s="10">
        <v>1</v>
      </c>
      <c r="I79" s="10">
        <v>1</v>
      </c>
      <c r="J79" s="10" t="s">
        <v>418</v>
      </c>
      <c r="K79" s="10">
        <f t="shared" si="34"/>
        <v>44439</v>
      </c>
      <c r="L79" s="10">
        <f t="shared" si="35"/>
        <v>4439</v>
      </c>
      <c r="M79" s="10">
        <f t="shared" si="36"/>
        <v>4438</v>
      </c>
      <c r="N79" s="10" t="s">
        <v>419</v>
      </c>
      <c r="O79" s="10" t="s">
        <v>327</v>
      </c>
      <c r="P79" s="117">
        <v>0</v>
      </c>
      <c r="Q79" s="10"/>
      <c r="R79" s="110" t="s">
        <v>971</v>
      </c>
      <c r="V79" s="35"/>
      <c r="W79" s="35"/>
      <c r="X79" s="35"/>
      <c r="Y79" s="35"/>
      <c r="Z79" s="35"/>
      <c r="AA79" s="35"/>
      <c r="AB79" s="35"/>
    </row>
    <row r="80" spans="2:28" s="14" customFormat="1" x14ac:dyDescent="0.3">
      <c r="B80" s="10" t="s">
        <v>972</v>
      </c>
      <c r="C80" s="10" t="s">
        <v>321</v>
      </c>
      <c r="D80" s="10">
        <v>2</v>
      </c>
      <c r="E80" s="10">
        <f>D80/2</f>
        <v>1</v>
      </c>
      <c r="F80" s="10">
        <v>1</v>
      </c>
      <c r="G80" s="10">
        <v>60000</v>
      </c>
      <c r="H80" s="10">
        <v>1</v>
      </c>
      <c r="I80" s="10" t="s">
        <v>403</v>
      </c>
      <c r="J80" s="10" t="s">
        <v>418</v>
      </c>
      <c r="K80" s="10">
        <f t="shared" si="34"/>
        <v>44440</v>
      </c>
      <c r="L80" s="10">
        <f t="shared" si="35"/>
        <v>4440</v>
      </c>
      <c r="M80" s="10">
        <f t="shared" si="36"/>
        <v>4439</v>
      </c>
      <c r="N80" s="10" t="s">
        <v>419</v>
      </c>
      <c r="O80" s="10" t="s">
        <v>327</v>
      </c>
      <c r="P80" s="10">
        <v>50</v>
      </c>
      <c r="Q80" s="10" t="s">
        <v>760</v>
      </c>
      <c r="R80" s="111"/>
      <c r="V80" s="35"/>
      <c r="W80" s="35"/>
      <c r="X80" s="35"/>
      <c r="Y80" s="35"/>
      <c r="Z80" s="35"/>
      <c r="AA80" s="35"/>
      <c r="AB80" s="35"/>
    </row>
    <row r="81" spans="2:28" s="26" customFormat="1" x14ac:dyDescent="0.3">
      <c r="B81" s="10" t="s">
        <v>973</v>
      </c>
      <c r="C81" s="10" t="s">
        <v>321</v>
      </c>
      <c r="D81" s="10">
        <v>2</v>
      </c>
      <c r="E81" s="10">
        <f>D81/2</f>
        <v>1</v>
      </c>
      <c r="F81" s="10">
        <v>1</v>
      </c>
      <c r="G81" s="10">
        <v>60000</v>
      </c>
      <c r="H81" s="10">
        <v>1</v>
      </c>
      <c r="I81" s="10" t="s">
        <v>403</v>
      </c>
      <c r="J81" s="10" t="s">
        <v>418</v>
      </c>
      <c r="K81" s="10">
        <f t="shared" si="34"/>
        <v>44441</v>
      </c>
      <c r="L81" s="10">
        <f t="shared" si="35"/>
        <v>4441</v>
      </c>
      <c r="M81" s="10">
        <f t="shared" si="36"/>
        <v>4440</v>
      </c>
      <c r="N81" s="10" t="s">
        <v>419</v>
      </c>
      <c r="O81" s="10" t="s">
        <v>327</v>
      </c>
      <c r="P81" s="10">
        <v>50</v>
      </c>
      <c r="Q81" s="10" t="s">
        <v>760</v>
      </c>
      <c r="R81" s="111"/>
      <c r="S81" s="29"/>
      <c r="T81" s="56"/>
      <c r="U81" s="56"/>
      <c r="V81" s="16"/>
      <c r="W81" s="16"/>
      <c r="X81" s="16"/>
      <c r="Y81" s="16"/>
      <c r="Z81" s="56"/>
      <c r="AA81" s="56"/>
      <c r="AB81" s="56"/>
    </row>
    <row r="82" spans="2:28" s="26" customFormat="1" x14ac:dyDescent="0.3">
      <c r="B82" s="10" t="s">
        <v>974</v>
      </c>
      <c r="C82" s="10" t="s">
        <v>321</v>
      </c>
      <c r="D82" s="10">
        <v>2</v>
      </c>
      <c r="E82" s="10">
        <f>D82/2</f>
        <v>1</v>
      </c>
      <c r="F82" s="10">
        <v>1</v>
      </c>
      <c r="G82" s="10">
        <v>60000</v>
      </c>
      <c r="H82" s="10">
        <v>1</v>
      </c>
      <c r="I82" s="10" t="s">
        <v>403</v>
      </c>
      <c r="J82" s="10" t="s">
        <v>418</v>
      </c>
      <c r="K82" s="10">
        <f t="shared" si="34"/>
        <v>44442</v>
      </c>
      <c r="L82" s="10">
        <f t="shared" si="35"/>
        <v>4442</v>
      </c>
      <c r="M82" s="10">
        <f t="shared" si="36"/>
        <v>4441</v>
      </c>
      <c r="N82" s="10" t="s">
        <v>419</v>
      </c>
      <c r="O82" s="10" t="s">
        <v>327</v>
      </c>
      <c r="P82" s="10">
        <v>6000</v>
      </c>
      <c r="Q82" s="10" t="s">
        <v>760</v>
      </c>
      <c r="R82" s="111"/>
      <c r="S82" s="29"/>
      <c r="T82" s="56"/>
      <c r="U82" s="56"/>
      <c r="V82" s="16"/>
      <c r="W82" s="16"/>
      <c r="X82" s="16"/>
      <c r="Y82" s="16"/>
      <c r="Z82" s="56"/>
      <c r="AA82" s="56"/>
      <c r="AB82" s="56"/>
    </row>
    <row r="83" spans="2:28" s="26" customFormat="1" x14ac:dyDescent="0.3">
      <c r="B83" s="10" t="s">
        <v>975</v>
      </c>
      <c r="C83" s="10" t="s">
        <v>321</v>
      </c>
      <c r="D83" s="10">
        <v>2</v>
      </c>
      <c r="E83" s="10">
        <f t="shared" ref="E83:E91" si="41">D83/2</f>
        <v>1</v>
      </c>
      <c r="F83" s="10">
        <v>1</v>
      </c>
      <c r="G83" s="10">
        <v>60000</v>
      </c>
      <c r="H83" s="10">
        <v>1</v>
      </c>
      <c r="I83" s="10" t="s">
        <v>403</v>
      </c>
      <c r="J83" s="10" t="s">
        <v>418</v>
      </c>
      <c r="K83" s="10">
        <f t="shared" si="34"/>
        <v>44443</v>
      </c>
      <c r="L83" s="10">
        <f t="shared" si="35"/>
        <v>4443</v>
      </c>
      <c r="M83" s="10">
        <f t="shared" si="36"/>
        <v>4442</v>
      </c>
      <c r="N83" s="10" t="s">
        <v>419</v>
      </c>
      <c r="O83" s="10" t="s">
        <v>327</v>
      </c>
      <c r="P83" s="10">
        <v>1000</v>
      </c>
      <c r="Q83" s="10" t="s">
        <v>760</v>
      </c>
      <c r="R83" s="111" t="s">
        <v>350</v>
      </c>
      <c r="S83" s="29"/>
      <c r="T83" s="56"/>
      <c r="U83" s="56"/>
      <c r="V83" s="16"/>
      <c r="W83" s="16"/>
      <c r="X83" s="16"/>
      <c r="Y83" s="16"/>
      <c r="Z83" s="56"/>
      <c r="AA83" s="56"/>
      <c r="AB83" s="56"/>
    </row>
    <row r="84" spans="2:28" s="26" customFormat="1" x14ac:dyDescent="0.3">
      <c r="B84" s="10" t="s">
        <v>976</v>
      </c>
      <c r="C84" s="10" t="s">
        <v>321</v>
      </c>
      <c r="D84" s="10">
        <v>2</v>
      </c>
      <c r="E84" s="10">
        <f t="shared" si="41"/>
        <v>1</v>
      </c>
      <c r="F84" s="10">
        <v>1</v>
      </c>
      <c r="G84" s="10">
        <v>60000</v>
      </c>
      <c r="H84" s="10">
        <v>1</v>
      </c>
      <c r="I84" s="10" t="s">
        <v>403</v>
      </c>
      <c r="J84" s="10" t="s">
        <v>418</v>
      </c>
      <c r="K84" s="10">
        <f t="shared" si="34"/>
        <v>44444</v>
      </c>
      <c r="L84" s="10">
        <f t="shared" si="35"/>
        <v>4444</v>
      </c>
      <c r="M84" s="10">
        <f t="shared" si="36"/>
        <v>4443</v>
      </c>
      <c r="N84" s="10" t="s">
        <v>419</v>
      </c>
      <c r="O84" s="10" t="s">
        <v>327</v>
      </c>
      <c r="P84" s="10">
        <v>30</v>
      </c>
      <c r="Q84" s="10" t="s">
        <v>760</v>
      </c>
      <c r="R84" s="111" t="s">
        <v>350</v>
      </c>
      <c r="S84" s="29"/>
      <c r="T84" s="56"/>
      <c r="U84" s="56"/>
      <c r="V84" s="16"/>
      <c r="W84" s="16"/>
      <c r="X84" s="16"/>
      <c r="Y84" s="16"/>
      <c r="Z84" s="56"/>
      <c r="AA84" s="56"/>
      <c r="AB84" s="56"/>
    </row>
    <row r="85" spans="2:28" s="26" customFormat="1" x14ac:dyDescent="0.3">
      <c r="B85" s="10" t="s">
        <v>977</v>
      </c>
      <c r="C85" s="10" t="s">
        <v>321</v>
      </c>
      <c r="D85" s="10">
        <v>2</v>
      </c>
      <c r="E85" s="10">
        <f t="shared" si="41"/>
        <v>1</v>
      </c>
      <c r="F85" s="10">
        <v>1</v>
      </c>
      <c r="G85" s="10">
        <v>60000</v>
      </c>
      <c r="H85" s="10">
        <v>1</v>
      </c>
      <c r="I85" s="10" t="s">
        <v>403</v>
      </c>
      <c r="J85" s="10" t="s">
        <v>418</v>
      </c>
      <c r="K85" s="10">
        <f t="shared" si="34"/>
        <v>44445</v>
      </c>
      <c r="L85" s="10">
        <f t="shared" si="35"/>
        <v>4445</v>
      </c>
      <c r="M85" s="10">
        <f t="shared" si="36"/>
        <v>4444</v>
      </c>
      <c r="N85" s="10" t="s">
        <v>419</v>
      </c>
      <c r="O85" s="10" t="s">
        <v>327</v>
      </c>
      <c r="P85" s="10">
        <v>1</v>
      </c>
      <c r="Q85" s="10" t="s">
        <v>760</v>
      </c>
      <c r="R85" s="111" t="s">
        <v>350</v>
      </c>
      <c r="S85" s="29"/>
      <c r="T85" s="56"/>
      <c r="U85" s="56"/>
      <c r="V85" s="16"/>
      <c r="W85" s="16"/>
      <c r="X85" s="16"/>
      <c r="Y85" s="16"/>
      <c r="Z85" s="56"/>
      <c r="AA85" s="56"/>
      <c r="AB85" s="56"/>
    </row>
    <row r="86" spans="2:28" s="26" customFormat="1" x14ac:dyDescent="0.3">
      <c r="B86" s="10" t="s">
        <v>978</v>
      </c>
      <c r="C86" s="10" t="s">
        <v>321</v>
      </c>
      <c r="D86" s="10">
        <v>2</v>
      </c>
      <c r="E86" s="10">
        <f t="shared" si="41"/>
        <v>1</v>
      </c>
      <c r="F86" s="10">
        <v>1</v>
      </c>
      <c r="G86" s="10">
        <v>60000</v>
      </c>
      <c r="H86" s="10">
        <v>1</v>
      </c>
      <c r="I86" s="10" t="s">
        <v>403</v>
      </c>
      <c r="J86" s="10" t="s">
        <v>418</v>
      </c>
      <c r="K86" s="10">
        <f t="shared" si="34"/>
        <v>44446</v>
      </c>
      <c r="L86" s="10">
        <f t="shared" si="35"/>
        <v>4446</v>
      </c>
      <c r="M86" s="10">
        <f t="shared" si="36"/>
        <v>4445</v>
      </c>
      <c r="N86" s="10" t="s">
        <v>419</v>
      </c>
      <c r="O86" s="10" t="s">
        <v>327</v>
      </c>
      <c r="P86" s="10">
        <v>1</v>
      </c>
      <c r="Q86" s="10" t="s">
        <v>760</v>
      </c>
      <c r="R86" s="111" t="s">
        <v>350</v>
      </c>
      <c r="S86" s="29"/>
      <c r="T86" s="56"/>
      <c r="U86" s="56"/>
      <c r="V86" s="16"/>
      <c r="W86" s="16"/>
      <c r="X86" s="16"/>
      <c r="Y86" s="16"/>
      <c r="Z86" s="56"/>
      <c r="AA86" s="56"/>
      <c r="AB86" s="56"/>
    </row>
    <row r="87" spans="2:28" s="26" customFormat="1" x14ac:dyDescent="0.3">
      <c r="B87" s="10" t="s">
        <v>320</v>
      </c>
      <c r="C87" s="10" t="s">
        <v>321</v>
      </c>
      <c r="D87" s="10">
        <v>2</v>
      </c>
      <c r="E87" s="10">
        <f t="shared" si="41"/>
        <v>1</v>
      </c>
      <c r="F87" s="10">
        <v>0</v>
      </c>
      <c r="G87" s="10">
        <v>0</v>
      </c>
      <c r="H87" s="10">
        <v>0</v>
      </c>
      <c r="I87" s="10">
        <v>0</v>
      </c>
      <c r="J87" s="10" t="s">
        <v>418</v>
      </c>
      <c r="K87" s="10">
        <f t="shared" si="34"/>
        <v>44447</v>
      </c>
      <c r="L87" s="10">
        <f t="shared" si="35"/>
        <v>4447</v>
      </c>
      <c r="M87" s="10">
        <f t="shared" si="36"/>
        <v>4446</v>
      </c>
      <c r="N87" s="10" t="s">
        <v>419</v>
      </c>
      <c r="O87" s="10" t="s">
        <v>324</v>
      </c>
      <c r="P87" s="10">
        <v>0</v>
      </c>
      <c r="Q87" s="10"/>
      <c r="R87" s="111"/>
      <c r="S87" s="29"/>
      <c r="T87" s="56"/>
      <c r="U87" s="56"/>
      <c r="V87" s="16"/>
      <c r="W87" s="16"/>
      <c r="X87" s="16"/>
      <c r="Y87" s="16"/>
      <c r="Z87" s="56"/>
      <c r="AA87" s="56"/>
      <c r="AB87" s="56"/>
    </row>
    <row r="88" spans="2:28" s="26" customFormat="1" x14ac:dyDescent="0.3">
      <c r="B88" s="10" t="s">
        <v>320</v>
      </c>
      <c r="C88" s="10" t="s">
        <v>321</v>
      </c>
      <c r="D88" s="10">
        <v>2</v>
      </c>
      <c r="E88" s="10">
        <f t="shared" si="41"/>
        <v>1</v>
      </c>
      <c r="F88" s="10">
        <v>0</v>
      </c>
      <c r="G88" s="10">
        <v>0</v>
      </c>
      <c r="H88" s="10">
        <v>0</v>
      </c>
      <c r="I88" s="10">
        <v>0</v>
      </c>
      <c r="J88" s="10" t="s">
        <v>418</v>
      </c>
      <c r="K88" s="10">
        <f t="shared" si="34"/>
        <v>44448</v>
      </c>
      <c r="L88" s="10">
        <f t="shared" si="35"/>
        <v>4448</v>
      </c>
      <c r="M88" s="10">
        <f t="shared" si="36"/>
        <v>4447</v>
      </c>
      <c r="N88" s="10" t="s">
        <v>419</v>
      </c>
      <c r="O88" s="10" t="s">
        <v>324</v>
      </c>
      <c r="P88" s="10">
        <v>0</v>
      </c>
      <c r="Q88" s="10"/>
      <c r="R88" s="111"/>
      <c r="S88" s="29"/>
      <c r="T88" s="56"/>
      <c r="U88" s="56"/>
      <c r="V88" s="16"/>
      <c r="W88" s="16"/>
      <c r="X88" s="16"/>
      <c r="Y88" s="16"/>
      <c r="Z88" s="56"/>
      <c r="AA88" s="56"/>
      <c r="AB88" s="56"/>
    </row>
    <row r="89" spans="2:28" s="26" customFormat="1" x14ac:dyDescent="0.3">
      <c r="B89" s="10" t="s">
        <v>320</v>
      </c>
      <c r="C89" s="10" t="s">
        <v>321</v>
      </c>
      <c r="D89" s="10">
        <v>2</v>
      </c>
      <c r="E89" s="10">
        <f t="shared" si="41"/>
        <v>1</v>
      </c>
      <c r="F89" s="10">
        <v>0</v>
      </c>
      <c r="G89" s="10">
        <v>0</v>
      </c>
      <c r="H89" s="10">
        <v>0</v>
      </c>
      <c r="I89" s="10">
        <v>0</v>
      </c>
      <c r="J89" s="10" t="s">
        <v>418</v>
      </c>
      <c r="K89" s="10">
        <f t="shared" si="34"/>
        <v>44449</v>
      </c>
      <c r="L89" s="10">
        <f t="shared" si="35"/>
        <v>4449</v>
      </c>
      <c r="M89" s="10">
        <f t="shared" si="36"/>
        <v>4448</v>
      </c>
      <c r="N89" s="10" t="s">
        <v>419</v>
      </c>
      <c r="O89" s="10" t="s">
        <v>324</v>
      </c>
      <c r="P89" s="10">
        <v>0</v>
      </c>
      <c r="Q89" s="10"/>
      <c r="R89" s="111"/>
      <c r="S89" s="29"/>
      <c r="T89" s="56"/>
      <c r="U89" s="56"/>
      <c r="V89" s="16"/>
      <c r="W89" s="16"/>
      <c r="X89" s="16"/>
      <c r="Y89" s="16"/>
      <c r="Z89" s="56"/>
      <c r="AA89" s="56"/>
      <c r="AB89" s="56"/>
    </row>
    <row r="90" spans="2:28" s="26" customFormat="1" ht="31.2" x14ac:dyDescent="0.3">
      <c r="B90" s="117" t="s">
        <v>979</v>
      </c>
      <c r="C90" s="10" t="s">
        <v>321</v>
      </c>
      <c r="D90" s="10">
        <v>2</v>
      </c>
      <c r="E90" s="10">
        <f t="shared" si="41"/>
        <v>1</v>
      </c>
      <c r="F90" s="10">
        <v>0</v>
      </c>
      <c r="G90" s="10">
        <v>1</v>
      </c>
      <c r="H90" s="10">
        <v>1</v>
      </c>
      <c r="I90" s="10">
        <v>1</v>
      </c>
      <c r="J90" s="10" t="s">
        <v>418</v>
      </c>
      <c r="K90" s="10">
        <f t="shared" si="34"/>
        <v>44450</v>
      </c>
      <c r="L90" s="10">
        <f t="shared" si="35"/>
        <v>4450</v>
      </c>
      <c r="M90" s="10">
        <f t="shared" si="36"/>
        <v>4449</v>
      </c>
      <c r="N90" s="10" t="s">
        <v>419</v>
      </c>
      <c r="O90" s="10" t="s">
        <v>327</v>
      </c>
      <c r="P90" s="10">
        <v>0</v>
      </c>
      <c r="Q90" s="10"/>
      <c r="R90" s="110" t="s">
        <v>980</v>
      </c>
      <c r="S90" s="29"/>
      <c r="T90" s="56"/>
      <c r="U90" s="56"/>
      <c r="V90" s="16"/>
      <c r="W90" s="16"/>
      <c r="X90" s="16"/>
      <c r="Y90" s="16"/>
      <c r="Z90" s="56"/>
      <c r="AA90" s="56"/>
      <c r="AB90" s="56"/>
    </row>
    <row r="91" spans="2:28" s="26" customFormat="1" ht="31.2" x14ac:dyDescent="0.3">
      <c r="B91" s="10" t="s">
        <v>981</v>
      </c>
      <c r="C91" s="10" t="s">
        <v>321</v>
      </c>
      <c r="D91" s="10">
        <v>2</v>
      </c>
      <c r="E91" s="10">
        <f t="shared" si="41"/>
        <v>1</v>
      </c>
      <c r="F91" s="10">
        <v>0</v>
      </c>
      <c r="G91" s="10">
        <v>1</v>
      </c>
      <c r="H91" s="10">
        <v>1</v>
      </c>
      <c r="I91" s="10">
        <v>1</v>
      </c>
      <c r="J91" s="10" t="s">
        <v>418</v>
      </c>
      <c r="K91" s="10">
        <f t="shared" si="34"/>
        <v>44451</v>
      </c>
      <c r="L91" s="10">
        <f t="shared" si="35"/>
        <v>4451</v>
      </c>
      <c r="M91" s="10">
        <f t="shared" si="36"/>
        <v>4450</v>
      </c>
      <c r="N91" s="10" t="s">
        <v>419</v>
      </c>
      <c r="O91" s="10" t="s">
        <v>327</v>
      </c>
      <c r="P91" s="10">
        <v>1</v>
      </c>
      <c r="Q91" s="10"/>
      <c r="R91" s="110" t="s">
        <v>982</v>
      </c>
      <c r="S91" s="29"/>
      <c r="T91" s="56"/>
      <c r="U91" s="56"/>
      <c r="V91" s="16"/>
      <c r="W91" s="16"/>
      <c r="X91" s="16"/>
      <c r="Y91" s="16"/>
      <c r="Z91" s="56"/>
      <c r="AA91" s="56"/>
      <c r="AB91" s="56"/>
    </row>
    <row r="92" spans="2:28" s="26" customFormat="1" ht="31.2" x14ac:dyDescent="0.3">
      <c r="B92" s="74" t="s">
        <v>983</v>
      </c>
      <c r="C92" s="10" t="s">
        <v>321</v>
      </c>
      <c r="D92" s="10">
        <v>2</v>
      </c>
      <c r="E92" s="10">
        <f>D92/2</f>
        <v>1</v>
      </c>
      <c r="F92" s="10">
        <v>0</v>
      </c>
      <c r="G92" s="10">
        <v>1</v>
      </c>
      <c r="H92" s="10">
        <v>0</v>
      </c>
      <c r="I92" s="10">
        <v>1</v>
      </c>
      <c r="J92" s="10" t="s">
        <v>418</v>
      </c>
      <c r="K92" s="10">
        <f t="shared" si="34"/>
        <v>44452</v>
      </c>
      <c r="L92" s="10">
        <f t="shared" si="35"/>
        <v>4452</v>
      </c>
      <c r="M92" s="10">
        <f t="shared" si="36"/>
        <v>4451</v>
      </c>
      <c r="N92" s="10" t="s">
        <v>419</v>
      </c>
      <c r="O92" s="10" t="s">
        <v>327</v>
      </c>
      <c r="P92" s="10">
        <v>0</v>
      </c>
      <c r="Q92" s="10"/>
      <c r="R92" s="110" t="s">
        <v>971</v>
      </c>
      <c r="S92" s="29"/>
      <c r="T92" s="56"/>
      <c r="U92" s="56"/>
      <c r="V92" s="16"/>
      <c r="W92" s="16"/>
      <c r="X92" s="16"/>
      <c r="Y92" s="16"/>
      <c r="Z92" s="56"/>
      <c r="AA92" s="56"/>
      <c r="AB92" s="56"/>
    </row>
    <row r="93" spans="2:28" x14ac:dyDescent="0.3">
      <c r="V93" s="8"/>
      <c r="W93" s="8"/>
      <c r="X93" s="8"/>
      <c r="Y93" s="8"/>
      <c r="Z93" s="8"/>
      <c r="AA93" s="8"/>
      <c r="AB93" s="8"/>
    </row>
    <row r="94" spans="2:28" x14ac:dyDescent="0.3">
      <c r="B94" s="477" t="s">
        <v>984</v>
      </c>
      <c r="C94" s="477"/>
      <c r="D94" s="477"/>
      <c r="E94" s="477"/>
      <c r="F94" s="477"/>
      <c r="G94" s="477"/>
      <c r="H94" s="477"/>
      <c r="I94" s="477"/>
      <c r="J94" s="477"/>
      <c r="K94" s="477"/>
      <c r="L94" s="477"/>
      <c r="M94" s="477"/>
      <c r="N94" s="477"/>
      <c r="O94" s="477"/>
      <c r="P94" s="477"/>
      <c r="Q94" s="477"/>
      <c r="R94" s="477"/>
      <c r="V94" s="8"/>
      <c r="W94" s="8"/>
      <c r="X94" s="8"/>
      <c r="Y94" s="8"/>
      <c r="Z94" s="8"/>
      <c r="AA94" s="8"/>
      <c r="AB94" s="8"/>
    </row>
    <row r="95" spans="2:28" x14ac:dyDescent="0.3">
      <c r="B95" s="10" t="s">
        <v>985</v>
      </c>
      <c r="C95" s="10" t="s">
        <v>321</v>
      </c>
      <c r="D95" s="10">
        <v>2</v>
      </c>
      <c r="E95" s="10">
        <v>1</v>
      </c>
      <c r="F95" s="10">
        <v>1</v>
      </c>
      <c r="G95" s="117">
        <v>1000</v>
      </c>
      <c r="H95" s="10">
        <v>1</v>
      </c>
      <c r="I95" s="10">
        <v>1</v>
      </c>
      <c r="J95" s="10" t="s">
        <v>418</v>
      </c>
      <c r="K95" s="10">
        <f>K92+E92</f>
        <v>44453</v>
      </c>
      <c r="L95" s="10">
        <f t="shared" ref="L95:L117" si="42">K95-40000</f>
        <v>4453</v>
      </c>
      <c r="M95" s="10">
        <f t="shared" ref="M95:M117" si="43">L95-1</f>
        <v>4452</v>
      </c>
      <c r="N95" s="10" t="s">
        <v>925</v>
      </c>
      <c r="O95" s="10" t="s">
        <v>327</v>
      </c>
      <c r="P95" s="10">
        <v>1</v>
      </c>
      <c r="Q95" s="10" t="s">
        <v>986</v>
      </c>
      <c r="R95" s="10"/>
      <c r="V95" s="8"/>
      <c r="W95" s="8"/>
      <c r="X95" s="8"/>
      <c r="Y95" s="8"/>
      <c r="Z95" s="8"/>
      <c r="AA95" s="8"/>
      <c r="AB95" s="8"/>
    </row>
    <row r="96" spans="2:28" x14ac:dyDescent="0.3">
      <c r="B96" s="10" t="s">
        <v>987</v>
      </c>
      <c r="C96" s="10" t="s">
        <v>321</v>
      </c>
      <c r="D96" s="10">
        <v>2</v>
      </c>
      <c r="E96" s="10">
        <f t="shared" ref="E96:E108" si="44">D96/2</f>
        <v>1</v>
      </c>
      <c r="F96" s="10">
        <v>1</v>
      </c>
      <c r="G96" s="10">
        <v>5</v>
      </c>
      <c r="H96" s="10">
        <v>4</v>
      </c>
      <c r="I96" s="10">
        <v>1</v>
      </c>
      <c r="J96" s="10" t="s">
        <v>418</v>
      </c>
      <c r="K96" s="10">
        <f>K95+E95</f>
        <v>44454</v>
      </c>
      <c r="L96" s="10">
        <f t="shared" si="42"/>
        <v>4454</v>
      </c>
      <c r="M96" s="10">
        <f t="shared" si="43"/>
        <v>4453</v>
      </c>
      <c r="N96" s="10" t="s">
        <v>925</v>
      </c>
      <c r="O96" s="10" t="s">
        <v>327</v>
      </c>
      <c r="P96" s="10">
        <v>1</v>
      </c>
      <c r="Q96" s="10" t="s">
        <v>986</v>
      </c>
      <c r="R96" s="10"/>
      <c r="V96" s="8"/>
      <c r="W96" s="8"/>
      <c r="X96" s="8"/>
      <c r="Y96" s="8"/>
      <c r="Z96" s="8"/>
      <c r="AA96" s="8"/>
      <c r="AB96" s="8"/>
    </row>
    <row r="97" spans="1:228" x14ac:dyDescent="0.3">
      <c r="B97" s="10" t="s">
        <v>320</v>
      </c>
      <c r="C97" s="10" t="s">
        <v>321</v>
      </c>
      <c r="D97" s="10">
        <v>2</v>
      </c>
      <c r="E97" s="10">
        <f t="shared" si="44"/>
        <v>1</v>
      </c>
      <c r="F97" s="10">
        <v>0</v>
      </c>
      <c r="G97" s="10">
        <v>1</v>
      </c>
      <c r="H97" s="10">
        <v>1</v>
      </c>
      <c r="I97" s="10">
        <v>1</v>
      </c>
      <c r="J97" s="10" t="s">
        <v>418</v>
      </c>
      <c r="K97" s="10">
        <f>K96+E96</f>
        <v>44455</v>
      </c>
      <c r="L97" s="10">
        <f t="shared" si="42"/>
        <v>4455</v>
      </c>
      <c r="M97" s="10">
        <f t="shared" si="43"/>
        <v>4454</v>
      </c>
      <c r="N97" s="10" t="s">
        <v>925</v>
      </c>
      <c r="O97" s="10" t="s">
        <v>327</v>
      </c>
      <c r="P97" s="10">
        <v>1</v>
      </c>
      <c r="Q97" s="10"/>
      <c r="R97" s="10"/>
      <c r="V97" s="8"/>
      <c r="W97" s="8"/>
      <c r="X97" s="8"/>
      <c r="Y97" s="8"/>
      <c r="Z97" s="8"/>
      <c r="AA97" s="8"/>
      <c r="AB97" s="8"/>
    </row>
    <row r="98" spans="1:228" x14ac:dyDescent="0.3">
      <c r="B98" s="10" t="s">
        <v>320</v>
      </c>
      <c r="C98" s="10" t="s">
        <v>321</v>
      </c>
      <c r="D98" s="10">
        <v>2</v>
      </c>
      <c r="E98" s="10">
        <f t="shared" si="44"/>
        <v>1</v>
      </c>
      <c r="F98" s="10">
        <v>0</v>
      </c>
      <c r="G98" s="10">
        <v>1</v>
      </c>
      <c r="H98" s="10">
        <v>1</v>
      </c>
      <c r="I98" s="10">
        <v>1</v>
      </c>
      <c r="J98" s="10" t="s">
        <v>418</v>
      </c>
      <c r="K98" s="10">
        <f t="shared" ref="K98:K108" si="45">K97+E97</f>
        <v>44456</v>
      </c>
      <c r="L98" s="10">
        <f t="shared" si="42"/>
        <v>4456</v>
      </c>
      <c r="M98" s="10">
        <f t="shared" si="43"/>
        <v>4455</v>
      </c>
      <c r="N98" s="10" t="s">
        <v>925</v>
      </c>
      <c r="O98" s="10" t="s">
        <v>327</v>
      </c>
      <c r="P98" s="10">
        <v>1</v>
      </c>
      <c r="Q98" s="10"/>
      <c r="R98" s="10"/>
      <c r="V98" s="8"/>
      <c r="W98" s="8"/>
      <c r="X98" s="8"/>
      <c r="Y98" s="8"/>
      <c r="Z98" s="8"/>
      <c r="AA98" s="8"/>
      <c r="AB98" s="8"/>
    </row>
    <row r="99" spans="1:228" x14ac:dyDescent="0.3">
      <c r="B99" s="10" t="s">
        <v>988</v>
      </c>
      <c r="C99" s="10" t="s">
        <v>321</v>
      </c>
      <c r="D99" s="10">
        <v>2</v>
      </c>
      <c r="E99" s="10">
        <f t="shared" si="44"/>
        <v>1</v>
      </c>
      <c r="F99" s="10">
        <v>1</v>
      </c>
      <c r="G99" s="117">
        <v>1000</v>
      </c>
      <c r="H99" s="10">
        <v>1</v>
      </c>
      <c r="I99" s="10">
        <v>1</v>
      </c>
      <c r="J99" s="10" t="s">
        <v>418</v>
      </c>
      <c r="K99" s="10">
        <f t="shared" si="45"/>
        <v>44457</v>
      </c>
      <c r="L99" s="10">
        <f t="shared" si="42"/>
        <v>4457</v>
      </c>
      <c r="M99" s="10">
        <f t="shared" si="43"/>
        <v>4456</v>
      </c>
      <c r="N99" s="10" t="s">
        <v>925</v>
      </c>
      <c r="O99" s="10" t="s">
        <v>327</v>
      </c>
      <c r="P99" s="10">
        <v>1</v>
      </c>
      <c r="Q99" s="10" t="s">
        <v>986</v>
      </c>
      <c r="R99" s="10"/>
      <c r="V99" s="8"/>
      <c r="W99" s="8"/>
      <c r="X99" s="8"/>
      <c r="Y99" s="8"/>
      <c r="Z99" s="8"/>
      <c r="AA99" s="8"/>
      <c r="AB99" s="8"/>
    </row>
    <row r="100" spans="1:228" x14ac:dyDescent="0.3">
      <c r="B100" s="10" t="s">
        <v>989</v>
      </c>
      <c r="C100" s="10" t="s">
        <v>321</v>
      </c>
      <c r="D100" s="10">
        <v>2</v>
      </c>
      <c r="E100" s="10">
        <f t="shared" si="44"/>
        <v>1</v>
      </c>
      <c r="F100" s="10">
        <v>1</v>
      </c>
      <c r="G100" s="10">
        <v>5</v>
      </c>
      <c r="H100" s="10">
        <v>4</v>
      </c>
      <c r="I100" s="10">
        <v>1</v>
      </c>
      <c r="J100" s="10" t="s">
        <v>418</v>
      </c>
      <c r="K100" s="10">
        <f t="shared" si="45"/>
        <v>44458</v>
      </c>
      <c r="L100" s="10">
        <f t="shared" si="42"/>
        <v>4458</v>
      </c>
      <c r="M100" s="10">
        <f t="shared" si="43"/>
        <v>4457</v>
      </c>
      <c r="N100" s="10" t="s">
        <v>925</v>
      </c>
      <c r="O100" s="10" t="s">
        <v>327</v>
      </c>
      <c r="P100" s="10">
        <v>1</v>
      </c>
      <c r="Q100" s="10" t="s">
        <v>986</v>
      </c>
      <c r="R100" s="10"/>
      <c r="V100" s="8"/>
      <c r="W100" s="8"/>
      <c r="X100" s="8"/>
      <c r="Y100" s="8"/>
      <c r="Z100" s="8"/>
      <c r="AA100" s="8"/>
      <c r="AB100" s="8"/>
    </row>
    <row r="101" spans="1:228" s="48" customFormat="1" x14ac:dyDescent="0.3">
      <c r="A101" s="6"/>
      <c r="B101" s="10" t="s">
        <v>320</v>
      </c>
      <c r="C101" s="10" t="s">
        <v>321</v>
      </c>
      <c r="D101" s="10">
        <v>2</v>
      </c>
      <c r="E101" s="10">
        <f t="shared" ref="E101:E102" si="46">D101/2</f>
        <v>1</v>
      </c>
      <c r="F101" s="10">
        <v>0</v>
      </c>
      <c r="G101" s="10">
        <v>1</v>
      </c>
      <c r="H101" s="10">
        <v>1</v>
      </c>
      <c r="I101" s="10">
        <v>1</v>
      </c>
      <c r="J101" s="10" t="s">
        <v>418</v>
      </c>
      <c r="K101" s="10">
        <f t="shared" si="45"/>
        <v>44459</v>
      </c>
      <c r="L101" s="10">
        <f t="shared" si="42"/>
        <v>4459</v>
      </c>
      <c r="M101" s="10">
        <f t="shared" si="43"/>
        <v>4458</v>
      </c>
      <c r="N101" s="10" t="s">
        <v>925</v>
      </c>
      <c r="O101" s="10" t="s">
        <v>327</v>
      </c>
      <c r="P101" s="10">
        <v>1</v>
      </c>
      <c r="Q101" s="10"/>
      <c r="R101" s="10"/>
      <c r="S101" s="6"/>
      <c r="T101" s="6"/>
      <c r="U101" s="6"/>
      <c r="V101" s="8"/>
      <c r="W101" s="8"/>
      <c r="X101" s="8"/>
      <c r="Y101" s="8"/>
      <c r="Z101" s="8"/>
      <c r="AA101" s="8"/>
      <c r="AB101" s="8"/>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6"/>
      <c r="EH101" s="6"/>
      <c r="EI101" s="6"/>
      <c r="EJ101" s="6"/>
      <c r="EK101" s="6"/>
      <c r="EL101" s="6"/>
      <c r="EM101" s="6"/>
      <c r="EN101" s="6"/>
      <c r="EO101" s="6"/>
      <c r="EP101" s="6"/>
      <c r="EQ101" s="6"/>
      <c r="ER101" s="6"/>
      <c r="ES101" s="6"/>
      <c r="ET101" s="6"/>
      <c r="EU101" s="6"/>
      <c r="EV101" s="6"/>
      <c r="EW101" s="6"/>
      <c r="EX101" s="6"/>
      <c r="EY101" s="6"/>
      <c r="EZ101" s="6"/>
      <c r="FA101" s="6"/>
      <c r="FB101" s="6"/>
      <c r="FC101" s="6"/>
      <c r="FD101" s="6"/>
      <c r="FE101" s="6"/>
      <c r="FF101" s="6"/>
      <c r="FG101" s="6"/>
      <c r="FH101" s="6"/>
      <c r="FI101" s="6"/>
      <c r="FJ101" s="6"/>
      <c r="FK101" s="6"/>
      <c r="FL101" s="6"/>
      <c r="FM101" s="6"/>
      <c r="FN101" s="6"/>
      <c r="FO101" s="6"/>
      <c r="FP101" s="6"/>
      <c r="FQ101" s="6"/>
      <c r="FR101" s="6"/>
      <c r="FS101" s="6"/>
      <c r="FT101" s="6"/>
      <c r="FU101" s="6"/>
      <c r="FV101" s="6"/>
      <c r="FW101" s="6"/>
      <c r="FX101" s="6"/>
      <c r="FY101" s="6"/>
      <c r="FZ101" s="6"/>
      <c r="GA101" s="6"/>
      <c r="GB101" s="6"/>
      <c r="GC101" s="6"/>
      <c r="GD101" s="6"/>
      <c r="GE101" s="6"/>
      <c r="GF101" s="6"/>
      <c r="GG101" s="6"/>
      <c r="GH101" s="6"/>
      <c r="GI101" s="6"/>
      <c r="GJ101" s="6"/>
      <c r="GK101" s="6"/>
      <c r="GL101" s="6"/>
      <c r="GM101" s="6"/>
      <c r="GN101" s="6"/>
      <c r="GO101" s="6"/>
      <c r="GP101" s="6"/>
      <c r="GQ101" s="6"/>
      <c r="GR101" s="6"/>
      <c r="GS101" s="6"/>
      <c r="GT101" s="6"/>
      <c r="GU101" s="6"/>
      <c r="GV101" s="6"/>
      <c r="GW101" s="6"/>
      <c r="GX101" s="6"/>
      <c r="GY101" s="6"/>
      <c r="GZ101" s="6"/>
      <c r="HA101" s="6"/>
      <c r="HB101" s="6"/>
      <c r="HC101" s="6"/>
      <c r="HD101" s="6"/>
      <c r="HE101" s="6"/>
      <c r="HF101" s="6"/>
      <c r="HG101" s="6"/>
      <c r="HH101" s="6"/>
      <c r="HI101" s="6"/>
      <c r="HJ101" s="6"/>
      <c r="HK101" s="6"/>
      <c r="HL101" s="6"/>
      <c r="HM101" s="6"/>
      <c r="HN101" s="6"/>
      <c r="HO101" s="6"/>
      <c r="HP101" s="6"/>
      <c r="HQ101" s="6"/>
      <c r="HR101" s="6"/>
      <c r="HS101" s="6"/>
      <c r="HT101" s="6"/>
    </row>
    <row r="102" spans="1:228" s="51" customFormat="1" x14ac:dyDescent="0.3">
      <c r="A102" s="6"/>
      <c r="B102" s="10" t="s">
        <v>320</v>
      </c>
      <c r="C102" s="10" t="s">
        <v>321</v>
      </c>
      <c r="D102" s="10">
        <v>2</v>
      </c>
      <c r="E102" s="10">
        <f t="shared" si="46"/>
        <v>1</v>
      </c>
      <c r="F102" s="10">
        <v>0</v>
      </c>
      <c r="G102" s="10">
        <v>1</v>
      </c>
      <c r="H102" s="10">
        <v>4</v>
      </c>
      <c r="I102" s="10">
        <v>1</v>
      </c>
      <c r="J102" s="10" t="s">
        <v>418</v>
      </c>
      <c r="K102" s="10">
        <f t="shared" si="45"/>
        <v>44460</v>
      </c>
      <c r="L102" s="10">
        <f t="shared" si="42"/>
        <v>4460</v>
      </c>
      <c r="M102" s="10">
        <f t="shared" si="43"/>
        <v>4459</v>
      </c>
      <c r="N102" s="10" t="s">
        <v>925</v>
      </c>
      <c r="O102" s="10" t="s">
        <v>327</v>
      </c>
      <c r="P102" s="10">
        <v>1</v>
      </c>
      <c r="Q102" s="10"/>
      <c r="R102" s="10"/>
      <c r="S102" s="50"/>
      <c r="T102" s="50"/>
      <c r="U102" s="50"/>
      <c r="V102" s="49"/>
      <c r="W102" s="49"/>
      <c r="X102" s="49"/>
      <c r="Y102" s="49"/>
      <c r="Z102" s="49"/>
      <c r="AA102" s="49"/>
      <c r="AB102" s="49"/>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50"/>
      <c r="DJ102" s="50"/>
      <c r="DK102" s="50"/>
      <c r="DL102" s="50"/>
      <c r="DM102" s="50"/>
      <c r="DN102" s="50"/>
      <c r="DO102" s="50"/>
      <c r="DP102" s="50"/>
      <c r="DQ102" s="50"/>
      <c r="DR102" s="50"/>
      <c r="DS102" s="50"/>
      <c r="DT102" s="50"/>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S102" s="50"/>
      <c r="ET102" s="50"/>
      <c r="EU102" s="50"/>
      <c r="EV102" s="50"/>
      <c r="EW102" s="50"/>
      <c r="EX102" s="50"/>
      <c r="EY102" s="50"/>
      <c r="EZ102" s="50"/>
      <c r="FA102" s="50"/>
      <c r="FB102" s="50"/>
      <c r="FC102" s="50"/>
      <c r="FD102" s="50"/>
      <c r="FE102" s="50"/>
      <c r="FF102" s="50"/>
      <c r="FG102" s="50"/>
      <c r="FH102" s="50"/>
      <c r="FI102" s="50"/>
      <c r="FJ102" s="50"/>
      <c r="FK102" s="50"/>
      <c r="FL102" s="50"/>
      <c r="FM102" s="50"/>
      <c r="FN102" s="50"/>
      <c r="FO102" s="50"/>
      <c r="FP102" s="50"/>
      <c r="FQ102" s="50"/>
      <c r="FR102" s="50"/>
      <c r="FS102" s="50"/>
      <c r="FT102" s="50"/>
      <c r="FU102" s="50"/>
      <c r="FV102" s="50"/>
      <c r="FW102" s="50"/>
      <c r="FX102" s="50"/>
      <c r="FY102" s="50"/>
      <c r="FZ102" s="50"/>
      <c r="GA102" s="50"/>
      <c r="GB102" s="50"/>
      <c r="GC102" s="50"/>
      <c r="GD102" s="50"/>
      <c r="GE102" s="50"/>
      <c r="GF102" s="50"/>
      <c r="GG102" s="50"/>
      <c r="GH102" s="50"/>
      <c r="GI102" s="50"/>
      <c r="GJ102" s="50"/>
      <c r="GK102" s="50"/>
      <c r="GL102" s="50"/>
      <c r="GM102" s="50"/>
      <c r="GN102" s="50"/>
      <c r="GO102" s="50"/>
      <c r="GP102" s="50"/>
      <c r="GQ102" s="50"/>
      <c r="GR102" s="50"/>
      <c r="GS102" s="50"/>
      <c r="GT102" s="50"/>
      <c r="GU102" s="50"/>
      <c r="GV102" s="50"/>
      <c r="GW102" s="50"/>
      <c r="GX102" s="50"/>
      <c r="GY102" s="50"/>
      <c r="GZ102" s="50"/>
      <c r="HA102" s="50"/>
      <c r="HB102" s="50"/>
      <c r="HC102" s="50"/>
      <c r="HD102" s="50"/>
      <c r="HE102" s="50"/>
      <c r="HF102" s="50"/>
      <c r="HG102" s="50"/>
      <c r="HH102" s="50"/>
      <c r="HI102" s="50"/>
      <c r="HJ102" s="50"/>
      <c r="HK102" s="50"/>
      <c r="HL102" s="50"/>
      <c r="HM102" s="50"/>
      <c r="HN102" s="50"/>
      <c r="HO102" s="50"/>
      <c r="HP102" s="50"/>
      <c r="HQ102" s="50"/>
      <c r="HR102" s="50"/>
      <c r="HS102" s="50"/>
      <c r="HT102" s="50"/>
    </row>
    <row r="103" spans="1:228" x14ac:dyDescent="0.3">
      <c r="B103" s="10" t="s">
        <v>320</v>
      </c>
      <c r="C103" s="10" t="s">
        <v>321</v>
      </c>
      <c r="D103" s="10">
        <v>2</v>
      </c>
      <c r="E103" s="10">
        <f t="shared" ref="E103:E106" si="47">D103/2</f>
        <v>1</v>
      </c>
      <c r="F103" s="10">
        <v>0</v>
      </c>
      <c r="G103" s="10">
        <v>0</v>
      </c>
      <c r="H103" s="10">
        <v>0</v>
      </c>
      <c r="I103" s="10">
        <v>0</v>
      </c>
      <c r="J103" s="10" t="s">
        <v>418</v>
      </c>
      <c r="K103" s="10">
        <f t="shared" si="45"/>
        <v>44461</v>
      </c>
      <c r="L103" s="10">
        <f t="shared" si="42"/>
        <v>4461</v>
      </c>
      <c r="M103" s="10">
        <f t="shared" si="43"/>
        <v>4460</v>
      </c>
      <c r="N103" s="10" t="s">
        <v>925</v>
      </c>
      <c r="O103" s="10" t="s">
        <v>327</v>
      </c>
      <c r="P103" s="10">
        <v>0</v>
      </c>
      <c r="Q103" s="10"/>
      <c r="R103" s="10"/>
      <c r="V103" s="8"/>
      <c r="W103" s="8"/>
      <c r="X103" s="8"/>
      <c r="Y103" s="8"/>
      <c r="Z103" s="8"/>
      <c r="AA103" s="8"/>
      <c r="AB103" s="8"/>
    </row>
    <row r="104" spans="1:228" x14ac:dyDescent="0.3">
      <c r="B104" s="10" t="s">
        <v>990</v>
      </c>
      <c r="C104" s="10" t="s">
        <v>321</v>
      </c>
      <c r="D104" s="10">
        <v>2</v>
      </c>
      <c r="E104" s="10">
        <f t="shared" si="47"/>
        <v>1</v>
      </c>
      <c r="F104" s="10">
        <v>1100</v>
      </c>
      <c r="G104" s="10">
        <v>6900</v>
      </c>
      <c r="H104" s="10">
        <v>1</v>
      </c>
      <c r="I104" s="10" t="s">
        <v>386</v>
      </c>
      <c r="J104" s="10" t="s">
        <v>418</v>
      </c>
      <c r="K104" s="10">
        <f t="shared" si="45"/>
        <v>44462</v>
      </c>
      <c r="L104" s="10">
        <f t="shared" si="42"/>
        <v>4462</v>
      </c>
      <c r="M104" s="10">
        <f t="shared" si="43"/>
        <v>4461</v>
      </c>
      <c r="N104" s="10" t="s">
        <v>925</v>
      </c>
      <c r="O104" s="10" t="s">
        <v>327</v>
      </c>
      <c r="P104" s="10">
        <v>4150</v>
      </c>
      <c r="Q104" s="10" t="s">
        <v>397</v>
      </c>
      <c r="R104" s="10"/>
      <c r="V104" s="8"/>
      <c r="W104" s="8"/>
      <c r="X104" s="8"/>
      <c r="Y104" s="8"/>
      <c r="Z104" s="8"/>
      <c r="AA104" s="8"/>
      <c r="AB104" s="8"/>
    </row>
    <row r="105" spans="1:228" s="26" customFormat="1" ht="31.2" x14ac:dyDescent="0.3">
      <c r="B105" s="10" t="s">
        <v>991</v>
      </c>
      <c r="C105" s="10" t="s">
        <v>321</v>
      </c>
      <c r="D105" s="10">
        <v>2</v>
      </c>
      <c r="E105" s="10">
        <f t="shared" si="47"/>
        <v>1</v>
      </c>
      <c r="F105" s="10">
        <v>0</v>
      </c>
      <c r="G105" s="10">
        <v>1</v>
      </c>
      <c r="H105" s="10">
        <v>1</v>
      </c>
      <c r="I105" s="10">
        <v>1</v>
      </c>
      <c r="J105" s="10" t="s">
        <v>418</v>
      </c>
      <c r="K105" s="10">
        <f t="shared" si="45"/>
        <v>44463</v>
      </c>
      <c r="L105" s="10">
        <f t="shared" si="42"/>
        <v>4463</v>
      </c>
      <c r="M105" s="10">
        <f t="shared" si="43"/>
        <v>4462</v>
      </c>
      <c r="N105" s="10" t="s">
        <v>925</v>
      </c>
      <c r="O105" s="10" t="s">
        <v>327</v>
      </c>
      <c r="P105" s="10">
        <v>0</v>
      </c>
      <c r="Q105" s="10"/>
      <c r="R105" s="110" t="s">
        <v>992</v>
      </c>
      <c r="S105" s="29"/>
      <c r="T105" s="56"/>
      <c r="U105" s="56"/>
      <c r="V105" s="16"/>
      <c r="W105" s="16"/>
      <c r="X105" s="16"/>
      <c r="Y105" s="16"/>
      <c r="Z105" s="56"/>
      <c r="AA105" s="56"/>
      <c r="AB105" s="56"/>
    </row>
    <row r="106" spans="1:228" s="26" customFormat="1" ht="31.2" x14ac:dyDescent="0.3">
      <c r="B106" s="10" t="s">
        <v>993</v>
      </c>
      <c r="C106" s="10" t="s">
        <v>321</v>
      </c>
      <c r="D106" s="10">
        <v>2</v>
      </c>
      <c r="E106" s="10">
        <f t="shared" si="47"/>
        <v>1</v>
      </c>
      <c r="F106" s="10">
        <v>0</v>
      </c>
      <c r="G106" s="10">
        <v>1</v>
      </c>
      <c r="H106" s="10">
        <v>1</v>
      </c>
      <c r="I106" s="10">
        <v>1</v>
      </c>
      <c r="J106" s="10" t="s">
        <v>418</v>
      </c>
      <c r="K106" s="10">
        <f t="shared" si="45"/>
        <v>44464</v>
      </c>
      <c r="L106" s="10">
        <f t="shared" si="42"/>
        <v>4464</v>
      </c>
      <c r="M106" s="10">
        <f t="shared" si="43"/>
        <v>4463</v>
      </c>
      <c r="N106" s="10" t="s">
        <v>925</v>
      </c>
      <c r="O106" s="10" t="s">
        <v>327</v>
      </c>
      <c r="P106" s="10">
        <v>0</v>
      </c>
      <c r="Q106" s="10"/>
      <c r="R106" s="110" t="s">
        <v>994</v>
      </c>
      <c r="S106" s="29"/>
      <c r="T106" s="56"/>
      <c r="U106" s="56"/>
      <c r="V106" s="16"/>
      <c r="W106" s="16"/>
      <c r="X106" s="16"/>
      <c r="Y106" s="16"/>
      <c r="Z106" s="56"/>
      <c r="AA106" s="56"/>
      <c r="AB106" s="56"/>
    </row>
    <row r="107" spans="1:228" s="26" customFormat="1" ht="93.6" x14ac:dyDescent="0.3">
      <c r="B107" s="10" t="s">
        <v>995</v>
      </c>
      <c r="C107" s="10" t="s">
        <v>321</v>
      </c>
      <c r="D107" s="10">
        <v>2</v>
      </c>
      <c r="E107" s="10">
        <f t="shared" si="44"/>
        <v>1</v>
      </c>
      <c r="F107" s="10">
        <v>0</v>
      </c>
      <c r="G107" s="10">
        <v>1</v>
      </c>
      <c r="H107" s="10">
        <v>1</v>
      </c>
      <c r="I107" s="10">
        <v>1</v>
      </c>
      <c r="J107" s="10" t="s">
        <v>418</v>
      </c>
      <c r="K107" s="10">
        <f t="shared" si="45"/>
        <v>44465</v>
      </c>
      <c r="L107" s="10">
        <f t="shared" si="42"/>
        <v>4465</v>
      </c>
      <c r="M107" s="10">
        <f t="shared" si="43"/>
        <v>4464</v>
      </c>
      <c r="N107" s="10" t="s">
        <v>925</v>
      </c>
      <c r="O107" s="10" t="s">
        <v>327</v>
      </c>
      <c r="P107" s="352">
        <v>1</v>
      </c>
      <c r="Q107" s="10"/>
      <c r="R107" s="110" t="s">
        <v>996</v>
      </c>
      <c r="S107" s="29"/>
      <c r="T107" s="56"/>
      <c r="U107" s="56"/>
      <c r="V107" s="16"/>
      <c r="W107" s="16"/>
      <c r="X107" s="16"/>
      <c r="Y107" s="16"/>
      <c r="Z107" s="56"/>
      <c r="AA107" s="56"/>
      <c r="AB107" s="56"/>
    </row>
    <row r="108" spans="1:228" s="26" customFormat="1" x14ac:dyDescent="0.3">
      <c r="B108" s="10" t="s">
        <v>320</v>
      </c>
      <c r="C108" s="10" t="s">
        <v>321</v>
      </c>
      <c r="D108" s="10">
        <v>2</v>
      </c>
      <c r="E108" s="10">
        <f t="shared" si="44"/>
        <v>1</v>
      </c>
      <c r="F108" s="10">
        <v>0</v>
      </c>
      <c r="G108" s="10">
        <v>0</v>
      </c>
      <c r="H108" s="10">
        <v>0</v>
      </c>
      <c r="I108" s="10">
        <v>0</v>
      </c>
      <c r="J108" s="10" t="s">
        <v>418</v>
      </c>
      <c r="K108" s="10">
        <f t="shared" si="45"/>
        <v>44466</v>
      </c>
      <c r="L108" s="10">
        <f t="shared" si="42"/>
        <v>4466</v>
      </c>
      <c r="M108" s="10">
        <f t="shared" si="43"/>
        <v>4465</v>
      </c>
      <c r="N108" s="10" t="s">
        <v>925</v>
      </c>
      <c r="O108" s="10" t="s">
        <v>324</v>
      </c>
      <c r="P108" s="10">
        <v>0</v>
      </c>
      <c r="Q108" s="10"/>
      <c r="R108" s="10"/>
      <c r="S108" s="29"/>
      <c r="T108" s="56"/>
      <c r="U108" s="56"/>
      <c r="V108" s="16"/>
      <c r="W108" s="16"/>
      <c r="X108" s="16"/>
      <c r="Y108" s="16"/>
      <c r="Z108" s="56"/>
      <c r="AA108" s="56"/>
      <c r="AB108" s="56"/>
    </row>
    <row r="109" spans="1:228" x14ac:dyDescent="0.3">
      <c r="B109" s="10" t="s">
        <v>997</v>
      </c>
      <c r="C109" s="10" t="s">
        <v>321</v>
      </c>
      <c r="D109" s="10">
        <v>2</v>
      </c>
      <c r="E109" s="10">
        <f t="shared" ref="E109:E112" si="48">D109/2</f>
        <v>1</v>
      </c>
      <c r="F109" s="117">
        <v>1</v>
      </c>
      <c r="G109" s="117">
        <v>10000</v>
      </c>
      <c r="H109" s="10">
        <v>1</v>
      </c>
      <c r="I109" s="10" t="s">
        <v>386</v>
      </c>
      <c r="J109" s="10" t="s">
        <v>418</v>
      </c>
      <c r="K109" s="10">
        <f>K108+E108</f>
        <v>44467</v>
      </c>
      <c r="L109" s="10">
        <f t="shared" si="42"/>
        <v>4467</v>
      </c>
      <c r="M109" s="10">
        <f t="shared" si="43"/>
        <v>4466</v>
      </c>
      <c r="N109" s="10" t="s">
        <v>925</v>
      </c>
      <c r="O109" s="10" t="s">
        <v>327</v>
      </c>
      <c r="P109" s="10">
        <v>25</v>
      </c>
      <c r="Q109" s="10" t="s">
        <v>986</v>
      </c>
      <c r="R109" s="10"/>
      <c r="V109" s="8"/>
      <c r="W109" s="8"/>
      <c r="X109" s="8"/>
      <c r="Y109" s="8"/>
      <c r="Z109" s="8"/>
      <c r="AA109" s="8"/>
      <c r="AB109" s="8"/>
    </row>
    <row r="110" spans="1:228" x14ac:dyDescent="0.3">
      <c r="B110" s="10" t="s">
        <v>998</v>
      </c>
      <c r="C110" s="10" t="s">
        <v>321</v>
      </c>
      <c r="D110" s="10">
        <v>2</v>
      </c>
      <c r="E110" s="10">
        <f t="shared" si="48"/>
        <v>1</v>
      </c>
      <c r="F110" s="117">
        <v>1</v>
      </c>
      <c r="G110" s="117">
        <v>10000</v>
      </c>
      <c r="H110" s="10">
        <v>1</v>
      </c>
      <c r="I110" s="10" t="s">
        <v>386</v>
      </c>
      <c r="J110" s="10" t="s">
        <v>418</v>
      </c>
      <c r="K110" s="10">
        <f>K109+E109</f>
        <v>44468</v>
      </c>
      <c r="L110" s="10">
        <f t="shared" si="42"/>
        <v>4468</v>
      </c>
      <c r="M110" s="10">
        <f t="shared" si="43"/>
        <v>4467</v>
      </c>
      <c r="N110" s="10" t="s">
        <v>925</v>
      </c>
      <c r="O110" s="10" t="s">
        <v>327</v>
      </c>
      <c r="P110" s="10">
        <v>25</v>
      </c>
      <c r="Q110" s="10" t="s">
        <v>986</v>
      </c>
      <c r="R110" s="10"/>
      <c r="V110" s="8"/>
      <c r="W110" s="8"/>
      <c r="X110" s="8"/>
      <c r="Y110" s="8"/>
      <c r="Z110" s="8"/>
      <c r="AA110" s="8"/>
      <c r="AB110" s="8"/>
    </row>
    <row r="111" spans="1:228" x14ac:dyDescent="0.3">
      <c r="B111" s="10" t="s">
        <v>999</v>
      </c>
      <c r="C111" s="10" t="s">
        <v>321</v>
      </c>
      <c r="D111" s="10">
        <v>2</v>
      </c>
      <c r="E111" s="10">
        <f t="shared" ref="E111" si="49">D111/2</f>
        <v>1</v>
      </c>
      <c r="F111" s="10">
        <v>1</v>
      </c>
      <c r="G111" s="10">
        <v>10</v>
      </c>
      <c r="H111" s="10">
        <v>1</v>
      </c>
      <c r="I111" s="10">
        <v>1</v>
      </c>
      <c r="J111" s="10" t="s">
        <v>418</v>
      </c>
      <c r="K111" s="10">
        <f t="shared" ref="K111:K117" si="50">K110+E110</f>
        <v>44469</v>
      </c>
      <c r="L111" s="10">
        <f t="shared" si="42"/>
        <v>4469</v>
      </c>
      <c r="M111" s="10">
        <f t="shared" si="43"/>
        <v>4468</v>
      </c>
      <c r="N111" s="10" t="s">
        <v>925</v>
      </c>
      <c r="O111" s="10" t="s">
        <v>324</v>
      </c>
      <c r="P111" s="10">
        <v>1</v>
      </c>
      <c r="Q111" s="10"/>
      <c r="R111" s="10"/>
      <c r="V111" s="8"/>
      <c r="W111" s="8"/>
      <c r="X111" s="8"/>
      <c r="Y111" s="8"/>
      <c r="Z111" s="8"/>
      <c r="AA111" s="8"/>
      <c r="AB111" s="8"/>
    </row>
    <row r="112" spans="1:228" x14ac:dyDescent="0.3">
      <c r="B112" s="10" t="s">
        <v>1000</v>
      </c>
      <c r="C112" s="10" t="s">
        <v>321</v>
      </c>
      <c r="D112" s="10">
        <v>2</v>
      </c>
      <c r="E112" s="10">
        <f t="shared" si="48"/>
        <v>1</v>
      </c>
      <c r="F112" s="10">
        <v>1</v>
      </c>
      <c r="G112" s="10">
        <v>10</v>
      </c>
      <c r="H112" s="10">
        <v>1</v>
      </c>
      <c r="I112" s="10">
        <v>1</v>
      </c>
      <c r="J112" s="10" t="s">
        <v>418</v>
      </c>
      <c r="K112" s="10">
        <f t="shared" si="50"/>
        <v>44470</v>
      </c>
      <c r="L112" s="10">
        <f t="shared" si="42"/>
        <v>4470</v>
      </c>
      <c r="M112" s="10">
        <f t="shared" si="43"/>
        <v>4469</v>
      </c>
      <c r="N112" s="10" t="s">
        <v>925</v>
      </c>
      <c r="O112" s="10" t="s">
        <v>324</v>
      </c>
      <c r="P112" s="10">
        <v>1</v>
      </c>
      <c r="Q112" s="10"/>
      <c r="R112" s="10"/>
      <c r="V112" s="8"/>
      <c r="W112" s="8"/>
      <c r="X112" s="8"/>
      <c r="Y112" s="8"/>
      <c r="Z112" s="8"/>
      <c r="AA112" s="8"/>
      <c r="AB112" s="8"/>
    </row>
    <row r="113" spans="2:28" x14ac:dyDescent="0.3">
      <c r="B113" s="10" t="s">
        <v>320</v>
      </c>
      <c r="C113" s="10" t="s">
        <v>321</v>
      </c>
      <c r="D113" s="10">
        <v>2</v>
      </c>
      <c r="E113" s="10">
        <f>D113/2</f>
        <v>1</v>
      </c>
      <c r="F113" s="10">
        <v>0</v>
      </c>
      <c r="G113" s="10">
        <v>0</v>
      </c>
      <c r="H113" s="10">
        <v>0</v>
      </c>
      <c r="I113" s="10">
        <v>0</v>
      </c>
      <c r="J113" s="10" t="s">
        <v>418</v>
      </c>
      <c r="K113" s="10">
        <f t="shared" si="50"/>
        <v>44471</v>
      </c>
      <c r="L113" s="10">
        <f t="shared" si="42"/>
        <v>4471</v>
      </c>
      <c r="M113" s="10">
        <f t="shared" si="43"/>
        <v>4470</v>
      </c>
      <c r="N113" s="10" t="s">
        <v>925</v>
      </c>
      <c r="O113" s="10" t="s">
        <v>324</v>
      </c>
      <c r="P113" s="10">
        <v>0</v>
      </c>
      <c r="Q113" s="10" t="s">
        <v>760</v>
      </c>
      <c r="R113" s="10"/>
      <c r="V113" s="8"/>
      <c r="W113" s="8"/>
      <c r="X113" s="8"/>
      <c r="Y113" s="8"/>
      <c r="Z113" s="8"/>
      <c r="AA113" s="8"/>
      <c r="AB113" s="8"/>
    </row>
    <row r="114" spans="2:28" x14ac:dyDescent="0.3">
      <c r="B114" s="10" t="s">
        <v>320</v>
      </c>
      <c r="C114" s="10" t="s">
        <v>321</v>
      </c>
      <c r="D114" s="10">
        <v>2</v>
      </c>
      <c r="E114" s="10">
        <f t="shared" ref="E114" si="51">D114/2</f>
        <v>1</v>
      </c>
      <c r="F114" s="10">
        <v>0</v>
      </c>
      <c r="G114" s="10">
        <v>0</v>
      </c>
      <c r="H114" s="10">
        <v>0</v>
      </c>
      <c r="I114" s="10">
        <v>0</v>
      </c>
      <c r="J114" s="10" t="s">
        <v>418</v>
      </c>
      <c r="K114" s="10">
        <f t="shared" si="50"/>
        <v>44472</v>
      </c>
      <c r="L114" s="10">
        <f t="shared" si="42"/>
        <v>4472</v>
      </c>
      <c r="M114" s="10">
        <f t="shared" si="43"/>
        <v>4471</v>
      </c>
      <c r="N114" s="10" t="s">
        <v>925</v>
      </c>
      <c r="O114" s="10" t="s">
        <v>324</v>
      </c>
      <c r="P114" s="10">
        <v>0</v>
      </c>
      <c r="Q114" s="10"/>
      <c r="R114" s="10"/>
      <c r="V114" s="8"/>
      <c r="W114" s="8"/>
      <c r="X114" s="8"/>
      <c r="Y114" s="8"/>
      <c r="Z114" s="8"/>
      <c r="AA114" s="8"/>
      <c r="AB114" s="8"/>
    </row>
    <row r="115" spans="2:28" s="14" customFormat="1" x14ac:dyDescent="0.3">
      <c r="B115" s="10" t="s">
        <v>320</v>
      </c>
      <c r="C115" s="10" t="s">
        <v>321</v>
      </c>
      <c r="D115" s="10">
        <v>2</v>
      </c>
      <c r="E115" s="10">
        <f>D115/2</f>
        <v>1</v>
      </c>
      <c r="F115" s="10">
        <v>0</v>
      </c>
      <c r="G115" s="10">
        <v>0</v>
      </c>
      <c r="H115" s="10">
        <v>0</v>
      </c>
      <c r="I115" s="10">
        <v>0</v>
      </c>
      <c r="J115" s="10" t="s">
        <v>418</v>
      </c>
      <c r="K115" s="10">
        <f t="shared" si="50"/>
        <v>44473</v>
      </c>
      <c r="L115" s="10">
        <f t="shared" si="42"/>
        <v>4473</v>
      </c>
      <c r="M115" s="10">
        <f t="shared" si="43"/>
        <v>4472</v>
      </c>
      <c r="N115" s="10" t="s">
        <v>925</v>
      </c>
      <c r="O115" s="10" t="s">
        <v>324</v>
      </c>
      <c r="P115" s="10">
        <v>0</v>
      </c>
      <c r="Q115" s="10"/>
      <c r="R115" s="10"/>
      <c r="V115" s="35"/>
      <c r="W115" s="35"/>
      <c r="X115" s="35"/>
      <c r="Y115" s="35"/>
      <c r="Z115" s="35"/>
      <c r="AA115" s="35"/>
      <c r="AB115" s="35"/>
    </row>
    <row r="116" spans="2:28" s="26" customFormat="1" ht="31.2" x14ac:dyDescent="0.3">
      <c r="B116" s="10" t="s">
        <v>1001</v>
      </c>
      <c r="C116" s="10" t="s">
        <v>321</v>
      </c>
      <c r="D116" s="10">
        <v>2</v>
      </c>
      <c r="E116" s="10">
        <f t="shared" ref="E116:E117" si="52">D116/2</f>
        <v>1</v>
      </c>
      <c r="F116" s="10">
        <v>0</v>
      </c>
      <c r="G116" s="10">
        <v>1</v>
      </c>
      <c r="H116" s="10">
        <v>1</v>
      </c>
      <c r="I116" s="10">
        <v>1</v>
      </c>
      <c r="J116" s="10" t="s">
        <v>418</v>
      </c>
      <c r="K116" s="10">
        <f t="shared" si="50"/>
        <v>44474</v>
      </c>
      <c r="L116" s="10">
        <f t="shared" si="42"/>
        <v>4474</v>
      </c>
      <c r="M116" s="10">
        <f t="shared" si="43"/>
        <v>4473</v>
      </c>
      <c r="N116" s="10" t="s">
        <v>925</v>
      </c>
      <c r="O116" s="10" t="s">
        <v>327</v>
      </c>
      <c r="P116" s="10">
        <v>1</v>
      </c>
      <c r="Q116" s="10"/>
      <c r="R116" s="110" t="s">
        <v>971</v>
      </c>
      <c r="S116" s="29"/>
      <c r="T116" s="56"/>
      <c r="U116" s="56"/>
      <c r="V116" s="16"/>
      <c r="W116" s="16"/>
      <c r="X116" s="16"/>
      <c r="Y116" s="16"/>
      <c r="Z116" s="56"/>
      <c r="AA116" s="56"/>
      <c r="AB116" s="56"/>
    </row>
    <row r="117" spans="2:28" s="26" customFormat="1" ht="31.2" x14ac:dyDescent="0.3">
      <c r="B117" s="10" t="s">
        <v>1002</v>
      </c>
      <c r="C117" s="10" t="s">
        <v>321</v>
      </c>
      <c r="D117" s="10">
        <v>2</v>
      </c>
      <c r="E117" s="10">
        <f t="shared" si="52"/>
        <v>1</v>
      </c>
      <c r="F117" s="10">
        <v>0</v>
      </c>
      <c r="G117" s="10">
        <v>1</v>
      </c>
      <c r="H117" s="10">
        <v>1</v>
      </c>
      <c r="I117" s="10">
        <v>1</v>
      </c>
      <c r="J117" s="10" t="s">
        <v>418</v>
      </c>
      <c r="K117" s="10">
        <f t="shared" si="50"/>
        <v>44475</v>
      </c>
      <c r="L117" s="10">
        <f t="shared" si="42"/>
        <v>4475</v>
      </c>
      <c r="M117" s="10">
        <f t="shared" si="43"/>
        <v>4474</v>
      </c>
      <c r="N117" s="10" t="s">
        <v>925</v>
      </c>
      <c r="O117" s="10" t="s">
        <v>327</v>
      </c>
      <c r="P117" s="10">
        <v>0</v>
      </c>
      <c r="Q117" s="10"/>
      <c r="R117" s="110" t="s">
        <v>1003</v>
      </c>
      <c r="S117" s="29"/>
      <c r="T117" s="56"/>
      <c r="U117" s="56"/>
      <c r="V117" s="16"/>
      <c r="W117" s="16"/>
      <c r="X117" s="16"/>
      <c r="Y117" s="16"/>
      <c r="Z117" s="56"/>
      <c r="AA117" s="56"/>
      <c r="AB117" s="56"/>
    </row>
    <row r="119" spans="2:28" x14ac:dyDescent="0.3">
      <c r="B119" s="485" t="s">
        <v>1004</v>
      </c>
      <c r="C119" s="485"/>
      <c r="D119" s="485"/>
      <c r="E119" s="485"/>
      <c r="F119" s="485"/>
      <c r="G119" s="485"/>
      <c r="H119" s="485"/>
      <c r="I119" s="485"/>
      <c r="J119" s="485"/>
      <c r="K119" s="485"/>
      <c r="L119" s="485"/>
      <c r="M119" s="485"/>
      <c r="N119" s="485"/>
      <c r="O119" s="485"/>
      <c r="P119" s="485"/>
      <c r="Q119" s="485"/>
      <c r="R119" s="485"/>
    </row>
    <row r="120" spans="2:28" ht="109.2" x14ac:dyDescent="0.3">
      <c r="B120" s="343" t="s">
        <v>1005</v>
      </c>
      <c r="C120" s="10" t="s">
        <v>1006</v>
      </c>
      <c r="D120" s="74">
        <v>10</v>
      </c>
      <c r="E120" s="10">
        <f t="shared" ref="E120:E122" si="53">D120/2</f>
        <v>5</v>
      </c>
      <c r="F120" s="59">
        <v>0</v>
      </c>
      <c r="G120" s="59">
        <v>65535</v>
      </c>
      <c r="H120" s="59">
        <v>1</v>
      </c>
      <c r="I120" s="59">
        <v>1</v>
      </c>
      <c r="J120" s="59" t="s">
        <v>418</v>
      </c>
      <c r="K120" s="10">
        <f>K117+E117</f>
        <v>44476</v>
      </c>
      <c r="L120" s="10">
        <f t="shared" ref="L120:L133" si="54">K120-40000</f>
        <v>4476</v>
      </c>
      <c r="M120" s="10">
        <f t="shared" ref="M120:M133" si="55">L120-1</f>
        <v>4475</v>
      </c>
      <c r="N120" s="10" t="s">
        <v>419</v>
      </c>
      <c r="O120" s="10" t="s">
        <v>327</v>
      </c>
      <c r="P120" s="109" t="s">
        <v>1007</v>
      </c>
      <c r="Q120" s="59"/>
      <c r="R120" s="110" t="s">
        <v>1008</v>
      </c>
    </row>
    <row r="121" spans="2:28" s="14" customFormat="1" ht="31.2" x14ac:dyDescent="0.3">
      <c r="B121" s="10" t="s">
        <v>1009</v>
      </c>
      <c r="C121" s="10" t="s">
        <v>321</v>
      </c>
      <c r="D121" s="10">
        <v>2</v>
      </c>
      <c r="E121" s="10">
        <f t="shared" si="53"/>
        <v>1</v>
      </c>
      <c r="F121" s="10">
        <v>0</v>
      </c>
      <c r="G121" s="10">
        <v>1</v>
      </c>
      <c r="H121" s="10">
        <v>1</v>
      </c>
      <c r="I121" s="10">
        <v>1</v>
      </c>
      <c r="J121" s="10" t="s">
        <v>418</v>
      </c>
      <c r="K121" s="10">
        <f t="shared" ref="K121:K130" si="56">K120+E120</f>
        <v>44481</v>
      </c>
      <c r="L121" s="10">
        <f t="shared" si="54"/>
        <v>4481</v>
      </c>
      <c r="M121" s="10">
        <f t="shared" si="55"/>
        <v>4480</v>
      </c>
      <c r="N121" s="10" t="s">
        <v>419</v>
      </c>
      <c r="O121" s="10" t="s">
        <v>327</v>
      </c>
      <c r="P121" s="10">
        <v>0</v>
      </c>
      <c r="Q121" s="10"/>
      <c r="R121" s="110" t="s">
        <v>1010</v>
      </c>
      <c r="V121" s="35"/>
      <c r="W121" s="35"/>
      <c r="X121" s="35"/>
      <c r="Y121" s="35"/>
      <c r="Z121" s="35"/>
      <c r="AA121" s="35"/>
      <c r="AB121" s="35"/>
    </row>
    <row r="122" spans="2:28" s="14" customFormat="1" ht="31.2" x14ac:dyDescent="0.3">
      <c r="B122" s="193" t="s">
        <v>1011</v>
      </c>
      <c r="C122" s="193" t="s">
        <v>321</v>
      </c>
      <c r="D122" s="193">
        <v>2</v>
      </c>
      <c r="E122" s="193">
        <f t="shared" si="53"/>
        <v>1</v>
      </c>
      <c r="F122" s="193">
        <v>1</v>
      </c>
      <c r="G122" s="193">
        <v>65535</v>
      </c>
      <c r="H122" s="193">
        <v>1</v>
      </c>
      <c r="I122" s="203" t="s">
        <v>386</v>
      </c>
      <c r="J122" s="193" t="s">
        <v>418</v>
      </c>
      <c r="K122" s="193">
        <f t="shared" si="56"/>
        <v>44482</v>
      </c>
      <c r="L122" s="193">
        <f t="shared" si="54"/>
        <v>4482</v>
      </c>
      <c r="M122" s="193">
        <f t="shared" si="55"/>
        <v>4481</v>
      </c>
      <c r="N122" s="193" t="s">
        <v>419</v>
      </c>
      <c r="O122" s="193" t="s">
        <v>327</v>
      </c>
      <c r="P122" s="193">
        <v>1</v>
      </c>
      <c r="Q122" s="193" t="s">
        <v>405</v>
      </c>
      <c r="R122" s="212" t="s">
        <v>1012</v>
      </c>
      <c r="V122" s="35"/>
      <c r="W122" s="35"/>
      <c r="X122" s="35"/>
      <c r="Y122" s="35"/>
      <c r="Z122" s="35"/>
      <c r="AA122" s="35"/>
      <c r="AB122" s="35"/>
    </row>
    <row r="123" spans="2:28" s="26" customFormat="1" ht="31.2" x14ac:dyDescent="0.3">
      <c r="B123" s="193" t="s">
        <v>1013</v>
      </c>
      <c r="C123" s="193" t="s">
        <v>321</v>
      </c>
      <c r="D123" s="193">
        <v>2</v>
      </c>
      <c r="E123" s="193">
        <f t="shared" ref="E123:E128" si="57">D123/2</f>
        <v>1</v>
      </c>
      <c r="F123" s="193">
        <v>1</v>
      </c>
      <c r="G123" s="193">
        <v>65535</v>
      </c>
      <c r="H123" s="193">
        <v>1</v>
      </c>
      <c r="I123" s="203" t="s">
        <v>386</v>
      </c>
      <c r="J123" s="193" t="s">
        <v>418</v>
      </c>
      <c r="K123" s="193">
        <f t="shared" ref="K123:K124" si="58">K122+E122</f>
        <v>44483</v>
      </c>
      <c r="L123" s="193">
        <f t="shared" ref="L123:L124" si="59">K123-40000</f>
        <v>4483</v>
      </c>
      <c r="M123" s="193">
        <f t="shared" ref="M123:M124" si="60">L123-1</f>
        <v>4482</v>
      </c>
      <c r="N123" s="193" t="s">
        <v>419</v>
      </c>
      <c r="O123" s="193" t="s">
        <v>327</v>
      </c>
      <c r="P123" s="193">
        <v>1</v>
      </c>
      <c r="Q123" s="193" t="s">
        <v>1014</v>
      </c>
      <c r="R123" s="212" t="s">
        <v>1015</v>
      </c>
      <c r="S123" s="29"/>
      <c r="T123" s="56"/>
      <c r="U123" s="56"/>
      <c r="V123" s="16"/>
      <c r="W123" s="16"/>
      <c r="X123" s="16"/>
      <c r="Y123" s="16"/>
      <c r="Z123" s="56"/>
      <c r="AA123" s="56"/>
      <c r="AB123" s="56"/>
    </row>
    <row r="124" spans="2:28" s="26" customFormat="1" ht="31.2" x14ac:dyDescent="0.3">
      <c r="B124" s="193" t="s">
        <v>1016</v>
      </c>
      <c r="C124" s="193" t="s">
        <v>321</v>
      </c>
      <c r="D124" s="193">
        <v>2</v>
      </c>
      <c r="E124" s="193">
        <f t="shared" si="57"/>
        <v>1</v>
      </c>
      <c r="F124" s="193">
        <v>0</v>
      </c>
      <c r="G124" s="193">
        <v>1</v>
      </c>
      <c r="H124" s="193">
        <v>1</v>
      </c>
      <c r="I124" s="193">
        <v>1</v>
      </c>
      <c r="J124" s="193" t="s">
        <v>418</v>
      </c>
      <c r="K124" s="193">
        <f t="shared" si="58"/>
        <v>44484</v>
      </c>
      <c r="L124" s="193">
        <f t="shared" si="59"/>
        <v>4484</v>
      </c>
      <c r="M124" s="193">
        <f t="shared" si="60"/>
        <v>4483</v>
      </c>
      <c r="N124" s="193" t="s">
        <v>419</v>
      </c>
      <c r="O124" s="193" t="s">
        <v>327</v>
      </c>
      <c r="P124" s="193">
        <v>0</v>
      </c>
      <c r="Q124" s="193"/>
      <c r="R124" s="202" t="s">
        <v>1017</v>
      </c>
      <c r="S124" s="29"/>
      <c r="T124" s="56"/>
      <c r="U124" s="56"/>
      <c r="V124" s="16"/>
      <c r="W124" s="16"/>
      <c r="X124" s="16"/>
      <c r="Y124" s="16"/>
      <c r="Z124" s="56"/>
      <c r="AA124" s="56"/>
      <c r="AB124" s="56"/>
    </row>
    <row r="125" spans="2:28" s="14" customFormat="1" x14ac:dyDescent="0.3">
      <c r="B125" s="10" t="s">
        <v>320</v>
      </c>
      <c r="C125" s="10" t="s">
        <v>321</v>
      </c>
      <c r="D125" s="10">
        <v>2</v>
      </c>
      <c r="E125" s="10">
        <f t="shared" si="57"/>
        <v>1</v>
      </c>
      <c r="F125" s="10">
        <v>0</v>
      </c>
      <c r="G125" s="10">
        <v>0</v>
      </c>
      <c r="H125" s="10">
        <v>0</v>
      </c>
      <c r="I125" s="10">
        <v>0</v>
      </c>
      <c r="J125" s="10" t="s">
        <v>418</v>
      </c>
      <c r="K125" s="10">
        <f t="shared" si="56"/>
        <v>44485</v>
      </c>
      <c r="L125" s="10">
        <f t="shared" si="54"/>
        <v>4485</v>
      </c>
      <c r="M125" s="10">
        <f t="shared" si="55"/>
        <v>4484</v>
      </c>
      <c r="N125" s="10" t="s">
        <v>419</v>
      </c>
      <c r="O125" s="10" t="s">
        <v>324</v>
      </c>
      <c r="P125" s="10">
        <v>0</v>
      </c>
      <c r="Q125" s="10"/>
      <c r="R125" s="10"/>
      <c r="V125" s="35"/>
      <c r="W125" s="35"/>
      <c r="X125" s="35"/>
      <c r="Y125" s="35"/>
      <c r="Z125" s="35"/>
      <c r="AA125" s="35"/>
      <c r="AB125" s="35"/>
    </row>
    <row r="126" spans="2:28" s="14" customFormat="1" x14ac:dyDescent="0.3">
      <c r="B126" s="10" t="s">
        <v>320</v>
      </c>
      <c r="C126" s="10" t="s">
        <v>321</v>
      </c>
      <c r="D126" s="10">
        <v>2</v>
      </c>
      <c r="E126" s="10">
        <f t="shared" si="57"/>
        <v>1</v>
      </c>
      <c r="F126" s="10">
        <v>0</v>
      </c>
      <c r="G126" s="10">
        <v>0</v>
      </c>
      <c r="H126" s="10">
        <v>0</v>
      </c>
      <c r="I126" s="10">
        <v>0</v>
      </c>
      <c r="J126" s="10" t="s">
        <v>418</v>
      </c>
      <c r="K126" s="10">
        <f t="shared" si="56"/>
        <v>44486</v>
      </c>
      <c r="L126" s="10">
        <f t="shared" si="54"/>
        <v>4486</v>
      </c>
      <c r="M126" s="10">
        <f t="shared" si="55"/>
        <v>4485</v>
      </c>
      <c r="N126" s="10" t="s">
        <v>419</v>
      </c>
      <c r="O126" s="10" t="s">
        <v>324</v>
      </c>
      <c r="P126" s="10">
        <v>0</v>
      </c>
      <c r="Q126" s="10"/>
      <c r="R126" s="10"/>
      <c r="V126" s="35"/>
      <c r="W126" s="35"/>
      <c r="X126" s="35"/>
      <c r="Y126" s="35"/>
      <c r="Z126" s="35"/>
      <c r="AA126" s="35"/>
      <c r="AB126" s="35"/>
    </row>
    <row r="127" spans="2:28" s="26" customFormat="1" x14ac:dyDescent="0.3">
      <c r="B127" s="10" t="s">
        <v>320</v>
      </c>
      <c r="C127" s="10" t="s">
        <v>321</v>
      </c>
      <c r="D127" s="10">
        <v>2</v>
      </c>
      <c r="E127" s="10">
        <f t="shared" si="57"/>
        <v>1</v>
      </c>
      <c r="F127" s="10">
        <v>0</v>
      </c>
      <c r="G127" s="10">
        <v>0</v>
      </c>
      <c r="H127" s="10">
        <v>0</v>
      </c>
      <c r="I127" s="10">
        <v>0</v>
      </c>
      <c r="J127" s="10" t="s">
        <v>418</v>
      </c>
      <c r="K127" s="10">
        <f t="shared" si="56"/>
        <v>44487</v>
      </c>
      <c r="L127" s="10">
        <f t="shared" si="54"/>
        <v>4487</v>
      </c>
      <c r="M127" s="10">
        <f t="shared" si="55"/>
        <v>4486</v>
      </c>
      <c r="N127" s="10" t="s">
        <v>419</v>
      </c>
      <c r="O127" s="10" t="s">
        <v>324</v>
      </c>
      <c r="P127" s="10">
        <v>0</v>
      </c>
      <c r="Q127" s="10"/>
      <c r="R127" s="10"/>
      <c r="S127" s="29"/>
      <c r="T127" s="56"/>
      <c r="U127" s="56"/>
      <c r="V127" s="16"/>
      <c r="W127" s="16"/>
      <c r="X127" s="16"/>
      <c r="Y127" s="16"/>
      <c r="Z127" s="56"/>
      <c r="AA127" s="56"/>
      <c r="AB127" s="56"/>
    </row>
    <row r="128" spans="2:28" s="26" customFormat="1" x14ac:dyDescent="0.3">
      <c r="B128" s="10" t="s">
        <v>320</v>
      </c>
      <c r="C128" s="10" t="s">
        <v>321</v>
      </c>
      <c r="D128" s="10">
        <v>2</v>
      </c>
      <c r="E128" s="10">
        <f t="shared" si="57"/>
        <v>1</v>
      </c>
      <c r="F128" s="10">
        <v>0</v>
      </c>
      <c r="G128" s="10">
        <v>0</v>
      </c>
      <c r="H128" s="10">
        <v>0</v>
      </c>
      <c r="I128" s="10">
        <v>0</v>
      </c>
      <c r="J128" s="10" t="s">
        <v>418</v>
      </c>
      <c r="K128" s="10">
        <f t="shared" si="56"/>
        <v>44488</v>
      </c>
      <c r="L128" s="10">
        <f t="shared" si="54"/>
        <v>4488</v>
      </c>
      <c r="M128" s="10">
        <f t="shared" si="55"/>
        <v>4487</v>
      </c>
      <c r="N128" s="10" t="s">
        <v>419</v>
      </c>
      <c r="O128" s="10" t="s">
        <v>324</v>
      </c>
      <c r="P128" s="10">
        <v>0</v>
      </c>
      <c r="Q128" s="10"/>
      <c r="R128" s="10"/>
      <c r="S128" s="29"/>
      <c r="T128" s="56"/>
      <c r="U128" s="56"/>
      <c r="V128" s="16"/>
      <c r="W128" s="16"/>
      <c r="X128" s="16"/>
      <c r="Y128" s="16"/>
      <c r="Z128" s="56"/>
      <c r="AA128" s="56"/>
      <c r="AB128" s="56"/>
    </row>
    <row r="129" spans="2:28" s="26" customFormat="1" x14ac:dyDescent="0.3">
      <c r="B129" s="10" t="s">
        <v>320</v>
      </c>
      <c r="C129" s="10" t="s">
        <v>321</v>
      </c>
      <c r="D129" s="10">
        <v>2</v>
      </c>
      <c r="E129" s="10">
        <f t="shared" ref="E129" si="61">D129/2</f>
        <v>1</v>
      </c>
      <c r="F129" s="10">
        <v>0</v>
      </c>
      <c r="G129" s="10">
        <v>0</v>
      </c>
      <c r="H129" s="10">
        <v>0</v>
      </c>
      <c r="I129" s="10">
        <v>0</v>
      </c>
      <c r="J129" s="10" t="s">
        <v>418</v>
      </c>
      <c r="K129" s="10">
        <f t="shared" si="56"/>
        <v>44489</v>
      </c>
      <c r="L129" s="10">
        <f t="shared" si="54"/>
        <v>4489</v>
      </c>
      <c r="M129" s="10">
        <f t="shared" si="55"/>
        <v>4488</v>
      </c>
      <c r="N129" s="10" t="s">
        <v>419</v>
      </c>
      <c r="O129" s="10" t="s">
        <v>324</v>
      </c>
      <c r="P129" s="10">
        <v>0</v>
      </c>
      <c r="Q129" s="10"/>
      <c r="R129" s="10"/>
      <c r="S129" s="29"/>
      <c r="T129" s="56"/>
      <c r="U129" s="56"/>
      <c r="V129" s="16"/>
      <c r="W129" s="16"/>
      <c r="X129" s="16"/>
      <c r="Y129" s="16"/>
      <c r="Z129" s="56"/>
      <c r="AA129" s="56"/>
      <c r="AB129" s="56"/>
    </row>
    <row r="130" spans="2:28" s="26" customFormat="1" x14ac:dyDescent="0.3">
      <c r="B130" s="10" t="s">
        <v>320</v>
      </c>
      <c r="C130" s="10" t="s">
        <v>321</v>
      </c>
      <c r="D130" s="10">
        <v>2</v>
      </c>
      <c r="E130" s="10">
        <f t="shared" ref="E130" si="62">D130/2</f>
        <v>1</v>
      </c>
      <c r="F130" s="10">
        <v>0</v>
      </c>
      <c r="G130" s="10">
        <v>0</v>
      </c>
      <c r="H130" s="10">
        <v>0</v>
      </c>
      <c r="I130" s="10">
        <v>0</v>
      </c>
      <c r="J130" s="10" t="s">
        <v>418</v>
      </c>
      <c r="K130" s="10">
        <f t="shared" si="56"/>
        <v>44490</v>
      </c>
      <c r="L130" s="10">
        <f t="shared" si="54"/>
        <v>4490</v>
      </c>
      <c r="M130" s="10">
        <f t="shared" si="55"/>
        <v>4489</v>
      </c>
      <c r="N130" s="10" t="s">
        <v>419</v>
      </c>
      <c r="O130" s="10" t="s">
        <v>324</v>
      </c>
      <c r="P130" s="10">
        <v>0</v>
      </c>
      <c r="Q130" s="10"/>
      <c r="R130" s="10"/>
      <c r="S130" s="29"/>
      <c r="T130" s="56"/>
      <c r="U130" s="56"/>
      <c r="V130" s="16"/>
      <c r="W130" s="16"/>
      <c r="X130" s="16"/>
      <c r="Y130" s="16"/>
      <c r="Z130" s="56"/>
      <c r="AA130" s="56"/>
      <c r="AB130" s="56"/>
    </row>
    <row r="132" spans="2:28" x14ac:dyDescent="0.3">
      <c r="B132" s="477" t="s">
        <v>1018</v>
      </c>
      <c r="C132" s="477"/>
      <c r="D132" s="477"/>
      <c r="E132" s="477"/>
      <c r="F132" s="477"/>
      <c r="G132" s="477"/>
      <c r="H132" s="477"/>
      <c r="I132" s="477"/>
      <c r="J132" s="477"/>
      <c r="K132" s="477"/>
      <c r="L132" s="477"/>
      <c r="M132" s="477"/>
      <c r="N132" s="477"/>
      <c r="O132" s="477"/>
      <c r="P132" s="477"/>
      <c r="Q132" s="477"/>
      <c r="R132" s="477"/>
      <c r="V132" s="8"/>
      <c r="W132" s="8"/>
      <c r="X132" s="8"/>
      <c r="Y132" s="8"/>
      <c r="Z132" s="8"/>
      <c r="AA132" s="8"/>
      <c r="AB132" s="8"/>
    </row>
    <row r="133" spans="2:28" s="26" customFormat="1" x14ac:dyDescent="0.3">
      <c r="B133" s="10" t="s">
        <v>1019</v>
      </c>
      <c r="C133" s="10" t="s">
        <v>321</v>
      </c>
      <c r="D133" s="10">
        <v>2</v>
      </c>
      <c r="E133" s="10">
        <f t="shared" ref="E133" si="63">D133/2</f>
        <v>1</v>
      </c>
      <c r="F133" s="117">
        <v>5</v>
      </c>
      <c r="G133" s="10">
        <v>60</v>
      </c>
      <c r="H133" s="10">
        <v>1</v>
      </c>
      <c r="I133" s="10">
        <v>1</v>
      </c>
      <c r="J133" s="10" t="s">
        <v>418</v>
      </c>
      <c r="K133" s="10">
        <f>K130+E130</f>
        <v>44491</v>
      </c>
      <c r="L133" s="10">
        <f t="shared" si="54"/>
        <v>4491</v>
      </c>
      <c r="M133" s="10">
        <f t="shared" si="55"/>
        <v>4490</v>
      </c>
      <c r="N133" s="10" t="s">
        <v>419</v>
      </c>
      <c r="O133" s="10" t="s">
        <v>327</v>
      </c>
      <c r="P133" s="117">
        <v>15</v>
      </c>
      <c r="Q133" s="10" t="s">
        <v>817</v>
      </c>
      <c r="R133" s="10"/>
      <c r="S133" s="29"/>
      <c r="T133" s="56"/>
      <c r="U133" s="56"/>
      <c r="V133" s="16"/>
      <c r="W133" s="16"/>
      <c r="X133" s="16"/>
      <c r="Y133" s="16"/>
      <c r="Z133" s="56"/>
      <c r="AA133" s="56"/>
      <c r="AB133" s="56"/>
    </row>
    <row r="134" spans="2:28" s="26" customFormat="1" x14ac:dyDescent="0.3">
      <c r="B134" s="10" t="s">
        <v>320</v>
      </c>
      <c r="C134" s="10" t="s">
        <v>321</v>
      </c>
      <c r="D134" s="10">
        <v>18</v>
      </c>
      <c r="E134" s="10">
        <f t="shared" ref="E134" si="64">D134/2</f>
        <v>9</v>
      </c>
      <c r="F134" s="10">
        <v>0</v>
      </c>
      <c r="G134" s="10">
        <v>0</v>
      </c>
      <c r="H134" s="10">
        <v>0</v>
      </c>
      <c r="I134" s="10">
        <v>0</v>
      </c>
      <c r="J134" s="10" t="s">
        <v>418</v>
      </c>
      <c r="K134" s="10">
        <f>K133+E133</f>
        <v>44492</v>
      </c>
      <c r="L134" s="10">
        <f t="shared" ref="L134" si="65">K134-40000</f>
        <v>4492</v>
      </c>
      <c r="M134" s="10">
        <f t="shared" ref="M134" si="66">L134-1</f>
        <v>4491</v>
      </c>
      <c r="N134" s="10" t="s">
        <v>419</v>
      </c>
      <c r="O134" s="10" t="s">
        <v>324</v>
      </c>
      <c r="P134" s="10">
        <v>0</v>
      </c>
      <c r="Q134" s="10"/>
      <c r="R134" s="10"/>
      <c r="S134" s="29"/>
      <c r="T134" s="56"/>
      <c r="U134" s="56"/>
      <c r="V134" s="16"/>
      <c r="W134" s="16"/>
      <c r="X134" s="16"/>
      <c r="Y134" s="16"/>
      <c r="Z134" s="56"/>
      <c r="AA134" s="56"/>
      <c r="AB134" s="56"/>
    </row>
    <row r="136" spans="2:28" x14ac:dyDescent="0.3">
      <c r="B136" s="477" t="s">
        <v>1020</v>
      </c>
      <c r="C136" s="477"/>
      <c r="D136" s="477"/>
      <c r="E136" s="477"/>
      <c r="F136" s="477"/>
      <c r="G136" s="477"/>
      <c r="H136" s="477"/>
      <c r="I136" s="477"/>
      <c r="J136" s="477"/>
      <c r="K136" s="477"/>
      <c r="L136" s="477"/>
      <c r="M136" s="477"/>
      <c r="N136" s="477"/>
      <c r="O136" s="477"/>
      <c r="P136" s="477"/>
      <c r="Q136" s="477"/>
      <c r="R136" s="477"/>
      <c r="V136" s="8"/>
      <c r="W136" s="8"/>
      <c r="X136" s="8"/>
      <c r="Y136" s="8"/>
      <c r="Z136" s="8"/>
      <c r="AA136" s="8"/>
      <c r="AB136" s="8"/>
    </row>
    <row r="137" spans="2:28" s="14" customFormat="1" ht="31.2" x14ac:dyDescent="0.3">
      <c r="B137" s="10" t="s">
        <v>1021</v>
      </c>
      <c r="C137" s="10" t="s">
        <v>321</v>
      </c>
      <c r="D137" s="10">
        <v>2</v>
      </c>
      <c r="E137" s="10">
        <f t="shared" ref="E137:E139" si="67">D137/2</f>
        <v>1</v>
      </c>
      <c r="F137" s="10">
        <v>0</v>
      </c>
      <c r="G137" s="10">
        <v>1</v>
      </c>
      <c r="H137" s="10">
        <v>1</v>
      </c>
      <c r="I137" s="10">
        <v>1</v>
      </c>
      <c r="J137" s="10" t="s">
        <v>418</v>
      </c>
      <c r="K137" s="10">
        <f>K134+E134</f>
        <v>44501</v>
      </c>
      <c r="L137" s="10">
        <f t="shared" ref="L137:L200" si="68">K137-40000</f>
        <v>4501</v>
      </c>
      <c r="M137" s="10">
        <f t="shared" ref="M137:M200" si="69">L137-1</f>
        <v>4500</v>
      </c>
      <c r="N137" s="10" t="s">
        <v>419</v>
      </c>
      <c r="O137" s="10" t="s">
        <v>327</v>
      </c>
      <c r="P137" s="10" t="s">
        <v>1022</v>
      </c>
      <c r="Q137" s="10"/>
      <c r="R137" s="110" t="s">
        <v>1023</v>
      </c>
      <c r="V137" s="35"/>
      <c r="W137" s="35"/>
      <c r="X137" s="35"/>
      <c r="Y137" s="35"/>
      <c r="Z137" s="35"/>
      <c r="AA137" s="35"/>
      <c r="AB137" s="35"/>
    </row>
    <row r="138" spans="2:28" s="14" customFormat="1" x14ac:dyDescent="0.3">
      <c r="B138" s="10" t="s">
        <v>1024</v>
      </c>
      <c r="C138" s="10" t="s">
        <v>321</v>
      </c>
      <c r="D138" s="10">
        <v>2</v>
      </c>
      <c r="E138" s="10">
        <f>D138/2</f>
        <v>1</v>
      </c>
      <c r="F138" s="10">
        <v>0</v>
      </c>
      <c r="G138" s="10">
        <v>38</v>
      </c>
      <c r="H138" s="10">
        <v>1</v>
      </c>
      <c r="I138" s="10">
        <v>1</v>
      </c>
      <c r="J138" s="10" t="s">
        <v>418</v>
      </c>
      <c r="K138" s="10">
        <f t="shared" ref="K138" si="70">K137+E137</f>
        <v>44502</v>
      </c>
      <c r="L138" s="10">
        <f t="shared" si="68"/>
        <v>4502</v>
      </c>
      <c r="M138" s="10">
        <f t="shared" si="69"/>
        <v>4501</v>
      </c>
      <c r="N138" s="10" t="s">
        <v>419</v>
      </c>
      <c r="O138" s="10" t="s">
        <v>327</v>
      </c>
      <c r="P138" s="10">
        <v>4</v>
      </c>
      <c r="Q138" s="10"/>
      <c r="R138" s="111" t="s">
        <v>1025</v>
      </c>
      <c r="V138" s="35"/>
      <c r="W138" s="35"/>
      <c r="X138" s="35"/>
      <c r="Y138" s="35"/>
      <c r="Z138" s="35"/>
      <c r="AA138" s="35"/>
      <c r="AB138" s="35"/>
    </row>
    <row r="139" spans="2:28" s="14" customFormat="1" x14ac:dyDescent="0.3">
      <c r="B139" s="10" t="s">
        <v>1026</v>
      </c>
      <c r="C139" s="10" t="s">
        <v>321</v>
      </c>
      <c r="D139" s="10">
        <v>2</v>
      </c>
      <c r="E139" s="10">
        <f t="shared" si="67"/>
        <v>1</v>
      </c>
      <c r="F139" s="10">
        <v>0</v>
      </c>
      <c r="G139" s="10">
        <v>60000</v>
      </c>
      <c r="H139" s="193">
        <v>10</v>
      </c>
      <c r="I139" s="10">
        <v>1</v>
      </c>
      <c r="J139" s="10" t="s">
        <v>418</v>
      </c>
      <c r="K139" s="10">
        <f>K138+E138</f>
        <v>44503</v>
      </c>
      <c r="L139" s="10">
        <f t="shared" si="68"/>
        <v>4503</v>
      </c>
      <c r="M139" s="10">
        <f t="shared" si="69"/>
        <v>4502</v>
      </c>
      <c r="N139" s="10" t="s">
        <v>419</v>
      </c>
      <c r="O139" s="10" t="s">
        <v>327</v>
      </c>
      <c r="P139" s="10">
        <v>10</v>
      </c>
      <c r="Q139" s="10" t="s">
        <v>1027</v>
      </c>
      <c r="R139" s="111"/>
      <c r="V139" s="35"/>
      <c r="W139" s="35"/>
      <c r="X139" s="35"/>
      <c r="Y139" s="35"/>
      <c r="Z139" s="35"/>
      <c r="AA139" s="35"/>
      <c r="AB139" s="35"/>
    </row>
    <row r="140" spans="2:28" s="14" customFormat="1" ht="31.2" x14ac:dyDescent="0.3">
      <c r="B140" s="10" t="s">
        <v>1028</v>
      </c>
      <c r="C140" s="10" t="s">
        <v>321</v>
      </c>
      <c r="D140" s="10">
        <v>2</v>
      </c>
      <c r="E140" s="10">
        <f t="shared" ref="E140" si="71">D140/2</f>
        <v>1</v>
      </c>
      <c r="F140" s="10">
        <v>0</v>
      </c>
      <c r="G140" s="10">
        <v>1</v>
      </c>
      <c r="H140" s="10">
        <v>1</v>
      </c>
      <c r="I140" s="10">
        <v>1</v>
      </c>
      <c r="J140" s="10" t="s">
        <v>418</v>
      </c>
      <c r="K140" s="10">
        <f t="shared" ref="K140:K203" si="72">K139+E139</f>
        <v>44504</v>
      </c>
      <c r="L140" s="10">
        <f t="shared" si="68"/>
        <v>4504</v>
      </c>
      <c r="M140" s="10">
        <f t="shared" si="69"/>
        <v>4503</v>
      </c>
      <c r="N140" s="10" t="s">
        <v>419</v>
      </c>
      <c r="O140" s="10" t="s">
        <v>327</v>
      </c>
      <c r="P140" s="10">
        <v>1</v>
      </c>
      <c r="Q140" s="10"/>
      <c r="R140" s="110" t="s">
        <v>1023</v>
      </c>
      <c r="V140" s="35"/>
      <c r="W140" s="35"/>
      <c r="X140" s="35"/>
      <c r="Y140" s="35"/>
      <c r="Z140" s="35"/>
      <c r="AA140" s="35"/>
      <c r="AB140" s="35"/>
    </row>
    <row r="141" spans="2:28" s="14" customFormat="1" x14ac:dyDescent="0.3">
      <c r="B141" s="10" t="s">
        <v>1029</v>
      </c>
      <c r="C141" s="10" t="s">
        <v>321</v>
      </c>
      <c r="D141" s="10">
        <v>2</v>
      </c>
      <c r="E141" s="10">
        <f>D141/2</f>
        <v>1</v>
      </c>
      <c r="F141" s="10">
        <v>0</v>
      </c>
      <c r="G141" s="10">
        <v>38</v>
      </c>
      <c r="H141" s="10">
        <v>1</v>
      </c>
      <c r="I141" s="10">
        <v>1</v>
      </c>
      <c r="J141" s="10" t="s">
        <v>418</v>
      </c>
      <c r="K141" s="10">
        <f t="shared" si="72"/>
        <v>44505</v>
      </c>
      <c r="L141" s="10">
        <f t="shared" si="68"/>
        <v>4505</v>
      </c>
      <c r="M141" s="10">
        <f t="shared" si="69"/>
        <v>4504</v>
      </c>
      <c r="N141" s="10" t="s">
        <v>419</v>
      </c>
      <c r="O141" s="10" t="s">
        <v>327</v>
      </c>
      <c r="P141" s="10">
        <v>6</v>
      </c>
      <c r="Q141" s="10"/>
      <c r="R141" s="111" t="s">
        <v>1025</v>
      </c>
      <c r="V141" s="35"/>
      <c r="W141" s="35"/>
      <c r="X141" s="35"/>
      <c r="Y141" s="35"/>
      <c r="Z141" s="35"/>
      <c r="AA141" s="35"/>
      <c r="AB141" s="35"/>
    </row>
    <row r="142" spans="2:28" s="14" customFormat="1" x14ac:dyDescent="0.3">
      <c r="B142" s="10" t="s">
        <v>1030</v>
      </c>
      <c r="C142" s="10" t="s">
        <v>321</v>
      </c>
      <c r="D142" s="10">
        <v>2</v>
      </c>
      <c r="E142" s="10">
        <f t="shared" ref="E142:E143" si="73">D142/2</f>
        <v>1</v>
      </c>
      <c r="F142" s="10">
        <v>0</v>
      </c>
      <c r="G142" s="10">
        <v>60000</v>
      </c>
      <c r="H142" s="193">
        <v>10</v>
      </c>
      <c r="I142" s="10">
        <v>1</v>
      </c>
      <c r="J142" s="10" t="s">
        <v>418</v>
      </c>
      <c r="K142" s="10">
        <f t="shared" si="72"/>
        <v>44506</v>
      </c>
      <c r="L142" s="10">
        <f t="shared" si="68"/>
        <v>4506</v>
      </c>
      <c r="M142" s="10">
        <f t="shared" si="69"/>
        <v>4505</v>
      </c>
      <c r="N142" s="10" t="s">
        <v>419</v>
      </c>
      <c r="O142" s="10" t="s">
        <v>327</v>
      </c>
      <c r="P142" s="10">
        <v>10</v>
      </c>
      <c r="Q142" s="10" t="s">
        <v>1027</v>
      </c>
      <c r="R142" s="111"/>
      <c r="V142" s="35"/>
      <c r="W142" s="35"/>
      <c r="X142" s="35"/>
      <c r="Y142" s="35"/>
      <c r="Z142" s="35"/>
      <c r="AA142" s="35"/>
      <c r="AB142" s="35"/>
    </row>
    <row r="143" spans="2:28" s="14" customFormat="1" ht="31.2" x14ac:dyDescent="0.3">
      <c r="B143" s="10" t="s">
        <v>1031</v>
      </c>
      <c r="C143" s="10" t="s">
        <v>321</v>
      </c>
      <c r="D143" s="10">
        <v>2</v>
      </c>
      <c r="E143" s="10">
        <f t="shared" si="73"/>
        <v>1</v>
      </c>
      <c r="F143" s="10">
        <v>0</v>
      </c>
      <c r="G143" s="10">
        <v>1</v>
      </c>
      <c r="H143" s="10">
        <v>1</v>
      </c>
      <c r="I143" s="10">
        <v>1</v>
      </c>
      <c r="J143" s="10" t="s">
        <v>418</v>
      </c>
      <c r="K143" s="10">
        <f t="shared" si="72"/>
        <v>44507</v>
      </c>
      <c r="L143" s="10">
        <f t="shared" si="68"/>
        <v>4507</v>
      </c>
      <c r="M143" s="10">
        <f t="shared" si="69"/>
        <v>4506</v>
      </c>
      <c r="N143" s="10" t="s">
        <v>419</v>
      </c>
      <c r="O143" s="10" t="s">
        <v>327</v>
      </c>
      <c r="P143" s="10">
        <v>0</v>
      </c>
      <c r="Q143" s="10"/>
      <c r="R143" s="110" t="s">
        <v>1023</v>
      </c>
      <c r="V143" s="35"/>
      <c r="W143" s="35"/>
      <c r="X143" s="35"/>
      <c r="Y143" s="35"/>
      <c r="Z143" s="35"/>
      <c r="AA143" s="35"/>
      <c r="AB143" s="35"/>
    </row>
    <row r="144" spans="2:28" s="14" customFormat="1" x14ac:dyDescent="0.3">
      <c r="B144" s="10" t="s">
        <v>1032</v>
      </c>
      <c r="C144" s="10" t="s">
        <v>321</v>
      </c>
      <c r="D144" s="10">
        <v>2</v>
      </c>
      <c r="E144" s="10">
        <f>D144/2</f>
        <v>1</v>
      </c>
      <c r="F144" s="10">
        <v>0</v>
      </c>
      <c r="G144" s="10">
        <v>38</v>
      </c>
      <c r="H144" s="10">
        <v>1</v>
      </c>
      <c r="I144" s="10">
        <v>1</v>
      </c>
      <c r="J144" s="10" t="s">
        <v>418</v>
      </c>
      <c r="K144" s="10">
        <f t="shared" si="72"/>
        <v>44508</v>
      </c>
      <c r="L144" s="10">
        <f t="shared" si="68"/>
        <v>4508</v>
      </c>
      <c r="M144" s="10">
        <f t="shared" si="69"/>
        <v>4507</v>
      </c>
      <c r="N144" s="10" t="s">
        <v>419</v>
      </c>
      <c r="O144" s="10" t="s">
        <v>327</v>
      </c>
      <c r="P144" s="352">
        <v>38</v>
      </c>
      <c r="Q144" s="10"/>
      <c r="R144" s="111" t="s">
        <v>1025</v>
      </c>
      <c r="V144" s="35"/>
      <c r="W144" s="35"/>
      <c r="X144" s="35"/>
      <c r="Y144" s="35"/>
      <c r="Z144" s="35"/>
      <c r="AA144" s="35"/>
      <c r="AB144" s="35"/>
    </row>
    <row r="145" spans="2:28" s="14" customFormat="1" x14ac:dyDescent="0.3">
      <c r="B145" s="10" t="s">
        <v>1033</v>
      </c>
      <c r="C145" s="10" t="s">
        <v>321</v>
      </c>
      <c r="D145" s="10">
        <v>2</v>
      </c>
      <c r="E145" s="10">
        <f t="shared" ref="E145:E146" si="74">D145/2</f>
        <v>1</v>
      </c>
      <c r="F145" s="10">
        <v>0</v>
      </c>
      <c r="G145" s="10">
        <v>60000</v>
      </c>
      <c r="H145" s="193">
        <v>10</v>
      </c>
      <c r="I145" s="10">
        <v>1</v>
      </c>
      <c r="J145" s="10" t="s">
        <v>418</v>
      </c>
      <c r="K145" s="10">
        <f t="shared" si="72"/>
        <v>44509</v>
      </c>
      <c r="L145" s="10">
        <f t="shared" si="68"/>
        <v>4509</v>
      </c>
      <c r="M145" s="10">
        <f t="shared" si="69"/>
        <v>4508</v>
      </c>
      <c r="N145" s="10" t="s">
        <v>419</v>
      </c>
      <c r="O145" s="10" t="s">
        <v>327</v>
      </c>
      <c r="P145" s="10">
        <v>10</v>
      </c>
      <c r="Q145" s="10" t="s">
        <v>1027</v>
      </c>
      <c r="R145" s="111"/>
      <c r="V145" s="35"/>
      <c r="W145" s="35"/>
      <c r="X145" s="35"/>
      <c r="Y145" s="35"/>
      <c r="Z145" s="35"/>
      <c r="AA145" s="35"/>
      <c r="AB145" s="35"/>
    </row>
    <row r="146" spans="2:28" s="14" customFormat="1" ht="31.2" x14ac:dyDescent="0.3">
      <c r="B146" s="10" t="s">
        <v>1034</v>
      </c>
      <c r="C146" s="10" t="s">
        <v>321</v>
      </c>
      <c r="D146" s="10">
        <v>2</v>
      </c>
      <c r="E146" s="10">
        <f t="shared" si="74"/>
        <v>1</v>
      </c>
      <c r="F146" s="10">
        <v>0</v>
      </c>
      <c r="G146" s="10">
        <v>1</v>
      </c>
      <c r="H146" s="10">
        <v>1</v>
      </c>
      <c r="I146" s="10">
        <v>1</v>
      </c>
      <c r="J146" s="10" t="s">
        <v>418</v>
      </c>
      <c r="K146" s="10">
        <f t="shared" si="72"/>
        <v>44510</v>
      </c>
      <c r="L146" s="10">
        <f t="shared" si="68"/>
        <v>4510</v>
      </c>
      <c r="M146" s="10">
        <f t="shared" si="69"/>
        <v>4509</v>
      </c>
      <c r="N146" s="10" t="s">
        <v>419</v>
      </c>
      <c r="O146" s="10" t="s">
        <v>327</v>
      </c>
      <c r="P146" s="10">
        <v>0</v>
      </c>
      <c r="Q146" s="10"/>
      <c r="R146" s="110" t="s">
        <v>1023</v>
      </c>
      <c r="V146" s="35"/>
      <c r="W146" s="35"/>
      <c r="X146" s="35"/>
      <c r="Y146" s="35"/>
      <c r="Z146" s="35"/>
      <c r="AA146" s="35"/>
      <c r="AB146" s="35"/>
    </row>
    <row r="147" spans="2:28" s="14" customFormat="1" x14ac:dyDescent="0.3">
      <c r="B147" s="10" t="s">
        <v>1035</v>
      </c>
      <c r="C147" s="10" t="s">
        <v>321</v>
      </c>
      <c r="D147" s="10">
        <v>2</v>
      </c>
      <c r="E147" s="10">
        <f>D147/2</f>
        <v>1</v>
      </c>
      <c r="F147" s="10">
        <v>0</v>
      </c>
      <c r="G147" s="10">
        <v>38</v>
      </c>
      <c r="H147" s="10">
        <v>1</v>
      </c>
      <c r="I147" s="10">
        <v>1</v>
      </c>
      <c r="J147" s="10" t="s">
        <v>418</v>
      </c>
      <c r="K147" s="10">
        <f t="shared" si="72"/>
        <v>44511</v>
      </c>
      <c r="L147" s="10">
        <f t="shared" si="68"/>
        <v>4511</v>
      </c>
      <c r="M147" s="10">
        <f t="shared" si="69"/>
        <v>4510</v>
      </c>
      <c r="N147" s="10" t="s">
        <v>419</v>
      </c>
      <c r="O147" s="10" t="s">
        <v>327</v>
      </c>
      <c r="P147" s="10">
        <v>30</v>
      </c>
      <c r="Q147" s="10"/>
      <c r="R147" s="111" t="s">
        <v>1025</v>
      </c>
      <c r="V147" s="35"/>
      <c r="W147" s="35"/>
      <c r="X147" s="35"/>
      <c r="Y147" s="35"/>
      <c r="Z147" s="35"/>
      <c r="AA147" s="35"/>
      <c r="AB147" s="35"/>
    </row>
    <row r="148" spans="2:28" s="14" customFormat="1" x14ac:dyDescent="0.3">
      <c r="B148" s="10" t="s">
        <v>1036</v>
      </c>
      <c r="C148" s="10" t="s">
        <v>321</v>
      </c>
      <c r="D148" s="10">
        <v>2</v>
      </c>
      <c r="E148" s="10">
        <f t="shared" ref="E148:E149" si="75">D148/2</f>
        <v>1</v>
      </c>
      <c r="F148" s="10">
        <v>0</v>
      </c>
      <c r="G148" s="10">
        <v>60000</v>
      </c>
      <c r="H148" s="193">
        <v>10</v>
      </c>
      <c r="I148" s="10">
        <v>1</v>
      </c>
      <c r="J148" s="10" t="s">
        <v>418</v>
      </c>
      <c r="K148" s="10">
        <f t="shared" si="72"/>
        <v>44512</v>
      </c>
      <c r="L148" s="10">
        <f t="shared" si="68"/>
        <v>4512</v>
      </c>
      <c r="M148" s="10">
        <f t="shared" si="69"/>
        <v>4511</v>
      </c>
      <c r="N148" s="10" t="s">
        <v>419</v>
      </c>
      <c r="O148" s="10" t="s">
        <v>327</v>
      </c>
      <c r="P148" s="10">
        <v>10</v>
      </c>
      <c r="Q148" s="10" t="s">
        <v>1027</v>
      </c>
      <c r="R148" s="111"/>
      <c r="V148" s="35"/>
      <c r="W148" s="35"/>
      <c r="X148" s="35"/>
      <c r="Y148" s="35"/>
      <c r="Z148" s="35"/>
      <c r="AA148" s="35"/>
      <c r="AB148" s="35"/>
    </row>
    <row r="149" spans="2:28" s="14" customFormat="1" ht="31.2" x14ac:dyDescent="0.3">
      <c r="B149" s="10" t="s">
        <v>1037</v>
      </c>
      <c r="C149" s="10" t="s">
        <v>321</v>
      </c>
      <c r="D149" s="10">
        <v>2</v>
      </c>
      <c r="E149" s="10">
        <f t="shared" si="75"/>
        <v>1</v>
      </c>
      <c r="F149" s="10">
        <v>0</v>
      </c>
      <c r="G149" s="10">
        <v>1</v>
      </c>
      <c r="H149" s="10">
        <v>1</v>
      </c>
      <c r="I149" s="10">
        <v>1</v>
      </c>
      <c r="J149" s="10" t="s">
        <v>418</v>
      </c>
      <c r="K149" s="10">
        <f t="shared" si="72"/>
        <v>44513</v>
      </c>
      <c r="L149" s="10">
        <f t="shared" si="68"/>
        <v>4513</v>
      </c>
      <c r="M149" s="10">
        <f t="shared" si="69"/>
        <v>4512</v>
      </c>
      <c r="N149" s="10" t="s">
        <v>419</v>
      </c>
      <c r="O149" s="10" t="s">
        <v>327</v>
      </c>
      <c r="P149" s="10">
        <v>0</v>
      </c>
      <c r="Q149" s="10"/>
      <c r="R149" s="110" t="s">
        <v>1023</v>
      </c>
      <c r="V149" s="35"/>
      <c r="W149" s="35"/>
      <c r="X149" s="35"/>
      <c r="Y149" s="35"/>
      <c r="Z149" s="35"/>
      <c r="AA149" s="35"/>
      <c r="AB149" s="35"/>
    </row>
    <row r="150" spans="2:28" s="14" customFormat="1" x14ac:dyDescent="0.3">
      <c r="B150" s="10" t="s">
        <v>1038</v>
      </c>
      <c r="C150" s="10" t="s">
        <v>321</v>
      </c>
      <c r="D150" s="10">
        <v>2</v>
      </c>
      <c r="E150" s="10">
        <f>D150/2</f>
        <v>1</v>
      </c>
      <c r="F150" s="10">
        <v>0</v>
      </c>
      <c r="G150" s="10">
        <v>38</v>
      </c>
      <c r="H150" s="10">
        <v>1</v>
      </c>
      <c r="I150" s="10">
        <v>1</v>
      </c>
      <c r="J150" s="10" t="s">
        <v>418</v>
      </c>
      <c r="K150" s="10">
        <f t="shared" si="72"/>
        <v>44514</v>
      </c>
      <c r="L150" s="10">
        <f t="shared" si="68"/>
        <v>4514</v>
      </c>
      <c r="M150" s="10">
        <f t="shared" si="69"/>
        <v>4513</v>
      </c>
      <c r="N150" s="10" t="s">
        <v>419</v>
      </c>
      <c r="O150" s="10" t="s">
        <v>327</v>
      </c>
      <c r="P150" s="352">
        <v>38</v>
      </c>
      <c r="Q150" s="10"/>
      <c r="R150" s="111" t="s">
        <v>1025</v>
      </c>
      <c r="V150" s="35"/>
      <c r="W150" s="35"/>
      <c r="X150" s="35"/>
      <c r="Y150" s="35"/>
      <c r="Z150" s="35"/>
      <c r="AA150" s="35"/>
      <c r="AB150" s="35"/>
    </row>
    <row r="151" spans="2:28" s="14" customFormat="1" x14ac:dyDescent="0.3">
      <c r="B151" s="10" t="s">
        <v>1039</v>
      </c>
      <c r="C151" s="10" t="s">
        <v>321</v>
      </c>
      <c r="D151" s="10">
        <v>2</v>
      </c>
      <c r="E151" s="10">
        <f t="shared" ref="E151:E152" si="76">D151/2</f>
        <v>1</v>
      </c>
      <c r="F151" s="10">
        <v>0</v>
      </c>
      <c r="G151" s="10">
        <v>60000</v>
      </c>
      <c r="H151" s="193">
        <v>10</v>
      </c>
      <c r="I151" s="10">
        <v>1</v>
      </c>
      <c r="J151" s="10" t="s">
        <v>418</v>
      </c>
      <c r="K151" s="10">
        <f t="shared" si="72"/>
        <v>44515</v>
      </c>
      <c r="L151" s="10">
        <f t="shared" si="68"/>
        <v>4515</v>
      </c>
      <c r="M151" s="10">
        <f t="shared" si="69"/>
        <v>4514</v>
      </c>
      <c r="N151" s="10" t="s">
        <v>419</v>
      </c>
      <c r="O151" s="10" t="s">
        <v>327</v>
      </c>
      <c r="P151" s="10">
        <v>10</v>
      </c>
      <c r="Q151" s="10" t="s">
        <v>1027</v>
      </c>
      <c r="R151" s="111"/>
      <c r="V151" s="35"/>
      <c r="W151" s="35"/>
      <c r="X151" s="35"/>
      <c r="Y151" s="35"/>
      <c r="Z151" s="35"/>
      <c r="AA151" s="35"/>
      <c r="AB151" s="35"/>
    </row>
    <row r="152" spans="2:28" s="14" customFormat="1" ht="31.2" x14ac:dyDescent="0.3">
      <c r="B152" s="10" t="s">
        <v>1040</v>
      </c>
      <c r="C152" s="10" t="s">
        <v>321</v>
      </c>
      <c r="D152" s="10">
        <v>2</v>
      </c>
      <c r="E152" s="10">
        <f t="shared" si="76"/>
        <v>1</v>
      </c>
      <c r="F152" s="10">
        <v>0</v>
      </c>
      <c r="G152" s="10">
        <v>1</v>
      </c>
      <c r="H152" s="10">
        <v>1</v>
      </c>
      <c r="I152" s="10">
        <v>1</v>
      </c>
      <c r="J152" s="10" t="s">
        <v>418</v>
      </c>
      <c r="K152" s="10">
        <f t="shared" si="72"/>
        <v>44516</v>
      </c>
      <c r="L152" s="10">
        <f t="shared" si="68"/>
        <v>4516</v>
      </c>
      <c r="M152" s="10">
        <f t="shared" si="69"/>
        <v>4515</v>
      </c>
      <c r="N152" s="10" t="s">
        <v>419</v>
      </c>
      <c r="O152" s="10" t="s">
        <v>327</v>
      </c>
      <c r="P152" s="10">
        <v>0</v>
      </c>
      <c r="Q152" s="10"/>
      <c r="R152" s="110" t="s">
        <v>1023</v>
      </c>
      <c r="V152" s="35"/>
      <c r="W152" s="35"/>
      <c r="X152" s="35"/>
      <c r="Y152" s="35"/>
      <c r="Z152" s="35"/>
      <c r="AA152" s="35"/>
      <c r="AB152" s="35"/>
    </row>
    <row r="153" spans="2:28" s="14" customFormat="1" x14ac:dyDescent="0.3">
      <c r="B153" s="10" t="s">
        <v>1041</v>
      </c>
      <c r="C153" s="10" t="s">
        <v>321</v>
      </c>
      <c r="D153" s="10">
        <v>2</v>
      </c>
      <c r="E153" s="10">
        <f>D153/2</f>
        <v>1</v>
      </c>
      <c r="F153" s="10">
        <v>0</v>
      </c>
      <c r="G153" s="10">
        <v>38</v>
      </c>
      <c r="H153" s="10">
        <v>1</v>
      </c>
      <c r="I153" s="10">
        <v>1</v>
      </c>
      <c r="J153" s="10" t="s">
        <v>418</v>
      </c>
      <c r="K153" s="10">
        <f t="shared" si="72"/>
        <v>44517</v>
      </c>
      <c r="L153" s="10">
        <f t="shared" si="68"/>
        <v>4517</v>
      </c>
      <c r="M153" s="10">
        <f t="shared" si="69"/>
        <v>4516</v>
      </c>
      <c r="N153" s="10" t="s">
        <v>419</v>
      </c>
      <c r="O153" s="10" t="s">
        <v>327</v>
      </c>
      <c r="P153" s="352">
        <v>38</v>
      </c>
      <c r="Q153" s="10"/>
      <c r="R153" s="111" t="s">
        <v>1025</v>
      </c>
      <c r="V153" s="35"/>
      <c r="W153" s="35"/>
      <c r="X153" s="35"/>
      <c r="Y153" s="35"/>
      <c r="Z153" s="35"/>
      <c r="AA153" s="35"/>
      <c r="AB153" s="35"/>
    </row>
    <row r="154" spans="2:28" s="14" customFormat="1" x14ac:dyDescent="0.3">
      <c r="B154" s="10" t="s">
        <v>1042</v>
      </c>
      <c r="C154" s="10" t="s">
        <v>321</v>
      </c>
      <c r="D154" s="10">
        <v>2</v>
      </c>
      <c r="E154" s="10">
        <f t="shared" ref="E154:E155" si="77">D154/2</f>
        <v>1</v>
      </c>
      <c r="F154" s="10">
        <v>0</v>
      </c>
      <c r="G154" s="10">
        <v>60000</v>
      </c>
      <c r="H154" s="193">
        <v>10</v>
      </c>
      <c r="I154" s="10">
        <v>1</v>
      </c>
      <c r="J154" s="10" t="s">
        <v>418</v>
      </c>
      <c r="K154" s="10">
        <f t="shared" si="72"/>
        <v>44518</v>
      </c>
      <c r="L154" s="10">
        <f t="shared" si="68"/>
        <v>4518</v>
      </c>
      <c r="M154" s="10">
        <f t="shared" si="69"/>
        <v>4517</v>
      </c>
      <c r="N154" s="10" t="s">
        <v>419</v>
      </c>
      <c r="O154" s="10" t="s">
        <v>327</v>
      </c>
      <c r="P154" s="10">
        <v>10</v>
      </c>
      <c r="Q154" s="10" t="s">
        <v>1027</v>
      </c>
      <c r="R154" s="111"/>
      <c r="V154" s="35"/>
      <c r="W154" s="35"/>
      <c r="X154" s="35"/>
      <c r="Y154" s="35"/>
      <c r="Z154" s="35"/>
      <c r="AA154" s="35"/>
      <c r="AB154" s="35"/>
    </row>
    <row r="155" spans="2:28" s="14" customFormat="1" ht="31.2" x14ac:dyDescent="0.3">
      <c r="B155" s="10" t="s">
        <v>1043</v>
      </c>
      <c r="C155" s="10" t="s">
        <v>321</v>
      </c>
      <c r="D155" s="10">
        <v>2</v>
      </c>
      <c r="E155" s="10">
        <f t="shared" si="77"/>
        <v>1</v>
      </c>
      <c r="F155" s="10">
        <v>0</v>
      </c>
      <c r="G155" s="10">
        <v>1</v>
      </c>
      <c r="H155" s="10">
        <v>1</v>
      </c>
      <c r="I155" s="10">
        <v>1</v>
      </c>
      <c r="J155" s="10" t="s">
        <v>418</v>
      </c>
      <c r="K155" s="10">
        <f t="shared" si="72"/>
        <v>44519</v>
      </c>
      <c r="L155" s="10">
        <f t="shared" si="68"/>
        <v>4519</v>
      </c>
      <c r="M155" s="10">
        <f t="shared" si="69"/>
        <v>4518</v>
      </c>
      <c r="N155" s="10" t="s">
        <v>419</v>
      </c>
      <c r="O155" s="10" t="s">
        <v>327</v>
      </c>
      <c r="P155" s="10">
        <v>0</v>
      </c>
      <c r="Q155" s="10"/>
      <c r="R155" s="110" t="s">
        <v>1023</v>
      </c>
      <c r="V155" s="35"/>
      <c r="W155" s="35"/>
      <c r="X155" s="35"/>
      <c r="Y155" s="35"/>
      <c r="Z155" s="35"/>
      <c r="AA155" s="35"/>
      <c r="AB155" s="35"/>
    </row>
    <row r="156" spans="2:28" s="14" customFormat="1" x14ac:dyDescent="0.3">
      <c r="B156" s="10" t="s">
        <v>1044</v>
      </c>
      <c r="C156" s="10" t="s">
        <v>321</v>
      </c>
      <c r="D156" s="10">
        <v>2</v>
      </c>
      <c r="E156" s="10">
        <f>D156/2</f>
        <v>1</v>
      </c>
      <c r="F156" s="10">
        <v>0</v>
      </c>
      <c r="G156" s="10">
        <v>38</v>
      </c>
      <c r="H156" s="10">
        <v>1</v>
      </c>
      <c r="I156" s="10">
        <v>1</v>
      </c>
      <c r="J156" s="10" t="s">
        <v>418</v>
      </c>
      <c r="K156" s="10">
        <f t="shared" si="72"/>
        <v>44520</v>
      </c>
      <c r="L156" s="10">
        <f t="shared" si="68"/>
        <v>4520</v>
      </c>
      <c r="M156" s="10">
        <f t="shared" si="69"/>
        <v>4519</v>
      </c>
      <c r="N156" s="10" t="s">
        <v>419</v>
      </c>
      <c r="O156" s="10" t="s">
        <v>327</v>
      </c>
      <c r="P156" s="352">
        <v>38</v>
      </c>
      <c r="Q156" s="10"/>
      <c r="R156" s="111" t="s">
        <v>1025</v>
      </c>
      <c r="V156" s="35"/>
      <c r="W156" s="35"/>
      <c r="X156" s="35"/>
      <c r="Y156" s="35"/>
      <c r="Z156" s="35"/>
      <c r="AA156" s="35"/>
      <c r="AB156" s="35"/>
    </row>
    <row r="157" spans="2:28" s="14" customFormat="1" x14ac:dyDescent="0.3">
      <c r="B157" s="10" t="s">
        <v>1045</v>
      </c>
      <c r="C157" s="10" t="s">
        <v>321</v>
      </c>
      <c r="D157" s="10">
        <v>2</v>
      </c>
      <c r="E157" s="10">
        <f t="shared" ref="E157:E158" si="78">D157/2</f>
        <v>1</v>
      </c>
      <c r="F157" s="10">
        <v>0</v>
      </c>
      <c r="G157" s="10">
        <v>60000</v>
      </c>
      <c r="H157" s="193">
        <v>10</v>
      </c>
      <c r="I157" s="10">
        <v>1</v>
      </c>
      <c r="J157" s="10" t="s">
        <v>418</v>
      </c>
      <c r="K157" s="10">
        <f t="shared" si="72"/>
        <v>44521</v>
      </c>
      <c r="L157" s="10">
        <f t="shared" si="68"/>
        <v>4521</v>
      </c>
      <c r="M157" s="10">
        <f t="shared" si="69"/>
        <v>4520</v>
      </c>
      <c r="N157" s="10" t="s">
        <v>419</v>
      </c>
      <c r="O157" s="10" t="s">
        <v>327</v>
      </c>
      <c r="P157" s="10">
        <v>10</v>
      </c>
      <c r="Q157" s="10" t="s">
        <v>1027</v>
      </c>
      <c r="R157" s="111"/>
      <c r="V157" s="35"/>
      <c r="W157" s="35"/>
      <c r="X157" s="35"/>
      <c r="Y157" s="35"/>
      <c r="Z157" s="35"/>
      <c r="AA157" s="35"/>
      <c r="AB157" s="35"/>
    </row>
    <row r="158" spans="2:28" s="14" customFormat="1" ht="31.2" x14ac:dyDescent="0.3">
      <c r="B158" s="10" t="s">
        <v>1046</v>
      </c>
      <c r="C158" s="10" t="s">
        <v>321</v>
      </c>
      <c r="D158" s="10">
        <v>2</v>
      </c>
      <c r="E158" s="10">
        <f t="shared" si="78"/>
        <v>1</v>
      </c>
      <c r="F158" s="10">
        <v>0</v>
      </c>
      <c r="G158" s="10">
        <v>1</v>
      </c>
      <c r="H158" s="10">
        <v>1</v>
      </c>
      <c r="I158" s="10">
        <v>1</v>
      </c>
      <c r="J158" s="10" t="s">
        <v>418</v>
      </c>
      <c r="K158" s="10">
        <f t="shared" si="72"/>
        <v>44522</v>
      </c>
      <c r="L158" s="10">
        <f t="shared" si="68"/>
        <v>4522</v>
      </c>
      <c r="M158" s="10">
        <f t="shared" si="69"/>
        <v>4521</v>
      </c>
      <c r="N158" s="10" t="s">
        <v>419</v>
      </c>
      <c r="O158" s="10" t="s">
        <v>327</v>
      </c>
      <c r="P158" s="10">
        <v>0</v>
      </c>
      <c r="Q158" s="10"/>
      <c r="R158" s="110" t="s">
        <v>1023</v>
      </c>
      <c r="V158" s="35"/>
      <c r="W158" s="35"/>
      <c r="X158" s="35"/>
      <c r="Y158" s="35"/>
      <c r="Z158" s="35"/>
      <c r="AA158" s="35"/>
      <c r="AB158" s="35"/>
    </row>
    <row r="159" spans="2:28" s="14" customFormat="1" x14ac:dyDescent="0.3">
      <c r="B159" s="10" t="s">
        <v>1047</v>
      </c>
      <c r="C159" s="10" t="s">
        <v>321</v>
      </c>
      <c r="D159" s="10">
        <v>2</v>
      </c>
      <c r="E159" s="10">
        <f>D159/2</f>
        <v>1</v>
      </c>
      <c r="F159" s="10">
        <v>0</v>
      </c>
      <c r="G159" s="10">
        <v>38</v>
      </c>
      <c r="H159" s="10">
        <v>1</v>
      </c>
      <c r="I159" s="10">
        <v>1</v>
      </c>
      <c r="J159" s="10" t="s">
        <v>418</v>
      </c>
      <c r="K159" s="10">
        <f t="shared" si="72"/>
        <v>44523</v>
      </c>
      <c r="L159" s="10">
        <f t="shared" si="68"/>
        <v>4523</v>
      </c>
      <c r="M159" s="10">
        <f t="shared" si="69"/>
        <v>4522</v>
      </c>
      <c r="N159" s="10" t="s">
        <v>419</v>
      </c>
      <c r="O159" s="10" t="s">
        <v>327</v>
      </c>
      <c r="P159" s="352">
        <v>38</v>
      </c>
      <c r="Q159" s="10"/>
      <c r="R159" s="111" t="s">
        <v>1025</v>
      </c>
      <c r="V159" s="35"/>
      <c r="W159" s="35"/>
      <c r="X159" s="35"/>
      <c r="Y159" s="35"/>
      <c r="Z159" s="35"/>
      <c r="AA159" s="35"/>
      <c r="AB159" s="35"/>
    </row>
    <row r="160" spans="2:28" s="14" customFormat="1" x14ac:dyDescent="0.3">
      <c r="B160" s="10" t="s">
        <v>1048</v>
      </c>
      <c r="C160" s="10" t="s">
        <v>321</v>
      </c>
      <c r="D160" s="10">
        <v>2</v>
      </c>
      <c r="E160" s="10">
        <f t="shared" ref="E160:E161" si="79">D160/2</f>
        <v>1</v>
      </c>
      <c r="F160" s="10">
        <v>0</v>
      </c>
      <c r="G160" s="10">
        <v>60000</v>
      </c>
      <c r="H160" s="193">
        <v>10</v>
      </c>
      <c r="I160" s="10">
        <v>1</v>
      </c>
      <c r="J160" s="10" t="s">
        <v>418</v>
      </c>
      <c r="K160" s="10">
        <f t="shared" si="72"/>
        <v>44524</v>
      </c>
      <c r="L160" s="10">
        <f t="shared" si="68"/>
        <v>4524</v>
      </c>
      <c r="M160" s="10">
        <f t="shared" si="69"/>
        <v>4523</v>
      </c>
      <c r="N160" s="10" t="s">
        <v>419</v>
      </c>
      <c r="O160" s="10" t="s">
        <v>327</v>
      </c>
      <c r="P160" s="10">
        <v>10</v>
      </c>
      <c r="Q160" s="10" t="s">
        <v>1027</v>
      </c>
      <c r="R160" s="111"/>
      <c r="V160" s="35"/>
      <c r="W160" s="35"/>
      <c r="X160" s="35"/>
      <c r="Y160" s="35"/>
      <c r="Z160" s="35"/>
      <c r="AA160" s="35"/>
      <c r="AB160" s="35"/>
    </row>
    <row r="161" spans="2:28" s="26" customFormat="1" ht="31.2" x14ac:dyDescent="0.3">
      <c r="B161" s="10" t="s">
        <v>1049</v>
      </c>
      <c r="C161" s="10" t="s">
        <v>321</v>
      </c>
      <c r="D161" s="10">
        <v>2</v>
      </c>
      <c r="E161" s="10">
        <f t="shared" si="79"/>
        <v>1</v>
      </c>
      <c r="F161" s="10">
        <v>0</v>
      </c>
      <c r="G161" s="10">
        <v>1</v>
      </c>
      <c r="H161" s="10">
        <v>1</v>
      </c>
      <c r="I161" s="10">
        <v>1</v>
      </c>
      <c r="J161" s="10" t="s">
        <v>418</v>
      </c>
      <c r="K161" s="10">
        <f t="shared" si="72"/>
        <v>44525</v>
      </c>
      <c r="L161" s="10">
        <f t="shared" si="68"/>
        <v>4525</v>
      </c>
      <c r="M161" s="10">
        <f t="shared" si="69"/>
        <v>4524</v>
      </c>
      <c r="N161" s="10" t="s">
        <v>419</v>
      </c>
      <c r="O161" s="10" t="s">
        <v>327</v>
      </c>
      <c r="P161" s="10">
        <v>0</v>
      </c>
      <c r="Q161" s="10"/>
      <c r="R161" s="110" t="s">
        <v>1023</v>
      </c>
      <c r="S161" s="29"/>
      <c r="T161" s="56"/>
      <c r="U161" s="56"/>
      <c r="V161" s="16"/>
      <c r="W161" s="16"/>
      <c r="X161" s="16"/>
      <c r="Y161" s="16"/>
      <c r="Z161" s="56"/>
      <c r="AA161" s="56"/>
      <c r="AB161" s="56"/>
    </row>
    <row r="162" spans="2:28" s="26" customFormat="1" x14ac:dyDescent="0.3">
      <c r="B162" s="10" t="s">
        <v>1050</v>
      </c>
      <c r="C162" s="10" t="s">
        <v>321</v>
      </c>
      <c r="D162" s="10">
        <v>2</v>
      </c>
      <c r="E162" s="10">
        <f>D162/2</f>
        <v>1</v>
      </c>
      <c r="F162" s="10">
        <v>0</v>
      </c>
      <c r="G162" s="10">
        <v>38</v>
      </c>
      <c r="H162" s="10">
        <v>1</v>
      </c>
      <c r="I162" s="10">
        <v>1</v>
      </c>
      <c r="J162" s="10" t="s">
        <v>418</v>
      </c>
      <c r="K162" s="10">
        <f t="shared" si="72"/>
        <v>44526</v>
      </c>
      <c r="L162" s="10">
        <f t="shared" si="68"/>
        <v>4526</v>
      </c>
      <c r="M162" s="10">
        <f t="shared" si="69"/>
        <v>4525</v>
      </c>
      <c r="N162" s="10" t="s">
        <v>419</v>
      </c>
      <c r="O162" s="10" t="s">
        <v>327</v>
      </c>
      <c r="P162" s="352">
        <v>38</v>
      </c>
      <c r="Q162" s="10"/>
      <c r="R162" s="111" t="s">
        <v>1025</v>
      </c>
      <c r="S162" s="29"/>
      <c r="T162" s="56"/>
      <c r="U162" s="56"/>
      <c r="V162" s="16"/>
      <c r="W162" s="16"/>
      <c r="X162" s="16"/>
      <c r="Y162" s="16"/>
      <c r="Z162" s="56"/>
      <c r="AA162" s="56"/>
      <c r="AB162" s="56"/>
    </row>
    <row r="163" spans="2:28" s="32" customFormat="1" x14ac:dyDescent="0.3">
      <c r="B163" s="10" t="s">
        <v>1051</v>
      </c>
      <c r="C163" s="10" t="s">
        <v>321</v>
      </c>
      <c r="D163" s="10">
        <v>2</v>
      </c>
      <c r="E163" s="10">
        <f t="shared" ref="E163:E164" si="80">D163/2</f>
        <v>1</v>
      </c>
      <c r="F163" s="10">
        <v>0</v>
      </c>
      <c r="G163" s="10">
        <v>60000</v>
      </c>
      <c r="H163" s="193">
        <v>10</v>
      </c>
      <c r="I163" s="10">
        <v>1</v>
      </c>
      <c r="J163" s="10" t="s">
        <v>418</v>
      </c>
      <c r="K163" s="10">
        <f t="shared" si="72"/>
        <v>44527</v>
      </c>
      <c r="L163" s="10">
        <f t="shared" si="68"/>
        <v>4527</v>
      </c>
      <c r="M163" s="10">
        <f t="shared" si="69"/>
        <v>4526</v>
      </c>
      <c r="N163" s="10" t="s">
        <v>419</v>
      </c>
      <c r="O163" s="10" t="s">
        <v>327</v>
      </c>
      <c r="P163" s="10">
        <v>10</v>
      </c>
      <c r="Q163" s="10" t="s">
        <v>1027</v>
      </c>
      <c r="R163" s="111"/>
    </row>
    <row r="164" spans="2:28" s="32" customFormat="1" ht="31.2" x14ac:dyDescent="0.3">
      <c r="B164" s="10" t="s">
        <v>1052</v>
      </c>
      <c r="C164" s="10" t="s">
        <v>321</v>
      </c>
      <c r="D164" s="10">
        <v>2</v>
      </c>
      <c r="E164" s="10">
        <f t="shared" si="80"/>
        <v>1</v>
      </c>
      <c r="F164" s="10">
        <v>0</v>
      </c>
      <c r="G164" s="10">
        <v>1</v>
      </c>
      <c r="H164" s="10">
        <v>1</v>
      </c>
      <c r="I164" s="10">
        <v>1</v>
      </c>
      <c r="J164" s="10" t="s">
        <v>418</v>
      </c>
      <c r="K164" s="10">
        <f t="shared" si="72"/>
        <v>44528</v>
      </c>
      <c r="L164" s="10">
        <f t="shared" si="68"/>
        <v>4528</v>
      </c>
      <c r="M164" s="10">
        <f t="shared" si="69"/>
        <v>4527</v>
      </c>
      <c r="N164" s="10" t="s">
        <v>419</v>
      </c>
      <c r="O164" s="10" t="s">
        <v>327</v>
      </c>
      <c r="P164" s="10">
        <v>0</v>
      </c>
      <c r="Q164" s="10"/>
      <c r="R164" s="110" t="s">
        <v>1023</v>
      </c>
    </row>
    <row r="165" spans="2:28" s="26" customFormat="1" x14ac:dyDescent="0.3">
      <c r="B165" s="10" t="s">
        <v>1053</v>
      </c>
      <c r="C165" s="10" t="s">
        <v>321</v>
      </c>
      <c r="D165" s="10">
        <v>2</v>
      </c>
      <c r="E165" s="10">
        <f>D165/2</f>
        <v>1</v>
      </c>
      <c r="F165" s="10">
        <v>0</v>
      </c>
      <c r="G165" s="10">
        <v>38</v>
      </c>
      <c r="H165" s="10">
        <v>1</v>
      </c>
      <c r="I165" s="10">
        <v>1</v>
      </c>
      <c r="J165" s="10" t="s">
        <v>418</v>
      </c>
      <c r="K165" s="10">
        <f t="shared" si="72"/>
        <v>44529</v>
      </c>
      <c r="L165" s="10">
        <f t="shared" si="68"/>
        <v>4529</v>
      </c>
      <c r="M165" s="10">
        <f t="shared" si="69"/>
        <v>4528</v>
      </c>
      <c r="N165" s="10" t="s">
        <v>419</v>
      </c>
      <c r="O165" s="10" t="s">
        <v>327</v>
      </c>
      <c r="P165" s="352">
        <v>38</v>
      </c>
      <c r="Q165" s="10"/>
      <c r="R165" s="111" t="s">
        <v>1025</v>
      </c>
      <c r="S165" s="29"/>
      <c r="T165" s="56"/>
      <c r="U165" s="56"/>
      <c r="V165" s="16"/>
      <c r="W165" s="16"/>
      <c r="X165" s="16"/>
      <c r="Y165" s="16"/>
      <c r="Z165" s="56"/>
      <c r="AA165" s="56"/>
      <c r="AB165" s="56"/>
    </row>
    <row r="166" spans="2:28" s="26" customFormat="1" x14ac:dyDescent="0.3">
      <c r="B166" s="10" t="s">
        <v>1054</v>
      </c>
      <c r="C166" s="10" t="s">
        <v>321</v>
      </c>
      <c r="D166" s="10">
        <v>2</v>
      </c>
      <c r="E166" s="10">
        <f t="shared" ref="E166:E167" si="81">D166/2</f>
        <v>1</v>
      </c>
      <c r="F166" s="10">
        <v>0</v>
      </c>
      <c r="G166" s="10">
        <v>60000</v>
      </c>
      <c r="H166" s="193">
        <v>10</v>
      </c>
      <c r="I166" s="10">
        <v>1</v>
      </c>
      <c r="J166" s="10" t="s">
        <v>418</v>
      </c>
      <c r="K166" s="10">
        <f t="shared" si="72"/>
        <v>44530</v>
      </c>
      <c r="L166" s="10">
        <f t="shared" si="68"/>
        <v>4530</v>
      </c>
      <c r="M166" s="10">
        <f t="shared" si="69"/>
        <v>4529</v>
      </c>
      <c r="N166" s="10" t="s">
        <v>419</v>
      </c>
      <c r="O166" s="10" t="s">
        <v>327</v>
      </c>
      <c r="P166" s="10">
        <v>10</v>
      </c>
      <c r="Q166" s="10" t="s">
        <v>1027</v>
      </c>
      <c r="R166" s="111"/>
      <c r="S166" s="29"/>
      <c r="T166" s="56"/>
      <c r="U166" s="56"/>
      <c r="V166" s="16"/>
      <c r="W166" s="16"/>
      <c r="X166" s="16"/>
      <c r="Y166" s="16"/>
      <c r="Z166" s="56"/>
      <c r="AA166" s="56"/>
      <c r="AB166" s="56"/>
    </row>
    <row r="167" spans="2:28" s="32" customFormat="1" ht="31.2" x14ac:dyDescent="0.3">
      <c r="B167" s="10" t="s">
        <v>1055</v>
      </c>
      <c r="C167" s="10" t="s">
        <v>321</v>
      </c>
      <c r="D167" s="10">
        <v>2</v>
      </c>
      <c r="E167" s="10">
        <f t="shared" si="81"/>
        <v>1</v>
      </c>
      <c r="F167" s="10">
        <v>0</v>
      </c>
      <c r="G167" s="10">
        <v>1</v>
      </c>
      <c r="H167" s="10">
        <v>1</v>
      </c>
      <c r="I167" s="10">
        <v>1</v>
      </c>
      <c r="J167" s="10" t="s">
        <v>418</v>
      </c>
      <c r="K167" s="10">
        <f t="shared" si="72"/>
        <v>44531</v>
      </c>
      <c r="L167" s="10">
        <f t="shared" si="68"/>
        <v>4531</v>
      </c>
      <c r="M167" s="10">
        <f t="shared" si="69"/>
        <v>4530</v>
      </c>
      <c r="N167" s="10" t="s">
        <v>419</v>
      </c>
      <c r="O167" s="10" t="s">
        <v>327</v>
      </c>
      <c r="P167" s="10">
        <v>0</v>
      </c>
      <c r="Q167" s="10"/>
      <c r="R167" s="110" t="s">
        <v>1023</v>
      </c>
    </row>
    <row r="168" spans="2:28" s="32" customFormat="1" x14ac:dyDescent="0.3">
      <c r="B168" s="10" t="s">
        <v>1056</v>
      </c>
      <c r="C168" s="10" t="s">
        <v>321</v>
      </c>
      <c r="D168" s="10">
        <v>2</v>
      </c>
      <c r="E168" s="10">
        <f>D168/2</f>
        <v>1</v>
      </c>
      <c r="F168" s="10">
        <v>0</v>
      </c>
      <c r="G168" s="10">
        <v>38</v>
      </c>
      <c r="H168" s="10">
        <v>1</v>
      </c>
      <c r="I168" s="10">
        <v>1</v>
      </c>
      <c r="J168" s="10" t="s">
        <v>418</v>
      </c>
      <c r="K168" s="10">
        <f t="shared" si="72"/>
        <v>44532</v>
      </c>
      <c r="L168" s="10">
        <f t="shared" si="68"/>
        <v>4532</v>
      </c>
      <c r="M168" s="10">
        <f t="shared" si="69"/>
        <v>4531</v>
      </c>
      <c r="N168" s="10" t="s">
        <v>419</v>
      </c>
      <c r="O168" s="10" t="s">
        <v>327</v>
      </c>
      <c r="P168" s="352">
        <v>38</v>
      </c>
      <c r="Q168" s="10"/>
      <c r="R168" s="111" t="s">
        <v>1025</v>
      </c>
    </row>
    <row r="169" spans="2:28" s="14" customFormat="1" x14ac:dyDescent="0.3">
      <c r="B169" s="10" t="s">
        <v>1057</v>
      </c>
      <c r="C169" s="10" t="s">
        <v>321</v>
      </c>
      <c r="D169" s="10">
        <v>2</v>
      </c>
      <c r="E169" s="10">
        <f t="shared" ref="E169:E170" si="82">D169/2</f>
        <v>1</v>
      </c>
      <c r="F169" s="10">
        <v>0</v>
      </c>
      <c r="G169" s="10">
        <v>60000</v>
      </c>
      <c r="H169" s="193">
        <v>10</v>
      </c>
      <c r="I169" s="10">
        <v>1</v>
      </c>
      <c r="J169" s="10" t="s">
        <v>418</v>
      </c>
      <c r="K169" s="10">
        <f t="shared" si="72"/>
        <v>44533</v>
      </c>
      <c r="L169" s="10">
        <f t="shared" si="68"/>
        <v>4533</v>
      </c>
      <c r="M169" s="10">
        <f t="shared" si="69"/>
        <v>4532</v>
      </c>
      <c r="N169" s="10" t="s">
        <v>419</v>
      </c>
      <c r="O169" s="10" t="s">
        <v>327</v>
      </c>
      <c r="P169" s="10">
        <v>10</v>
      </c>
      <c r="Q169" s="10" t="s">
        <v>1027</v>
      </c>
      <c r="R169" s="111"/>
      <c r="V169" s="35"/>
      <c r="W169" s="35"/>
      <c r="X169" s="35"/>
      <c r="Y169" s="35"/>
      <c r="Z169" s="35"/>
      <c r="AA169" s="35"/>
      <c r="AB169" s="35"/>
    </row>
    <row r="170" spans="2:28" s="14" customFormat="1" ht="31.2" x14ac:dyDescent="0.3">
      <c r="B170" s="10" t="s">
        <v>1058</v>
      </c>
      <c r="C170" s="10" t="s">
        <v>321</v>
      </c>
      <c r="D170" s="10">
        <v>2</v>
      </c>
      <c r="E170" s="10">
        <f t="shared" si="82"/>
        <v>1</v>
      </c>
      <c r="F170" s="10">
        <v>0</v>
      </c>
      <c r="G170" s="10">
        <v>1</v>
      </c>
      <c r="H170" s="10">
        <v>1</v>
      </c>
      <c r="I170" s="10">
        <v>1</v>
      </c>
      <c r="J170" s="10" t="s">
        <v>418</v>
      </c>
      <c r="K170" s="10">
        <f t="shared" si="72"/>
        <v>44534</v>
      </c>
      <c r="L170" s="10">
        <f t="shared" si="68"/>
        <v>4534</v>
      </c>
      <c r="M170" s="10">
        <f t="shared" si="69"/>
        <v>4533</v>
      </c>
      <c r="N170" s="10" t="s">
        <v>419</v>
      </c>
      <c r="O170" s="10" t="s">
        <v>327</v>
      </c>
      <c r="P170" s="10">
        <v>0</v>
      </c>
      <c r="Q170" s="10"/>
      <c r="R170" s="110" t="s">
        <v>1023</v>
      </c>
      <c r="V170" s="35"/>
      <c r="W170" s="35"/>
      <c r="X170" s="35"/>
      <c r="Y170" s="35"/>
      <c r="Z170" s="35"/>
      <c r="AA170" s="35"/>
      <c r="AB170" s="35"/>
    </row>
    <row r="171" spans="2:28" s="14" customFormat="1" x14ac:dyDescent="0.3">
      <c r="B171" s="10" t="s">
        <v>1059</v>
      </c>
      <c r="C171" s="10" t="s">
        <v>321</v>
      </c>
      <c r="D171" s="10">
        <v>2</v>
      </c>
      <c r="E171" s="10">
        <f>D171/2</f>
        <v>1</v>
      </c>
      <c r="F171" s="10">
        <v>0</v>
      </c>
      <c r="G171" s="10">
        <v>38</v>
      </c>
      <c r="H171" s="10">
        <v>1</v>
      </c>
      <c r="I171" s="10">
        <v>1</v>
      </c>
      <c r="J171" s="10" t="s">
        <v>418</v>
      </c>
      <c r="K171" s="10">
        <f t="shared" si="72"/>
        <v>44535</v>
      </c>
      <c r="L171" s="10">
        <f t="shared" si="68"/>
        <v>4535</v>
      </c>
      <c r="M171" s="10">
        <f t="shared" si="69"/>
        <v>4534</v>
      </c>
      <c r="N171" s="10" t="s">
        <v>419</v>
      </c>
      <c r="O171" s="10" t="s">
        <v>327</v>
      </c>
      <c r="P171" s="352">
        <v>38</v>
      </c>
      <c r="Q171" s="10"/>
      <c r="R171" s="111" t="s">
        <v>1025</v>
      </c>
      <c r="V171" s="35"/>
      <c r="W171" s="35"/>
      <c r="X171" s="35"/>
      <c r="Y171" s="35"/>
      <c r="Z171" s="35"/>
      <c r="AA171" s="35"/>
      <c r="AB171" s="35"/>
    </row>
    <row r="172" spans="2:28" s="14" customFormat="1" x14ac:dyDescent="0.3">
      <c r="B172" s="10" t="s">
        <v>1060</v>
      </c>
      <c r="C172" s="10" t="s">
        <v>321</v>
      </c>
      <c r="D172" s="10">
        <v>2</v>
      </c>
      <c r="E172" s="10">
        <f t="shared" ref="E172:E173" si="83">D172/2</f>
        <v>1</v>
      </c>
      <c r="F172" s="10">
        <v>0</v>
      </c>
      <c r="G172" s="10">
        <v>60000</v>
      </c>
      <c r="H172" s="193">
        <v>10</v>
      </c>
      <c r="I172" s="10">
        <v>1</v>
      </c>
      <c r="J172" s="10" t="s">
        <v>418</v>
      </c>
      <c r="K172" s="10">
        <f t="shared" si="72"/>
        <v>44536</v>
      </c>
      <c r="L172" s="10">
        <f t="shared" si="68"/>
        <v>4536</v>
      </c>
      <c r="M172" s="10">
        <f t="shared" si="69"/>
        <v>4535</v>
      </c>
      <c r="N172" s="10" t="s">
        <v>419</v>
      </c>
      <c r="O172" s="10" t="s">
        <v>327</v>
      </c>
      <c r="P172" s="10">
        <v>10</v>
      </c>
      <c r="Q172" s="10" t="s">
        <v>1027</v>
      </c>
      <c r="R172" s="111"/>
      <c r="V172" s="35"/>
      <c r="W172" s="35"/>
      <c r="X172" s="35"/>
      <c r="Y172" s="35"/>
      <c r="Z172" s="35"/>
      <c r="AA172" s="35"/>
      <c r="AB172" s="35"/>
    </row>
    <row r="173" spans="2:28" s="14" customFormat="1" ht="31.2" x14ac:dyDescent="0.3">
      <c r="B173" s="10" t="s">
        <v>1061</v>
      </c>
      <c r="C173" s="10" t="s">
        <v>321</v>
      </c>
      <c r="D173" s="10">
        <v>2</v>
      </c>
      <c r="E173" s="10">
        <f t="shared" si="83"/>
        <v>1</v>
      </c>
      <c r="F173" s="10">
        <v>0</v>
      </c>
      <c r="G173" s="10">
        <v>1</v>
      </c>
      <c r="H173" s="10">
        <v>1</v>
      </c>
      <c r="I173" s="10">
        <v>1</v>
      </c>
      <c r="J173" s="10" t="s">
        <v>418</v>
      </c>
      <c r="K173" s="10">
        <f t="shared" si="72"/>
        <v>44537</v>
      </c>
      <c r="L173" s="10">
        <f t="shared" si="68"/>
        <v>4537</v>
      </c>
      <c r="M173" s="10">
        <f t="shared" si="69"/>
        <v>4536</v>
      </c>
      <c r="N173" s="10" t="s">
        <v>419</v>
      </c>
      <c r="O173" s="10" t="s">
        <v>327</v>
      </c>
      <c r="P173" s="10">
        <v>0</v>
      </c>
      <c r="Q173" s="10"/>
      <c r="R173" s="110" t="s">
        <v>1023</v>
      </c>
      <c r="V173" s="35"/>
      <c r="W173" s="35"/>
      <c r="X173" s="35"/>
      <c r="Y173" s="35"/>
      <c r="Z173" s="35"/>
      <c r="AA173" s="35"/>
      <c r="AB173" s="35"/>
    </row>
    <row r="174" spans="2:28" s="14" customFormat="1" x14ac:dyDescent="0.3">
      <c r="B174" s="10" t="s">
        <v>1062</v>
      </c>
      <c r="C174" s="10" t="s">
        <v>321</v>
      </c>
      <c r="D174" s="10">
        <v>2</v>
      </c>
      <c r="E174" s="10">
        <f>D174/2</f>
        <v>1</v>
      </c>
      <c r="F174" s="10">
        <v>0</v>
      </c>
      <c r="G174" s="10">
        <v>38</v>
      </c>
      <c r="H174" s="10">
        <v>1</v>
      </c>
      <c r="I174" s="10">
        <v>1</v>
      </c>
      <c r="J174" s="10" t="s">
        <v>418</v>
      </c>
      <c r="K174" s="10">
        <f t="shared" si="72"/>
        <v>44538</v>
      </c>
      <c r="L174" s="10">
        <f t="shared" si="68"/>
        <v>4538</v>
      </c>
      <c r="M174" s="10">
        <f t="shared" si="69"/>
        <v>4537</v>
      </c>
      <c r="N174" s="10" t="s">
        <v>419</v>
      </c>
      <c r="O174" s="10" t="s">
        <v>327</v>
      </c>
      <c r="P174" s="352">
        <v>38</v>
      </c>
      <c r="Q174" s="10"/>
      <c r="R174" s="111" t="s">
        <v>1025</v>
      </c>
      <c r="V174" s="35"/>
      <c r="W174" s="35"/>
      <c r="X174" s="35"/>
      <c r="Y174" s="35"/>
      <c r="Z174" s="35"/>
      <c r="AA174" s="35"/>
      <c r="AB174" s="35"/>
    </row>
    <row r="175" spans="2:28" s="14" customFormat="1" x14ac:dyDescent="0.3">
      <c r="B175" s="10" t="s">
        <v>1063</v>
      </c>
      <c r="C175" s="10" t="s">
        <v>321</v>
      </c>
      <c r="D175" s="10">
        <v>2</v>
      </c>
      <c r="E175" s="10">
        <f t="shared" ref="E175:E176" si="84">D175/2</f>
        <v>1</v>
      </c>
      <c r="F175" s="10">
        <v>0</v>
      </c>
      <c r="G175" s="10">
        <v>60000</v>
      </c>
      <c r="H175" s="193">
        <v>10</v>
      </c>
      <c r="I175" s="10">
        <v>1</v>
      </c>
      <c r="J175" s="10" t="s">
        <v>418</v>
      </c>
      <c r="K175" s="10">
        <f t="shared" si="72"/>
        <v>44539</v>
      </c>
      <c r="L175" s="10">
        <f t="shared" si="68"/>
        <v>4539</v>
      </c>
      <c r="M175" s="10">
        <f t="shared" si="69"/>
        <v>4538</v>
      </c>
      <c r="N175" s="10" t="s">
        <v>419</v>
      </c>
      <c r="O175" s="10" t="s">
        <v>327</v>
      </c>
      <c r="P175" s="10">
        <v>10</v>
      </c>
      <c r="Q175" s="10" t="s">
        <v>1027</v>
      </c>
      <c r="R175" s="111"/>
      <c r="V175" s="35"/>
      <c r="W175" s="35"/>
      <c r="X175" s="35"/>
      <c r="Y175" s="35"/>
      <c r="Z175" s="35"/>
      <c r="AA175" s="35"/>
      <c r="AB175" s="35"/>
    </row>
    <row r="176" spans="2:28" s="14" customFormat="1" ht="31.2" x14ac:dyDescent="0.3">
      <c r="B176" s="10" t="s">
        <v>1064</v>
      </c>
      <c r="C176" s="10" t="s">
        <v>321</v>
      </c>
      <c r="D176" s="10">
        <v>2</v>
      </c>
      <c r="E176" s="10">
        <f t="shared" si="84"/>
        <v>1</v>
      </c>
      <c r="F176" s="10">
        <v>0</v>
      </c>
      <c r="G176" s="10">
        <v>1</v>
      </c>
      <c r="H176" s="10">
        <v>1</v>
      </c>
      <c r="I176" s="10">
        <v>1</v>
      </c>
      <c r="J176" s="10" t="s">
        <v>418</v>
      </c>
      <c r="K176" s="10">
        <f t="shared" si="72"/>
        <v>44540</v>
      </c>
      <c r="L176" s="10">
        <f t="shared" si="68"/>
        <v>4540</v>
      </c>
      <c r="M176" s="10">
        <f t="shared" si="69"/>
        <v>4539</v>
      </c>
      <c r="N176" s="10" t="s">
        <v>419</v>
      </c>
      <c r="O176" s="10" t="s">
        <v>327</v>
      </c>
      <c r="P176" s="10">
        <v>0</v>
      </c>
      <c r="Q176" s="10"/>
      <c r="R176" s="110" t="s">
        <v>1023</v>
      </c>
      <c r="V176" s="35"/>
      <c r="W176" s="35"/>
      <c r="X176" s="35"/>
      <c r="Y176" s="35"/>
      <c r="Z176" s="35"/>
      <c r="AA176" s="35"/>
      <c r="AB176" s="35"/>
    </row>
    <row r="177" spans="2:28" s="14" customFormat="1" x14ac:dyDescent="0.3">
      <c r="B177" s="10" t="s">
        <v>1065</v>
      </c>
      <c r="C177" s="10" t="s">
        <v>321</v>
      </c>
      <c r="D177" s="10">
        <v>2</v>
      </c>
      <c r="E177" s="10">
        <f>D177/2</f>
        <v>1</v>
      </c>
      <c r="F177" s="10">
        <v>0</v>
      </c>
      <c r="G177" s="10">
        <v>38</v>
      </c>
      <c r="H177" s="10">
        <v>1</v>
      </c>
      <c r="I177" s="10">
        <v>1</v>
      </c>
      <c r="J177" s="10" t="s">
        <v>418</v>
      </c>
      <c r="K177" s="10">
        <f t="shared" si="72"/>
        <v>44541</v>
      </c>
      <c r="L177" s="10">
        <f t="shared" si="68"/>
        <v>4541</v>
      </c>
      <c r="M177" s="10">
        <f t="shared" si="69"/>
        <v>4540</v>
      </c>
      <c r="N177" s="10" t="s">
        <v>419</v>
      </c>
      <c r="O177" s="10" t="s">
        <v>327</v>
      </c>
      <c r="P177" s="352">
        <v>38</v>
      </c>
      <c r="Q177" s="10"/>
      <c r="R177" s="111" t="s">
        <v>1025</v>
      </c>
      <c r="V177" s="35"/>
      <c r="W177" s="35"/>
      <c r="X177" s="35"/>
      <c r="Y177" s="35"/>
      <c r="Z177" s="35"/>
      <c r="AA177" s="35"/>
      <c r="AB177" s="35"/>
    </row>
    <row r="178" spans="2:28" s="14" customFormat="1" x14ac:dyDescent="0.3">
      <c r="B178" s="10" t="s">
        <v>1066</v>
      </c>
      <c r="C178" s="10" t="s">
        <v>321</v>
      </c>
      <c r="D178" s="10">
        <v>2</v>
      </c>
      <c r="E178" s="10">
        <f t="shared" ref="E178:E179" si="85">D178/2</f>
        <v>1</v>
      </c>
      <c r="F178" s="10">
        <v>0</v>
      </c>
      <c r="G178" s="10">
        <v>60000</v>
      </c>
      <c r="H178" s="193">
        <v>10</v>
      </c>
      <c r="I178" s="10">
        <v>1</v>
      </c>
      <c r="J178" s="10" t="s">
        <v>418</v>
      </c>
      <c r="K178" s="10">
        <f t="shared" si="72"/>
        <v>44542</v>
      </c>
      <c r="L178" s="10">
        <f t="shared" si="68"/>
        <v>4542</v>
      </c>
      <c r="M178" s="10">
        <f t="shared" si="69"/>
        <v>4541</v>
      </c>
      <c r="N178" s="10" t="s">
        <v>419</v>
      </c>
      <c r="O178" s="10" t="s">
        <v>327</v>
      </c>
      <c r="P178" s="10">
        <v>10</v>
      </c>
      <c r="Q178" s="10" t="s">
        <v>1027</v>
      </c>
      <c r="R178" s="111"/>
      <c r="V178" s="35"/>
      <c r="W178" s="35"/>
      <c r="X178" s="35"/>
      <c r="Y178" s="35"/>
      <c r="Z178" s="35"/>
      <c r="AA178" s="35"/>
      <c r="AB178" s="35"/>
    </row>
    <row r="179" spans="2:28" s="14" customFormat="1" ht="31.2" x14ac:dyDescent="0.3">
      <c r="B179" s="10" t="s">
        <v>1067</v>
      </c>
      <c r="C179" s="10" t="s">
        <v>321</v>
      </c>
      <c r="D179" s="10">
        <v>2</v>
      </c>
      <c r="E179" s="10">
        <f t="shared" si="85"/>
        <v>1</v>
      </c>
      <c r="F179" s="10">
        <v>0</v>
      </c>
      <c r="G179" s="10">
        <v>1</v>
      </c>
      <c r="H179" s="10">
        <v>1</v>
      </c>
      <c r="I179" s="10">
        <v>1</v>
      </c>
      <c r="J179" s="10" t="s">
        <v>418</v>
      </c>
      <c r="K179" s="10">
        <f t="shared" si="72"/>
        <v>44543</v>
      </c>
      <c r="L179" s="10">
        <f t="shared" si="68"/>
        <v>4543</v>
      </c>
      <c r="M179" s="10">
        <f t="shared" si="69"/>
        <v>4542</v>
      </c>
      <c r="N179" s="10" t="s">
        <v>419</v>
      </c>
      <c r="O179" s="10" t="s">
        <v>327</v>
      </c>
      <c r="P179" s="10">
        <v>0</v>
      </c>
      <c r="Q179" s="10"/>
      <c r="R179" s="110" t="s">
        <v>1023</v>
      </c>
      <c r="V179" s="35"/>
      <c r="W179" s="35"/>
      <c r="X179" s="35"/>
      <c r="Y179" s="35"/>
      <c r="Z179" s="35"/>
      <c r="AA179" s="35"/>
      <c r="AB179" s="35"/>
    </row>
    <row r="180" spans="2:28" s="14" customFormat="1" x14ac:dyDescent="0.3">
      <c r="B180" s="10" t="s">
        <v>1068</v>
      </c>
      <c r="C180" s="10" t="s">
        <v>321</v>
      </c>
      <c r="D180" s="10">
        <v>2</v>
      </c>
      <c r="E180" s="10">
        <f>D180/2</f>
        <v>1</v>
      </c>
      <c r="F180" s="10">
        <v>0</v>
      </c>
      <c r="G180" s="10">
        <v>38</v>
      </c>
      <c r="H180" s="10">
        <v>1</v>
      </c>
      <c r="I180" s="10">
        <v>1</v>
      </c>
      <c r="J180" s="10" t="s">
        <v>418</v>
      </c>
      <c r="K180" s="10">
        <f t="shared" si="72"/>
        <v>44544</v>
      </c>
      <c r="L180" s="10">
        <f t="shared" si="68"/>
        <v>4544</v>
      </c>
      <c r="M180" s="10">
        <f t="shared" si="69"/>
        <v>4543</v>
      </c>
      <c r="N180" s="10" t="s">
        <v>419</v>
      </c>
      <c r="O180" s="10" t="s">
        <v>327</v>
      </c>
      <c r="P180" s="352">
        <v>38</v>
      </c>
      <c r="Q180" s="10"/>
      <c r="R180" s="111" t="s">
        <v>1025</v>
      </c>
      <c r="V180" s="35"/>
      <c r="W180" s="35"/>
      <c r="X180" s="35"/>
      <c r="Y180" s="35"/>
      <c r="Z180" s="35"/>
      <c r="AA180" s="35"/>
      <c r="AB180" s="35"/>
    </row>
    <row r="181" spans="2:28" s="14" customFormat="1" x14ac:dyDescent="0.3">
      <c r="B181" s="10" t="s">
        <v>1069</v>
      </c>
      <c r="C181" s="10" t="s">
        <v>321</v>
      </c>
      <c r="D181" s="10">
        <v>2</v>
      </c>
      <c r="E181" s="10">
        <f t="shared" ref="E181:E182" si="86">D181/2</f>
        <v>1</v>
      </c>
      <c r="F181" s="10">
        <v>0</v>
      </c>
      <c r="G181" s="10">
        <v>60000</v>
      </c>
      <c r="H181" s="193">
        <v>10</v>
      </c>
      <c r="I181" s="10">
        <v>1</v>
      </c>
      <c r="J181" s="10" t="s">
        <v>418</v>
      </c>
      <c r="K181" s="10">
        <f t="shared" si="72"/>
        <v>44545</v>
      </c>
      <c r="L181" s="10">
        <f t="shared" si="68"/>
        <v>4545</v>
      </c>
      <c r="M181" s="10">
        <f t="shared" si="69"/>
        <v>4544</v>
      </c>
      <c r="N181" s="10" t="s">
        <v>419</v>
      </c>
      <c r="O181" s="10" t="s">
        <v>327</v>
      </c>
      <c r="P181" s="10">
        <v>10</v>
      </c>
      <c r="Q181" s="10" t="s">
        <v>1027</v>
      </c>
      <c r="R181" s="111"/>
      <c r="V181" s="35"/>
      <c r="W181" s="35"/>
      <c r="X181" s="35"/>
      <c r="Y181" s="35"/>
      <c r="Z181" s="35"/>
      <c r="AA181" s="35"/>
      <c r="AB181" s="35"/>
    </row>
    <row r="182" spans="2:28" s="14" customFormat="1" ht="31.2" x14ac:dyDescent="0.3">
      <c r="B182" s="10" t="s">
        <v>1070</v>
      </c>
      <c r="C182" s="10" t="s">
        <v>321</v>
      </c>
      <c r="D182" s="10">
        <v>2</v>
      </c>
      <c r="E182" s="10">
        <f t="shared" si="86"/>
        <v>1</v>
      </c>
      <c r="F182" s="10">
        <v>0</v>
      </c>
      <c r="G182" s="10">
        <v>1</v>
      </c>
      <c r="H182" s="10">
        <v>1</v>
      </c>
      <c r="I182" s="10">
        <v>1</v>
      </c>
      <c r="J182" s="10" t="s">
        <v>418</v>
      </c>
      <c r="K182" s="10">
        <f t="shared" si="72"/>
        <v>44546</v>
      </c>
      <c r="L182" s="10">
        <f t="shared" si="68"/>
        <v>4546</v>
      </c>
      <c r="M182" s="10">
        <f t="shared" si="69"/>
        <v>4545</v>
      </c>
      <c r="N182" s="10" t="s">
        <v>419</v>
      </c>
      <c r="O182" s="10" t="s">
        <v>327</v>
      </c>
      <c r="P182" s="10">
        <v>0</v>
      </c>
      <c r="Q182" s="10"/>
      <c r="R182" s="110" t="s">
        <v>1023</v>
      </c>
      <c r="V182" s="35"/>
      <c r="W182" s="35"/>
      <c r="X182" s="35"/>
      <c r="Y182" s="35"/>
      <c r="Z182" s="35"/>
      <c r="AA182" s="35"/>
      <c r="AB182" s="35"/>
    </row>
    <row r="183" spans="2:28" s="14" customFormat="1" x14ac:dyDescent="0.3">
      <c r="B183" s="10" t="s">
        <v>1071</v>
      </c>
      <c r="C183" s="10" t="s">
        <v>321</v>
      </c>
      <c r="D183" s="10">
        <v>2</v>
      </c>
      <c r="E183" s="10">
        <f>D183/2</f>
        <v>1</v>
      </c>
      <c r="F183" s="10">
        <v>0</v>
      </c>
      <c r="G183" s="10">
        <v>38</v>
      </c>
      <c r="H183" s="10">
        <v>1</v>
      </c>
      <c r="I183" s="10">
        <v>1</v>
      </c>
      <c r="J183" s="10" t="s">
        <v>418</v>
      </c>
      <c r="K183" s="10">
        <f t="shared" si="72"/>
        <v>44547</v>
      </c>
      <c r="L183" s="10">
        <f t="shared" si="68"/>
        <v>4547</v>
      </c>
      <c r="M183" s="10">
        <f t="shared" si="69"/>
        <v>4546</v>
      </c>
      <c r="N183" s="10" t="s">
        <v>419</v>
      </c>
      <c r="O183" s="10" t="s">
        <v>327</v>
      </c>
      <c r="P183" s="352">
        <v>38</v>
      </c>
      <c r="Q183" s="10"/>
      <c r="R183" s="111" t="s">
        <v>1025</v>
      </c>
      <c r="V183" s="35"/>
      <c r="W183" s="35"/>
      <c r="X183" s="35"/>
      <c r="Y183" s="35"/>
      <c r="Z183" s="35"/>
      <c r="AA183" s="35"/>
      <c r="AB183" s="35"/>
    </row>
    <row r="184" spans="2:28" s="14" customFormat="1" x14ac:dyDescent="0.3">
      <c r="B184" s="10" t="s">
        <v>1072</v>
      </c>
      <c r="C184" s="10" t="s">
        <v>321</v>
      </c>
      <c r="D184" s="10">
        <v>2</v>
      </c>
      <c r="E184" s="10">
        <f t="shared" ref="E184:E185" si="87">D184/2</f>
        <v>1</v>
      </c>
      <c r="F184" s="10">
        <v>0</v>
      </c>
      <c r="G184" s="10">
        <v>60000</v>
      </c>
      <c r="H184" s="193">
        <v>10</v>
      </c>
      <c r="I184" s="10">
        <v>1</v>
      </c>
      <c r="J184" s="10" t="s">
        <v>418</v>
      </c>
      <c r="K184" s="10">
        <f t="shared" si="72"/>
        <v>44548</v>
      </c>
      <c r="L184" s="10">
        <f t="shared" si="68"/>
        <v>4548</v>
      </c>
      <c r="M184" s="10">
        <f t="shared" si="69"/>
        <v>4547</v>
      </c>
      <c r="N184" s="10" t="s">
        <v>419</v>
      </c>
      <c r="O184" s="10" t="s">
        <v>327</v>
      </c>
      <c r="P184" s="10">
        <v>10</v>
      </c>
      <c r="Q184" s="10" t="s">
        <v>1027</v>
      </c>
      <c r="R184" s="111"/>
      <c r="V184" s="35"/>
      <c r="W184" s="35"/>
      <c r="X184" s="35"/>
      <c r="Y184" s="35"/>
      <c r="Z184" s="35"/>
      <c r="AA184" s="35"/>
      <c r="AB184" s="35"/>
    </row>
    <row r="185" spans="2:28" s="14" customFormat="1" ht="31.2" x14ac:dyDescent="0.3">
      <c r="B185" s="10" t="s">
        <v>1073</v>
      </c>
      <c r="C185" s="10" t="s">
        <v>321</v>
      </c>
      <c r="D185" s="10">
        <v>2</v>
      </c>
      <c r="E185" s="10">
        <f t="shared" si="87"/>
        <v>1</v>
      </c>
      <c r="F185" s="10">
        <v>0</v>
      </c>
      <c r="G185" s="10">
        <v>1</v>
      </c>
      <c r="H185" s="10">
        <v>1</v>
      </c>
      <c r="I185" s="10">
        <v>1</v>
      </c>
      <c r="J185" s="10" t="s">
        <v>418</v>
      </c>
      <c r="K185" s="10">
        <f t="shared" si="72"/>
        <v>44549</v>
      </c>
      <c r="L185" s="10">
        <f t="shared" si="68"/>
        <v>4549</v>
      </c>
      <c r="M185" s="10">
        <f t="shared" si="69"/>
        <v>4548</v>
      </c>
      <c r="N185" s="10" t="s">
        <v>419</v>
      </c>
      <c r="O185" s="10" t="s">
        <v>327</v>
      </c>
      <c r="P185" s="10">
        <v>0</v>
      </c>
      <c r="Q185" s="10"/>
      <c r="R185" s="110" t="s">
        <v>1023</v>
      </c>
      <c r="V185" s="35"/>
      <c r="W185" s="35"/>
      <c r="X185" s="35"/>
      <c r="Y185" s="35"/>
      <c r="Z185" s="35"/>
      <c r="AA185" s="35"/>
      <c r="AB185" s="35"/>
    </row>
    <row r="186" spans="2:28" s="14" customFormat="1" x14ac:dyDescent="0.3">
      <c r="B186" s="10" t="s">
        <v>1074</v>
      </c>
      <c r="C186" s="10" t="s">
        <v>321</v>
      </c>
      <c r="D186" s="10">
        <v>2</v>
      </c>
      <c r="E186" s="10">
        <f>D186/2</f>
        <v>1</v>
      </c>
      <c r="F186" s="10">
        <v>0</v>
      </c>
      <c r="G186" s="10">
        <v>38</v>
      </c>
      <c r="H186" s="10">
        <v>1</v>
      </c>
      <c r="I186" s="10">
        <v>1</v>
      </c>
      <c r="J186" s="10" t="s">
        <v>418</v>
      </c>
      <c r="K186" s="10">
        <f t="shared" si="72"/>
        <v>44550</v>
      </c>
      <c r="L186" s="10">
        <f t="shared" si="68"/>
        <v>4550</v>
      </c>
      <c r="M186" s="10">
        <f t="shared" si="69"/>
        <v>4549</v>
      </c>
      <c r="N186" s="10" t="s">
        <v>419</v>
      </c>
      <c r="O186" s="10" t="s">
        <v>327</v>
      </c>
      <c r="P186" s="352">
        <v>38</v>
      </c>
      <c r="Q186" s="10"/>
      <c r="R186" s="111" t="s">
        <v>1025</v>
      </c>
      <c r="V186" s="35"/>
      <c r="W186" s="35"/>
      <c r="X186" s="35"/>
      <c r="Y186" s="35"/>
      <c r="Z186" s="35"/>
      <c r="AA186" s="35"/>
      <c r="AB186" s="35"/>
    </row>
    <row r="187" spans="2:28" s="14" customFormat="1" x14ac:dyDescent="0.3">
      <c r="B187" s="10" t="s">
        <v>1075</v>
      </c>
      <c r="C187" s="10" t="s">
        <v>321</v>
      </c>
      <c r="D187" s="10">
        <v>2</v>
      </c>
      <c r="E187" s="10">
        <f t="shared" ref="E187:E188" si="88">D187/2</f>
        <v>1</v>
      </c>
      <c r="F187" s="10">
        <v>0</v>
      </c>
      <c r="G187" s="10">
        <v>60000</v>
      </c>
      <c r="H187" s="193">
        <v>10</v>
      </c>
      <c r="I187" s="10">
        <v>1</v>
      </c>
      <c r="J187" s="10" t="s">
        <v>418</v>
      </c>
      <c r="K187" s="10">
        <f t="shared" si="72"/>
        <v>44551</v>
      </c>
      <c r="L187" s="10">
        <f t="shared" si="68"/>
        <v>4551</v>
      </c>
      <c r="M187" s="10">
        <f t="shared" si="69"/>
        <v>4550</v>
      </c>
      <c r="N187" s="10" t="s">
        <v>419</v>
      </c>
      <c r="O187" s="10" t="s">
        <v>327</v>
      </c>
      <c r="P187" s="10">
        <v>10</v>
      </c>
      <c r="Q187" s="10" t="s">
        <v>1027</v>
      </c>
      <c r="R187" s="111"/>
      <c r="V187" s="35"/>
      <c r="W187" s="35"/>
      <c r="X187" s="35"/>
      <c r="Y187" s="35"/>
      <c r="Z187" s="35"/>
      <c r="AA187" s="35"/>
      <c r="AB187" s="35"/>
    </row>
    <row r="188" spans="2:28" s="14" customFormat="1" ht="31.2" x14ac:dyDescent="0.3">
      <c r="B188" s="10" t="s">
        <v>1076</v>
      </c>
      <c r="C188" s="10" t="s">
        <v>321</v>
      </c>
      <c r="D188" s="10">
        <v>2</v>
      </c>
      <c r="E188" s="10">
        <f t="shared" si="88"/>
        <v>1</v>
      </c>
      <c r="F188" s="10">
        <v>0</v>
      </c>
      <c r="G188" s="10">
        <v>1</v>
      </c>
      <c r="H188" s="10">
        <v>1</v>
      </c>
      <c r="I188" s="10">
        <v>1</v>
      </c>
      <c r="J188" s="10" t="s">
        <v>418</v>
      </c>
      <c r="K188" s="10">
        <f t="shared" si="72"/>
        <v>44552</v>
      </c>
      <c r="L188" s="10">
        <f t="shared" si="68"/>
        <v>4552</v>
      </c>
      <c r="M188" s="10">
        <f t="shared" si="69"/>
        <v>4551</v>
      </c>
      <c r="N188" s="10" t="s">
        <v>419</v>
      </c>
      <c r="O188" s="10" t="s">
        <v>327</v>
      </c>
      <c r="P188" s="10">
        <v>0</v>
      </c>
      <c r="Q188" s="10"/>
      <c r="R188" s="110" t="s">
        <v>1023</v>
      </c>
      <c r="V188" s="35"/>
      <c r="W188" s="35"/>
      <c r="X188" s="35"/>
      <c r="Y188" s="35"/>
      <c r="Z188" s="35"/>
      <c r="AA188" s="35"/>
      <c r="AB188" s="35"/>
    </row>
    <row r="189" spans="2:28" s="14" customFormat="1" x14ac:dyDescent="0.3">
      <c r="B189" s="10" t="s">
        <v>1077</v>
      </c>
      <c r="C189" s="10" t="s">
        <v>321</v>
      </c>
      <c r="D189" s="10">
        <v>2</v>
      </c>
      <c r="E189" s="10">
        <f>D189/2</f>
        <v>1</v>
      </c>
      <c r="F189" s="10">
        <v>0</v>
      </c>
      <c r="G189" s="10">
        <v>38</v>
      </c>
      <c r="H189" s="10">
        <v>1</v>
      </c>
      <c r="I189" s="10">
        <v>1</v>
      </c>
      <c r="J189" s="10" t="s">
        <v>418</v>
      </c>
      <c r="K189" s="10">
        <f t="shared" si="72"/>
        <v>44553</v>
      </c>
      <c r="L189" s="10">
        <f t="shared" si="68"/>
        <v>4553</v>
      </c>
      <c r="M189" s="10">
        <f t="shared" si="69"/>
        <v>4552</v>
      </c>
      <c r="N189" s="10" t="s">
        <v>419</v>
      </c>
      <c r="O189" s="10" t="s">
        <v>327</v>
      </c>
      <c r="P189" s="352">
        <v>38</v>
      </c>
      <c r="Q189" s="10"/>
      <c r="R189" s="111" t="s">
        <v>1025</v>
      </c>
      <c r="V189" s="35"/>
      <c r="W189" s="35"/>
      <c r="X189" s="35"/>
      <c r="Y189" s="35"/>
      <c r="Z189" s="35"/>
      <c r="AA189" s="35"/>
      <c r="AB189" s="35"/>
    </row>
    <row r="190" spans="2:28" s="14" customFormat="1" x14ac:dyDescent="0.3">
      <c r="B190" s="10" t="s">
        <v>1078</v>
      </c>
      <c r="C190" s="10" t="s">
        <v>321</v>
      </c>
      <c r="D190" s="10">
        <v>2</v>
      </c>
      <c r="E190" s="10">
        <f t="shared" ref="E190:E191" si="89">D190/2</f>
        <v>1</v>
      </c>
      <c r="F190" s="10">
        <v>0</v>
      </c>
      <c r="G190" s="10">
        <v>60000</v>
      </c>
      <c r="H190" s="193">
        <v>10</v>
      </c>
      <c r="I190" s="10">
        <v>1</v>
      </c>
      <c r="J190" s="10" t="s">
        <v>418</v>
      </c>
      <c r="K190" s="10">
        <f t="shared" si="72"/>
        <v>44554</v>
      </c>
      <c r="L190" s="10">
        <f t="shared" si="68"/>
        <v>4554</v>
      </c>
      <c r="M190" s="10">
        <f t="shared" si="69"/>
        <v>4553</v>
      </c>
      <c r="N190" s="10" t="s">
        <v>419</v>
      </c>
      <c r="O190" s="10" t="s">
        <v>327</v>
      </c>
      <c r="P190" s="10">
        <v>10</v>
      </c>
      <c r="Q190" s="10" t="s">
        <v>1027</v>
      </c>
      <c r="R190" s="111"/>
      <c r="V190" s="35"/>
      <c r="W190" s="35"/>
      <c r="X190" s="35"/>
      <c r="Y190" s="35"/>
      <c r="Z190" s="35"/>
      <c r="AA190" s="35"/>
      <c r="AB190" s="35"/>
    </row>
    <row r="191" spans="2:28" s="14" customFormat="1" ht="31.2" x14ac:dyDescent="0.3">
      <c r="B191" s="10" t="s">
        <v>1079</v>
      </c>
      <c r="C191" s="10" t="s">
        <v>321</v>
      </c>
      <c r="D191" s="10">
        <v>2</v>
      </c>
      <c r="E191" s="10">
        <f t="shared" si="89"/>
        <v>1</v>
      </c>
      <c r="F191" s="10">
        <v>0</v>
      </c>
      <c r="G191" s="10">
        <v>1</v>
      </c>
      <c r="H191" s="10">
        <v>1</v>
      </c>
      <c r="I191" s="10">
        <v>1</v>
      </c>
      <c r="J191" s="10" t="s">
        <v>418</v>
      </c>
      <c r="K191" s="10">
        <f t="shared" si="72"/>
        <v>44555</v>
      </c>
      <c r="L191" s="10">
        <f t="shared" si="68"/>
        <v>4555</v>
      </c>
      <c r="M191" s="10">
        <f t="shared" si="69"/>
        <v>4554</v>
      </c>
      <c r="N191" s="10" t="s">
        <v>419</v>
      </c>
      <c r="O191" s="10" t="s">
        <v>327</v>
      </c>
      <c r="P191" s="10">
        <v>0</v>
      </c>
      <c r="Q191" s="10"/>
      <c r="R191" s="110" t="s">
        <v>1023</v>
      </c>
      <c r="V191" s="35"/>
      <c r="W191" s="35"/>
      <c r="X191" s="35"/>
      <c r="Y191" s="35"/>
      <c r="Z191" s="35"/>
      <c r="AA191" s="35"/>
      <c r="AB191" s="35"/>
    </row>
    <row r="192" spans="2:28" s="14" customFormat="1" x14ac:dyDescent="0.3">
      <c r="B192" s="10" t="s">
        <v>1080</v>
      </c>
      <c r="C192" s="10" t="s">
        <v>321</v>
      </c>
      <c r="D192" s="10">
        <v>2</v>
      </c>
      <c r="E192" s="10">
        <f>D192/2</f>
        <v>1</v>
      </c>
      <c r="F192" s="10">
        <v>0</v>
      </c>
      <c r="G192" s="10">
        <v>38</v>
      </c>
      <c r="H192" s="10">
        <v>1</v>
      </c>
      <c r="I192" s="10">
        <v>1</v>
      </c>
      <c r="J192" s="10" t="s">
        <v>418</v>
      </c>
      <c r="K192" s="10">
        <f t="shared" si="72"/>
        <v>44556</v>
      </c>
      <c r="L192" s="10">
        <f t="shared" si="68"/>
        <v>4556</v>
      </c>
      <c r="M192" s="10">
        <f t="shared" si="69"/>
        <v>4555</v>
      </c>
      <c r="N192" s="10" t="s">
        <v>419</v>
      </c>
      <c r="O192" s="10" t="s">
        <v>327</v>
      </c>
      <c r="P192" s="352">
        <v>38</v>
      </c>
      <c r="Q192" s="10"/>
      <c r="R192" s="111" t="s">
        <v>1025</v>
      </c>
      <c r="V192" s="35"/>
      <c r="W192" s="35"/>
      <c r="X192" s="35"/>
      <c r="Y192" s="35"/>
      <c r="Z192" s="35"/>
      <c r="AA192" s="35"/>
      <c r="AB192" s="35"/>
    </row>
    <row r="193" spans="2:28" s="14" customFormat="1" x14ac:dyDescent="0.3">
      <c r="B193" s="10" t="s">
        <v>1081</v>
      </c>
      <c r="C193" s="10" t="s">
        <v>321</v>
      </c>
      <c r="D193" s="10">
        <v>2</v>
      </c>
      <c r="E193" s="10">
        <f t="shared" ref="E193:E194" si="90">D193/2</f>
        <v>1</v>
      </c>
      <c r="F193" s="10">
        <v>0</v>
      </c>
      <c r="G193" s="10">
        <v>60000</v>
      </c>
      <c r="H193" s="193">
        <v>10</v>
      </c>
      <c r="I193" s="10">
        <v>1</v>
      </c>
      <c r="J193" s="10" t="s">
        <v>418</v>
      </c>
      <c r="K193" s="10">
        <f t="shared" si="72"/>
        <v>44557</v>
      </c>
      <c r="L193" s="10">
        <f t="shared" si="68"/>
        <v>4557</v>
      </c>
      <c r="M193" s="10">
        <f t="shared" si="69"/>
        <v>4556</v>
      </c>
      <c r="N193" s="10" t="s">
        <v>419</v>
      </c>
      <c r="O193" s="10" t="s">
        <v>327</v>
      </c>
      <c r="P193" s="10">
        <v>10</v>
      </c>
      <c r="Q193" s="10" t="s">
        <v>1027</v>
      </c>
      <c r="R193" s="111"/>
      <c r="V193" s="35"/>
      <c r="W193" s="35"/>
      <c r="X193" s="35"/>
      <c r="Y193" s="35"/>
      <c r="Z193" s="35"/>
      <c r="AA193" s="35"/>
      <c r="AB193" s="35"/>
    </row>
    <row r="194" spans="2:28" s="14" customFormat="1" ht="31.2" x14ac:dyDescent="0.3">
      <c r="B194" s="10" t="s">
        <v>1082</v>
      </c>
      <c r="C194" s="10" t="s">
        <v>321</v>
      </c>
      <c r="D194" s="10">
        <v>2</v>
      </c>
      <c r="E194" s="10">
        <f t="shared" si="90"/>
        <v>1</v>
      </c>
      <c r="F194" s="10">
        <v>0</v>
      </c>
      <c r="G194" s="10">
        <v>1</v>
      </c>
      <c r="H194" s="10">
        <v>1</v>
      </c>
      <c r="I194" s="10">
        <v>1</v>
      </c>
      <c r="J194" s="10" t="s">
        <v>418</v>
      </c>
      <c r="K194" s="10">
        <f t="shared" si="72"/>
        <v>44558</v>
      </c>
      <c r="L194" s="10">
        <f t="shared" si="68"/>
        <v>4558</v>
      </c>
      <c r="M194" s="10">
        <f t="shared" si="69"/>
        <v>4557</v>
      </c>
      <c r="N194" s="10" t="s">
        <v>419</v>
      </c>
      <c r="O194" s="10" t="s">
        <v>327</v>
      </c>
      <c r="P194" s="10">
        <v>0</v>
      </c>
      <c r="Q194" s="10"/>
      <c r="R194" s="110" t="s">
        <v>1023</v>
      </c>
      <c r="V194" s="35"/>
      <c r="W194" s="35"/>
      <c r="X194" s="35"/>
      <c r="Y194" s="35"/>
      <c r="Z194" s="35"/>
      <c r="AA194" s="35"/>
      <c r="AB194" s="35"/>
    </row>
    <row r="195" spans="2:28" s="14" customFormat="1" x14ac:dyDescent="0.3">
      <c r="B195" s="10" t="s">
        <v>1083</v>
      </c>
      <c r="C195" s="10" t="s">
        <v>321</v>
      </c>
      <c r="D195" s="10">
        <v>2</v>
      </c>
      <c r="E195" s="10">
        <f>D195/2</f>
        <v>1</v>
      </c>
      <c r="F195" s="10">
        <v>0</v>
      </c>
      <c r="G195" s="10">
        <v>38</v>
      </c>
      <c r="H195" s="10">
        <v>1</v>
      </c>
      <c r="I195" s="10">
        <v>1</v>
      </c>
      <c r="J195" s="10" t="s">
        <v>418</v>
      </c>
      <c r="K195" s="10">
        <f t="shared" si="72"/>
        <v>44559</v>
      </c>
      <c r="L195" s="10">
        <f t="shared" si="68"/>
        <v>4559</v>
      </c>
      <c r="M195" s="10">
        <f t="shared" si="69"/>
        <v>4558</v>
      </c>
      <c r="N195" s="10" t="s">
        <v>419</v>
      </c>
      <c r="O195" s="10" t="s">
        <v>327</v>
      </c>
      <c r="P195" s="352">
        <v>38</v>
      </c>
      <c r="Q195" s="10"/>
      <c r="R195" s="111" t="s">
        <v>1025</v>
      </c>
      <c r="V195" s="35"/>
      <c r="W195" s="35"/>
      <c r="X195" s="35"/>
      <c r="Y195" s="35"/>
      <c r="Z195" s="35"/>
      <c r="AA195" s="35"/>
      <c r="AB195" s="35"/>
    </row>
    <row r="196" spans="2:28" s="14" customFormat="1" x14ac:dyDescent="0.3">
      <c r="B196" s="10" t="s">
        <v>1084</v>
      </c>
      <c r="C196" s="10" t="s">
        <v>321</v>
      </c>
      <c r="D196" s="10">
        <v>2</v>
      </c>
      <c r="E196" s="10">
        <f t="shared" ref="E196:E197" si="91">D196/2</f>
        <v>1</v>
      </c>
      <c r="F196" s="10">
        <v>0</v>
      </c>
      <c r="G196" s="10">
        <v>60000</v>
      </c>
      <c r="H196" s="193">
        <v>10</v>
      </c>
      <c r="I196" s="10">
        <v>1</v>
      </c>
      <c r="J196" s="10" t="s">
        <v>418</v>
      </c>
      <c r="K196" s="10">
        <f t="shared" si="72"/>
        <v>44560</v>
      </c>
      <c r="L196" s="10">
        <f t="shared" si="68"/>
        <v>4560</v>
      </c>
      <c r="M196" s="10">
        <f t="shared" si="69"/>
        <v>4559</v>
      </c>
      <c r="N196" s="10" t="s">
        <v>419</v>
      </c>
      <c r="O196" s="10" t="s">
        <v>327</v>
      </c>
      <c r="P196" s="10">
        <v>10</v>
      </c>
      <c r="Q196" s="10" t="s">
        <v>1027</v>
      </c>
      <c r="R196" s="111"/>
      <c r="V196" s="35"/>
      <c r="W196" s="35"/>
      <c r="X196" s="35"/>
      <c r="Y196" s="35"/>
      <c r="Z196" s="35"/>
      <c r="AA196" s="35"/>
      <c r="AB196" s="35"/>
    </row>
    <row r="197" spans="2:28" s="14" customFormat="1" ht="31.2" x14ac:dyDescent="0.3">
      <c r="B197" s="10" t="s">
        <v>1085</v>
      </c>
      <c r="C197" s="10" t="s">
        <v>321</v>
      </c>
      <c r="D197" s="10">
        <v>2</v>
      </c>
      <c r="E197" s="10">
        <f t="shared" si="91"/>
        <v>1</v>
      </c>
      <c r="F197" s="10">
        <v>0</v>
      </c>
      <c r="G197" s="10">
        <v>1</v>
      </c>
      <c r="H197" s="10">
        <v>1</v>
      </c>
      <c r="I197" s="10">
        <v>1</v>
      </c>
      <c r="J197" s="10" t="s">
        <v>418</v>
      </c>
      <c r="K197" s="10">
        <f t="shared" si="72"/>
        <v>44561</v>
      </c>
      <c r="L197" s="10">
        <f t="shared" si="68"/>
        <v>4561</v>
      </c>
      <c r="M197" s="10">
        <f t="shared" si="69"/>
        <v>4560</v>
      </c>
      <c r="N197" s="10" t="s">
        <v>419</v>
      </c>
      <c r="O197" s="10" t="s">
        <v>327</v>
      </c>
      <c r="P197" s="10">
        <v>0</v>
      </c>
      <c r="Q197" s="10"/>
      <c r="R197" s="110" t="s">
        <v>1023</v>
      </c>
      <c r="V197" s="35"/>
      <c r="W197" s="35"/>
      <c r="X197" s="35"/>
      <c r="Y197" s="35"/>
      <c r="Z197" s="35"/>
      <c r="AA197" s="35"/>
      <c r="AB197" s="35"/>
    </row>
    <row r="198" spans="2:28" s="14" customFormat="1" x14ac:dyDescent="0.3">
      <c r="B198" s="10" t="s">
        <v>1086</v>
      </c>
      <c r="C198" s="10" t="s">
        <v>321</v>
      </c>
      <c r="D198" s="10">
        <v>2</v>
      </c>
      <c r="E198" s="10">
        <f>D198/2</f>
        <v>1</v>
      </c>
      <c r="F198" s="10">
        <v>0</v>
      </c>
      <c r="G198" s="10">
        <v>38</v>
      </c>
      <c r="H198" s="10">
        <v>1</v>
      </c>
      <c r="I198" s="10">
        <v>1</v>
      </c>
      <c r="J198" s="10" t="s">
        <v>418</v>
      </c>
      <c r="K198" s="10">
        <f t="shared" si="72"/>
        <v>44562</v>
      </c>
      <c r="L198" s="10">
        <f t="shared" si="68"/>
        <v>4562</v>
      </c>
      <c r="M198" s="10">
        <f t="shared" si="69"/>
        <v>4561</v>
      </c>
      <c r="N198" s="10" t="s">
        <v>419</v>
      </c>
      <c r="O198" s="10" t="s">
        <v>327</v>
      </c>
      <c r="P198" s="352">
        <v>38</v>
      </c>
      <c r="Q198" s="10"/>
      <c r="R198" s="111" t="s">
        <v>1025</v>
      </c>
      <c r="V198" s="35"/>
      <c r="W198" s="35"/>
      <c r="X198" s="35"/>
      <c r="Y198" s="35"/>
      <c r="Z198" s="35"/>
      <c r="AA198" s="35"/>
      <c r="AB198" s="35"/>
    </row>
    <row r="199" spans="2:28" s="14" customFormat="1" x14ac:dyDescent="0.3">
      <c r="B199" s="10" t="s">
        <v>1087</v>
      </c>
      <c r="C199" s="10" t="s">
        <v>321</v>
      </c>
      <c r="D199" s="10">
        <v>2</v>
      </c>
      <c r="E199" s="10">
        <f t="shared" ref="E199:E200" si="92">D199/2</f>
        <v>1</v>
      </c>
      <c r="F199" s="10">
        <v>0</v>
      </c>
      <c r="G199" s="10">
        <v>60000</v>
      </c>
      <c r="H199" s="193">
        <v>10</v>
      </c>
      <c r="I199" s="10">
        <v>1</v>
      </c>
      <c r="J199" s="10" t="s">
        <v>418</v>
      </c>
      <c r="K199" s="10">
        <f t="shared" si="72"/>
        <v>44563</v>
      </c>
      <c r="L199" s="10">
        <f t="shared" si="68"/>
        <v>4563</v>
      </c>
      <c r="M199" s="10">
        <f t="shared" si="69"/>
        <v>4562</v>
      </c>
      <c r="N199" s="10" t="s">
        <v>419</v>
      </c>
      <c r="O199" s="10" t="s">
        <v>327</v>
      </c>
      <c r="P199" s="10">
        <v>10</v>
      </c>
      <c r="Q199" s="10" t="s">
        <v>1027</v>
      </c>
      <c r="R199" s="111"/>
      <c r="V199" s="35"/>
      <c r="W199" s="35"/>
      <c r="X199" s="35"/>
      <c r="Y199" s="35"/>
      <c r="Z199" s="35"/>
      <c r="AA199" s="35"/>
      <c r="AB199" s="35"/>
    </row>
    <row r="200" spans="2:28" s="14" customFormat="1" ht="31.2" x14ac:dyDescent="0.3">
      <c r="B200" s="10" t="s">
        <v>1088</v>
      </c>
      <c r="C200" s="10" t="s">
        <v>321</v>
      </c>
      <c r="D200" s="10">
        <v>2</v>
      </c>
      <c r="E200" s="10">
        <f t="shared" si="92"/>
        <v>1</v>
      </c>
      <c r="F200" s="10">
        <v>0</v>
      </c>
      <c r="G200" s="10">
        <v>1</v>
      </c>
      <c r="H200" s="10">
        <v>1</v>
      </c>
      <c r="I200" s="10">
        <v>1</v>
      </c>
      <c r="J200" s="10" t="s">
        <v>418</v>
      </c>
      <c r="K200" s="10">
        <f t="shared" si="72"/>
        <v>44564</v>
      </c>
      <c r="L200" s="10">
        <f t="shared" si="68"/>
        <v>4564</v>
      </c>
      <c r="M200" s="10">
        <f t="shared" si="69"/>
        <v>4563</v>
      </c>
      <c r="N200" s="10" t="s">
        <v>419</v>
      </c>
      <c r="O200" s="10" t="s">
        <v>327</v>
      </c>
      <c r="P200" s="10">
        <v>0</v>
      </c>
      <c r="Q200" s="10"/>
      <c r="R200" s="110" t="s">
        <v>1023</v>
      </c>
      <c r="V200" s="35"/>
      <c r="W200" s="35"/>
      <c r="X200" s="35"/>
      <c r="Y200" s="35"/>
      <c r="Z200" s="35"/>
      <c r="AA200" s="35"/>
      <c r="AB200" s="35"/>
    </row>
    <row r="201" spans="2:28" s="14" customFormat="1" x14ac:dyDescent="0.3">
      <c r="B201" s="10" t="s">
        <v>1089</v>
      </c>
      <c r="C201" s="10" t="s">
        <v>321</v>
      </c>
      <c r="D201" s="10">
        <v>2</v>
      </c>
      <c r="E201" s="10">
        <f>D201/2</f>
        <v>1</v>
      </c>
      <c r="F201" s="10">
        <v>0</v>
      </c>
      <c r="G201" s="10">
        <v>38</v>
      </c>
      <c r="H201" s="10">
        <v>1</v>
      </c>
      <c r="I201" s="10">
        <v>1</v>
      </c>
      <c r="J201" s="10" t="s">
        <v>418</v>
      </c>
      <c r="K201" s="10">
        <f t="shared" si="72"/>
        <v>44565</v>
      </c>
      <c r="L201" s="10">
        <f t="shared" ref="L201:L232" si="93">K201-40000</f>
        <v>4565</v>
      </c>
      <c r="M201" s="10">
        <f t="shared" ref="M201:M232" si="94">L201-1</f>
        <v>4564</v>
      </c>
      <c r="N201" s="10" t="s">
        <v>419</v>
      </c>
      <c r="O201" s="10" t="s">
        <v>327</v>
      </c>
      <c r="P201" s="352">
        <v>38</v>
      </c>
      <c r="Q201" s="10"/>
      <c r="R201" s="111" t="s">
        <v>1025</v>
      </c>
      <c r="V201" s="35"/>
      <c r="W201" s="35"/>
      <c r="X201" s="35"/>
      <c r="Y201" s="35"/>
      <c r="Z201" s="35"/>
      <c r="AA201" s="35"/>
      <c r="AB201" s="35"/>
    </row>
    <row r="202" spans="2:28" s="14" customFormat="1" x14ac:dyDescent="0.3">
      <c r="B202" s="10" t="s">
        <v>1090</v>
      </c>
      <c r="C202" s="10" t="s">
        <v>321</v>
      </c>
      <c r="D202" s="10">
        <v>2</v>
      </c>
      <c r="E202" s="10">
        <f t="shared" ref="E202:E203" si="95">D202/2</f>
        <v>1</v>
      </c>
      <c r="F202" s="10">
        <v>0</v>
      </c>
      <c r="G202" s="10">
        <v>60000</v>
      </c>
      <c r="H202" s="193">
        <v>10</v>
      </c>
      <c r="I202" s="10">
        <v>1</v>
      </c>
      <c r="J202" s="10" t="s">
        <v>418</v>
      </c>
      <c r="K202" s="10">
        <f t="shared" si="72"/>
        <v>44566</v>
      </c>
      <c r="L202" s="10">
        <f t="shared" si="93"/>
        <v>4566</v>
      </c>
      <c r="M202" s="10">
        <f t="shared" si="94"/>
        <v>4565</v>
      </c>
      <c r="N202" s="10" t="s">
        <v>419</v>
      </c>
      <c r="O202" s="10" t="s">
        <v>327</v>
      </c>
      <c r="P202" s="10">
        <v>10</v>
      </c>
      <c r="Q202" s="10" t="s">
        <v>1027</v>
      </c>
      <c r="R202" s="111"/>
      <c r="V202" s="35"/>
      <c r="W202" s="35"/>
      <c r="X202" s="35"/>
      <c r="Y202" s="35"/>
      <c r="Z202" s="35"/>
      <c r="AA202" s="35"/>
      <c r="AB202" s="35"/>
    </row>
    <row r="203" spans="2:28" s="14" customFormat="1" ht="31.2" x14ac:dyDescent="0.3">
      <c r="B203" s="10" t="s">
        <v>1091</v>
      </c>
      <c r="C203" s="10" t="s">
        <v>321</v>
      </c>
      <c r="D203" s="10">
        <v>2</v>
      </c>
      <c r="E203" s="10">
        <f t="shared" si="95"/>
        <v>1</v>
      </c>
      <c r="F203" s="10">
        <v>0</v>
      </c>
      <c r="G203" s="10">
        <v>1</v>
      </c>
      <c r="H203" s="10">
        <v>1</v>
      </c>
      <c r="I203" s="10">
        <v>1</v>
      </c>
      <c r="J203" s="10" t="s">
        <v>418</v>
      </c>
      <c r="K203" s="10">
        <f t="shared" si="72"/>
        <v>44567</v>
      </c>
      <c r="L203" s="10">
        <f t="shared" si="93"/>
        <v>4567</v>
      </c>
      <c r="M203" s="10">
        <f t="shared" si="94"/>
        <v>4566</v>
      </c>
      <c r="N203" s="10" t="s">
        <v>419</v>
      </c>
      <c r="O203" s="10" t="s">
        <v>327</v>
      </c>
      <c r="P203" s="10">
        <v>0</v>
      </c>
      <c r="Q203" s="10"/>
      <c r="R203" s="110" t="s">
        <v>1023</v>
      </c>
      <c r="V203" s="35"/>
      <c r="W203" s="35"/>
      <c r="X203" s="35"/>
      <c r="Y203" s="35"/>
      <c r="Z203" s="35"/>
      <c r="AA203" s="35"/>
      <c r="AB203" s="35"/>
    </row>
    <row r="204" spans="2:28" s="14" customFormat="1" x14ac:dyDescent="0.3">
      <c r="B204" s="10" t="s">
        <v>1092</v>
      </c>
      <c r="C204" s="10" t="s">
        <v>321</v>
      </c>
      <c r="D204" s="10">
        <v>2</v>
      </c>
      <c r="E204" s="10">
        <f>D204/2</f>
        <v>1</v>
      </c>
      <c r="F204" s="10">
        <v>0</v>
      </c>
      <c r="G204" s="10">
        <v>38</v>
      </c>
      <c r="H204" s="10">
        <v>1</v>
      </c>
      <c r="I204" s="10">
        <v>1</v>
      </c>
      <c r="J204" s="10" t="s">
        <v>418</v>
      </c>
      <c r="K204" s="10">
        <f t="shared" ref="K204:K232" si="96">K203+E203</f>
        <v>44568</v>
      </c>
      <c r="L204" s="10">
        <f t="shared" si="93"/>
        <v>4568</v>
      </c>
      <c r="M204" s="10">
        <f t="shared" si="94"/>
        <v>4567</v>
      </c>
      <c r="N204" s="10" t="s">
        <v>419</v>
      </c>
      <c r="O204" s="10" t="s">
        <v>327</v>
      </c>
      <c r="P204" s="352">
        <v>38</v>
      </c>
      <c r="Q204" s="10"/>
      <c r="R204" s="111" t="s">
        <v>1025</v>
      </c>
      <c r="V204" s="35"/>
      <c r="W204" s="35"/>
      <c r="X204" s="35"/>
      <c r="Y204" s="35"/>
      <c r="Z204" s="35"/>
      <c r="AA204" s="35"/>
      <c r="AB204" s="35"/>
    </row>
    <row r="205" spans="2:28" s="14" customFormat="1" x14ac:dyDescent="0.3">
      <c r="B205" s="10" t="s">
        <v>1093</v>
      </c>
      <c r="C205" s="10" t="s">
        <v>321</v>
      </c>
      <c r="D205" s="10">
        <v>2</v>
      </c>
      <c r="E205" s="10">
        <f t="shared" ref="E205:E206" si="97">D205/2</f>
        <v>1</v>
      </c>
      <c r="F205" s="10">
        <v>0</v>
      </c>
      <c r="G205" s="10">
        <v>60000</v>
      </c>
      <c r="H205" s="193">
        <v>10</v>
      </c>
      <c r="I205" s="10">
        <v>1</v>
      </c>
      <c r="J205" s="10" t="s">
        <v>418</v>
      </c>
      <c r="K205" s="10">
        <f t="shared" si="96"/>
        <v>44569</v>
      </c>
      <c r="L205" s="10">
        <f t="shared" si="93"/>
        <v>4569</v>
      </c>
      <c r="M205" s="10">
        <f t="shared" si="94"/>
        <v>4568</v>
      </c>
      <c r="N205" s="10" t="s">
        <v>419</v>
      </c>
      <c r="O205" s="10" t="s">
        <v>327</v>
      </c>
      <c r="P205" s="10">
        <v>10</v>
      </c>
      <c r="Q205" s="10" t="s">
        <v>1027</v>
      </c>
      <c r="R205" s="111"/>
      <c r="V205" s="35"/>
      <c r="W205" s="35"/>
      <c r="X205" s="35"/>
      <c r="Y205" s="35"/>
      <c r="Z205" s="35"/>
      <c r="AA205" s="35"/>
      <c r="AB205" s="35"/>
    </row>
    <row r="206" spans="2:28" s="14" customFormat="1" ht="31.2" x14ac:dyDescent="0.3">
      <c r="B206" s="10" t="s">
        <v>1094</v>
      </c>
      <c r="C206" s="10" t="s">
        <v>321</v>
      </c>
      <c r="D206" s="10">
        <v>2</v>
      </c>
      <c r="E206" s="10">
        <f t="shared" si="97"/>
        <v>1</v>
      </c>
      <c r="F206" s="10">
        <v>0</v>
      </c>
      <c r="G206" s="10">
        <v>1</v>
      </c>
      <c r="H206" s="10">
        <v>1</v>
      </c>
      <c r="I206" s="10">
        <v>1</v>
      </c>
      <c r="J206" s="10" t="s">
        <v>418</v>
      </c>
      <c r="K206" s="10">
        <f t="shared" si="96"/>
        <v>44570</v>
      </c>
      <c r="L206" s="10">
        <f t="shared" si="93"/>
        <v>4570</v>
      </c>
      <c r="M206" s="10">
        <f t="shared" si="94"/>
        <v>4569</v>
      </c>
      <c r="N206" s="10" t="s">
        <v>419</v>
      </c>
      <c r="O206" s="10" t="s">
        <v>327</v>
      </c>
      <c r="P206" s="10">
        <v>0</v>
      </c>
      <c r="Q206" s="10"/>
      <c r="R206" s="110" t="s">
        <v>1023</v>
      </c>
      <c r="V206" s="35"/>
      <c r="W206" s="35"/>
      <c r="X206" s="35"/>
      <c r="Y206" s="35"/>
      <c r="Z206" s="35"/>
      <c r="AA206" s="35"/>
      <c r="AB206" s="35"/>
    </row>
    <row r="207" spans="2:28" s="14" customFormat="1" x14ac:dyDescent="0.3">
      <c r="B207" s="10" t="s">
        <v>1095</v>
      </c>
      <c r="C207" s="10" t="s">
        <v>321</v>
      </c>
      <c r="D207" s="10">
        <v>2</v>
      </c>
      <c r="E207" s="10">
        <f>D207/2</f>
        <v>1</v>
      </c>
      <c r="F207" s="10">
        <v>0</v>
      </c>
      <c r="G207" s="10">
        <v>38</v>
      </c>
      <c r="H207" s="10">
        <v>1</v>
      </c>
      <c r="I207" s="10">
        <v>1</v>
      </c>
      <c r="J207" s="10" t="s">
        <v>418</v>
      </c>
      <c r="K207" s="10">
        <f t="shared" si="96"/>
        <v>44571</v>
      </c>
      <c r="L207" s="10">
        <f t="shared" si="93"/>
        <v>4571</v>
      </c>
      <c r="M207" s="10">
        <f t="shared" si="94"/>
        <v>4570</v>
      </c>
      <c r="N207" s="10" t="s">
        <v>419</v>
      </c>
      <c r="O207" s="10" t="s">
        <v>327</v>
      </c>
      <c r="P207" s="352">
        <v>38</v>
      </c>
      <c r="Q207" s="10"/>
      <c r="R207" s="111" t="s">
        <v>1025</v>
      </c>
      <c r="V207" s="35"/>
      <c r="W207" s="35"/>
      <c r="X207" s="35"/>
      <c r="Y207" s="35"/>
      <c r="Z207" s="35"/>
      <c r="AA207" s="35"/>
      <c r="AB207" s="35"/>
    </row>
    <row r="208" spans="2:28" s="14" customFormat="1" x14ac:dyDescent="0.3">
      <c r="B208" s="10" t="s">
        <v>1096</v>
      </c>
      <c r="C208" s="10" t="s">
        <v>321</v>
      </c>
      <c r="D208" s="10">
        <v>2</v>
      </c>
      <c r="E208" s="10">
        <f t="shared" ref="E208:E209" si="98">D208/2</f>
        <v>1</v>
      </c>
      <c r="F208" s="10">
        <v>0</v>
      </c>
      <c r="G208" s="10">
        <v>60000</v>
      </c>
      <c r="H208" s="193">
        <v>10</v>
      </c>
      <c r="I208" s="10">
        <v>1</v>
      </c>
      <c r="J208" s="10" t="s">
        <v>418</v>
      </c>
      <c r="K208" s="10">
        <f t="shared" si="96"/>
        <v>44572</v>
      </c>
      <c r="L208" s="10">
        <f t="shared" si="93"/>
        <v>4572</v>
      </c>
      <c r="M208" s="10">
        <f t="shared" si="94"/>
        <v>4571</v>
      </c>
      <c r="N208" s="10" t="s">
        <v>419</v>
      </c>
      <c r="O208" s="10" t="s">
        <v>327</v>
      </c>
      <c r="P208" s="10">
        <v>10</v>
      </c>
      <c r="Q208" s="10" t="s">
        <v>1027</v>
      </c>
      <c r="R208" s="111"/>
      <c r="V208" s="35"/>
      <c r="W208" s="35"/>
      <c r="X208" s="35"/>
      <c r="Y208" s="35"/>
      <c r="Z208" s="35"/>
      <c r="AA208" s="35"/>
      <c r="AB208" s="35"/>
    </row>
    <row r="209" spans="2:28" s="26" customFormat="1" ht="31.2" x14ac:dyDescent="0.3">
      <c r="B209" s="10" t="s">
        <v>1097</v>
      </c>
      <c r="C209" s="10" t="s">
        <v>321</v>
      </c>
      <c r="D209" s="10">
        <v>2</v>
      </c>
      <c r="E209" s="10">
        <f t="shared" si="98"/>
        <v>1</v>
      </c>
      <c r="F209" s="10">
        <v>0</v>
      </c>
      <c r="G209" s="10">
        <v>1</v>
      </c>
      <c r="H209" s="10">
        <v>1</v>
      </c>
      <c r="I209" s="10">
        <v>1</v>
      </c>
      <c r="J209" s="10" t="s">
        <v>418</v>
      </c>
      <c r="K209" s="10">
        <f t="shared" si="96"/>
        <v>44573</v>
      </c>
      <c r="L209" s="10">
        <f t="shared" si="93"/>
        <v>4573</v>
      </c>
      <c r="M209" s="10">
        <f t="shared" si="94"/>
        <v>4572</v>
      </c>
      <c r="N209" s="10" t="s">
        <v>419</v>
      </c>
      <c r="O209" s="10" t="s">
        <v>327</v>
      </c>
      <c r="P209" s="10">
        <v>0</v>
      </c>
      <c r="Q209" s="10"/>
      <c r="R209" s="110" t="s">
        <v>1023</v>
      </c>
      <c r="S209" s="29"/>
      <c r="T209" s="56"/>
      <c r="U209" s="56"/>
      <c r="V209" s="16"/>
      <c r="W209" s="16"/>
      <c r="X209" s="16"/>
      <c r="Y209" s="16"/>
      <c r="Z209" s="56"/>
      <c r="AA209" s="56"/>
      <c r="AB209" s="56"/>
    </row>
    <row r="210" spans="2:28" s="26" customFormat="1" x14ac:dyDescent="0.3">
      <c r="B210" s="10" t="s">
        <v>1098</v>
      </c>
      <c r="C210" s="10" t="s">
        <v>321</v>
      </c>
      <c r="D210" s="10">
        <v>2</v>
      </c>
      <c r="E210" s="10">
        <f>D210/2</f>
        <v>1</v>
      </c>
      <c r="F210" s="10">
        <v>0</v>
      </c>
      <c r="G210" s="10">
        <v>38</v>
      </c>
      <c r="H210" s="10">
        <v>1</v>
      </c>
      <c r="I210" s="10">
        <v>1</v>
      </c>
      <c r="J210" s="10" t="s">
        <v>418</v>
      </c>
      <c r="K210" s="10">
        <f t="shared" si="96"/>
        <v>44574</v>
      </c>
      <c r="L210" s="10">
        <f t="shared" si="93"/>
        <v>4574</v>
      </c>
      <c r="M210" s="10">
        <f t="shared" si="94"/>
        <v>4573</v>
      </c>
      <c r="N210" s="10" t="s">
        <v>419</v>
      </c>
      <c r="O210" s="10" t="s">
        <v>327</v>
      </c>
      <c r="P210" s="352">
        <v>38</v>
      </c>
      <c r="Q210" s="10"/>
      <c r="R210" s="111" t="s">
        <v>1025</v>
      </c>
      <c r="S210" s="29"/>
      <c r="T210" s="56"/>
      <c r="U210" s="56"/>
      <c r="V210" s="16"/>
      <c r="W210" s="16"/>
      <c r="X210" s="16"/>
      <c r="Y210" s="16"/>
      <c r="Z210" s="56"/>
      <c r="AA210" s="56"/>
      <c r="AB210" s="56"/>
    </row>
    <row r="211" spans="2:28" s="32" customFormat="1" x14ac:dyDescent="0.3">
      <c r="B211" s="10" t="s">
        <v>1099</v>
      </c>
      <c r="C211" s="10" t="s">
        <v>321</v>
      </c>
      <c r="D211" s="10">
        <v>2</v>
      </c>
      <c r="E211" s="10">
        <f t="shared" ref="E211:E212" si="99">D211/2</f>
        <v>1</v>
      </c>
      <c r="F211" s="10">
        <v>0</v>
      </c>
      <c r="G211" s="10">
        <v>60000</v>
      </c>
      <c r="H211" s="193">
        <v>10</v>
      </c>
      <c r="I211" s="10">
        <v>1</v>
      </c>
      <c r="J211" s="10" t="s">
        <v>418</v>
      </c>
      <c r="K211" s="10">
        <f t="shared" si="96"/>
        <v>44575</v>
      </c>
      <c r="L211" s="10">
        <f t="shared" si="93"/>
        <v>4575</v>
      </c>
      <c r="M211" s="10">
        <f t="shared" si="94"/>
        <v>4574</v>
      </c>
      <c r="N211" s="10" t="s">
        <v>419</v>
      </c>
      <c r="O211" s="10" t="s">
        <v>327</v>
      </c>
      <c r="P211" s="10">
        <v>10</v>
      </c>
      <c r="Q211" s="10" t="s">
        <v>1027</v>
      </c>
      <c r="R211" s="111"/>
    </row>
    <row r="212" spans="2:28" s="32" customFormat="1" ht="31.2" x14ac:dyDescent="0.3">
      <c r="B212" s="10" t="s">
        <v>1100</v>
      </c>
      <c r="C212" s="10" t="s">
        <v>321</v>
      </c>
      <c r="D212" s="10">
        <v>2</v>
      </c>
      <c r="E212" s="10">
        <f t="shared" si="99"/>
        <v>1</v>
      </c>
      <c r="F212" s="10">
        <v>0</v>
      </c>
      <c r="G212" s="10">
        <v>1</v>
      </c>
      <c r="H212" s="10">
        <v>1</v>
      </c>
      <c r="I212" s="10">
        <v>1</v>
      </c>
      <c r="J212" s="10" t="s">
        <v>418</v>
      </c>
      <c r="K212" s="10">
        <f t="shared" si="96"/>
        <v>44576</v>
      </c>
      <c r="L212" s="10">
        <f t="shared" si="93"/>
        <v>4576</v>
      </c>
      <c r="M212" s="10">
        <f t="shared" si="94"/>
        <v>4575</v>
      </c>
      <c r="N212" s="10" t="s">
        <v>419</v>
      </c>
      <c r="O212" s="10" t="s">
        <v>327</v>
      </c>
      <c r="P212" s="10">
        <v>0</v>
      </c>
      <c r="Q212" s="10"/>
      <c r="R212" s="110" t="s">
        <v>1023</v>
      </c>
    </row>
    <row r="213" spans="2:28" s="26" customFormat="1" x14ac:dyDescent="0.3">
      <c r="B213" s="10" t="s">
        <v>1101</v>
      </c>
      <c r="C213" s="10" t="s">
        <v>321</v>
      </c>
      <c r="D213" s="10">
        <v>2</v>
      </c>
      <c r="E213" s="10">
        <f>D213/2</f>
        <v>1</v>
      </c>
      <c r="F213" s="10">
        <v>0</v>
      </c>
      <c r="G213" s="10">
        <v>38</v>
      </c>
      <c r="H213" s="10">
        <v>1</v>
      </c>
      <c r="I213" s="10">
        <v>1</v>
      </c>
      <c r="J213" s="10" t="s">
        <v>418</v>
      </c>
      <c r="K213" s="10">
        <f t="shared" si="96"/>
        <v>44577</v>
      </c>
      <c r="L213" s="10">
        <f t="shared" si="93"/>
        <v>4577</v>
      </c>
      <c r="M213" s="10">
        <f t="shared" si="94"/>
        <v>4576</v>
      </c>
      <c r="N213" s="10" t="s">
        <v>419</v>
      </c>
      <c r="O213" s="10" t="s">
        <v>327</v>
      </c>
      <c r="P213" s="352">
        <v>38</v>
      </c>
      <c r="Q213" s="10"/>
      <c r="R213" s="111" t="s">
        <v>1025</v>
      </c>
      <c r="S213" s="29"/>
      <c r="T213" s="56"/>
      <c r="U213" s="56"/>
      <c r="V213" s="16"/>
      <c r="W213" s="16"/>
      <c r="X213" s="16"/>
      <c r="Y213" s="16"/>
      <c r="Z213" s="56"/>
      <c r="AA213" s="56"/>
      <c r="AB213" s="56"/>
    </row>
    <row r="214" spans="2:28" s="26" customFormat="1" x14ac:dyDescent="0.3">
      <c r="B214" s="10" t="s">
        <v>1102</v>
      </c>
      <c r="C214" s="10" t="s">
        <v>321</v>
      </c>
      <c r="D214" s="10">
        <v>2</v>
      </c>
      <c r="E214" s="10">
        <f t="shared" ref="E214:E215" si="100">D214/2</f>
        <v>1</v>
      </c>
      <c r="F214" s="10">
        <v>0</v>
      </c>
      <c r="G214" s="10">
        <v>60000</v>
      </c>
      <c r="H214" s="193">
        <v>10</v>
      </c>
      <c r="I214" s="10">
        <v>1</v>
      </c>
      <c r="J214" s="10" t="s">
        <v>418</v>
      </c>
      <c r="K214" s="10">
        <f t="shared" si="96"/>
        <v>44578</v>
      </c>
      <c r="L214" s="10">
        <f t="shared" si="93"/>
        <v>4578</v>
      </c>
      <c r="M214" s="10">
        <f t="shared" si="94"/>
        <v>4577</v>
      </c>
      <c r="N214" s="10" t="s">
        <v>419</v>
      </c>
      <c r="O214" s="10" t="s">
        <v>327</v>
      </c>
      <c r="P214" s="10">
        <v>10</v>
      </c>
      <c r="Q214" s="10" t="s">
        <v>1027</v>
      </c>
      <c r="R214" s="111"/>
      <c r="S214" s="29"/>
      <c r="T214" s="56"/>
      <c r="U214" s="56"/>
      <c r="V214" s="16"/>
      <c r="W214" s="16"/>
      <c r="X214" s="16"/>
      <c r="Y214" s="16"/>
      <c r="Z214" s="56"/>
      <c r="AA214" s="56"/>
      <c r="AB214" s="56"/>
    </row>
    <row r="215" spans="2:28" s="32" customFormat="1" ht="31.2" x14ac:dyDescent="0.3">
      <c r="B215" s="10" t="s">
        <v>1103</v>
      </c>
      <c r="C215" s="10" t="s">
        <v>321</v>
      </c>
      <c r="D215" s="10">
        <v>2</v>
      </c>
      <c r="E215" s="10">
        <f t="shared" si="100"/>
        <v>1</v>
      </c>
      <c r="F215" s="10">
        <v>0</v>
      </c>
      <c r="G215" s="10">
        <v>1</v>
      </c>
      <c r="H215" s="10">
        <v>1</v>
      </c>
      <c r="I215" s="10">
        <v>1</v>
      </c>
      <c r="J215" s="10" t="s">
        <v>418</v>
      </c>
      <c r="K215" s="10">
        <f t="shared" si="96"/>
        <v>44579</v>
      </c>
      <c r="L215" s="10">
        <f t="shared" si="93"/>
        <v>4579</v>
      </c>
      <c r="M215" s="10">
        <f t="shared" si="94"/>
        <v>4578</v>
      </c>
      <c r="N215" s="10" t="s">
        <v>419</v>
      </c>
      <c r="O215" s="10" t="s">
        <v>327</v>
      </c>
      <c r="P215" s="10">
        <v>0</v>
      </c>
      <c r="Q215" s="10"/>
      <c r="R215" s="110" t="s">
        <v>1023</v>
      </c>
    </row>
    <row r="216" spans="2:28" s="32" customFormat="1" x14ac:dyDescent="0.3">
      <c r="B216" s="10" t="s">
        <v>1104</v>
      </c>
      <c r="C216" s="10" t="s">
        <v>321</v>
      </c>
      <c r="D216" s="10">
        <v>2</v>
      </c>
      <c r="E216" s="10">
        <f>D216/2</f>
        <v>1</v>
      </c>
      <c r="F216" s="10">
        <v>0</v>
      </c>
      <c r="G216" s="10">
        <v>38</v>
      </c>
      <c r="H216" s="10">
        <v>1</v>
      </c>
      <c r="I216" s="10">
        <v>1</v>
      </c>
      <c r="J216" s="10" t="s">
        <v>418</v>
      </c>
      <c r="K216" s="10">
        <f t="shared" si="96"/>
        <v>44580</v>
      </c>
      <c r="L216" s="10">
        <f t="shared" si="93"/>
        <v>4580</v>
      </c>
      <c r="M216" s="10">
        <f t="shared" si="94"/>
        <v>4579</v>
      </c>
      <c r="N216" s="10" t="s">
        <v>419</v>
      </c>
      <c r="O216" s="10" t="s">
        <v>327</v>
      </c>
      <c r="P216" s="352">
        <v>38</v>
      </c>
      <c r="Q216" s="10"/>
      <c r="R216" s="111" t="s">
        <v>1025</v>
      </c>
    </row>
    <row r="217" spans="2:28" s="14" customFormat="1" x14ac:dyDescent="0.3">
      <c r="B217" s="10" t="s">
        <v>1105</v>
      </c>
      <c r="C217" s="10" t="s">
        <v>321</v>
      </c>
      <c r="D217" s="10">
        <v>2</v>
      </c>
      <c r="E217" s="10">
        <f t="shared" ref="E217:E218" si="101">D217/2</f>
        <v>1</v>
      </c>
      <c r="F217" s="10">
        <v>0</v>
      </c>
      <c r="G217" s="10">
        <v>60000</v>
      </c>
      <c r="H217" s="193">
        <v>10</v>
      </c>
      <c r="I217" s="10">
        <v>1</v>
      </c>
      <c r="J217" s="10" t="s">
        <v>418</v>
      </c>
      <c r="K217" s="10">
        <f t="shared" si="96"/>
        <v>44581</v>
      </c>
      <c r="L217" s="10">
        <f t="shared" si="93"/>
        <v>4581</v>
      </c>
      <c r="M217" s="10">
        <f t="shared" si="94"/>
        <v>4580</v>
      </c>
      <c r="N217" s="10" t="s">
        <v>419</v>
      </c>
      <c r="O217" s="10" t="s">
        <v>327</v>
      </c>
      <c r="P217" s="10">
        <v>10</v>
      </c>
      <c r="Q217" s="10" t="s">
        <v>1027</v>
      </c>
      <c r="R217" s="111"/>
      <c r="V217" s="35"/>
      <c r="W217" s="35"/>
      <c r="X217" s="35"/>
      <c r="Y217" s="35"/>
      <c r="Z217" s="35"/>
      <c r="AA217" s="35"/>
      <c r="AB217" s="35"/>
    </row>
    <row r="218" spans="2:28" s="14" customFormat="1" ht="31.2" x14ac:dyDescent="0.3">
      <c r="B218" s="10" t="s">
        <v>1106</v>
      </c>
      <c r="C218" s="10" t="s">
        <v>321</v>
      </c>
      <c r="D218" s="10">
        <v>2</v>
      </c>
      <c r="E218" s="10">
        <f t="shared" si="101"/>
        <v>1</v>
      </c>
      <c r="F218" s="10">
        <v>0</v>
      </c>
      <c r="G218" s="10">
        <v>1</v>
      </c>
      <c r="H218" s="10">
        <v>1</v>
      </c>
      <c r="I218" s="10">
        <v>1</v>
      </c>
      <c r="J218" s="10" t="s">
        <v>418</v>
      </c>
      <c r="K218" s="10">
        <f t="shared" si="96"/>
        <v>44582</v>
      </c>
      <c r="L218" s="10">
        <f t="shared" si="93"/>
        <v>4582</v>
      </c>
      <c r="M218" s="10">
        <f t="shared" si="94"/>
        <v>4581</v>
      </c>
      <c r="N218" s="10" t="s">
        <v>419</v>
      </c>
      <c r="O218" s="10" t="s">
        <v>327</v>
      </c>
      <c r="P218" s="10">
        <v>0</v>
      </c>
      <c r="Q218" s="10"/>
      <c r="R218" s="110" t="s">
        <v>1023</v>
      </c>
      <c r="V218" s="35"/>
      <c r="W218" s="35"/>
      <c r="X218" s="35"/>
      <c r="Y218" s="35"/>
      <c r="Z218" s="35"/>
      <c r="AA218" s="35"/>
      <c r="AB218" s="35"/>
    </row>
    <row r="219" spans="2:28" s="14" customFormat="1" x14ac:dyDescent="0.3">
      <c r="B219" s="10" t="s">
        <v>1107</v>
      </c>
      <c r="C219" s="10" t="s">
        <v>321</v>
      </c>
      <c r="D219" s="10">
        <v>2</v>
      </c>
      <c r="E219" s="10">
        <f>D219/2</f>
        <v>1</v>
      </c>
      <c r="F219" s="10">
        <v>0</v>
      </c>
      <c r="G219" s="10">
        <v>38</v>
      </c>
      <c r="H219" s="10">
        <v>1</v>
      </c>
      <c r="I219" s="10">
        <v>1</v>
      </c>
      <c r="J219" s="10" t="s">
        <v>418</v>
      </c>
      <c r="K219" s="10">
        <f t="shared" si="96"/>
        <v>44583</v>
      </c>
      <c r="L219" s="10">
        <f t="shared" si="93"/>
        <v>4583</v>
      </c>
      <c r="M219" s="10">
        <f t="shared" si="94"/>
        <v>4582</v>
      </c>
      <c r="N219" s="10" t="s">
        <v>419</v>
      </c>
      <c r="O219" s="10" t="s">
        <v>327</v>
      </c>
      <c r="P219" s="352">
        <v>38</v>
      </c>
      <c r="Q219" s="10"/>
      <c r="R219" s="111" t="s">
        <v>1025</v>
      </c>
      <c r="V219" s="35"/>
      <c r="W219" s="35"/>
      <c r="X219" s="35"/>
      <c r="Y219" s="35"/>
      <c r="Z219" s="35"/>
      <c r="AA219" s="35"/>
      <c r="AB219" s="35"/>
    </row>
    <row r="220" spans="2:28" s="14" customFormat="1" x14ac:dyDescent="0.3">
      <c r="B220" s="10" t="s">
        <v>1108</v>
      </c>
      <c r="C220" s="10" t="s">
        <v>321</v>
      </c>
      <c r="D220" s="10">
        <v>2</v>
      </c>
      <c r="E220" s="10">
        <f t="shared" ref="E220:E221" si="102">D220/2</f>
        <v>1</v>
      </c>
      <c r="F220" s="10">
        <v>0</v>
      </c>
      <c r="G220" s="10">
        <v>60000</v>
      </c>
      <c r="H220" s="193">
        <v>10</v>
      </c>
      <c r="I220" s="10">
        <v>1</v>
      </c>
      <c r="J220" s="10" t="s">
        <v>418</v>
      </c>
      <c r="K220" s="10">
        <f t="shared" si="96"/>
        <v>44584</v>
      </c>
      <c r="L220" s="10">
        <f t="shared" si="93"/>
        <v>4584</v>
      </c>
      <c r="M220" s="10">
        <f t="shared" si="94"/>
        <v>4583</v>
      </c>
      <c r="N220" s="10" t="s">
        <v>419</v>
      </c>
      <c r="O220" s="10" t="s">
        <v>327</v>
      </c>
      <c r="P220" s="10">
        <v>10</v>
      </c>
      <c r="Q220" s="10" t="s">
        <v>1027</v>
      </c>
      <c r="R220" s="111"/>
      <c r="V220" s="35"/>
      <c r="W220" s="35"/>
      <c r="X220" s="35"/>
      <c r="Y220" s="35"/>
      <c r="Z220" s="35"/>
      <c r="AA220" s="35"/>
      <c r="AB220" s="35"/>
    </row>
    <row r="221" spans="2:28" s="14" customFormat="1" ht="31.2" x14ac:dyDescent="0.3">
      <c r="B221" s="10" t="s">
        <v>1109</v>
      </c>
      <c r="C221" s="10" t="s">
        <v>321</v>
      </c>
      <c r="D221" s="10">
        <v>2</v>
      </c>
      <c r="E221" s="10">
        <f t="shared" si="102"/>
        <v>1</v>
      </c>
      <c r="F221" s="10">
        <v>0</v>
      </c>
      <c r="G221" s="10">
        <v>1</v>
      </c>
      <c r="H221" s="10">
        <v>1</v>
      </c>
      <c r="I221" s="10">
        <v>1</v>
      </c>
      <c r="J221" s="10" t="s">
        <v>418</v>
      </c>
      <c r="K221" s="10">
        <f t="shared" si="96"/>
        <v>44585</v>
      </c>
      <c r="L221" s="10">
        <f t="shared" si="93"/>
        <v>4585</v>
      </c>
      <c r="M221" s="10">
        <f t="shared" si="94"/>
        <v>4584</v>
      </c>
      <c r="N221" s="10" t="s">
        <v>419</v>
      </c>
      <c r="O221" s="10" t="s">
        <v>327</v>
      </c>
      <c r="P221" s="10">
        <v>0</v>
      </c>
      <c r="Q221" s="10"/>
      <c r="R221" s="110" t="s">
        <v>1023</v>
      </c>
      <c r="V221" s="35"/>
      <c r="W221" s="35"/>
      <c r="X221" s="35"/>
      <c r="Y221" s="35"/>
      <c r="Z221" s="35"/>
      <c r="AA221" s="35"/>
      <c r="AB221" s="35"/>
    </row>
    <row r="222" spans="2:28" s="14" customFormat="1" x14ac:dyDescent="0.3">
      <c r="B222" s="10" t="s">
        <v>1110</v>
      </c>
      <c r="C222" s="10" t="s">
        <v>321</v>
      </c>
      <c r="D222" s="10">
        <v>2</v>
      </c>
      <c r="E222" s="10">
        <f>D222/2</f>
        <v>1</v>
      </c>
      <c r="F222" s="10">
        <v>0</v>
      </c>
      <c r="G222" s="10">
        <v>38</v>
      </c>
      <c r="H222" s="10">
        <v>1</v>
      </c>
      <c r="I222" s="10">
        <v>1</v>
      </c>
      <c r="J222" s="10" t="s">
        <v>418</v>
      </c>
      <c r="K222" s="10">
        <f t="shared" si="96"/>
        <v>44586</v>
      </c>
      <c r="L222" s="10">
        <f t="shared" si="93"/>
        <v>4586</v>
      </c>
      <c r="M222" s="10">
        <f t="shared" si="94"/>
        <v>4585</v>
      </c>
      <c r="N222" s="10" t="s">
        <v>419</v>
      </c>
      <c r="O222" s="10" t="s">
        <v>327</v>
      </c>
      <c r="P222" s="352">
        <v>38</v>
      </c>
      <c r="Q222" s="10"/>
      <c r="R222" s="111" t="s">
        <v>1025</v>
      </c>
      <c r="V222" s="35"/>
      <c r="W222" s="35"/>
      <c r="X222" s="35"/>
      <c r="Y222" s="35"/>
      <c r="Z222" s="35"/>
      <c r="AA222" s="35"/>
      <c r="AB222" s="35"/>
    </row>
    <row r="223" spans="2:28" s="14" customFormat="1" x14ac:dyDescent="0.3">
      <c r="B223" s="10" t="s">
        <v>1111</v>
      </c>
      <c r="C223" s="10" t="s">
        <v>321</v>
      </c>
      <c r="D223" s="10">
        <v>2</v>
      </c>
      <c r="E223" s="10">
        <f t="shared" ref="E223:E224" si="103">D223/2</f>
        <v>1</v>
      </c>
      <c r="F223" s="10">
        <v>0</v>
      </c>
      <c r="G223" s="10">
        <v>60000</v>
      </c>
      <c r="H223" s="193">
        <v>10</v>
      </c>
      <c r="I223" s="10">
        <v>1</v>
      </c>
      <c r="J223" s="10" t="s">
        <v>418</v>
      </c>
      <c r="K223" s="10">
        <f t="shared" si="96"/>
        <v>44587</v>
      </c>
      <c r="L223" s="10">
        <f t="shared" si="93"/>
        <v>4587</v>
      </c>
      <c r="M223" s="10">
        <f t="shared" si="94"/>
        <v>4586</v>
      </c>
      <c r="N223" s="10" t="s">
        <v>419</v>
      </c>
      <c r="O223" s="10" t="s">
        <v>327</v>
      </c>
      <c r="P223" s="10">
        <v>10</v>
      </c>
      <c r="Q223" s="10" t="s">
        <v>1027</v>
      </c>
      <c r="R223" s="111"/>
      <c r="V223" s="35"/>
      <c r="W223" s="35"/>
      <c r="X223" s="35"/>
      <c r="Y223" s="35"/>
      <c r="Z223" s="35"/>
      <c r="AA223" s="35"/>
      <c r="AB223" s="35"/>
    </row>
    <row r="224" spans="2:28" s="14" customFormat="1" ht="31.2" x14ac:dyDescent="0.3">
      <c r="B224" s="10" t="s">
        <v>1112</v>
      </c>
      <c r="C224" s="10" t="s">
        <v>321</v>
      </c>
      <c r="D224" s="10">
        <v>2</v>
      </c>
      <c r="E224" s="10">
        <f t="shared" si="103"/>
        <v>1</v>
      </c>
      <c r="F224" s="10">
        <v>0</v>
      </c>
      <c r="G224" s="10">
        <v>1</v>
      </c>
      <c r="H224" s="10">
        <v>1</v>
      </c>
      <c r="I224" s="10">
        <v>1</v>
      </c>
      <c r="J224" s="10" t="s">
        <v>418</v>
      </c>
      <c r="K224" s="10">
        <f t="shared" si="96"/>
        <v>44588</v>
      </c>
      <c r="L224" s="10">
        <f t="shared" si="93"/>
        <v>4588</v>
      </c>
      <c r="M224" s="10">
        <f t="shared" si="94"/>
        <v>4587</v>
      </c>
      <c r="N224" s="10" t="s">
        <v>419</v>
      </c>
      <c r="O224" s="10" t="s">
        <v>327</v>
      </c>
      <c r="P224" s="10">
        <v>0</v>
      </c>
      <c r="Q224" s="10"/>
      <c r="R224" s="110" t="s">
        <v>1023</v>
      </c>
      <c r="V224" s="35"/>
      <c r="W224" s="35"/>
      <c r="X224" s="35"/>
      <c r="Y224" s="35"/>
      <c r="Z224" s="35"/>
      <c r="AA224" s="35"/>
      <c r="AB224" s="35"/>
    </row>
    <row r="225" spans="2:28" s="14" customFormat="1" x14ac:dyDescent="0.3">
      <c r="B225" s="10" t="s">
        <v>1113</v>
      </c>
      <c r="C225" s="10" t="s">
        <v>321</v>
      </c>
      <c r="D225" s="10">
        <v>2</v>
      </c>
      <c r="E225" s="10">
        <f>D225/2</f>
        <v>1</v>
      </c>
      <c r="F225" s="10">
        <v>0</v>
      </c>
      <c r="G225" s="10">
        <v>38</v>
      </c>
      <c r="H225" s="10">
        <v>1</v>
      </c>
      <c r="I225" s="10">
        <v>1</v>
      </c>
      <c r="J225" s="10" t="s">
        <v>418</v>
      </c>
      <c r="K225" s="10">
        <f t="shared" si="96"/>
        <v>44589</v>
      </c>
      <c r="L225" s="10">
        <f t="shared" si="93"/>
        <v>4589</v>
      </c>
      <c r="M225" s="10">
        <f t="shared" si="94"/>
        <v>4588</v>
      </c>
      <c r="N225" s="10" t="s">
        <v>419</v>
      </c>
      <c r="O225" s="10" t="s">
        <v>327</v>
      </c>
      <c r="P225" s="352">
        <v>38</v>
      </c>
      <c r="Q225" s="10"/>
      <c r="R225" s="111" t="s">
        <v>1025</v>
      </c>
      <c r="V225" s="35"/>
      <c r="W225" s="35"/>
      <c r="X225" s="35"/>
      <c r="Y225" s="35"/>
      <c r="Z225" s="35"/>
      <c r="AA225" s="35"/>
      <c r="AB225" s="35"/>
    </row>
    <row r="226" spans="2:28" s="14" customFormat="1" x14ac:dyDescent="0.3">
      <c r="B226" s="10" t="s">
        <v>1114</v>
      </c>
      <c r="C226" s="10" t="s">
        <v>321</v>
      </c>
      <c r="D226" s="10">
        <v>2</v>
      </c>
      <c r="E226" s="10">
        <f t="shared" ref="E226:E227" si="104">D226/2</f>
        <v>1</v>
      </c>
      <c r="F226" s="10">
        <v>0</v>
      </c>
      <c r="G226" s="10">
        <v>60000</v>
      </c>
      <c r="H226" s="193">
        <v>10</v>
      </c>
      <c r="I226" s="10">
        <v>1</v>
      </c>
      <c r="J226" s="10" t="s">
        <v>418</v>
      </c>
      <c r="K226" s="10">
        <f t="shared" si="96"/>
        <v>44590</v>
      </c>
      <c r="L226" s="10">
        <f t="shared" si="93"/>
        <v>4590</v>
      </c>
      <c r="M226" s="10">
        <f t="shared" si="94"/>
        <v>4589</v>
      </c>
      <c r="N226" s="10" t="s">
        <v>419</v>
      </c>
      <c r="O226" s="10" t="s">
        <v>327</v>
      </c>
      <c r="P226" s="10">
        <v>10</v>
      </c>
      <c r="Q226" s="10" t="s">
        <v>1027</v>
      </c>
      <c r="R226" s="111"/>
      <c r="V226" s="35"/>
      <c r="W226" s="35"/>
      <c r="X226" s="35"/>
      <c r="Y226" s="35"/>
      <c r="Z226" s="35"/>
      <c r="AA226" s="35"/>
      <c r="AB226" s="35"/>
    </row>
    <row r="227" spans="2:28" s="14" customFormat="1" ht="31.2" x14ac:dyDescent="0.3">
      <c r="B227" s="10" t="s">
        <v>1115</v>
      </c>
      <c r="C227" s="10" t="s">
        <v>321</v>
      </c>
      <c r="D227" s="10">
        <v>2</v>
      </c>
      <c r="E227" s="10">
        <f t="shared" si="104"/>
        <v>1</v>
      </c>
      <c r="F227" s="10">
        <v>0</v>
      </c>
      <c r="G227" s="10">
        <v>1</v>
      </c>
      <c r="H227" s="10">
        <v>1</v>
      </c>
      <c r="I227" s="10">
        <v>1</v>
      </c>
      <c r="J227" s="10" t="s">
        <v>418</v>
      </c>
      <c r="K227" s="10">
        <f t="shared" si="96"/>
        <v>44591</v>
      </c>
      <c r="L227" s="10">
        <f t="shared" si="93"/>
        <v>4591</v>
      </c>
      <c r="M227" s="10">
        <f t="shared" si="94"/>
        <v>4590</v>
      </c>
      <c r="N227" s="10" t="s">
        <v>419</v>
      </c>
      <c r="O227" s="10" t="s">
        <v>327</v>
      </c>
      <c r="P227" s="10">
        <v>0</v>
      </c>
      <c r="Q227" s="10"/>
      <c r="R227" s="110" t="s">
        <v>1023</v>
      </c>
      <c r="V227" s="35"/>
      <c r="W227" s="35"/>
      <c r="X227" s="35"/>
      <c r="Y227" s="35"/>
      <c r="Z227" s="35"/>
      <c r="AA227" s="35"/>
      <c r="AB227" s="35"/>
    </row>
    <row r="228" spans="2:28" s="14" customFormat="1" x14ac:dyDescent="0.3">
      <c r="B228" s="10" t="s">
        <v>1116</v>
      </c>
      <c r="C228" s="10" t="s">
        <v>321</v>
      </c>
      <c r="D228" s="10">
        <v>2</v>
      </c>
      <c r="E228" s="10">
        <f>D228/2</f>
        <v>1</v>
      </c>
      <c r="F228" s="10">
        <v>0</v>
      </c>
      <c r="G228" s="10">
        <v>38</v>
      </c>
      <c r="H228" s="10">
        <v>1</v>
      </c>
      <c r="I228" s="10">
        <v>1</v>
      </c>
      <c r="J228" s="10" t="s">
        <v>418</v>
      </c>
      <c r="K228" s="10">
        <f t="shared" si="96"/>
        <v>44592</v>
      </c>
      <c r="L228" s="10">
        <f t="shared" si="93"/>
        <v>4592</v>
      </c>
      <c r="M228" s="10">
        <f t="shared" si="94"/>
        <v>4591</v>
      </c>
      <c r="N228" s="10" t="s">
        <v>419</v>
      </c>
      <c r="O228" s="10" t="s">
        <v>327</v>
      </c>
      <c r="P228" s="352">
        <v>38</v>
      </c>
      <c r="Q228" s="10"/>
      <c r="R228" s="111" t="s">
        <v>1025</v>
      </c>
      <c r="V228" s="35"/>
      <c r="W228" s="35"/>
      <c r="X228" s="35"/>
      <c r="Y228" s="35"/>
      <c r="Z228" s="35"/>
      <c r="AA228" s="35"/>
      <c r="AB228" s="35"/>
    </row>
    <row r="229" spans="2:28" s="14" customFormat="1" x14ac:dyDescent="0.3">
      <c r="B229" s="10" t="s">
        <v>1117</v>
      </c>
      <c r="C229" s="10" t="s">
        <v>321</v>
      </c>
      <c r="D229" s="10">
        <v>2</v>
      </c>
      <c r="E229" s="10">
        <f t="shared" ref="E229:E230" si="105">D229/2</f>
        <v>1</v>
      </c>
      <c r="F229" s="10">
        <v>0</v>
      </c>
      <c r="G229" s="10">
        <v>60000</v>
      </c>
      <c r="H229" s="193">
        <v>10</v>
      </c>
      <c r="I229" s="10">
        <v>1</v>
      </c>
      <c r="J229" s="10" t="s">
        <v>418</v>
      </c>
      <c r="K229" s="10">
        <f t="shared" si="96"/>
        <v>44593</v>
      </c>
      <c r="L229" s="10">
        <f t="shared" si="93"/>
        <v>4593</v>
      </c>
      <c r="M229" s="10">
        <f t="shared" si="94"/>
        <v>4592</v>
      </c>
      <c r="N229" s="10" t="s">
        <v>419</v>
      </c>
      <c r="O229" s="10" t="s">
        <v>327</v>
      </c>
      <c r="P229" s="10">
        <v>10</v>
      </c>
      <c r="Q229" s="10" t="s">
        <v>1027</v>
      </c>
      <c r="R229" s="111"/>
      <c r="V229" s="35"/>
      <c r="W229" s="35"/>
      <c r="X229" s="35"/>
      <c r="Y229" s="35"/>
      <c r="Z229" s="35"/>
      <c r="AA229" s="35"/>
      <c r="AB229" s="35"/>
    </row>
    <row r="230" spans="2:28" s="14" customFormat="1" ht="31.2" x14ac:dyDescent="0.3">
      <c r="B230" s="10" t="s">
        <v>1118</v>
      </c>
      <c r="C230" s="10" t="s">
        <v>321</v>
      </c>
      <c r="D230" s="10">
        <v>2</v>
      </c>
      <c r="E230" s="10">
        <f t="shared" si="105"/>
        <v>1</v>
      </c>
      <c r="F230" s="10">
        <v>0</v>
      </c>
      <c r="G230" s="10">
        <v>1</v>
      </c>
      <c r="H230" s="10">
        <v>1</v>
      </c>
      <c r="I230" s="10">
        <v>1</v>
      </c>
      <c r="J230" s="10" t="s">
        <v>418</v>
      </c>
      <c r="K230" s="10">
        <f t="shared" si="96"/>
        <v>44594</v>
      </c>
      <c r="L230" s="10">
        <f t="shared" si="93"/>
        <v>4594</v>
      </c>
      <c r="M230" s="10">
        <f t="shared" si="94"/>
        <v>4593</v>
      </c>
      <c r="N230" s="10" t="s">
        <v>419</v>
      </c>
      <c r="O230" s="10" t="s">
        <v>327</v>
      </c>
      <c r="P230" s="10">
        <v>0</v>
      </c>
      <c r="Q230" s="10"/>
      <c r="R230" s="110" t="s">
        <v>1023</v>
      </c>
      <c r="V230" s="35"/>
      <c r="W230" s="35"/>
      <c r="X230" s="35"/>
      <c r="Y230" s="35"/>
      <c r="Z230" s="35"/>
      <c r="AA230" s="35"/>
      <c r="AB230" s="35"/>
    </row>
    <row r="231" spans="2:28" s="14" customFormat="1" x14ac:dyDescent="0.3">
      <c r="B231" s="10" t="s">
        <v>1119</v>
      </c>
      <c r="C231" s="10" t="s">
        <v>321</v>
      </c>
      <c r="D231" s="10">
        <v>2</v>
      </c>
      <c r="E231" s="10">
        <f>D231/2</f>
        <v>1</v>
      </c>
      <c r="F231" s="10">
        <v>0</v>
      </c>
      <c r="G231" s="10">
        <v>38</v>
      </c>
      <c r="H231" s="10">
        <v>1</v>
      </c>
      <c r="I231" s="10">
        <v>1</v>
      </c>
      <c r="J231" s="10" t="s">
        <v>418</v>
      </c>
      <c r="K231" s="10">
        <f t="shared" si="96"/>
        <v>44595</v>
      </c>
      <c r="L231" s="10">
        <f t="shared" si="93"/>
        <v>4595</v>
      </c>
      <c r="M231" s="10">
        <f t="shared" si="94"/>
        <v>4594</v>
      </c>
      <c r="N231" s="10" t="s">
        <v>419</v>
      </c>
      <c r="O231" s="10" t="s">
        <v>327</v>
      </c>
      <c r="P231" s="352">
        <v>38</v>
      </c>
      <c r="Q231" s="10"/>
      <c r="R231" s="111" t="s">
        <v>1025</v>
      </c>
      <c r="V231" s="35"/>
      <c r="W231" s="35"/>
      <c r="X231" s="35"/>
      <c r="Y231" s="35"/>
      <c r="Z231" s="35"/>
      <c r="AA231" s="35"/>
      <c r="AB231" s="35"/>
    </row>
    <row r="232" spans="2:28" s="14" customFormat="1" x14ac:dyDescent="0.3">
      <c r="B232" s="10" t="s">
        <v>1120</v>
      </c>
      <c r="C232" s="10" t="s">
        <v>321</v>
      </c>
      <c r="D232" s="10">
        <v>2</v>
      </c>
      <c r="E232" s="10">
        <f t="shared" ref="E232" si="106">D232/2</f>
        <v>1</v>
      </c>
      <c r="F232" s="10">
        <v>0</v>
      </c>
      <c r="G232" s="10">
        <v>60000</v>
      </c>
      <c r="H232" s="193">
        <v>10</v>
      </c>
      <c r="I232" s="10">
        <v>1</v>
      </c>
      <c r="J232" s="10" t="s">
        <v>418</v>
      </c>
      <c r="K232" s="10">
        <f t="shared" si="96"/>
        <v>44596</v>
      </c>
      <c r="L232" s="10">
        <f t="shared" si="93"/>
        <v>4596</v>
      </c>
      <c r="M232" s="10">
        <f t="shared" si="94"/>
        <v>4595</v>
      </c>
      <c r="N232" s="10" t="s">
        <v>419</v>
      </c>
      <c r="O232" s="10" t="s">
        <v>327</v>
      </c>
      <c r="P232" s="10">
        <v>10</v>
      </c>
      <c r="Q232" s="10" t="s">
        <v>1027</v>
      </c>
      <c r="R232" s="111"/>
      <c r="V232" s="35"/>
      <c r="W232" s="35"/>
      <c r="X232" s="35"/>
      <c r="Y232" s="35"/>
      <c r="Z232" s="35"/>
      <c r="AA232" s="35"/>
      <c r="AB232" s="35"/>
    </row>
    <row r="234" spans="2:28" x14ac:dyDescent="0.3">
      <c r="B234" s="477" t="s">
        <v>1121</v>
      </c>
      <c r="C234" s="477"/>
      <c r="D234" s="477"/>
      <c r="E234" s="477"/>
      <c r="F234" s="477"/>
      <c r="G234" s="477"/>
      <c r="H234" s="477"/>
      <c r="I234" s="477"/>
      <c r="J234" s="477"/>
      <c r="K234" s="477"/>
      <c r="L234" s="477"/>
      <c r="M234" s="477"/>
      <c r="N234" s="477"/>
      <c r="O234" s="477"/>
      <c r="P234" s="477"/>
      <c r="Q234" s="477"/>
      <c r="R234" s="477"/>
      <c r="V234" s="8"/>
      <c r="W234" s="8"/>
      <c r="X234" s="8"/>
      <c r="Y234" s="8"/>
      <c r="Z234" s="8"/>
      <c r="AA234" s="8"/>
      <c r="AB234" s="8"/>
    </row>
    <row r="235" spans="2:28" s="14" customFormat="1" ht="31.2" x14ac:dyDescent="0.3">
      <c r="B235" s="10" t="s">
        <v>1122</v>
      </c>
      <c r="C235" s="10" t="s">
        <v>321</v>
      </c>
      <c r="D235" s="10">
        <v>2</v>
      </c>
      <c r="E235" s="10">
        <f t="shared" ref="E235:E265" si="107">D235/2</f>
        <v>1</v>
      </c>
      <c r="F235" s="10">
        <v>0</v>
      </c>
      <c r="G235" s="10">
        <v>1</v>
      </c>
      <c r="H235" s="10">
        <v>1</v>
      </c>
      <c r="I235" s="10">
        <v>1</v>
      </c>
      <c r="J235" s="10" t="s">
        <v>418</v>
      </c>
      <c r="K235" s="59">
        <v>44626</v>
      </c>
      <c r="L235" s="10">
        <f t="shared" ref="L235:L298" si="108">K235-40000</f>
        <v>4626</v>
      </c>
      <c r="M235" s="10">
        <f t="shared" ref="M235:M298" si="109">L235-1</f>
        <v>4625</v>
      </c>
      <c r="N235" s="10" t="s">
        <v>419</v>
      </c>
      <c r="O235" s="10" t="s">
        <v>327</v>
      </c>
      <c r="P235" s="10">
        <v>0</v>
      </c>
      <c r="Q235" s="10"/>
      <c r="R235" s="110" t="s">
        <v>1023</v>
      </c>
      <c r="V235" s="35"/>
      <c r="W235" s="35"/>
      <c r="X235" s="35"/>
      <c r="Y235" s="35"/>
      <c r="Z235" s="35"/>
      <c r="AA235" s="35"/>
      <c r="AB235" s="35"/>
    </row>
    <row r="236" spans="2:28" s="14" customFormat="1" x14ac:dyDescent="0.3">
      <c r="B236" s="10" t="s">
        <v>1123</v>
      </c>
      <c r="C236" s="10" t="s">
        <v>321</v>
      </c>
      <c r="D236" s="10">
        <v>2</v>
      </c>
      <c r="E236" s="10">
        <f>D236/2</f>
        <v>1</v>
      </c>
      <c r="F236" s="10">
        <v>0</v>
      </c>
      <c r="G236" s="10">
        <v>65535</v>
      </c>
      <c r="H236" s="10">
        <v>1</v>
      </c>
      <c r="I236" s="10">
        <v>1</v>
      </c>
      <c r="J236" s="10" t="s">
        <v>418</v>
      </c>
      <c r="K236" s="10">
        <f t="shared" ref="K236:K237" si="110">K235+E236</f>
        <v>44627</v>
      </c>
      <c r="L236" s="10">
        <f t="shared" si="108"/>
        <v>4627</v>
      </c>
      <c r="M236" s="10">
        <f t="shared" si="109"/>
        <v>4626</v>
      </c>
      <c r="N236" s="10" t="s">
        <v>419</v>
      </c>
      <c r="O236" s="10" t="s">
        <v>327</v>
      </c>
      <c r="P236" s="10">
        <v>504</v>
      </c>
      <c r="Q236" s="10"/>
      <c r="R236" s="10" t="s">
        <v>1124</v>
      </c>
      <c r="V236" s="35"/>
      <c r="W236" s="35"/>
      <c r="X236" s="35"/>
      <c r="Y236" s="35"/>
      <c r="Z236" s="35"/>
      <c r="AA236" s="35"/>
      <c r="AB236" s="35"/>
    </row>
    <row r="237" spans="2:28" s="14" customFormat="1" x14ac:dyDescent="0.3">
      <c r="B237" s="10" t="s">
        <v>1125</v>
      </c>
      <c r="C237" s="10" t="s">
        <v>321</v>
      </c>
      <c r="D237" s="10">
        <v>2</v>
      </c>
      <c r="E237" s="10">
        <f>D237/2</f>
        <v>1</v>
      </c>
      <c r="F237" s="10">
        <v>0</v>
      </c>
      <c r="G237" s="10">
        <v>12</v>
      </c>
      <c r="H237" s="10">
        <v>1</v>
      </c>
      <c r="I237" s="10">
        <v>1</v>
      </c>
      <c r="J237" s="10" t="s">
        <v>418</v>
      </c>
      <c r="K237" s="10">
        <f t="shared" si="110"/>
        <v>44628</v>
      </c>
      <c r="L237" s="10">
        <f t="shared" si="108"/>
        <v>4628</v>
      </c>
      <c r="M237" s="10">
        <f t="shared" si="109"/>
        <v>4627</v>
      </c>
      <c r="N237" s="10" t="s">
        <v>419</v>
      </c>
      <c r="O237" s="10" t="s">
        <v>327</v>
      </c>
      <c r="P237" s="10">
        <v>7</v>
      </c>
      <c r="Q237" s="10"/>
      <c r="R237" s="111" t="s">
        <v>1126</v>
      </c>
      <c r="V237" s="35"/>
      <c r="W237" s="35"/>
      <c r="X237" s="35"/>
      <c r="Y237" s="35"/>
      <c r="Z237" s="35"/>
      <c r="AA237" s="35"/>
      <c r="AB237" s="35"/>
    </row>
    <row r="238" spans="2:28" s="14" customFormat="1" ht="31.2" x14ac:dyDescent="0.3">
      <c r="B238" s="10" t="s">
        <v>1127</v>
      </c>
      <c r="C238" s="10" t="s">
        <v>321</v>
      </c>
      <c r="D238" s="10">
        <v>2</v>
      </c>
      <c r="E238" s="10">
        <f>D238/2</f>
        <v>1</v>
      </c>
      <c r="F238" s="10">
        <v>0</v>
      </c>
      <c r="G238" s="10">
        <v>1</v>
      </c>
      <c r="H238" s="10">
        <v>1</v>
      </c>
      <c r="I238" s="10">
        <v>1</v>
      </c>
      <c r="J238" s="10" t="s">
        <v>418</v>
      </c>
      <c r="K238" s="10">
        <f t="shared" ref="K238:K276" si="111">K237+E238</f>
        <v>44629</v>
      </c>
      <c r="L238" s="10">
        <f t="shared" si="108"/>
        <v>4629</v>
      </c>
      <c r="M238" s="10">
        <f t="shared" si="109"/>
        <v>4628</v>
      </c>
      <c r="N238" s="10" t="s">
        <v>419</v>
      </c>
      <c r="O238" s="10" t="s">
        <v>327</v>
      </c>
      <c r="P238" s="10">
        <v>0</v>
      </c>
      <c r="Q238" s="10"/>
      <c r="R238" s="110" t="s">
        <v>1128</v>
      </c>
      <c r="V238" s="35"/>
      <c r="W238" s="35"/>
      <c r="X238" s="35"/>
      <c r="Y238" s="35"/>
      <c r="Z238" s="35"/>
      <c r="AA238" s="35"/>
      <c r="AB238" s="35"/>
    </row>
    <row r="239" spans="2:28" s="14" customFormat="1" x14ac:dyDescent="0.3">
      <c r="B239" s="10" t="s">
        <v>1129</v>
      </c>
      <c r="C239" s="10" t="s">
        <v>321</v>
      </c>
      <c r="D239" s="10">
        <v>2</v>
      </c>
      <c r="E239" s="10">
        <f>D239/2</f>
        <v>1</v>
      </c>
      <c r="F239" s="10">
        <v>0</v>
      </c>
      <c r="G239" s="10">
        <v>60000</v>
      </c>
      <c r="H239" s="193">
        <v>10</v>
      </c>
      <c r="I239" s="10">
        <v>1</v>
      </c>
      <c r="J239" s="10" t="s">
        <v>418</v>
      </c>
      <c r="K239" s="10">
        <f t="shared" si="111"/>
        <v>44630</v>
      </c>
      <c r="L239" s="10">
        <f t="shared" si="108"/>
        <v>4630</v>
      </c>
      <c r="M239" s="10">
        <f t="shared" si="109"/>
        <v>4629</v>
      </c>
      <c r="N239" s="10" t="s">
        <v>419</v>
      </c>
      <c r="O239" s="10" t="s">
        <v>327</v>
      </c>
      <c r="P239" s="10">
        <v>0</v>
      </c>
      <c r="Q239" s="10" t="s">
        <v>1027</v>
      </c>
      <c r="R239" s="10"/>
      <c r="V239" s="35"/>
      <c r="W239" s="35"/>
      <c r="X239" s="35"/>
      <c r="Y239" s="35"/>
      <c r="Z239" s="35"/>
      <c r="AA239" s="35"/>
      <c r="AB239" s="35"/>
    </row>
    <row r="240" spans="2:28" s="14" customFormat="1" ht="31.2" x14ac:dyDescent="0.3">
      <c r="B240" s="10" t="s">
        <v>1130</v>
      </c>
      <c r="C240" s="10" t="s">
        <v>321</v>
      </c>
      <c r="D240" s="10">
        <v>2</v>
      </c>
      <c r="E240" s="10">
        <f t="shared" si="107"/>
        <v>1</v>
      </c>
      <c r="F240" s="10">
        <v>0</v>
      </c>
      <c r="G240" s="10">
        <v>1</v>
      </c>
      <c r="H240" s="10">
        <v>1</v>
      </c>
      <c r="I240" s="10">
        <v>1</v>
      </c>
      <c r="J240" s="10" t="s">
        <v>418</v>
      </c>
      <c r="K240" s="10">
        <f t="shared" si="111"/>
        <v>44631</v>
      </c>
      <c r="L240" s="10">
        <f t="shared" si="108"/>
        <v>4631</v>
      </c>
      <c r="M240" s="10">
        <f t="shared" si="109"/>
        <v>4630</v>
      </c>
      <c r="N240" s="10" t="s">
        <v>419</v>
      </c>
      <c r="O240" s="10" t="s">
        <v>327</v>
      </c>
      <c r="P240" s="10">
        <v>0</v>
      </c>
      <c r="Q240" s="10"/>
      <c r="R240" s="110" t="s">
        <v>1023</v>
      </c>
      <c r="V240" s="35"/>
      <c r="W240" s="35"/>
      <c r="X240" s="35"/>
      <c r="Y240" s="35"/>
      <c r="Z240" s="35"/>
      <c r="AA240" s="35"/>
      <c r="AB240" s="35"/>
    </row>
    <row r="241" spans="2:28" s="14" customFormat="1" x14ac:dyDescent="0.3">
      <c r="B241" s="10" t="s">
        <v>1131</v>
      </c>
      <c r="C241" s="10" t="s">
        <v>321</v>
      </c>
      <c r="D241" s="10">
        <v>2</v>
      </c>
      <c r="E241" s="10">
        <f>D241/2</f>
        <v>1</v>
      </c>
      <c r="F241" s="10">
        <v>0</v>
      </c>
      <c r="G241" s="10">
        <v>65535</v>
      </c>
      <c r="H241" s="10">
        <v>1</v>
      </c>
      <c r="I241" s="10">
        <v>1</v>
      </c>
      <c r="J241" s="10" t="s">
        <v>418</v>
      </c>
      <c r="K241" s="10">
        <f t="shared" si="111"/>
        <v>44632</v>
      </c>
      <c r="L241" s="10">
        <f t="shared" si="108"/>
        <v>4632</v>
      </c>
      <c r="M241" s="10">
        <f t="shared" si="109"/>
        <v>4631</v>
      </c>
      <c r="N241" s="10" t="s">
        <v>419</v>
      </c>
      <c r="O241" s="10" t="s">
        <v>327</v>
      </c>
      <c r="P241" s="10">
        <v>233</v>
      </c>
      <c r="Q241" s="10"/>
      <c r="R241" s="10" t="s">
        <v>1124</v>
      </c>
      <c r="V241" s="35"/>
      <c r="W241" s="35"/>
      <c r="X241" s="35"/>
      <c r="Y241" s="35"/>
      <c r="Z241" s="35"/>
      <c r="AA241" s="35"/>
      <c r="AB241" s="35"/>
    </row>
    <row r="242" spans="2:28" s="14" customFormat="1" x14ac:dyDescent="0.3">
      <c r="B242" s="10" t="s">
        <v>1132</v>
      </c>
      <c r="C242" s="10" t="s">
        <v>321</v>
      </c>
      <c r="D242" s="10">
        <v>2</v>
      </c>
      <c r="E242" s="10">
        <f>D242/2</f>
        <v>1</v>
      </c>
      <c r="F242" s="10">
        <v>0</v>
      </c>
      <c r="G242" s="10">
        <v>12</v>
      </c>
      <c r="H242" s="10">
        <v>1</v>
      </c>
      <c r="I242" s="10">
        <v>1</v>
      </c>
      <c r="J242" s="10" t="s">
        <v>418</v>
      </c>
      <c r="K242" s="10">
        <f t="shared" si="111"/>
        <v>44633</v>
      </c>
      <c r="L242" s="10">
        <f t="shared" si="108"/>
        <v>4633</v>
      </c>
      <c r="M242" s="10">
        <f t="shared" si="109"/>
        <v>4632</v>
      </c>
      <c r="N242" s="10" t="s">
        <v>419</v>
      </c>
      <c r="O242" s="10" t="s">
        <v>327</v>
      </c>
      <c r="P242" s="10">
        <v>3</v>
      </c>
      <c r="Q242" s="10"/>
      <c r="R242" s="111" t="s">
        <v>1126</v>
      </c>
      <c r="V242" s="35"/>
      <c r="W242" s="35"/>
      <c r="X242" s="35"/>
      <c r="Y242" s="35"/>
      <c r="Z242" s="35"/>
      <c r="AA242" s="35"/>
      <c r="AB242" s="35"/>
    </row>
    <row r="243" spans="2:28" s="14" customFormat="1" ht="31.2" x14ac:dyDescent="0.3">
      <c r="B243" s="10" t="s">
        <v>1133</v>
      </c>
      <c r="C243" s="10" t="s">
        <v>321</v>
      </c>
      <c r="D243" s="10">
        <v>2</v>
      </c>
      <c r="E243" s="10">
        <f>D243/2</f>
        <v>1</v>
      </c>
      <c r="F243" s="10">
        <v>0</v>
      </c>
      <c r="G243" s="10">
        <v>1</v>
      </c>
      <c r="H243" s="10">
        <v>1</v>
      </c>
      <c r="I243" s="10">
        <v>1</v>
      </c>
      <c r="J243" s="10" t="s">
        <v>418</v>
      </c>
      <c r="K243" s="10">
        <f t="shared" si="111"/>
        <v>44634</v>
      </c>
      <c r="L243" s="10">
        <f t="shared" si="108"/>
        <v>4634</v>
      </c>
      <c r="M243" s="10">
        <f t="shared" si="109"/>
        <v>4633</v>
      </c>
      <c r="N243" s="10" t="s">
        <v>419</v>
      </c>
      <c r="O243" s="10" t="s">
        <v>327</v>
      </c>
      <c r="P243" s="10">
        <v>0</v>
      </c>
      <c r="Q243" s="10"/>
      <c r="R243" s="110" t="s">
        <v>1128</v>
      </c>
      <c r="V243" s="35"/>
      <c r="W243" s="35"/>
      <c r="X243" s="35"/>
      <c r="Y243" s="35"/>
      <c r="Z243" s="35"/>
      <c r="AA243" s="35"/>
      <c r="AB243" s="35"/>
    </row>
    <row r="244" spans="2:28" s="14" customFormat="1" x14ac:dyDescent="0.3">
      <c r="B244" s="10" t="s">
        <v>1134</v>
      </c>
      <c r="C244" s="10" t="s">
        <v>321</v>
      </c>
      <c r="D244" s="10">
        <v>2</v>
      </c>
      <c r="E244" s="10">
        <f>D244/2</f>
        <v>1</v>
      </c>
      <c r="F244" s="10">
        <v>0</v>
      </c>
      <c r="G244" s="10">
        <v>60000</v>
      </c>
      <c r="H244" s="193">
        <v>10</v>
      </c>
      <c r="I244" s="10">
        <v>1</v>
      </c>
      <c r="J244" s="10" t="s">
        <v>418</v>
      </c>
      <c r="K244" s="10">
        <f t="shared" si="111"/>
        <v>44635</v>
      </c>
      <c r="L244" s="10">
        <f t="shared" si="108"/>
        <v>4635</v>
      </c>
      <c r="M244" s="10">
        <f t="shared" si="109"/>
        <v>4634</v>
      </c>
      <c r="N244" s="10" t="s">
        <v>419</v>
      </c>
      <c r="O244" s="10" t="s">
        <v>327</v>
      </c>
      <c r="P244" s="10">
        <v>0</v>
      </c>
      <c r="Q244" s="10" t="s">
        <v>1027</v>
      </c>
      <c r="R244" s="10"/>
      <c r="V244" s="35"/>
      <c r="W244" s="35"/>
      <c r="X244" s="35"/>
      <c r="Y244" s="35"/>
      <c r="Z244" s="35"/>
      <c r="AA244" s="35"/>
      <c r="AB244" s="35"/>
    </row>
    <row r="245" spans="2:28" s="14" customFormat="1" ht="31.2" x14ac:dyDescent="0.3">
      <c r="B245" s="10" t="s">
        <v>1135</v>
      </c>
      <c r="C245" s="10" t="s">
        <v>321</v>
      </c>
      <c r="D245" s="10">
        <v>2</v>
      </c>
      <c r="E245" s="10">
        <f t="shared" si="107"/>
        <v>1</v>
      </c>
      <c r="F245" s="10">
        <v>0</v>
      </c>
      <c r="G245" s="10">
        <v>1</v>
      </c>
      <c r="H245" s="10">
        <v>1</v>
      </c>
      <c r="I245" s="10">
        <v>1</v>
      </c>
      <c r="J245" s="10" t="s">
        <v>418</v>
      </c>
      <c r="K245" s="10">
        <f t="shared" si="111"/>
        <v>44636</v>
      </c>
      <c r="L245" s="10">
        <f t="shared" si="108"/>
        <v>4636</v>
      </c>
      <c r="M245" s="10">
        <f t="shared" si="109"/>
        <v>4635</v>
      </c>
      <c r="N245" s="10" t="s">
        <v>419</v>
      </c>
      <c r="O245" s="10" t="s">
        <v>327</v>
      </c>
      <c r="P245" s="10">
        <v>0</v>
      </c>
      <c r="Q245" s="10"/>
      <c r="R245" s="110" t="s">
        <v>1023</v>
      </c>
      <c r="V245" s="35"/>
      <c r="W245" s="35"/>
      <c r="X245" s="35"/>
      <c r="Y245" s="35"/>
      <c r="Z245" s="35"/>
      <c r="AA245" s="35"/>
      <c r="AB245" s="35"/>
    </row>
    <row r="246" spans="2:28" s="14" customFormat="1" x14ac:dyDescent="0.3">
      <c r="B246" s="10" t="s">
        <v>1136</v>
      </c>
      <c r="C246" s="10" t="s">
        <v>321</v>
      </c>
      <c r="D246" s="10">
        <v>2</v>
      </c>
      <c r="E246" s="10">
        <f>D246/2</f>
        <v>1</v>
      </c>
      <c r="F246" s="10">
        <v>0</v>
      </c>
      <c r="G246" s="10">
        <v>65535</v>
      </c>
      <c r="H246" s="10">
        <v>1</v>
      </c>
      <c r="I246" s="10">
        <v>1</v>
      </c>
      <c r="J246" s="10" t="s">
        <v>418</v>
      </c>
      <c r="K246" s="10">
        <f t="shared" si="111"/>
        <v>44637</v>
      </c>
      <c r="L246" s="10">
        <f t="shared" si="108"/>
        <v>4637</v>
      </c>
      <c r="M246" s="10">
        <f t="shared" si="109"/>
        <v>4636</v>
      </c>
      <c r="N246" s="10" t="s">
        <v>419</v>
      </c>
      <c r="O246" s="10" t="s">
        <v>327</v>
      </c>
      <c r="P246" s="10">
        <v>234</v>
      </c>
      <c r="Q246" s="10"/>
      <c r="R246" s="10" t="s">
        <v>1124</v>
      </c>
      <c r="V246" s="35"/>
      <c r="W246" s="35"/>
      <c r="X246" s="35"/>
      <c r="Y246" s="35"/>
      <c r="Z246" s="35"/>
      <c r="AA246" s="35"/>
      <c r="AB246" s="35"/>
    </row>
    <row r="247" spans="2:28" s="14" customFormat="1" x14ac:dyDescent="0.3">
      <c r="B247" s="10" t="s">
        <v>1137</v>
      </c>
      <c r="C247" s="10" t="s">
        <v>321</v>
      </c>
      <c r="D247" s="10">
        <v>2</v>
      </c>
      <c r="E247" s="10">
        <f>D247/2</f>
        <v>1</v>
      </c>
      <c r="F247" s="10">
        <v>0</v>
      </c>
      <c r="G247" s="10">
        <v>12</v>
      </c>
      <c r="H247" s="10">
        <v>1</v>
      </c>
      <c r="I247" s="10">
        <v>1</v>
      </c>
      <c r="J247" s="10" t="s">
        <v>418</v>
      </c>
      <c r="K247" s="10">
        <f t="shared" si="111"/>
        <v>44638</v>
      </c>
      <c r="L247" s="10">
        <f t="shared" si="108"/>
        <v>4638</v>
      </c>
      <c r="M247" s="10">
        <f t="shared" si="109"/>
        <v>4637</v>
      </c>
      <c r="N247" s="10" t="s">
        <v>419</v>
      </c>
      <c r="O247" s="10" t="s">
        <v>327</v>
      </c>
      <c r="P247" s="10">
        <v>2</v>
      </c>
      <c r="Q247" s="10"/>
      <c r="R247" s="111" t="s">
        <v>1126</v>
      </c>
      <c r="V247" s="35"/>
      <c r="W247" s="35"/>
      <c r="X247" s="35"/>
      <c r="Y247" s="35"/>
      <c r="Z247" s="35"/>
      <c r="AA247" s="35"/>
      <c r="AB247" s="35"/>
    </row>
    <row r="248" spans="2:28" s="14" customFormat="1" ht="31.2" x14ac:dyDescent="0.3">
      <c r="B248" s="10" t="s">
        <v>1138</v>
      </c>
      <c r="C248" s="10" t="s">
        <v>321</v>
      </c>
      <c r="D248" s="10">
        <v>2</v>
      </c>
      <c r="E248" s="10">
        <f>D248/2</f>
        <v>1</v>
      </c>
      <c r="F248" s="10">
        <v>0</v>
      </c>
      <c r="G248" s="10">
        <v>1</v>
      </c>
      <c r="H248" s="10">
        <v>1</v>
      </c>
      <c r="I248" s="10">
        <v>1</v>
      </c>
      <c r="J248" s="10" t="s">
        <v>418</v>
      </c>
      <c r="K248" s="10">
        <f t="shared" si="111"/>
        <v>44639</v>
      </c>
      <c r="L248" s="10">
        <f t="shared" si="108"/>
        <v>4639</v>
      </c>
      <c r="M248" s="10">
        <f t="shared" si="109"/>
        <v>4638</v>
      </c>
      <c r="N248" s="10" t="s">
        <v>419</v>
      </c>
      <c r="O248" s="10" t="s">
        <v>327</v>
      </c>
      <c r="P248" s="10">
        <v>0</v>
      </c>
      <c r="Q248" s="10"/>
      <c r="R248" s="110" t="s">
        <v>1128</v>
      </c>
      <c r="V248" s="35"/>
      <c r="W248" s="35"/>
      <c r="X248" s="35"/>
      <c r="Y248" s="35"/>
      <c r="Z248" s="35"/>
      <c r="AA248" s="35"/>
      <c r="AB248" s="35"/>
    </row>
    <row r="249" spans="2:28" s="14" customFormat="1" x14ac:dyDescent="0.3">
      <c r="B249" s="10" t="s">
        <v>1139</v>
      </c>
      <c r="C249" s="10" t="s">
        <v>321</v>
      </c>
      <c r="D249" s="10">
        <v>2</v>
      </c>
      <c r="E249" s="10">
        <f>D249/2</f>
        <v>1</v>
      </c>
      <c r="F249" s="10">
        <v>0</v>
      </c>
      <c r="G249" s="10">
        <v>60000</v>
      </c>
      <c r="H249" s="193">
        <v>10</v>
      </c>
      <c r="I249" s="10">
        <v>1</v>
      </c>
      <c r="J249" s="10" t="s">
        <v>418</v>
      </c>
      <c r="K249" s="10">
        <f t="shared" si="111"/>
        <v>44640</v>
      </c>
      <c r="L249" s="10">
        <f t="shared" si="108"/>
        <v>4640</v>
      </c>
      <c r="M249" s="10">
        <f t="shared" si="109"/>
        <v>4639</v>
      </c>
      <c r="N249" s="10" t="s">
        <v>419</v>
      </c>
      <c r="O249" s="10" t="s">
        <v>327</v>
      </c>
      <c r="P249" s="10">
        <v>0</v>
      </c>
      <c r="Q249" s="10" t="s">
        <v>1027</v>
      </c>
      <c r="R249" s="10"/>
      <c r="V249" s="35"/>
      <c r="W249" s="35"/>
      <c r="X249" s="35"/>
      <c r="Y249" s="35"/>
      <c r="Z249" s="35"/>
      <c r="AA249" s="35"/>
      <c r="AB249" s="35"/>
    </row>
    <row r="250" spans="2:28" s="14" customFormat="1" ht="31.2" x14ac:dyDescent="0.3">
      <c r="B250" s="10" t="s">
        <v>1140</v>
      </c>
      <c r="C250" s="10" t="s">
        <v>321</v>
      </c>
      <c r="D250" s="10">
        <v>2</v>
      </c>
      <c r="E250" s="10">
        <f t="shared" si="107"/>
        <v>1</v>
      </c>
      <c r="F250" s="10">
        <v>0</v>
      </c>
      <c r="G250" s="10">
        <v>1</v>
      </c>
      <c r="H250" s="10">
        <v>1</v>
      </c>
      <c r="I250" s="10">
        <v>1</v>
      </c>
      <c r="J250" s="10" t="s">
        <v>418</v>
      </c>
      <c r="K250" s="10">
        <f t="shared" si="111"/>
        <v>44641</v>
      </c>
      <c r="L250" s="10">
        <f t="shared" si="108"/>
        <v>4641</v>
      </c>
      <c r="M250" s="10">
        <f t="shared" si="109"/>
        <v>4640</v>
      </c>
      <c r="N250" s="10" t="s">
        <v>419</v>
      </c>
      <c r="O250" s="10" t="s">
        <v>327</v>
      </c>
      <c r="P250" s="10">
        <v>0</v>
      </c>
      <c r="Q250" s="10"/>
      <c r="R250" s="110" t="s">
        <v>1023</v>
      </c>
      <c r="V250" s="35"/>
      <c r="W250" s="35"/>
      <c r="X250" s="35"/>
      <c r="Y250" s="35"/>
      <c r="Z250" s="35"/>
      <c r="AA250" s="35"/>
      <c r="AB250" s="35"/>
    </row>
    <row r="251" spans="2:28" s="14" customFormat="1" x14ac:dyDescent="0.3">
      <c r="B251" s="10" t="s">
        <v>1141</v>
      </c>
      <c r="C251" s="10" t="s">
        <v>321</v>
      </c>
      <c r="D251" s="10">
        <v>2</v>
      </c>
      <c r="E251" s="10">
        <f>D251/2</f>
        <v>1</v>
      </c>
      <c r="F251" s="10">
        <v>0</v>
      </c>
      <c r="G251" s="10">
        <v>65535</v>
      </c>
      <c r="H251" s="10">
        <v>1</v>
      </c>
      <c r="I251" s="10">
        <v>1</v>
      </c>
      <c r="J251" s="10" t="s">
        <v>418</v>
      </c>
      <c r="K251" s="10">
        <f t="shared" si="111"/>
        <v>44642</v>
      </c>
      <c r="L251" s="10">
        <f t="shared" si="108"/>
        <v>4642</v>
      </c>
      <c r="M251" s="10">
        <f t="shared" si="109"/>
        <v>4641</v>
      </c>
      <c r="N251" s="10" t="s">
        <v>419</v>
      </c>
      <c r="O251" s="10" t="s">
        <v>327</v>
      </c>
      <c r="P251" s="10">
        <v>0</v>
      </c>
      <c r="Q251" s="10"/>
      <c r="R251" s="10" t="s">
        <v>1124</v>
      </c>
      <c r="V251" s="35"/>
      <c r="W251" s="35"/>
      <c r="X251" s="35"/>
      <c r="Y251" s="35"/>
      <c r="Z251" s="35"/>
      <c r="AA251" s="35"/>
      <c r="AB251" s="35"/>
    </row>
    <row r="252" spans="2:28" s="14" customFormat="1" x14ac:dyDescent="0.3">
      <c r="B252" s="10" t="s">
        <v>1142</v>
      </c>
      <c r="C252" s="10" t="s">
        <v>321</v>
      </c>
      <c r="D252" s="10">
        <v>2</v>
      </c>
      <c r="E252" s="10">
        <f>D252/2</f>
        <v>1</v>
      </c>
      <c r="F252" s="10">
        <v>0</v>
      </c>
      <c r="G252" s="10">
        <v>12</v>
      </c>
      <c r="H252" s="10">
        <v>1</v>
      </c>
      <c r="I252" s="10">
        <v>1</v>
      </c>
      <c r="J252" s="10" t="s">
        <v>418</v>
      </c>
      <c r="K252" s="10">
        <f t="shared" si="111"/>
        <v>44643</v>
      </c>
      <c r="L252" s="10">
        <f t="shared" si="108"/>
        <v>4643</v>
      </c>
      <c r="M252" s="10">
        <f t="shared" si="109"/>
        <v>4642</v>
      </c>
      <c r="N252" s="10" t="s">
        <v>419</v>
      </c>
      <c r="O252" s="10" t="s">
        <v>327</v>
      </c>
      <c r="P252" s="10">
        <v>0</v>
      </c>
      <c r="Q252" s="10"/>
      <c r="R252" s="111" t="s">
        <v>1126</v>
      </c>
      <c r="V252" s="35"/>
      <c r="W252" s="35"/>
      <c r="X252" s="35"/>
      <c r="Y252" s="35"/>
      <c r="Z252" s="35"/>
      <c r="AA252" s="35"/>
      <c r="AB252" s="35"/>
    </row>
    <row r="253" spans="2:28" s="14" customFormat="1" ht="31.2" x14ac:dyDescent="0.3">
      <c r="B253" s="10" t="s">
        <v>1143</v>
      </c>
      <c r="C253" s="10" t="s">
        <v>321</v>
      </c>
      <c r="D253" s="10">
        <v>2</v>
      </c>
      <c r="E253" s="10">
        <f>D253/2</f>
        <v>1</v>
      </c>
      <c r="F253" s="10">
        <v>0</v>
      </c>
      <c r="G253" s="10">
        <v>1</v>
      </c>
      <c r="H253" s="10">
        <v>1</v>
      </c>
      <c r="I253" s="10">
        <v>1</v>
      </c>
      <c r="J253" s="10" t="s">
        <v>418</v>
      </c>
      <c r="K253" s="10">
        <f t="shared" si="111"/>
        <v>44644</v>
      </c>
      <c r="L253" s="10">
        <f t="shared" si="108"/>
        <v>4644</v>
      </c>
      <c r="M253" s="10">
        <f t="shared" si="109"/>
        <v>4643</v>
      </c>
      <c r="N253" s="10" t="s">
        <v>419</v>
      </c>
      <c r="O253" s="10" t="s">
        <v>327</v>
      </c>
      <c r="P253" s="10">
        <v>0</v>
      </c>
      <c r="Q253" s="10"/>
      <c r="R253" s="110" t="s">
        <v>1128</v>
      </c>
      <c r="V253" s="35"/>
      <c r="W253" s="35"/>
      <c r="X253" s="35"/>
      <c r="Y253" s="35"/>
      <c r="Z253" s="35"/>
      <c r="AA253" s="35"/>
      <c r="AB253" s="35"/>
    </row>
    <row r="254" spans="2:28" s="14" customFormat="1" x14ac:dyDescent="0.3">
      <c r="B254" s="10" t="s">
        <v>1144</v>
      </c>
      <c r="C254" s="10" t="s">
        <v>321</v>
      </c>
      <c r="D254" s="10">
        <v>2</v>
      </c>
      <c r="E254" s="10">
        <f>D254/2</f>
        <v>1</v>
      </c>
      <c r="F254" s="10">
        <v>0</v>
      </c>
      <c r="G254" s="10">
        <v>60000</v>
      </c>
      <c r="H254" s="193">
        <v>10</v>
      </c>
      <c r="I254" s="10">
        <v>1</v>
      </c>
      <c r="J254" s="10" t="s">
        <v>418</v>
      </c>
      <c r="K254" s="10">
        <f t="shared" si="111"/>
        <v>44645</v>
      </c>
      <c r="L254" s="10">
        <f t="shared" si="108"/>
        <v>4645</v>
      </c>
      <c r="M254" s="10">
        <f t="shared" si="109"/>
        <v>4644</v>
      </c>
      <c r="N254" s="10" t="s">
        <v>419</v>
      </c>
      <c r="O254" s="10" t="s">
        <v>327</v>
      </c>
      <c r="P254" s="10">
        <v>0</v>
      </c>
      <c r="Q254" s="10" t="s">
        <v>1027</v>
      </c>
      <c r="R254" s="10"/>
      <c r="V254" s="35"/>
      <c r="W254" s="35"/>
      <c r="X254" s="35"/>
      <c r="Y254" s="35"/>
      <c r="Z254" s="35"/>
      <c r="AA254" s="35"/>
      <c r="AB254" s="35"/>
    </row>
    <row r="255" spans="2:28" s="14" customFormat="1" ht="31.2" x14ac:dyDescent="0.3">
      <c r="B255" s="10" t="s">
        <v>1145</v>
      </c>
      <c r="C255" s="10" t="s">
        <v>321</v>
      </c>
      <c r="D255" s="10">
        <v>2</v>
      </c>
      <c r="E255" s="10">
        <f t="shared" si="107"/>
        <v>1</v>
      </c>
      <c r="F255" s="10">
        <v>0</v>
      </c>
      <c r="G255" s="10">
        <v>1</v>
      </c>
      <c r="H255" s="10">
        <v>1</v>
      </c>
      <c r="I255" s="10">
        <v>1</v>
      </c>
      <c r="J255" s="10" t="s">
        <v>418</v>
      </c>
      <c r="K255" s="10">
        <f t="shared" si="111"/>
        <v>44646</v>
      </c>
      <c r="L255" s="10">
        <f t="shared" si="108"/>
        <v>4646</v>
      </c>
      <c r="M255" s="10">
        <f t="shared" si="109"/>
        <v>4645</v>
      </c>
      <c r="N255" s="10" t="s">
        <v>419</v>
      </c>
      <c r="O255" s="10" t="s">
        <v>327</v>
      </c>
      <c r="P255" s="10">
        <v>0</v>
      </c>
      <c r="Q255" s="10"/>
      <c r="R255" s="110" t="s">
        <v>1023</v>
      </c>
      <c r="V255" s="35"/>
      <c r="W255" s="35"/>
      <c r="X255" s="35"/>
      <c r="Y255" s="35"/>
      <c r="Z255" s="35"/>
      <c r="AA255" s="35"/>
      <c r="AB255" s="35"/>
    </row>
    <row r="256" spans="2:28" s="14" customFormat="1" x14ac:dyDescent="0.3">
      <c r="B256" s="10" t="s">
        <v>1146</v>
      </c>
      <c r="C256" s="10" t="s">
        <v>321</v>
      </c>
      <c r="D256" s="10">
        <v>2</v>
      </c>
      <c r="E256" s="10">
        <f>D256/2</f>
        <v>1</v>
      </c>
      <c r="F256" s="10">
        <v>0</v>
      </c>
      <c r="G256" s="10">
        <v>65535</v>
      </c>
      <c r="H256" s="10">
        <v>1</v>
      </c>
      <c r="I256" s="10">
        <v>1</v>
      </c>
      <c r="J256" s="10" t="s">
        <v>418</v>
      </c>
      <c r="K256" s="10">
        <f t="shared" si="111"/>
        <v>44647</v>
      </c>
      <c r="L256" s="10">
        <f t="shared" si="108"/>
        <v>4647</v>
      </c>
      <c r="M256" s="10">
        <f t="shared" si="109"/>
        <v>4646</v>
      </c>
      <c r="N256" s="10" t="s">
        <v>419</v>
      </c>
      <c r="O256" s="10" t="s">
        <v>327</v>
      </c>
      <c r="P256" s="10">
        <v>0</v>
      </c>
      <c r="Q256" s="10"/>
      <c r="R256" s="10" t="s">
        <v>1124</v>
      </c>
      <c r="V256" s="35"/>
      <c r="W256" s="35"/>
      <c r="X256" s="35"/>
      <c r="Y256" s="35"/>
      <c r="Z256" s="35"/>
      <c r="AA256" s="35"/>
      <c r="AB256" s="35"/>
    </row>
    <row r="257" spans="2:28" s="14" customFormat="1" x14ac:dyDescent="0.3">
      <c r="B257" s="10" t="s">
        <v>1147</v>
      </c>
      <c r="C257" s="10" t="s">
        <v>321</v>
      </c>
      <c r="D257" s="10">
        <v>2</v>
      </c>
      <c r="E257" s="10">
        <f>D257/2</f>
        <v>1</v>
      </c>
      <c r="F257" s="10">
        <v>0</v>
      </c>
      <c r="G257" s="10">
        <v>12</v>
      </c>
      <c r="H257" s="10">
        <v>1</v>
      </c>
      <c r="I257" s="10">
        <v>1</v>
      </c>
      <c r="J257" s="10" t="s">
        <v>418</v>
      </c>
      <c r="K257" s="10">
        <f t="shared" si="111"/>
        <v>44648</v>
      </c>
      <c r="L257" s="10">
        <f t="shared" si="108"/>
        <v>4648</v>
      </c>
      <c r="M257" s="10">
        <f t="shared" si="109"/>
        <v>4647</v>
      </c>
      <c r="N257" s="10" t="s">
        <v>419</v>
      </c>
      <c r="O257" s="10" t="s">
        <v>327</v>
      </c>
      <c r="P257" s="10">
        <v>0</v>
      </c>
      <c r="Q257" s="10"/>
      <c r="R257" s="111" t="s">
        <v>1126</v>
      </c>
      <c r="V257" s="35"/>
      <c r="W257" s="35"/>
      <c r="X257" s="35"/>
      <c r="Y257" s="35"/>
      <c r="Z257" s="35"/>
      <c r="AA257" s="35"/>
      <c r="AB257" s="35"/>
    </row>
    <row r="258" spans="2:28" s="14" customFormat="1" ht="31.2" x14ac:dyDescent="0.3">
      <c r="B258" s="10" t="s">
        <v>1148</v>
      </c>
      <c r="C258" s="10" t="s">
        <v>321</v>
      </c>
      <c r="D258" s="10">
        <v>2</v>
      </c>
      <c r="E258" s="10">
        <f>D258/2</f>
        <v>1</v>
      </c>
      <c r="F258" s="10">
        <v>0</v>
      </c>
      <c r="G258" s="10">
        <v>1</v>
      </c>
      <c r="H258" s="10">
        <v>1</v>
      </c>
      <c r="I258" s="10">
        <v>1</v>
      </c>
      <c r="J258" s="10" t="s">
        <v>418</v>
      </c>
      <c r="K258" s="10">
        <f t="shared" si="111"/>
        <v>44649</v>
      </c>
      <c r="L258" s="10">
        <f t="shared" si="108"/>
        <v>4649</v>
      </c>
      <c r="M258" s="10">
        <f t="shared" si="109"/>
        <v>4648</v>
      </c>
      <c r="N258" s="10" t="s">
        <v>419</v>
      </c>
      <c r="O258" s="10" t="s">
        <v>327</v>
      </c>
      <c r="P258" s="10">
        <v>0</v>
      </c>
      <c r="Q258" s="10"/>
      <c r="R258" s="110" t="s">
        <v>1128</v>
      </c>
      <c r="V258" s="35"/>
      <c r="W258" s="35"/>
      <c r="X258" s="35"/>
      <c r="Y258" s="35"/>
      <c r="Z258" s="35"/>
      <c r="AA258" s="35"/>
      <c r="AB258" s="35"/>
    </row>
    <row r="259" spans="2:28" s="14" customFormat="1" x14ac:dyDescent="0.3">
      <c r="B259" s="10" t="s">
        <v>1149</v>
      </c>
      <c r="C259" s="10" t="s">
        <v>321</v>
      </c>
      <c r="D259" s="10">
        <v>2</v>
      </c>
      <c r="E259" s="10">
        <f>D259/2</f>
        <v>1</v>
      </c>
      <c r="F259" s="10">
        <v>0</v>
      </c>
      <c r="G259" s="10">
        <v>60000</v>
      </c>
      <c r="H259" s="193">
        <v>10</v>
      </c>
      <c r="I259" s="10">
        <v>1</v>
      </c>
      <c r="J259" s="10" t="s">
        <v>418</v>
      </c>
      <c r="K259" s="10">
        <f t="shared" si="111"/>
        <v>44650</v>
      </c>
      <c r="L259" s="10">
        <f t="shared" si="108"/>
        <v>4650</v>
      </c>
      <c r="M259" s="10">
        <f t="shared" si="109"/>
        <v>4649</v>
      </c>
      <c r="N259" s="10" t="s">
        <v>419</v>
      </c>
      <c r="O259" s="10" t="s">
        <v>327</v>
      </c>
      <c r="P259" s="10">
        <v>0</v>
      </c>
      <c r="Q259" s="10" t="s">
        <v>1027</v>
      </c>
      <c r="R259" s="10"/>
      <c r="V259" s="35"/>
      <c r="W259" s="35"/>
      <c r="X259" s="35"/>
      <c r="Y259" s="35"/>
      <c r="Z259" s="35"/>
      <c r="AA259" s="35"/>
      <c r="AB259" s="35"/>
    </row>
    <row r="260" spans="2:28" s="14" customFormat="1" ht="31.2" x14ac:dyDescent="0.3">
      <c r="B260" s="10" t="s">
        <v>1150</v>
      </c>
      <c r="C260" s="10" t="s">
        <v>321</v>
      </c>
      <c r="D260" s="10">
        <v>2</v>
      </c>
      <c r="E260" s="10">
        <f t="shared" si="107"/>
        <v>1</v>
      </c>
      <c r="F260" s="10">
        <v>0</v>
      </c>
      <c r="G260" s="10">
        <v>1</v>
      </c>
      <c r="H260" s="10">
        <v>1</v>
      </c>
      <c r="I260" s="10">
        <v>1</v>
      </c>
      <c r="J260" s="10" t="s">
        <v>418</v>
      </c>
      <c r="K260" s="10">
        <f t="shared" si="111"/>
        <v>44651</v>
      </c>
      <c r="L260" s="10">
        <f t="shared" si="108"/>
        <v>4651</v>
      </c>
      <c r="M260" s="10">
        <f t="shared" si="109"/>
        <v>4650</v>
      </c>
      <c r="N260" s="10" t="s">
        <v>419</v>
      </c>
      <c r="O260" s="10" t="s">
        <v>327</v>
      </c>
      <c r="P260" s="10">
        <v>0</v>
      </c>
      <c r="Q260" s="10"/>
      <c r="R260" s="110" t="s">
        <v>1023</v>
      </c>
      <c r="V260" s="35"/>
      <c r="W260" s="35"/>
      <c r="X260" s="35"/>
      <c r="Y260" s="35"/>
      <c r="Z260" s="35"/>
      <c r="AA260" s="35"/>
      <c r="AB260" s="35"/>
    </row>
    <row r="261" spans="2:28" s="14" customFormat="1" x14ac:dyDescent="0.3">
      <c r="B261" s="10" t="s">
        <v>1151</v>
      </c>
      <c r="C261" s="10" t="s">
        <v>321</v>
      </c>
      <c r="D261" s="10">
        <v>2</v>
      </c>
      <c r="E261" s="10">
        <f>D261/2</f>
        <v>1</v>
      </c>
      <c r="F261" s="10">
        <v>0</v>
      </c>
      <c r="G261" s="10">
        <v>65535</v>
      </c>
      <c r="H261" s="10">
        <v>1</v>
      </c>
      <c r="I261" s="10">
        <v>1</v>
      </c>
      <c r="J261" s="10" t="s">
        <v>418</v>
      </c>
      <c r="K261" s="10">
        <f t="shared" si="111"/>
        <v>44652</v>
      </c>
      <c r="L261" s="10">
        <f t="shared" si="108"/>
        <v>4652</v>
      </c>
      <c r="M261" s="10">
        <f t="shared" si="109"/>
        <v>4651</v>
      </c>
      <c r="N261" s="10" t="s">
        <v>419</v>
      </c>
      <c r="O261" s="10" t="s">
        <v>327</v>
      </c>
      <c r="P261" s="10">
        <v>0</v>
      </c>
      <c r="Q261" s="10"/>
      <c r="R261" s="10" t="s">
        <v>1124</v>
      </c>
      <c r="V261" s="35"/>
      <c r="W261" s="35"/>
      <c r="X261" s="35"/>
      <c r="Y261" s="35"/>
      <c r="Z261" s="35"/>
      <c r="AA261" s="35"/>
      <c r="AB261" s="35"/>
    </row>
    <row r="262" spans="2:28" s="14" customFormat="1" x14ac:dyDescent="0.3">
      <c r="B262" s="10" t="s">
        <v>1152</v>
      </c>
      <c r="C262" s="10" t="s">
        <v>321</v>
      </c>
      <c r="D262" s="10">
        <v>2</v>
      </c>
      <c r="E262" s="10">
        <f>D262/2</f>
        <v>1</v>
      </c>
      <c r="F262" s="10">
        <v>0</v>
      </c>
      <c r="G262" s="10">
        <v>12</v>
      </c>
      <c r="H262" s="10">
        <v>1</v>
      </c>
      <c r="I262" s="10">
        <v>1</v>
      </c>
      <c r="J262" s="10" t="s">
        <v>418</v>
      </c>
      <c r="K262" s="10">
        <f t="shared" si="111"/>
        <v>44653</v>
      </c>
      <c r="L262" s="10">
        <f t="shared" si="108"/>
        <v>4653</v>
      </c>
      <c r="M262" s="10">
        <f t="shared" si="109"/>
        <v>4652</v>
      </c>
      <c r="N262" s="10" t="s">
        <v>419</v>
      </c>
      <c r="O262" s="10" t="s">
        <v>327</v>
      </c>
      <c r="P262" s="10">
        <v>0</v>
      </c>
      <c r="Q262" s="10"/>
      <c r="R262" s="111" t="s">
        <v>1126</v>
      </c>
      <c r="V262" s="35"/>
      <c r="W262" s="35"/>
      <c r="X262" s="35"/>
      <c r="Y262" s="35"/>
      <c r="Z262" s="35"/>
      <c r="AA262" s="35"/>
      <c r="AB262" s="35"/>
    </row>
    <row r="263" spans="2:28" s="14" customFormat="1" ht="31.2" x14ac:dyDescent="0.3">
      <c r="B263" s="10" t="s">
        <v>1153</v>
      </c>
      <c r="C263" s="10" t="s">
        <v>321</v>
      </c>
      <c r="D263" s="10">
        <v>2</v>
      </c>
      <c r="E263" s="10">
        <f>D263/2</f>
        <v>1</v>
      </c>
      <c r="F263" s="10">
        <v>0</v>
      </c>
      <c r="G263" s="10">
        <v>1</v>
      </c>
      <c r="H263" s="10">
        <v>1</v>
      </c>
      <c r="I263" s="10">
        <v>1</v>
      </c>
      <c r="J263" s="10" t="s">
        <v>418</v>
      </c>
      <c r="K263" s="10">
        <f t="shared" si="111"/>
        <v>44654</v>
      </c>
      <c r="L263" s="10">
        <f t="shared" si="108"/>
        <v>4654</v>
      </c>
      <c r="M263" s="10">
        <f t="shared" si="109"/>
        <v>4653</v>
      </c>
      <c r="N263" s="10" t="s">
        <v>419</v>
      </c>
      <c r="O263" s="10" t="s">
        <v>327</v>
      </c>
      <c r="P263" s="10">
        <v>0</v>
      </c>
      <c r="Q263" s="10"/>
      <c r="R263" s="110" t="s">
        <v>1128</v>
      </c>
      <c r="V263" s="35"/>
      <c r="W263" s="35"/>
      <c r="X263" s="35"/>
      <c r="Y263" s="35"/>
      <c r="Z263" s="35"/>
      <c r="AA263" s="35"/>
      <c r="AB263" s="35"/>
    </row>
    <row r="264" spans="2:28" s="14" customFormat="1" x14ac:dyDescent="0.3">
      <c r="B264" s="10" t="s">
        <v>1154</v>
      </c>
      <c r="C264" s="10" t="s">
        <v>321</v>
      </c>
      <c r="D264" s="10">
        <v>2</v>
      </c>
      <c r="E264" s="10">
        <f>D264/2</f>
        <v>1</v>
      </c>
      <c r="F264" s="10">
        <v>0</v>
      </c>
      <c r="G264" s="10">
        <v>60000</v>
      </c>
      <c r="H264" s="193">
        <v>10</v>
      </c>
      <c r="I264" s="10">
        <v>1</v>
      </c>
      <c r="J264" s="10" t="s">
        <v>418</v>
      </c>
      <c r="K264" s="10">
        <f t="shared" si="111"/>
        <v>44655</v>
      </c>
      <c r="L264" s="10">
        <f t="shared" si="108"/>
        <v>4655</v>
      </c>
      <c r="M264" s="10">
        <f t="shared" si="109"/>
        <v>4654</v>
      </c>
      <c r="N264" s="10" t="s">
        <v>419</v>
      </c>
      <c r="O264" s="10" t="s">
        <v>327</v>
      </c>
      <c r="P264" s="10">
        <v>0</v>
      </c>
      <c r="Q264" s="10" t="s">
        <v>1027</v>
      </c>
      <c r="R264" s="10"/>
      <c r="V264" s="35"/>
      <c r="W264" s="35"/>
      <c r="X264" s="35"/>
      <c r="Y264" s="35"/>
      <c r="Z264" s="35"/>
      <c r="AA264" s="35"/>
      <c r="AB264" s="35"/>
    </row>
    <row r="265" spans="2:28" s="14" customFormat="1" ht="31.2" x14ac:dyDescent="0.3">
      <c r="B265" s="10" t="s">
        <v>1155</v>
      </c>
      <c r="C265" s="10" t="s">
        <v>321</v>
      </c>
      <c r="D265" s="10">
        <v>2</v>
      </c>
      <c r="E265" s="10">
        <f t="shared" si="107"/>
        <v>1</v>
      </c>
      <c r="F265" s="10">
        <v>0</v>
      </c>
      <c r="G265" s="10">
        <v>1</v>
      </c>
      <c r="H265" s="10">
        <v>1</v>
      </c>
      <c r="I265" s="10">
        <v>1</v>
      </c>
      <c r="J265" s="10" t="s">
        <v>418</v>
      </c>
      <c r="K265" s="10">
        <f t="shared" si="111"/>
        <v>44656</v>
      </c>
      <c r="L265" s="10">
        <f t="shared" si="108"/>
        <v>4656</v>
      </c>
      <c r="M265" s="10">
        <f t="shared" si="109"/>
        <v>4655</v>
      </c>
      <c r="N265" s="10" t="s">
        <v>419</v>
      </c>
      <c r="O265" s="10" t="s">
        <v>327</v>
      </c>
      <c r="P265" s="10">
        <v>0</v>
      </c>
      <c r="Q265" s="10"/>
      <c r="R265" s="110" t="s">
        <v>1023</v>
      </c>
      <c r="V265" s="35"/>
      <c r="W265" s="35"/>
      <c r="X265" s="35"/>
      <c r="Y265" s="35"/>
      <c r="Z265" s="35"/>
      <c r="AA265" s="35"/>
      <c r="AB265" s="35"/>
    </row>
    <row r="266" spans="2:28" s="14" customFormat="1" x14ac:dyDescent="0.3">
      <c r="B266" s="10" t="s">
        <v>1156</v>
      </c>
      <c r="C266" s="10" t="s">
        <v>321</v>
      </c>
      <c r="D266" s="10">
        <v>2</v>
      </c>
      <c r="E266" s="10">
        <f>D266/2</f>
        <v>1</v>
      </c>
      <c r="F266" s="10">
        <v>0</v>
      </c>
      <c r="G266" s="10">
        <v>65535</v>
      </c>
      <c r="H266" s="10">
        <v>1</v>
      </c>
      <c r="I266" s="10">
        <v>1</v>
      </c>
      <c r="J266" s="10" t="s">
        <v>418</v>
      </c>
      <c r="K266" s="10">
        <f t="shared" si="111"/>
        <v>44657</v>
      </c>
      <c r="L266" s="10">
        <f t="shared" si="108"/>
        <v>4657</v>
      </c>
      <c r="M266" s="10">
        <f t="shared" si="109"/>
        <v>4656</v>
      </c>
      <c r="N266" s="10" t="s">
        <v>419</v>
      </c>
      <c r="O266" s="10" t="s">
        <v>327</v>
      </c>
      <c r="P266" s="10">
        <v>0</v>
      </c>
      <c r="Q266" s="10"/>
      <c r="R266" s="10" t="s">
        <v>1124</v>
      </c>
      <c r="V266" s="35"/>
      <c r="W266" s="35"/>
      <c r="X266" s="35"/>
      <c r="Y266" s="35"/>
      <c r="Z266" s="35"/>
      <c r="AA266" s="35"/>
      <c r="AB266" s="35"/>
    </row>
    <row r="267" spans="2:28" s="14" customFormat="1" x14ac:dyDescent="0.3">
      <c r="B267" s="10" t="s">
        <v>1157</v>
      </c>
      <c r="C267" s="10" t="s">
        <v>321</v>
      </c>
      <c r="D267" s="10">
        <v>2</v>
      </c>
      <c r="E267" s="10">
        <f>D267/2</f>
        <v>1</v>
      </c>
      <c r="F267" s="10">
        <v>0</v>
      </c>
      <c r="G267" s="10">
        <v>12</v>
      </c>
      <c r="H267" s="10">
        <v>1</v>
      </c>
      <c r="I267" s="10">
        <v>1</v>
      </c>
      <c r="J267" s="10" t="s">
        <v>418</v>
      </c>
      <c r="K267" s="10">
        <f t="shared" si="111"/>
        <v>44658</v>
      </c>
      <c r="L267" s="10">
        <f t="shared" si="108"/>
        <v>4658</v>
      </c>
      <c r="M267" s="10">
        <f t="shared" si="109"/>
        <v>4657</v>
      </c>
      <c r="N267" s="10" t="s">
        <v>419</v>
      </c>
      <c r="O267" s="10" t="s">
        <v>327</v>
      </c>
      <c r="P267" s="10">
        <v>0</v>
      </c>
      <c r="Q267" s="10"/>
      <c r="R267" s="111" t="s">
        <v>1126</v>
      </c>
      <c r="V267" s="35"/>
      <c r="W267" s="35"/>
      <c r="X267" s="35"/>
      <c r="Y267" s="35"/>
      <c r="Z267" s="35"/>
      <c r="AA267" s="35"/>
      <c r="AB267" s="35"/>
    </row>
    <row r="268" spans="2:28" s="14" customFormat="1" ht="31.2" x14ac:dyDescent="0.3">
      <c r="B268" s="10" t="s">
        <v>1158</v>
      </c>
      <c r="C268" s="10" t="s">
        <v>321</v>
      </c>
      <c r="D268" s="10">
        <v>2</v>
      </c>
      <c r="E268" s="10">
        <f>D268/2</f>
        <v>1</v>
      </c>
      <c r="F268" s="10">
        <v>0</v>
      </c>
      <c r="G268" s="10">
        <v>1</v>
      </c>
      <c r="H268" s="10">
        <v>1</v>
      </c>
      <c r="I268" s="10">
        <v>1</v>
      </c>
      <c r="J268" s="10" t="s">
        <v>418</v>
      </c>
      <c r="K268" s="10">
        <f t="shared" si="111"/>
        <v>44659</v>
      </c>
      <c r="L268" s="10">
        <f t="shared" si="108"/>
        <v>4659</v>
      </c>
      <c r="M268" s="10">
        <f t="shared" si="109"/>
        <v>4658</v>
      </c>
      <c r="N268" s="10" t="s">
        <v>419</v>
      </c>
      <c r="O268" s="10" t="s">
        <v>327</v>
      </c>
      <c r="P268" s="10">
        <v>0</v>
      </c>
      <c r="Q268" s="10"/>
      <c r="R268" s="110" t="s">
        <v>1128</v>
      </c>
      <c r="V268" s="35"/>
      <c r="W268" s="35"/>
      <c r="X268" s="35"/>
      <c r="Y268" s="35"/>
      <c r="Z268" s="35"/>
      <c r="AA268" s="35"/>
      <c r="AB268" s="35"/>
    </row>
    <row r="269" spans="2:28" s="14" customFormat="1" x14ac:dyDescent="0.3">
      <c r="B269" s="10" t="s">
        <v>1159</v>
      </c>
      <c r="C269" s="10" t="s">
        <v>321</v>
      </c>
      <c r="D269" s="10">
        <v>2</v>
      </c>
      <c r="E269" s="10">
        <f>D269/2</f>
        <v>1</v>
      </c>
      <c r="F269" s="10">
        <v>0</v>
      </c>
      <c r="G269" s="10">
        <v>60000</v>
      </c>
      <c r="H269" s="193">
        <v>10</v>
      </c>
      <c r="I269" s="10">
        <v>1</v>
      </c>
      <c r="J269" s="10" t="s">
        <v>418</v>
      </c>
      <c r="K269" s="10">
        <f t="shared" si="111"/>
        <v>44660</v>
      </c>
      <c r="L269" s="10">
        <f t="shared" si="108"/>
        <v>4660</v>
      </c>
      <c r="M269" s="10">
        <f t="shared" si="109"/>
        <v>4659</v>
      </c>
      <c r="N269" s="10" t="s">
        <v>419</v>
      </c>
      <c r="O269" s="10" t="s">
        <v>327</v>
      </c>
      <c r="P269" s="10">
        <v>0</v>
      </c>
      <c r="Q269" s="10" t="s">
        <v>1027</v>
      </c>
      <c r="R269" s="10"/>
      <c r="V269" s="35"/>
      <c r="W269" s="35"/>
      <c r="X269" s="35"/>
      <c r="Y269" s="35"/>
      <c r="Z269" s="35"/>
      <c r="AA269" s="35"/>
      <c r="AB269" s="35"/>
    </row>
    <row r="270" spans="2:28" s="14" customFormat="1" ht="31.2" x14ac:dyDescent="0.3">
      <c r="B270" s="10" t="s">
        <v>1160</v>
      </c>
      <c r="C270" s="10" t="s">
        <v>321</v>
      </c>
      <c r="D270" s="10">
        <v>2</v>
      </c>
      <c r="E270" s="10">
        <f t="shared" ref="E270" si="112">D270/2</f>
        <v>1</v>
      </c>
      <c r="F270" s="10">
        <v>0</v>
      </c>
      <c r="G270" s="10">
        <v>1</v>
      </c>
      <c r="H270" s="10">
        <v>1</v>
      </c>
      <c r="I270" s="10">
        <v>1</v>
      </c>
      <c r="J270" s="10" t="s">
        <v>418</v>
      </c>
      <c r="K270" s="10">
        <f t="shared" si="111"/>
        <v>44661</v>
      </c>
      <c r="L270" s="10">
        <f t="shared" si="108"/>
        <v>4661</v>
      </c>
      <c r="M270" s="10">
        <f t="shared" si="109"/>
        <v>4660</v>
      </c>
      <c r="N270" s="10" t="s">
        <v>419</v>
      </c>
      <c r="O270" s="10" t="s">
        <v>327</v>
      </c>
      <c r="P270" s="10">
        <v>0</v>
      </c>
      <c r="Q270" s="10"/>
      <c r="R270" s="110" t="s">
        <v>1023</v>
      </c>
      <c r="V270" s="35"/>
      <c r="W270" s="35"/>
      <c r="X270" s="35"/>
      <c r="Y270" s="35"/>
      <c r="Z270" s="35"/>
      <c r="AA270" s="35"/>
      <c r="AB270" s="35"/>
    </row>
    <row r="271" spans="2:28" s="14" customFormat="1" x14ac:dyDescent="0.3">
      <c r="B271" s="10" t="s">
        <v>1161</v>
      </c>
      <c r="C271" s="10" t="s">
        <v>321</v>
      </c>
      <c r="D271" s="10">
        <v>2</v>
      </c>
      <c r="E271" s="10">
        <f>D271/2</f>
        <v>1</v>
      </c>
      <c r="F271" s="10">
        <v>0</v>
      </c>
      <c r="G271" s="10">
        <v>65535</v>
      </c>
      <c r="H271" s="10">
        <v>1</v>
      </c>
      <c r="I271" s="10">
        <v>1</v>
      </c>
      <c r="J271" s="10" t="s">
        <v>418</v>
      </c>
      <c r="K271" s="10">
        <f t="shared" si="111"/>
        <v>44662</v>
      </c>
      <c r="L271" s="10">
        <f t="shared" si="108"/>
        <v>4662</v>
      </c>
      <c r="M271" s="10">
        <f t="shared" si="109"/>
        <v>4661</v>
      </c>
      <c r="N271" s="10" t="s">
        <v>419</v>
      </c>
      <c r="O271" s="10" t="s">
        <v>327</v>
      </c>
      <c r="P271" s="10">
        <v>0</v>
      </c>
      <c r="Q271" s="10"/>
      <c r="R271" s="10" t="s">
        <v>1124</v>
      </c>
      <c r="V271" s="35"/>
      <c r="W271" s="35"/>
      <c r="X271" s="35"/>
      <c r="Y271" s="35"/>
      <c r="Z271" s="35"/>
      <c r="AA271" s="35"/>
      <c r="AB271" s="35"/>
    </row>
    <row r="272" spans="2:28" s="14" customFormat="1" x14ac:dyDescent="0.3">
      <c r="B272" s="10" t="s">
        <v>1162</v>
      </c>
      <c r="C272" s="10" t="s">
        <v>321</v>
      </c>
      <c r="D272" s="10">
        <v>2</v>
      </c>
      <c r="E272" s="10">
        <f>D272/2</f>
        <v>1</v>
      </c>
      <c r="F272" s="10">
        <v>0</v>
      </c>
      <c r="G272" s="10">
        <v>12</v>
      </c>
      <c r="H272" s="10">
        <v>1</v>
      </c>
      <c r="I272" s="10">
        <v>1</v>
      </c>
      <c r="J272" s="10" t="s">
        <v>418</v>
      </c>
      <c r="K272" s="10">
        <f t="shared" si="111"/>
        <v>44663</v>
      </c>
      <c r="L272" s="10">
        <f t="shared" si="108"/>
        <v>4663</v>
      </c>
      <c r="M272" s="10">
        <f t="shared" si="109"/>
        <v>4662</v>
      </c>
      <c r="N272" s="10" t="s">
        <v>419</v>
      </c>
      <c r="O272" s="10" t="s">
        <v>327</v>
      </c>
      <c r="P272" s="10">
        <v>0</v>
      </c>
      <c r="Q272" s="10"/>
      <c r="R272" s="111" t="s">
        <v>1126</v>
      </c>
      <c r="V272" s="35"/>
      <c r="W272" s="35"/>
      <c r="X272" s="35"/>
      <c r="Y272" s="35"/>
      <c r="Z272" s="35"/>
      <c r="AA272" s="35"/>
      <c r="AB272" s="35"/>
    </row>
    <row r="273" spans="2:28" s="14" customFormat="1" ht="31.2" x14ac:dyDescent="0.3">
      <c r="B273" s="10" t="s">
        <v>1163</v>
      </c>
      <c r="C273" s="10" t="s">
        <v>321</v>
      </c>
      <c r="D273" s="10">
        <v>2</v>
      </c>
      <c r="E273" s="10">
        <f>D273/2</f>
        <v>1</v>
      </c>
      <c r="F273" s="10">
        <v>0</v>
      </c>
      <c r="G273" s="10">
        <v>1</v>
      </c>
      <c r="H273" s="10">
        <v>1</v>
      </c>
      <c r="I273" s="10">
        <v>1</v>
      </c>
      <c r="J273" s="10" t="s">
        <v>418</v>
      </c>
      <c r="K273" s="10">
        <f t="shared" si="111"/>
        <v>44664</v>
      </c>
      <c r="L273" s="10">
        <f t="shared" si="108"/>
        <v>4664</v>
      </c>
      <c r="M273" s="10">
        <f t="shared" si="109"/>
        <v>4663</v>
      </c>
      <c r="N273" s="10" t="s">
        <v>419</v>
      </c>
      <c r="O273" s="10" t="s">
        <v>327</v>
      </c>
      <c r="P273" s="10">
        <v>0</v>
      </c>
      <c r="Q273" s="10"/>
      <c r="R273" s="110" t="s">
        <v>1128</v>
      </c>
      <c r="V273" s="35"/>
      <c r="W273" s="35"/>
      <c r="X273" s="35"/>
      <c r="Y273" s="35"/>
      <c r="Z273" s="35"/>
      <c r="AA273" s="35"/>
      <c r="AB273" s="35"/>
    </row>
    <row r="274" spans="2:28" s="14" customFormat="1" x14ac:dyDescent="0.3">
      <c r="B274" s="10" t="s">
        <v>1164</v>
      </c>
      <c r="C274" s="10" t="s">
        <v>321</v>
      </c>
      <c r="D274" s="10">
        <v>2</v>
      </c>
      <c r="E274" s="10">
        <f>D274/2</f>
        <v>1</v>
      </c>
      <c r="F274" s="10">
        <v>0</v>
      </c>
      <c r="G274" s="10">
        <v>60000</v>
      </c>
      <c r="H274" s="193">
        <v>10</v>
      </c>
      <c r="I274" s="10">
        <v>1</v>
      </c>
      <c r="J274" s="10" t="s">
        <v>418</v>
      </c>
      <c r="K274" s="10">
        <f t="shared" si="111"/>
        <v>44665</v>
      </c>
      <c r="L274" s="10">
        <f t="shared" si="108"/>
        <v>4665</v>
      </c>
      <c r="M274" s="10">
        <f t="shared" si="109"/>
        <v>4664</v>
      </c>
      <c r="N274" s="10" t="s">
        <v>419</v>
      </c>
      <c r="O274" s="10" t="s">
        <v>327</v>
      </c>
      <c r="P274" s="10">
        <v>0</v>
      </c>
      <c r="Q274" s="10" t="s">
        <v>1027</v>
      </c>
      <c r="R274" s="10"/>
      <c r="V274" s="35"/>
      <c r="W274" s="35"/>
      <c r="X274" s="35"/>
      <c r="Y274" s="35"/>
      <c r="Z274" s="35"/>
      <c r="AA274" s="35"/>
      <c r="AB274" s="35"/>
    </row>
    <row r="275" spans="2:28" s="14" customFormat="1" ht="31.2" x14ac:dyDescent="0.3">
      <c r="B275" s="10" t="s">
        <v>1165</v>
      </c>
      <c r="C275" s="10" t="s">
        <v>321</v>
      </c>
      <c r="D275" s="10">
        <v>2</v>
      </c>
      <c r="E275" s="10">
        <f t="shared" ref="E275" si="113">D275/2</f>
        <v>1</v>
      </c>
      <c r="F275" s="10">
        <v>0</v>
      </c>
      <c r="G275" s="10">
        <v>1</v>
      </c>
      <c r="H275" s="10">
        <v>1</v>
      </c>
      <c r="I275" s="10">
        <v>1</v>
      </c>
      <c r="J275" s="10" t="s">
        <v>418</v>
      </c>
      <c r="K275" s="10">
        <f t="shared" si="111"/>
        <v>44666</v>
      </c>
      <c r="L275" s="10">
        <f t="shared" si="108"/>
        <v>4666</v>
      </c>
      <c r="M275" s="10">
        <f t="shared" si="109"/>
        <v>4665</v>
      </c>
      <c r="N275" s="10" t="s">
        <v>419</v>
      </c>
      <c r="O275" s="10" t="s">
        <v>327</v>
      </c>
      <c r="P275" s="10">
        <v>0</v>
      </c>
      <c r="Q275" s="10"/>
      <c r="R275" s="110" t="s">
        <v>1023</v>
      </c>
      <c r="V275" s="35"/>
      <c r="W275" s="35"/>
      <c r="X275" s="35"/>
      <c r="Y275" s="35"/>
      <c r="Z275" s="35"/>
      <c r="AA275" s="35"/>
      <c r="AB275" s="35"/>
    </row>
    <row r="276" spans="2:28" s="14" customFormat="1" x14ac:dyDescent="0.3">
      <c r="B276" s="10" t="s">
        <v>1166</v>
      </c>
      <c r="C276" s="10" t="s">
        <v>321</v>
      </c>
      <c r="D276" s="10">
        <v>2</v>
      </c>
      <c r="E276" s="10">
        <f>D276/2</f>
        <v>1</v>
      </c>
      <c r="F276" s="10">
        <v>0</v>
      </c>
      <c r="G276" s="10">
        <v>65535</v>
      </c>
      <c r="H276" s="10">
        <v>1</v>
      </c>
      <c r="I276" s="10">
        <v>1</v>
      </c>
      <c r="J276" s="10" t="s">
        <v>418</v>
      </c>
      <c r="K276" s="10">
        <f t="shared" si="111"/>
        <v>44667</v>
      </c>
      <c r="L276" s="10">
        <f t="shared" si="108"/>
        <v>4667</v>
      </c>
      <c r="M276" s="10">
        <f t="shared" si="109"/>
        <v>4666</v>
      </c>
      <c r="N276" s="10" t="s">
        <v>419</v>
      </c>
      <c r="O276" s="10" t="s">
        <v>327</v>
      </c>
      <c r="P276" s="10">
        <v>0</v>
      </c>
      <c r="Q276" s="10"/>
      <c r="R276" s="10" t="s">
        <v>1124</v>
      </c>
      <c r="V276" s="35"/>
      <c r="W276" s="35"/>
      <c r="X276" s="35"/>
      <c r="Y276" s="35"/>
      <c r="Z276" s="35"/>
      <c r="AA276" s="35"/>
      <c r="AB276" s="35"/>
    </row>
    <row r="277" spans="2:28" s="14" customFormat="1" x14ac:dyDescent="0.3">
      <c r="B277" s="10" t="s">
        <v>1167</v>
      </c>
      <c r="C277" s="10" t="s">
        <v>321</v>
      </c>
      <c r="D277" s="10">
        <v>2</v>
      </c>
      <c r="E277" s="10">
        <f>D277/2</f>
        <v>1</v>
      </c>
      <c r="F277" s="10">
        <v>0</v>
      </c>
      <c r="G277" s="10">
        <v>12</v>
      </c>
      <c r="H277" s="10">
        <v>1</v>
      </c>
      <c r="I277" s="10">
        <v>1</v>
      </c>
      <c r="J277" s="10" t="s">
        <v>418</v>
      </c>
      <c r="K277" s="10">
        <f t="shared" ref="K277:K294" si="114">K276+E277</f>
        <v>44668</v>
      </c>
      <c r="L277" s="10">
        <f t="shared" si="108"/>
        <v>4668</v>
      </c>
      <c r="M277" s="10">
        <f t="shared" si="109"/>
        <v>4667</v>
      </c>
      <c r="N277" s="10" t="s">
        <v>419</v>
      </c>
      <c r="O277" s="10" t="s">
        <v>327</v>
      </c>
      <c r="P277" s="10">
        <v>0</v>
      </c>
      <c r="Q277" s="10"/>
      <c r="R277" s="111" t="s">
        <v>1126</v>
      </c>
      <c r="V277" s="35"/>
      <c r="W277" s="35"/>
      <c r="X277" s="35"/>
      <c r="Y277" s="35"/>
      <c r="Z277" s="35"/>
      <c r="AA277" s="35"/>
      <c r="AB277" s="35"/>
    </row>
    <row r="278" spans="2:28" s="14" customFormat="1" ht="31.2" x14ac:dyDescent="0.3">
      <c r="B278" s="10" t="s">
        <v>1168</v>
      </c>
      <c r="C278" s="10" t="s">
        <v>321</v>
      </c>
      <c r="D278" s="10">
        <v>2</v>
      </c>
      <c r="E278" s="10">
        <f>D278/2</f>
        <v>1</v>
      </c>
      <c r="F278" s="10">
        <v>0</v>
      </c>
      <c r="G278" s="10">
        <v>1</v>
      </c>
      <c r="H278" s="10">
        <v>1</v>
      </c>
      <c r="I278" s="10">
        <v>1</v>
      </c>
      <c r="J278" s="10" t="s">
        <v>418</v>
      </c>
      <c r="K278" s="10">
        <f t="shared" si="114"/>
        <v>44669</v>
      </c>
      <c r="L278" s="10">
        <f t="shared" si="108"/>
        <v>4669</v>
      </c>
      <c r="M278" s="10">
        <f t="shared" si="109"/>
        <v>4668</v>
      </c>
      <c r="N278" s="10" t="s">
        <v>419</v>
      </c>
      <c r="O278" s="10" t="s">
        <v>327</v>
      </c>
      <c r="P278" s="10">
        <v>0</v>
      </c>
      <c r="Q278" s="10"/>
      <c r="R278" s="110" t="s">
        <v>1128</v>
      </c>
      <c r="V278" s="35"/>
      <c r="W278" s="35"/>
      <c r="X278" s="35"/>
      <c r="Y278" s="35"/>
      <c r="Z278" s="35"/>
      <c r="AA278" s="35"/>
      <c r="AB278" s="35"/>
    </row>
    <row r="279" spans="2:28" s="14" customFormat="1" x14ac:dyDescent="0.3">
      <c r="B279" s="10" t="s">
        <v>1169</v>
      </c>
      <c r="C279" s="10" t="s">
        <v>321</v>
      </c>
      <c r="D279" s="10">
        <v>2</v>
      </c>
      <c r="E279" s="10">
        <f>D279/2</f>
        <v>1</v>
      </c>
      <c r="F279" s="10">
        <v>0</v>
      </c>
      <c r="G279" s="10">
        <v>60000</v>
      </c>
      <c r="H279" s="193">
        <v>10</v>
      </c>
      <c r="I279" s="10">
        <v>1</v>
      </c>
      <c r="J279" s="10" t="s">
        <v>418</v>
      </c>
      <c r="K279" s="10">
        <f t="shared" si="114"/>
        <v>44670</v>
      </c>
      <c r="L279" s="10">
        <f t="shared" si="108"/>
        <v>4670</v>
      </c>
      <c r="M279" s="10">
        <f t="shared" si="109"/>
        <v>4669</v>
      </c>
      <c r="N279" s="10" t="s">
        <v>419</v>
      </c>
      <c r="O279" s="10" t="s">
        <v>327</v>
      </c>
      <c r="P279" s="10">
        <v>0</v>
      </c>
      <c r="Q279" s="10" t="s">
        <v>1027</v>
      </c>
      <c r="R279" s="10"/>
      <c r="V279" s="35"/>
      <c r="W279" s="35"/>
      <c r="X279" s="35"/>
      <c r="Y279" s="35"/>
      <c r="Z279" s="35"/>
      <c r="AA279" s="35"/>
      <c r="AB279" s="35"/>
    </row>
    <row r="280" spans="2:28" s="14" customFormat="1" ht="31.2" x14ac:dyDescent="0.3">
      <c r="B280" s="10" t="s">
        <v>1170</v>
      </c>
      <c r="C280" s="10" t="s">
        <v>321</v>
      </c>
      <c r="D280" s="10">
        <v>2</v>
      </c>
      <c r="E280" s="10">
        <f t="shared" ref="E280" si="115">D280/2</f>
        <v>1</v>
      </c>
      <c r="F280" s="10">
        <v>0</v>
      </c>
      <c r="G280" s="10">
        <v>1</v>
      </c>
      <c r="H280" s="10">
        <v>1</v>
      </c>
      <c r="I280" s="10">
        <v>1</v>
      </c>
      <c r="J280" s="10" t="s">
        <v>418</v>
      </c>
      <c r="K280" s="10">
        <f t="shared" si="114"/>
        <v>44671</v>
      </c>
      <c r="L280" s="10">
        <f t="shared" si="108"/>
        <v>4671</v>
      </c>
      <c r="M280" s="10">
        <f t="shared" si="109"/>
        <v>4670</v>
      </c>
      <c r="N280" s="10" t="s">
        <v>419</v>
      </c>
      <c r="O280" s="10" t="s">
        <v>327</v>
      </c>
      <c r="P280" s="10">
        <v>0</v>
      </c>
      <c r="Q280" s="10"/>
      <c r="R280" s="110" t="s">
        <v>1023</v>
      </c>
      <c r="V280" s="35"/>
      <c r="W280" s="35"/>
      <c r="X280" s="35"/>
      <c r="Y280" s="35"/>
      <c r="Z280" s="35"/>
      <c r="AA280" s="35"/>
      <c r="AB280" s="35"/>
    </row>
    <row r="281" spans="2:28" s="14" customFormat="1" x14ac:dyDescent="0.3">
      <c r="B281" s="10" t="s">
        <v>1171</v>
      </c>
      <c r="C281" s="10" t="s">
        <v>321</v>
      </c>
      <c r="D281" s="10">
        <v>2</v>
      </c>
      <c r="E281" s="10">
        <f>D281/2</f>
        <v>1</v>
      </c>
      <c r="F281" s="10">
        <v>0</v>
      </c>
      <c r="G281" s="10">
        <v>65535</v>
      </c>
      <c r="H281" s="10">
        <v>1</v>
      </c>
      <c r="I281" s="10">
        <v>1</v>
      </c>
      <c r="J281" s="10" t="s">
        <v>418</v>
      </c>
      <c r="K281" s="10">
        <f t="shared" si="114"/>
        <v>44672</v>
      </c>
      <c r="L281" s="10">
        <f t="shared" si="108"/>
        <v>4672</v>
      </c>
      <c r="M281" s="10">
        <f t="shared" si="109"/>
        <v>4671</v>
      </c>
      <c r="N281" s="10" t="s">
        <v>419</v>
      </c>
      <c r="O281" s="10" t="s">
        <v>327</v>
      </c>
      <c r="P281" s="10">
        <v>0</v>
      </c>
      <c r="Q281" s="10"/>
      <c r="R281" s="10" t="s">
        <v>1124</v>
      </c>
      <c r="V281" s="35"/>
      <c r="W281" s="35"/>
      <c r="X281" s="35"/>
      <c r="Y281" s="35"/>
      <c r="Z281" s="35"/>
      <c r="AA281" s="35"/>
      <c r="AB281" s="35"/>
    </row>
    <row r="282" spans="2:28" s="14" customFormat="1" x14ac:dyDescent="0.3">
      <c r="B282" s="10" t="s">
        <v>1172</v>
      </c>
      <c r="C282" s="10" t="s">
        <v>321</v>
      </c>
      <c r="D282" s="10">
        <v>2</v>
      </c>
      <c r="E282" s="10">
        <f>D282/2</f>
        <v>1</v>
      </c>
      <c r="F282" s="10">
        <v>0</v>
      </c>
      <c r="G282" s="10">
        <v>12</v>
      </c>
      <c r="H282" s="10">
        <v>1</v>
      </c>
      <c r="I282" s="10">
        <v>1</v>
      </c>
      <c r="J282" s="10" t="s">
        <v>418</v>
      </c>
      <c r="K282" s="10">
        <f t="shared" si="114"/>
        <v>44673</v>
      </c>
      <c r="L282" s="10">
        <f t="shared" si="108"/>
        <v>4673</v>
      </c>
      <c r="M282" s="10">
        <f t="shared" si="109"/>
        <v>4672</v>
      </c>
      <c r="N282" s="10" t="s">
        <v>419</v>
      </c>
      <c r="O282" s="10" t="s">
        <v>327</v>
      </c>
      <c r="P282" s="10">
        <v>0</v>
      </c>
      <c r="Q282" s="10"/>
      <c r="R282" s="111" t="s">
        <v>1126</v>
      </c>
      <c r="V282" s="35"/>
      <c r="W282" s="35"/>
      <c r="X282" s="35"/>
      <c r="Y282" s="35"/>
      <c r="Z282" s="35"/>
      <c r="AA282" s="35"/>
      <c r="AB282" s="35"/>
    </row>
    <row r="283" spans="2:28" s="14" customFormat="1" ht="31.2" x14ac:dyDescent="0.3">
      <c r="B283" s="10" t="s">
        <v>1173</v>
      </c>
      <c r="C283" s="10" t="s">
        <v>321</v>
      </c>
      <c r="D283" s="10">
        <v>2</v>
      </c>
      <c r="E283" s="10">
        <f>D283/2</f>
        <v>1</v>
      </c>
      <c r="F283" s="10">
        <v>0</v>
      </c>
      <c r="G283" s="10">
        <v>1</v>
      </c>
      <c r="H283" s="10">
        <v>1</v>
      </c>
      <c r="I283" s="10">
        <v>1</v>
      </c>
      <c r="J283" s="10" t="s">
        <v>418</v>
      </c>
      <c r="K283" s="10">
        <f t="shared" si="114"/>
        <v>44674</v>
      </c>
      <c r="L283" s="10">
        <f t="shared" si="108"/>
        <v>4674</v>
      </c>
      <c r="M283" s="10">
        <f t="shared" si="109"/>
        <v>4673</v>
      </c>
      <c r="N283" s="10" t="s">
        <v>419</v>
      </c>
      <c r="O283" s="10" t="s">
        <v>327</v>
      </c>
      <c r="P283" s="10">
        <v>0</v>
      </c>
      <c r="Q283" s="10"/>
      <c r="R283" s="110" t="s">
        <v>1128</v>
      </c>
      <c r="V283" s="35"/>
      <c r="W283" s="35"/>
      <c r="X283" s="35"/>
      <c r="Y283" s="35"/>
      <c r="Z283" s="35"/>
      <c r="AA283" s="35"/>
      <c r="AB283" s="35"/>
    </row>
    <row r="284" spans="2:28" s="14" customFormat="1" x14ac:dyDescent="0.3">
      <c r="B284" s="10" t="s">
        <v>1174</v>
      </c>
      <c r="C284" s="10" t="s">
        <v>321</v>
      </c>
      <c r="D284" s="10">
        <v>2</v>
      </c>
      <c r="E284" s="10">
        <f>D284/2</f>
        <v>1</v>
      </c>
      <c r="F284" s="10">
        <v>0</v>
      </c>
      <c r="G284" s="10">
        <v>60000</v>
      </c>
      <c r="H284" s="193">
        <v>10</v>
      </c>
      <c r="I284" s="10">
        <v>1</v>
      </c>
      <c r="J284" s="10" t="s">
        <v>418</v>
      </c>
      <c r="K284" s="10">
        <f t="shared" si="114"/>
        <v>44675</v>
      </c>
      <c r="L284" s="10">
        <f t="shared" si="108"/>
        <v>4675</v>
      </c>
      <c r="M284" s="10">
        <f t="shared" si="109"/>
        <v>4674</v>
      </c>
      <c r="N284" s="10" t="s">
        <v>419</v>
      </c>
      <c r="O284" s="10" t="s">
        <v>327</v>
      </c>
      <c r="P284" s="10">
        <v>0</v>
      </c>
      <c r="Q284" s="10" t="s">
        <v>1027</v>
      </c>
      <c r="R284" s="10"/>
      <c r="V284" s="35"/>
      <c r="W284" s="35"/>
      <c r="X284" s="35"/>
      <c r="Y284" s="35"/>
      <c r="Z284" s="35"/>
      <c r="AA284" s="35"/>
      <c r="AB284" s="35"/>
    </row>
    <row r="285" spans="2:28" s="14" customFormat="1" ht="31.2" x14ac:dyDescent="0.3">
      <c r="B285" s="10" t="s">
        <v>1175</v>
      </c>
      <c r="C285" s="10" t="s">
        <v>321</v>
      </c>
      <c r="D285" s="10">
        <v>2</v>
      </c>
      <c r="E285" s="10">
        <f t="shared" ref="E285" si="116">D285/2</f>
        <v>1</v>
      </c>
      <c r="F285" s="10">
        <v>0</v>
      </c>
      <c r="G285" s="10">
        <v>1</v>
      </c>
      <c r="H285" s="10">
        <v>1</v>
      </c>
      <c r="I285" s="10">
        <v>1</v>
      </c>
      <c r="J285" s="10" t="s">
        <v>418</v>
      </c>
      <c r="K285" s="10">
        <f t="shared" si="114"/>
        <v>44676</v>
      </c>
      <c r="L285" s="10">
        <f t="shared" si="108"/>
        <v>4676</v>
      </c>
      <c r="M285" s="10">
        <f t="shared" si="109"/>
        <v>4675</v>
      </c>
      <c r="N285" s="10" t="s">
        <v>419</v>
      </c>
      <c r="O285" s="10" t="s">
        <v>327</v>
      </c>
      <c r="P285" s="10">
        <v>0</v>
      </c>
      <c r="Q285" s="10"/>
      <c r="R285" s="110" t="s">
        <v>1023</v>
      </c>
      <c r="V285" s="35"/>
      <c r="W285" s="35"/>
      <c r="X285" s="35"/>
      <c r="Y285" s="35"/>
      <c r="Z285" s="35"/>
      <c r="AA285" s="35"/>
      <c r="AB285" s="35"/>
    </row>
    <row r="286" spans="2:28" s="14" customFormat="1" x14ac:dyDescent="0.3">
      <c r="B286" s="10" t="s">
        <v>1176</v>
      </c>
      <c r="C286" s="10" t="s">
        <v>321</v>
      </c>
      <c r="D286" s="10">
        <v>2</v>
      </c>
      <c r="E286" s="10">
        <f>D286/2</f>
        <v>1</v>
      </c>
      <c r="F286" s="10">
        <v>0</v>
      </c>
      <c r="G286" s="10">
        <v>65535</v>
      </c>
      <c r="H286" s="10">
        <v>1</v>
      </c>
      <c r="I286" s="10">
        <v>1</v>
      </c>
      <c r="J286" s="10" t="s">
        <v>418</v>
      </c>
      <c r="K286" s="10">
        <f t="shared" si="114"/>
        <v>44677</v>
      </c>
      <c r="L286" s="10">
        <f t="shared" si="108"/>
        <v>4677</v>
      </c>
      <c r="M286" s="10">
        <f t="shared" si="109"/>
        <v>4676</v>
      </c>
      <c r="N286" s="10" t="s">
        <v>419</v>
      </c>
      <c r="O286" s="10" t="s">
        <v>327</v>
      </c>
      <c r="P286" s="10">
        <v>0</v>
      </c>
      <c r="Q286" s="10"/>
      <c r="R286" s="10" t="s">
        <v>1124</v>
      </c>
      <c r="V286" s="35"/>
      <c r="W286" s="35"/>
      <c r="X286" s="35"/>
      <c r="Y286" s="35"/>
      <c r="Z286" s="35"/>
      <c r="AA286" s="35"/>
      <c r="AB286" s="35"/>
    </row>
    <row r="287" spans="2:28" s="14" customFormat="1" x14ac:dyDescent="0.3">
      <c r="B287" s="10" t="s">
        <v>1177</v>
      </c>
      <c r="C287" s="10" t="s">
        <v>321</v>
      </c>
      <c r="D287" s="10">
        <v>2</v>
      </c>
      <c r="E287" s="10">
        <f>D287/2</f>
        <v>1</v>
      </c>
      <c r="F287" s="10">
        <v>0</v>
      </c>
      <c r="G287" s="10">
        <v>12</v>
      </c>
      <c r="H287" s="10">
        <v>1</v>
      </c>
      <c r="I287" s="10">
        <v>1</v>
      </c>
      <c r="J287" s="10" t="s">
        <v>418</v>
      </c>
      <c r="K287" s="10">
        <f t="shared" si="114"/>
        <v>44678</v>
      </c>
      <c r="L287" s="10">
        <f t="shared" si="108"/>
        <v>4678</v>
      </c>
      <c r="M287" s="10">
        <f t="shared" si="109"/>
        <v>4677</v>
      </c>
      <c r="N287" s="10" t="s">
        <v>419</v>
      </c>
      <c r="O287" s="10" t="s">
        <v>327</v>
      </c>
      <c r="P287" s="10">
        <v>0</v>
      </c>
      <c r="Q287" s="10"/>
      <c r="R287" s="111" t="s">
        <v>1126</v>
      </c>
      <c r="V287" s="35"/>
      <c r="W287" s="35"/>
      <c r="X287" s="35"/>
      <c r="Y287" s="35"/>
      <c r="Z287" s="35"/>
      <c r="AA287" s="35"/>
      <c r="AB287" s="35"/>
    </row>
    <row r="288" spans="2:28" s="14" customFormat="1" ht="31.2" x14ac:dyDescent="0.3">
      <c r="B288" s="10" t="s">
        <v>1178</v>
      </c>
      <c r="C288" s="10" t="s">
        <v>321</v>
      </c>
      <c r="D288" s="10">
        <v>2</v>
      </c>
      <c r="E288" s="10">
        <f>D288/2</f>
        <v>1</v>
      </c>
      <c r="F288" s="10">
        <v>0</v>
      </c>
      <c r="G288" s="10">
        <v>1</v>
      </c>
      <c r="H288" s="10">
        <v>1</v>
      </c>
      <c r="I288" s="10">
        <v>1</v>
      </c>
      <c r="J288" s="10" t="s">
        <v>418</v>
      </c>
      <c r="K288" s="10">
        <f t="shared" si="114"/>
        <v>44679</v>
      </c>
      <c r="L288" s="10">
        <f t="shared" si="108"/>
        <v>4679</v>
      </c>
      <c r="M288" s="10">
        <f t="shared" si="109"/>
        <v>4678</v>
      </c>
      <c r="N288" s="10" t="s">
        <v>419</v>
      </c>
      <c r="O288" s="10" t="s">
        <v>327</v>
      </c>
      <c r="P288" s="10">
        <v>0</v>
      </c>
      <c r="Q288" s="10"/>
      <c r="R288" s="110" t="s">
        <v>1128</v>
      </c>
      <c r="V288" s="35"/>
      <c r="W288" s="35"/>
      <c r="X288" s="35"/>
      <c r="Y288" s="35"/>
      <c r="Z288" s="35"/>
      <c r="AA288" s="35"/>
      <c r="AB288" s="35"/>
    </row>
    <row r="289" spans="2:28" s="14" customFormat="1" x14ac:dyDescent="0.3">
      <c r="B289" s="10" t="s">
        <v>1179</v>
      </c>
      <c r="C289" s="10" t="s">
        <v>321</v>
      </c>
      <c r="D289" s="10">
        <v>2</v>
      </c>
      <c r="E289" s="10">
        <f>D289/2</f>
        <v>1</v>
      </c>
      <c r="F289" s="10">
        <v>0</v>
      </c>
      <c r="G289" s="10">
        <v>60000</v>
      </c>
      <c r="H289" s="193">
        <v>10</v>
      </c>
      <c r="I289" s="10">
        <v>1</v>
      </c>
      <c r="J289" s="10" t="s">
        <v>418</v>
      </c>
      <c r="K289" s="10">
        <f t="shared" si="114"/>
        <v>44680</v>
      </c>
      <c r="L289" s="10">
        <f t="shared" si="108"/>
        <v>4680</v>
      </c>
      <c r="M289" s="10">
        <f t="shared" si="109"/>
        <v>4679</v>
      </c>
      <c r="N289" s="10" t="s">
        <v>419</v>
      </c>
      <c r="O289" s="10" t="s">
        <v>327</v>
      </c>
      <c r="P289" s="10">
        <v>0</v>
      </c>
      <c r="Q289" s="10" t="s">
        <v>1027</v>
      </c>
      <c r="R289" s="10"/>
      <c r="V289" s="35"/>
      <c r="W289" s="35"/>
      <c r="X289" s="35"/>
      <c r="Y289" s="35"/>
      <c r="Z289" s="35"/>
      <c r="AA289" s="35"/>
      <c r="AB289" s="35"/>
    </row>
    <row r="290" spans="2:28" s="14" customFormat="1" ht="31.2" x14ac:dyDescent="0.3">
      <c r="B290" s="10" t="s">
        <v>1180</v>
      </c>
      <c r="C290" s="10" t="s">
        <v>321</v>
      </c>
      <c r="D290" s="10">
        <v>2</v>
      </c>
      <c r="E290" s="10">
        <f t="shared" ref="E290" si="117">D290/2</f>
        <v>1</v>
      </c>
      <c r="F290" s="10">
        <v>0</v>
      </c>
      <c r="G290" s="10">
        <v>1</v>
      </c>
      <c r="H290" s="10">
        <v>1</v>
      </c>
      <c r="I290" s="10">
        <v>1</v>
      </c>
      <c r="J290" s="10" t="s">
        <v>418</v>
      </c>
      <c r="K290" s="10">
        <f t="shared" si="114"/>
        <v>44681</v>
      </c>
      <c r="L290" s="10">
        <f t="shared" si="108"/>
        <v>4681</v>
      </c>
      <c r="M290" s="10">
        <f t="shared" si="109"/>
        <v>4680</v>
      </c>
      <c r="N290" s="10" t="s">
        <v>419</v>
      </c>
      <c r="O290" s="10" t="s">
        <v>327</v>
      </c>
      <c r="P290" s="10">
        <v>0</v>
      </c>
      <c r="Q290" s="10"/>
      <c r="R290" s="110" t="s">
        <v>1023</v>
      </c>
      <c r="V290" s="35"/>
      <c r="W290" s="35"/>
      <c r="X290" s="35"/>
      <c r="Y290" s="35"/>
      <c r="Z290" s="35"/>
      <c r="AA290" s="35"/>
      <c r="AB290" s="35"/>
    </row>
    <row r="291" spans="2:28" s="14" customFormat="1" x14ac:dyDescent="0.3">
      <c r="B291" s="10" t="s">
        <v>1181</v>
      </c>
      <c r="C291" s="10" t="s">
        <v>321</v>
      </c>
      <c r="D291" s="10">
        <v>2</v>
      </c>
      <c r="E291" s="10">
        <f>D291/2</f>
        <v>1</v>
      </c>
      <c r="F291" s="10">
        <v>0</v>
      </c>
      <c r="G291" s="10">
        <v>65535</v>
      </c>
      <c r="H291" s="10">
        <v>1</v>
      </c>
      <c r="I291" s="10">
        <v>1</v>
      </c>
      <c r="J291" s="10" t="s">
        <v>418</v>
      </c>
      <c r="K291" s="10">
        <f t="shared" si="114"/>
        <v>44682</v>
      </c>
      <c r="L291" s="10">
        <f t="shared" si="108"/>
        <v>4682</v>
      </c>
      <c r="M291" s="10">
        <f t="shared" si="109"/>
        <v>4681</v>
      </c>
      <c r="N291" s="10" t="s">
        <v>419</v>
      </c>
      <c r="O291" s="10" t="s">
        <v>327</v>
      </c>
      <c r="P291" s="10">
        <v>0</v>
      </c>
      <c r="Q291" s="10"/>
      <c r="R291" s="10" t="s">
        <v>1124</v>
      </c>
      <c r="V291" s="35"/>
      <c r="W291" s="35"/>
      <c r="X291" s="35"/>
      <c r="Y291" s="35"/>
      <c r="Z291" s="35"/>
      <c r="AA291" s="35"/>
      <c r="AB291" s="35"/>
    </row>
    <row r="292" spans="2:28" s="14" customFormat="1" x14ac:dyDescent="0.3">
      <c r="B292" s="10" t="s">
        <v>1182</v>
      </c>
      <c r="C292" s="10" t="s">
        <v>321</v>
      </c>
      <c r="D292" s="10">
        <v>2</v>
      </c>
      <c r="E292" s="10">
        <f>D292/2</f>
        <v>1</v>
      </c>
      <c r="F292" s="10">
        <v>0</v>
      </c>
      <c r="G292" s="10">
        <v>12</v>
      </c>
      <c r="H292" s="10">
        <v>1</v>
      </c>
      <c r="I292" s="10">
        <v>1</v>
      </c>
      <c r="J292" s="10" t="s">
        <v>418</v>
      </c>
      <c r="K292" s="10">
        <f t="shared" si="114"/>
        <v>44683</v>
      </c>
      <c r="L292" s="10">
        <f t="shared" si="108"/>
        <v>4683</v>
      </c>
      <c r="M292" s="10">
        <f t="shared" si="109"/>
        <v>4682</v>
      </c>
      <c r="N292" s="10" t="s">
        <v>419</v>
      </c>
      <c r="O292" s="10" t="s">
        <v>327</v>
      </c>
      <c r="P292" s="10">
        <v>0</v>
      </c>
      <c r="Q292" s="10"/>
      <c r="R292" s="111" t="s">
        <v>1126</v>
      </c>
      <c r="V292" s="35"/>
      <c r="W292" s="35"/>
      <c r="X292" s="35"/>
      <c r="Y292" s="35"/>
      <c r="Z292" s="35"/>
      <c r="AA292" s="35"/>
      <c r="AB292" s="35"/>
    </row>
    <row r="293" spans="2:28" s="14" customFormat="1" ht="31.2" x14ac:dyDescent="0.3">
      <c r="B293" s="10" t="s">
        <v>1183</v>
      </c>
      <c r="C293" s="10" t="s">
        <v>321</v>
      </c>
      <c r="D293" s="10">
        <v>2</v>
      </c>
      <c r="E293" s="10">
        <f>D293/2</f>
        <v>1</v>
      </c>
      <c r="F293" s="10">
        <v>0</v>
      </c>
      <c r="G293" s="10">
        <v>1</v>
      </c>
      <c r="H293" s="10">
        <v>1</v>
      </c>
      <c r="I293" s="10">
        <v>1</v>
      </c>
      <c r="J293" s="10" t="s">
        <v>418</v>
      </c>
      <c r="K293" s="10">
        <f t="shared" si="114"/>
        <v>44684</v>
      </c>
      <c r="L293" s="10">
        <f t="shared" si="108"/>
        <v>4684</v>
      </c>
      <c r="M293" s="10">
        <f t="shared" si="109"/>
        <v>4683</v>
      </c>
      <c r="N293" s="10" t="s">
        <v>419</v>
      </c>
      <c r="O293" s="10" t="s">
        <v>327</v>
      </c>
      <c r="P293" s="10">
        <v>0</v>
      </c>
      <c r="Q293" s="10"/>
      <c r="R293" s="110" t="s">
        <v>1128</v>
      </c>
      <c r="V293" s="35"/>
      <c r="W293" s="35"/>
      <c r="X293" s="35"/>
      <c r="Y293" s="35"/>
      <c r="Z293" s="35"/>
      <c r="AA293" s="35"/>
      <c r="AB293" s="35"/>
    </row>
    <row r="294" spans="2:28" s="14" customFormat="1" x14ac:dyDescent="0.3">
      <c r="B294" s="10" t="s">
        <v>1184</v>
      </c>
      <c r="C294" s="10" t="s">
        <v>321</v>
      </c>
      <c r="D294" s="10">
        <v>2</v>
      </c>
      <c r="E294" s="10">
        <f>D294/2</f>
        <v>1</v>
      </c>
      <c r="F294" s="10">
        <v>0</v>
      </c>
      <c r="G294" s="10">
        <v>60000</v>
      </c>
      <c r="H294" s="193">
        <v>10</v>
      </c>
      <c r="I294" s="10">
        <v>1</v>
      </c>
      <c r="J294" s="10" t="s">
        <v>418</v>
      </c>
      <c r="K294" s="10">
        <f t="shared" si="114"/>
        <v>44685</v>
      </c>
      <c r="L294" s="10">
        <f t="shared" si="108"/>
        <v>4685</v>
      </c>
      <c r="M294" s="10">
        <f t="shared" si="109"/>
        <v>4684</v>
      </c>
      <c r="N294" s="10" t="s">
        <v>419</v>
      </c>
      <c r="O294" s="10" t="s">
        <v>327</v>
      </c>
      <c r="P294" s="10">
        <v>0</v>
      </c>
      <c r="Q294" s="10" t="s">
        <v>1027</v>
      </c>
      <c r="R294" s="10"/>
      <c r="V294" s="35"/>
      <c r="W294" s="35"/>
      <c r="X294" s="35"/>
      <c r="Y294" s="35"/>
      <c r="Z294" s="35"/>
      <c r="AA294" s="35"/>
      <c r="AB294" s="35"/>
    </row>
    <row r="295" spans="2:28" s="14" customFormat="1" ht="31.2" x14ac:dyDescent="0.3">
      <c r="B295" s="10" t="s">
        <v>1185</v>
      </c>
      <c r="C295" s="10" t="s">
        <v>321</v>
      </c>
      <c r="D295" s="10">
        <v>2</v>
      </c>
      <c r="E295" s="10">
        <f t="shared" ref="E295" si="118">D295/2</f>
        <v>1</v>
      </c>
      <c r="F295" s="10">
        <v>0</v>
      </c>
      <c r="G295" s="10">
        <v>1</v>
      </c>
      <c r="H295" s="10">
        <v>1</v>
      </c>
      <c r="I295" s="10">
        <v>1</v>
      </c>
      <c r="J295" s="10" t="s">
        <v>418</v>
      </c>
      <c r="K295" s="10">
        <f t="shared" ref="K295:K304" si="119">K294+E295</f>
        <v>44686</v>
      </c>
      <c r="L295" s="10">
        <f t="shared" si="108"/>
        <v>4686</v>
      </c>
      <c r="M295" s="10">
        <f t="shared" si="109"/>
        <v>4685</v>
      </c>
      <c r="N295" s="10" t="s">
        <v>419</v>
      </c>
      <c r="O295" s="10" t="s">
        <v>327</v>
      </c>
      <c r="P295" s="10">
        <v>0</v>
      </c>
      <c r="Q295" s="10"/>
      <c r="R295" s="110" t="s">
        <v>1023</v>
      </c>
      <c r="V295" s="35"/>
      <c r="W295" s="35"/>
      <c r="X295" s="35"/>
      <c r="Y295" s="35"/>
      <c r="Z295" s="35"/>
      <c r="AA295" s="35"/>
      <c r="AB295" s="35"/>
    </row>
    <row r="296" spans="2:28" s="14" customFormat="1" x14ac:dyDescent="0.3">
      <c r="B296" s="10" t="s">
        <v>1186</v>
      </c>
      <c r="C296" s="10" t="s">
        <v>321</v>
      </c>
      <c r="D296" s="10">
        <v>2</v>
      </c>
      <c r="E296" s="10">
        <f>D296/2</f>
        <v>1</v>
      </c>
      <c r="F296" s="10">
        <v>0</v>
      </c>
      <c r="G296" s="10">
        <v>65535</v>
      </c>
      <c r="H296" s="10">
        <v>1</v>
      </c>
      <c r="I296" s="10">
        <v>1</v>
      </c>
      <c r="J296" s="10" t="s">
        <v>418</v>
      </c>
      <c r="K296" s="10">
        <f t="shared" si="119"/>
        <v>44687</v>
      </c>
      <c r="L296" s="10">
        <f t="shared" si="108"/>
        <v>4687</v>
      </c>
      <c r="M296" s="10">
        <f t="shared" si="109"/>
        <v>4686</v>
      </c>
      <c r="N296" s="10" t="s">
        <v>419</v>
      </c>
      <c r="O296" s="10" t="s">
        <v>327</v>
      </c>
      <c r="P296" s="10">
        <v>0</v>
      </c>
      <c r="Q296" s="10"/>
      <c r="R296" s="10" t="s">
        <v>1124</v>
      </c>
      <c r="V296" s="35"/>
      <c r="W296" s="35"/>
      <c r="X296" s="35"/>
      <c r="Y296" s="35"/>
      <c r="Z296" s="35"/>
      <c r="AA296" s="35"/>
      <c r="AB296" s="35"/>
    </row>
    <row r="297" spans="2:28" s="14" customFormat="1" x14ac:dyDescent="0.3">
      <c r="B297" s="10" t="s">
        <v>1187</v>
      </c>
      <c r="C297" s="10" t="s">
        <v>321</v>
      </c>
      <c r="D297" s="10">
        <v>2</v>
      </c>
      <c r="E297" s="10">
        <f>D297/2</f>
        <v>1</v>
      </c>
      <c r="F297" s="10">
        <v>0</v>
      </c>
      <c r="G297" s="10">
        <v>12</v>
      </c>
      <c r="H297" s="10">
        <v>1</v>
      </c>
      <c r="I297" s="10">
        <v>1</v>
      </c>
      <c r="J297" s="10" t="s">
        <v>418</v>
      </c>
      <c r="K297" s="10">
        <f t="shared" si="119"/>
        <v>44688</v>
      </c>
      <c r="L297" s="10">
        <f t="shared" si="108"/>
        <v>4688</v>
      </c>
      <c r="M297" s="10">
        <f t="shared" si="109"/>
        <v>4687</v>
      </c>
      <c r="N297" s="10" t="s">
        <v>419</v>
      </c>
      <c r="O297" s="10" t="s">
        <v>327</v>
      </c>
      <c r="P297" s="10">
        <v>0</v>
      </c>
      <c r="Q297" s="10"/>
      <c r="R297" s="111" t="s">
        <v>1126</v>
      </c>
      <c r="V297" s="35"/>
      <c r="W297" s="35"/>
      <c r="X297" s="35"/>
      <c r="Y297" s="35"/>
      <c r="Z297" s="35"/>
      <c r="AA297" s="35"/>
      <c r="AB297" s="35"/>
    </row>
    <row r="298" spans="2:28" s="14" customFormat="1" ht="31.2" x14ac:dyDescent="0.3">
      <c r="B298" s="10" t="s">
        <v>1188</v>
      </c>
      <c r="C298" s="10" t="s">
        <v>321</v>
      </c>
      <c r="D298" s="10">
        <v>2</v>
      </c>
      <c r="E298" s="10">
        <f>D298/2</f>
        <v>1</v>
      </c>
      <c r="F298" s="10">
        <v>0</v>
      </c>
      <c r="G298" s="10">
        <v>1</v>
      </c>
      <c r="H298" s="10">
        <v>1</v>
      </c>
      <c r="I298" s="10">
        <v>1</v>
      </c>
      <c r="J298" s="10" t="s">
        <v>418</v>
      </c>
      <c r="K298" s="10">
        <f t="shared" si="119"/>
        <v>44689</v>
      </c>
      <c r="L298" s="10">
        <f t="shared" si="108"/>
        <v>4689</v>
      </c>
      <c r="M298" s="10">
        <f t="shared" si="109"/>
        <v>4688</v>
      </c>
      <c r="N298" s="10" t="s">
        <v>419</v>
      </c>
      <c r="O298" s="10" t="s">
        <v>327</v>
      </c>
      <c r="P298" s="10">
        <v>0</v>
      </c>
      <c r="Q298" s="10"/>
      <c r="R298" s="110" t="s">
        <v>1128</v>
      </c>
      <c r="V298" s="35"/>
      <c r="W298" s="35"/>
      <c r="X298" s="35"/>
      <c r="Y298" s="35"/>
      <c r="Z298" s="35"/>
      <c r="AA298" s="35"/>
      <c r="AB298" s="35"/>
    </row>
    <row r="299" spans="2:28" s="14" customFormat="1" x14ac:dyDescent="0.3">
      <c r="B299" s="10" t="s">
        <v>1189</v>
      </c>
      <c r="C299" s="10" t="s">
        <v>321</v>
      </c>
      <c r="D299" s="10">
        <v>2</v>
      </c>
      <c r="E299" s="10">
        <f>D299/2</f>
        <v>1</v>
      </c>
      <c r="F299" s="10">
        <v>0</v>
      </c>
      <c r="G299" s="10">
        <v>60000</v>
      </c>
      <c r="H299" s="193">
        <v>10</v>
      </c>
      <c r="I299" s="10">
        <v>1</v>
      </c>
      <c r="J299" s="10" t="s">
        <v>418</v>
      </c>
      <c r="K299" s="10">
        <f t="shared" si="119"/>
        <v>44690</v>
      </c>
      <c r="L299" s="10">
        <f t="shared" ref="L299:L304" si="120">K299-40000</f>
        <v>4690</v>
      </c>
      <c r="M299" s="10">
        <f t="shared" ref="M299:M304" si="121">L299-1</f>
        <v>4689</v>
      </c>
      <c r="N299" s="10" t="s">
        <v>419</v>
      </c>
      <c r="O299" s="10" t="s">
        <v>327</v>
      </c>
      <c r="P299" s="10">
        <v>0</v>
      </c>
      <c r="Q299" s="10" t="s">
        <v>1027</v>
      </c>
      <c r="R299" s="10"/>
      <c r="V299" s="35"/>
      <c r="W299" s="35"/>
      <c r="X299" s="35"/>
      <c r="Y299" s="35"/>
      <c r="Z299" s="35"/>
      <c r="AA299" s="35"/>
      <c r="AB299" s="35"/>
    </row>
    <row r="300" spans="2:28" s="14" customFormat="1" x14ac:dyDescent="0.3">
      <c r="B300" s="10" t="s">
        <v>320</v>
      </c>
      <c r="C300" s="10" t="s">
        <v>321</v>
      </c>
      <c r="D300" s="10">
        <v>2</v>
      </c>
      <c r="E300" s="10">
        <f t="shared" ref="E300:E302" si="122">D300/2</f>
        <v>1</v>
      </c>
      <c r="F300" s="10">
        <v>0</v>
      </c>
      <c r="G300" s="10">
        <v>0</v>
      </c>
      <c r="H300" s="10">
        <v>0</v>
      </c>
      <c r="I300" s="10">
        <v>0</v>
      </c>
      <c r="J300" s="10" t="s">
        <v>418</v>
      </c>
      <c r="K300" s="10">
        <f t="shared" si="119"/>
        <v>44691</v>
      </c>
      <c r="L300" s="10">
        <f t="shared" si="120"/>
        <v>4691</v>
      </c>
      <c r="M300" s="10">
        <f t="shared" si="121"/>
        <v>4690</v>
      </c>
      <c r="N300" s="10" t="s">
        <v>419</v>
      </c>
      <c r="O300" s="10" t="s">
        <v>324</v>
      </c>
      <c r="P300" s="10">
        <v>0</v>
      </c>
      <c r="Q300" s="10"/>
      <c r="R300" s="10"/>
      <c r="V300" s="35"/>
      <c r="W300" s="35"/>
      <c r="X300" s="35"/>
      <c r="Y300" s="35"/>
      <c r="Z300" s="35"/>
      <c r="AA300" s="35"/>
      <c r="AB300" s="35"/>
    </row>
    <row r="301" spans="2:28" s="14" customFormat="1" ht="16.5" customHeight="1" x14ac:dyDescent="0.3">
      <c r="B301" s="10" t="s">
        <v>320</v>
      </c>
      <c r="C301" s="10" t="s">
        <v>321</v>
      </c>
      <c r="D301" s="10">
        <v>2</v>
      </c>
      <c r="E301" s="10">
        <f t="shared" si="122"/>
        <v>1</v>
      </c>
      <c r="F301" s="10">
        <v>0</v>
      </c>
      <c r="G301" s="10">
        <v>0</v>
      </c>
      <c r="H301" s="10">
        <v>0</v>
      </c>
      <c r="I301" s="10">
        <v>0</v>
      </c>
      <c r="J301" s="10" t="s">
        <v>418</v>
      </c>
      <c r="K301" s="10">
        <f t="shared" si="119"/>
        <v>44692</v>
      </c>
      <c r="L301" s="10">
        <f t="shared" si="120"/>
        <v>4692</v>
      </c>
      <c r="M301" s="10">
        <f t="shared" si="121"/>
        <v>4691</v>
      </c>
      <c r="N301" s="10" t="s">
        <v>419</v>
      </c>
      <c r="O301" s="10" t="s">
        <v>324</v>
      </c>
      <c r="P301" s="10">
        <v>0</v>
      </c>
      <c r="Q301" s="10"/>
      <c r="R301" s="10"/>
      <c r="V301" s="35"/>
      <c r="W301" s="35"/>
      <c r="X301" s="35"/>
      <c r="Y301" s="35"/>
      <c r="Z301" s="35"/>
      <c r="AA301" s="35"/>
      <c r="AB301" s="35"/>
    </row>
    <row r="302" spans="2:28" s="14" customFormat="1" x14ac:dyDescent="0.3">
      <c r="B302" s="10" t="s">
        <v>320</v>
      </c>
      <c r="C302" s="10" t="s">
        <v>321</v>
      </c>
      <c r="D302" s="10">
        <v>2</v>
      </c>
      <c r="E302" s="10">
        <f t="shared" si="122"/>
        <v>1</v>
      </c>
      <c r="F302" s="10">
        <v>0</v>
      </c>
      <c r="G302" s="10">
        <v>0</v>
      </c>
      <c r="H302" s="10">
        <v>0</v>
      </c>
      <c r="I302" s="10">
        <v>0</v>
      </c>
      <c r="J302" s="10" t="s">
        <v>418</v>
      </c>
      <c r="K302" s="10">
        <f t="shared" si="119"/>
        <v>44693</v>
      </c>
      <c r="L302" s="10">
        <f t="shared" si="120"/>
        <v>4693</v>
      </c>
      <c r="M302" s="10">
        <f t="shared" si="121"/>
        <v>4692</v>
      </c>
      <c r="N302" s="10" t="s">
        <v>419</v>
      </c>
      <c r="O302" s="10" t="s">
        <v>324</v>
      </c>
      <c r="P302" s="10">
        <v>0</v>
      </c>
      <c r="Q302" s="10"/>
      <c r="R302" s="10"/>
      <c r="V302" s="35"/>
      <c r="W302" s="35"/>
      <c r="X302" s="35"/>
      <c r="Y302" s="35"/>
      <c r="Z302" s="35"/>
      <c r="AA302" s="35"/>
      <c r="AB302" s="35"/>
    </row>
    <row r="303" spans="2:28" s="14" customFormat="1" ht="16.5" customHeight="1" x14ac:dyDescent="0.3">
      <c r="B303" s="10" t="s">
        <v>320</v>
      </c>
      <c r="C303" s="10" t="s">
        <v>321</v>
      </c>
      <c r="D303" s="10">
        <v>2</v>
      </c>
      <c r="E303" s="10">
        <f t="shared" ref="E303:E304" si="123">D303/2</f>
        <v>1</v>
      </c>
      <c r="F303" s="10">
        <v>0</v>
      </c>
      <c r="G303" s="10">
        <v>0</v>
      </c>
      <c r="H303" s="10">
        <v>0</v>
      </c>
      <c r="I303" s="10">
        <v>0</v>
      </c>
      <c r="J303" s="10" t="s">
        <v>418</v>
      </c>
      <c r="K303" s="10">
        <f t="shared" si="119"/>
        <v>44694</v>
      </c>
      <c r="L303" s="10">
        <f t="shared" si="120"/>
        <v>4694</v>
      </c>
      <c r="M303" s="10">
        <f t="shared" si="121"/>
        <v>4693</v>
      </c>
      <c r="N303" s="10" t="s">
        <v>419</v>
      </c>
      <c r="O303" s="10" t="s">
        <v>324</v>
      </c>
      <c r="P303" s="10">
        <v>0</v>
      </c>
      <c r="Q303" s="10"/>
      <c r="R303" s="10"/>
      <c r="V303" s="35"/>
      <c r="W303" s="35"/>
      <c r="X303" s="35"/>
      <c r="Y303" s="35"/>
      <c r="Z303" s="35"/>
      <c r="AA303" s="35"/>
      <c r="AB303" s="35"/>
    </row>
    <row r="304" spans="2:28" s="14" customFormat="1" x14ac:dyDescent="0.3">
      <c r="B304" s="10" t="s">
        <v>320</v>
      </c>
      <c r="C304" s="10" t="s">
        <v>321</v>
      </c>
      <c r="D304" s="10">
        <v>2</v>
      </c>
      <c r="E304" s="10">
        <f t="shared" si="123"/>
        <v>1</v>
      </c>
      <c r="F304" s="10">
        <v>0</v>
      </c>
      <c r="G304" s="10">
        <v>0</v>
      </c>
      <c r="H304" s="10">
        <v>0</v>
      </c>
      <c r="I304" s="10">
        <v>0</v>
      </c>
      <c r="J304" s="10" t="s">
        <v>418</v>
      </c>
      <c r="K304" s="10">
        <f t="shared" si="119"/>
        <v>44695</v>
      </c>
      <c r="L304" s="10">
        <f t="shared" si="120"/>
        <v>4695</v>
      </c>
      <c r="M304" s="10">
        <f t="shared" si="121"/>
        <v>4694</v>
      </c>
      <c r="N304" s="10" t="s">
        <v>419</v>
      </c>
      <c r="O304" s="10" t="s">
        <v>324</v>
      </c>
      <c r="P304" s="10">
        <v>0</v>
      </c>
      <c r="Q304" s="10"/>
      <c r="R304" s="10"/>
      <c r="V304" s="35"/>
      <c r="W304" s="35"/>
      <c r="X304" s="35"/>
      <c r="Y304" s="35"/>
      <c r="Z304" s="35"/>
      <c r="AA304" s="35"/>
      <c r="AB304" s="35"/>
    </row>
    <row r="306" spans="1:28" x14ac:dyDescent="0.3">
      <c r="B306" s="477" t="s">
        <v>1190</v>
      </c>
      <c r="C306" s="477"/>
      <c r="D306" s="477"/>
      <c r="E306" s="477"/>
      <c r="F306" s="477"/>
      <c r="G306" s="477"/>
      <c r="H306" s="477"/>
      <c r="I306" s="477"/>
      <c r="J306" s="477"/>
      <c r="K306" s="477"/>
      <c r="L306" s="477"/>
      <c r="M306" s="477"/>
      <c r="N306" s="477"/>
      <c r="O306" s="477"/>
      <c r="P306" s="477"/>
      <c r="Q306" s="477"/>
      <c r="R306" s="477"/>
      <c r="AA306" s="8"/>
      <c r="AB306" s="8"/>
    </row>
    <row r="307" spans="1:28" s="14" customFormat="1" x14ac:dyDescent="0.3">
      <c r="A307" s="6"/>
      <c r="B307" s="10" t="s">
        <v>1191</v>
      </c>
      <c r="C307" s="10" t="s">
        <v>321</v>
      </c>
      <c r="D307" s="10">
        <v>2</v>
      </c>
      <c r="E307" s="10">
        <f t="shared" ref="E307:E308" si="124">D307/2</f>
        <v>1</v>
      </c>
      <c r="F307" s="10">
        <v>0</v>
      </c>
      <c r="G307" s="10">
        <v>11</v>
      </c>
      <c r="H307" s="10">
        <v>1</v>
      </c>
      <c r="I307" s="10">
        <v>1</v>
      </c>
      <c r="J307" s="10" t="s">
        <v>418</v>
      </c>
      <c r="K307" s="59">
        <v>44751</v>
      </c>
      <c r="L307" s="10">
        <f t="shared" ref="L307:L328" si="125">K307-40000</f>
        <v>4751</v>
      </c>
      <c r="M307" s="10">
        <f t="shared" ref="M307:M328" si="126">L307-1</f>
        <v>4750</v>
      </c>
      <c r="N307" s="221" t="s">
        <v>943</v>
      </c>
      <c r="O307" s="10" t="s">
        <v>327</v>
      </c>
      <c r="P307" s="10">
        <v>0</v>
      </c>
      <c r="Q307" s="10"/>
      <c r="R307" s="10" t="s">
        <v>1192</v>
      </c>
      <c r="S307" s="6"/>
      <c r="T307" s="6"/>
      <c r="U307" s="6"/>
      <c r="V307" s="6"/>
      <c r="W307" s="6"/>
      <c r="X307" s="6"/>
      <c r="Y307" s="6"/>
      <c r="Z307" s="6"/>
      <c r="AA307" s="35"/>
      <c r="AB307" s="35"/>
    </row>
    <row r="308" spans="1:28" s="14" customFormat="1" x14ac:dyDescent="0.3">
      <c r="A308" s="6"/>
      <c r="B308" s="10" t="s">
        <v>320</v>
      </c>
      <c r="C308" s="10" t="s">
        <v>321</v>
      </c>
      <c r="D308" s="10">
        <v>2</v>
      </c>
      <c r="E308" s="10">
        <f t="shared" si="124"/>
        <v>1</v>
      </c>
      <c r="F308" s="10">
        <v>0</v>
      </c>
      <c r="G308" s="10">
        <v>0</v>
      </c>
      <c r="H308" s="10">
        <v>1</v>
      </c>
      <c r="I308" s="10">
        <v>1</v>
      </c>
      <c r="J308" s="10" t="s">
        <v>418</v>
      </c>
      <c r="K308" s="10">
        <f t="shared" ref="K308:K328" si="127">K307+E307</f>
        <v>44752</v>
      </c>
      <c r="L308" s="10">
        <f t="shared" ref="L308" si="128">K308-40000</f>
        <v>4752</v>
      </c>
      <c r="M308" s="10">
        <f t="shared" si="126"/>
        <v>4751</v>
      </c>
      <c r="N308" s="221" t="s">
        <v>943</v>
      </c>
      <c r="O308" s="10" t="s">
        <v>324</v>
      </c>
      <c r="P308" s="10">
        <v>0</v>
      </c>
      <c r="Q308" s="10"/>
      <c r="R308" s="10"/>
      <c r="S308" s="6"/>
      <c r="T308" s="6"/>
      <c r="U308" s="6"/>
      <c r="V308" s="6"/>
      <c r="W308" s="6"/>
      <c r="X308" s="6"/>
      <c r="Y308" s="6"/>
      <c r="Z308" s="6"/>
      <c r="AA308" s="35"/>
      <c r="AB308" s="35"/>
    </row>
    <row r="309" spans="1:28" s="14" customFormat="1" x14ac:dyDescent="0.3">
      <c r="A309" s="6"/>
      <c r="B309" s="10" t="s">
        <v>1193</v>
      </c>
      <c r="C309" s="10" t="s">
        <v>321</v>
      </c>
      <c r="D309" s="10">
        <v>2</v>
      </c>
      <c r="E309" s="10">
        <f t="shared" ref="E309:E317" si="129">D309/2</f>
        <v>1</v>
      </c>
      <c r="F309" s="10">
        <v>0</v>
      </c>
      <c r="G309" s="10">
        <v>1000</v>
      </c>
      <c r="H309" s="10">
        <v>1</v>
      </c>
      <c r="I309" s="10">
        <v>1</v>
      </c>
      <c r="J309" s="10" t="s">
        <v>418</v>
      </c>
      <c r="K309" s="10">
        <f t="shared" si="127"/>
        <v>44753</v>
      </c>
      <c r="L309" s="10">
        <f t="shared" si="125"/>
        <v>4753</v>
      </c>
      <c r="M309" s="10">
        <f t="shared" si="126"/>
        <v>4752</v>
      </c>
      <c r="N309" s="221" t="s">
        <v>943</v>
      </c>
      <c r="O309" s="10" t="s">
        <v>327</v>
      </c>
      <c r="P309" s="10">
        <v>0</v>
      </c>
      <c r="Q309" s="10" t="s">
        <v>1192</v>
      </c>
      <c r="R309" s="10" t="s">
        <v>1192</v>
      </c>
      <c r="S309" s="6"/>
      <c r="T309" s="6"/>
      <c r="U309" s="6"/>
      <c r="V309" s="6"/>
      <c r="W309" s="6"/>
      <c r="X309" s="6"/>
      <c r="Y309" s="6"/>
      <c r="Z309" s="6"/>
      <c r="AA309" s="35"/>
      <c r="AB309" s="35"/>
    </row>
    <row r="310" spans="1:28" s="14" customFormat="1" x14ac:dyDescent="0.3">
      <c r="A310" s="6"/>
      <c r="B310" s="10" t="s">
        <v>320</v>
      </c>
      <c r="C310" s="10" t="s">
        <v>321</v>
      </c>
      <c r="D310" s="10">
        <v>2</v>
      </c>
      <c r="E310" s="10">
        <f t="shared" si="129"/>
        <v>1</v>
      </c>
      <c r="F310" s="10">
        <v>0</v>
      </c>
      <c r="G310" s="10">
        <v>0</v>
      </c>
      <c r="H310" s="10">
        <v>1</v>
      </c>
      <c r="I310" s="10">
        <v>1</v>
      </c>
      <c r="J310" s="10" t="s">
        <v>418</v>
      </c>
      <c r="K310" s="10">
        <f t="shared" si="127"/>
        <v>44754</v>
      </c>
      <c r="L310" s="10">
        <f t="shared" si="125"/>
        <v>4754</v>
      </c>
      <c r="M310" s="10">
        <f t="shared" ref="M310" si="130">L310-1</f>
        <v>4753</v>
      </c>
      <c r="N310" s="221" t="s">
        <v>943</v>
      </c>
      <c r="O310" s="10" t="s">
        <v>324</v>
      </c>
      <c r="P310" s="10">
        <v>0</v>
      </c>
      <c r="Q310" s="10"/>
      <c r="R310" s="10"/>
      <c r="S310" s="6"/>
      <c r="T310" s="6"/>
      <c r="U310" s="6"/>
      <c r="V310" s="6"/>
      <c r="W310" s="6"/>
      <c r="X310" s="6"/>
      <c r="Y310" s="6"/>
      <c r="Z310" s="6"/>
      <c r="AA310" s="35"/>
      <c r="AB310" s="35"/>
    </row>
    <row r="311" spans="1:28" s="14" customFormat="1" x14ac:dyDescent="0.3">
      <c r="A311" s="6"/>
      <c r="B311" s="10" t="s">
        <v>1194</v>
      </c>
      <c r="C311" s="10" t="s">
        <v>321</v>
      </c>
      <c r="D311" s="10">
        <v>2</v>
      </c>
      <c r="E311" s="10">
        <f t="shared" si="129"/>
        <v>1</v>
      </c>
      <c r="F311" s="10">
        <v>0</v>
      </c>
      <c r="G311" s="10">
        <v>1000</v>
      </c>
      <c r="H311" s="10">
        <v>1</v>
      </c>
      <c r="I311" s="10">
        <v>1</v>
      </c>
      <c r="J311" s="10" t="s">
        <v>418</v>
      </c>
      <c r="K311" s="10">
        <f t="shared" si="127"/>
        <v>44755</v>
      </c>
      <c r="L311" s="10">
        <f t="shared" si="125"/>
        <v>4755</v>
      </c>
      <c r="M311" s="10">
        <f t="shared" si="126"/>
        <v>4754</v>
      </c>
      <c r="N311" s="221" t="s">
        <v>943</v>
      </c>
      <c r="O311" s="10" t="s">
        <v>327</v>
      </c>
      <c r="P311" s="10">
        <v>0</v>
      </c>
      <c r="Q311" s="10" t="s">
        <v>1192</v>
      </c>
      <c r="R311" s="10" t="s">
        <v>1192</v>
      </c>
      <c r="S311" s="6"/>
      <c r="T311" s="6"/>
      <c r="U311" s="6"/>
      <c r="V311" s="6"/>
      <c r="W311" s="6"/>
      <c r="X311" s="6"/>
      <c r="Y311" s="6"/>
      <c r="Z311" s="6"/>
      <c r="AA311" s="35"/>
      <c r="AB311" s="35"/>
    </row>
    <row r="312" spans="1:28" s="14" customFormat="1" x14ac:dyDescent="0.3">
      <c r="A312" s="6"/>
      <c r="B312" s="10" t="s">
        <v>320</v>
      </c>
      <c r="C312" s="10" t="s">
        <v>321</v>
      </c>
      <c r="D312" s="10">
        <v>2</v>
      </c>
      <c r="E312" s="10">
        <f t="shared" si="129"/>
        <v>1</v>
      </c>
      <c r="F312" s="10">
        <v>0</v>
      </c>
      <c r="G312" s="10">
        <v>0</v>
      </c>
      <c r="H312" s="10">
        <v>1</v>
      </c>
      <c r="I312" s="10">
        <v>1</v>
      </c>
      <c r="J312" s="10" t="s">
        <v>418</v>
      </c>
      <c r="K312" s="10">
        <f t="shared" si="127"/>
        <v>44756</v>
      </c>
      <c r="L312" s="10">
        <f t="shared" si="125"/>
        <v>4756</v>
      </c>
      <c r="M312" s="10">
        <f t="shared" ref="M312" si="131">L312-1</f>
        <v>4755</v>
      </c>
      <c r="N312" s="221" t="s">
        <v>943</v>
      </c>
      <c r="O312" s="10" t="s">
        <v>324</v>
      </c>
      <c r="P312" s="10">
        <v>0</v>
      </c>
      <c r="Q312" s="10"/>
      <c r="R312" s="10"/>
      <c r="S312" s="6"/>
      <c r="T312" s="6"/>
      <c r="U312" s="6"/>
      <c r="V312" s="6"/>
      <c r="W312" s="6"/>
      <c r="X312" s="6"/>
      <c r="Y312" s="6"/>
      <c r="Z312" s="6"/>
      <c r="AA312" s="35"/>
      <c r="AB312" s="35"/>
    </row>
    <row r="313" spans="1:28" s="14" customFormat="1" x14ac:dyDescent="0.3">
      <c r="A313" s="6"/>
      <c r="B313" s="10" t="s">
        <v>320</v>
      </c>
      <c r="C313" s="10" t="s">
        <v>321</v>
      </c>
      <c r="D313" s="10">
        <v>2</v>
      </c>
      <c r="E313" s="10">
        <f t="shared" si="129"/>
        <v>1</v>
      </c>
      <c r="F313" s="10">
        <v>0</v>
      </c>
      <c r="G313" s="10">
        <v>0</v>
      </c>
      <c r="H313" s="10">
        <v>1</v>
      </c>
      <c r="I313" s="10">
        <v>1</v>
      </c>
      <c r="J313" s="10" t="s">
        <v>418</v>
      </c>
      <c r="K313" s="10">
        <f t="shared" si="127"/>
        <v>44757</v>
      </c>
      <c r="L313" s="10">
        <f t="shared" si="125"/>
        <v>4757</v>
      </c>
      <c r="M313" s="10">
        <f t="shared" si="126"/>
        <v>4756</v>
      </c>
      <c r="N313" s="221" t="s">
        <v>943</v>
      </c>
      <c r="O313" s="10" t="s">
        <v>324</v>
      </c>
      <c r="P313" s="10">
        <v>0</v>
      </c>
      <c r="Q313" s="10"/>
      <c r="R313" s="10"/>
      <c r="S313" s="6"/>
      <c r="T313" s="6"/>
      <c r="U313" s="6"/>
      <c r="V313" s="6"/>
      <c r="W313" s="6"/>
      <c r="X313" s="6"/>
      <c r="Y313" s="6"/>
      <c r="Z313" s="6"/>
      <c r="AA313" s="35"/>
      <c r="AB313" s="35"/>
    </row>
    <row r="314" spans="1:28" s="14" customFormat="1" x14ac:dyDescent="0.3">
      <c r="A314" s="6"/>
      <c r="B314" s="10" t="s">
        <v>320</v>
      </c>
      <c r="C314" s="10" t="s">
        <v>321</v>
      </c>
      <c r="D314" s="10">
        <v>2</v>
      </c>
      <c r="E314" s="10">
        <f t="shared" si="129"/>
        <v>1</v>
      </c>
      <c r="F314" s="10">
        <v>0</v>
      </c>
      <c r="G314" s="10">
        <v>0</v>
      </c>
      <c r="H314" s="10">
        <v>1</v>
      </c>
      <c r="I314" s="10">
        <v>1</v>
      </c>
      <c r="J314" s="10" t="s">
        <v>418</v>
      </c>
      <c r="K314" s="10">
        <f t="shared" si="127"/>
        <v>44758</v>
      </c>
      <c r="L314" s="10">
        <f t="shared" si="125"/>
        <v>4758</v>
      </c>
      <c r="M314" s="10">
        <f t="shared" si="126"/>
        <v>4757</v>
      </c>
      <c r="N314" s="221" t="s">
        <v>943</v>
      </c>
      <c r="O314" s="10" t="s">
        <v>324</v>
      </c>
      <c r="P314" s="10">
        <v>0</v>
      </c>
      <c r="Q314" s="10"/>
      <c r="R314" s="10"/>
      <c r="S314" s="6"/>
      <c r="T314" s="6"/>
      <c r="U314" s="6"/>
      <c r="V314" s="6"/>
      <c r="W314" s="6"/>
      <c r="X314" s="6"/>
      <c r="Y314" s="6"/>
      <c r="Z314" s="6"/>
      <c r="AA314" s="35"/>
      <c r="AB314" s="35"/>
    </row>
    <row r="315" spans="1:28" s="14" customFormat="1" x14ac:dyDescent="0.3">
      <c r="A315" s="6"/>
      <c r="B315" s="10" t="s">
        <v>320</v>
      </c>
      <c r="C315" s="10" t="s">
        <v>321</v>
      </c>
      <c r="D315" s="10">
        <v>2</v>
      </c>
      <c r="E315" s="10">
        <f t="shared" si="129"/>
        <v>1</v>
      </c>
      <c r="F315" s="10">
        <v>0</v>
      </c>
      <c r="G315" s="10">
        <v>0</v>
      </c>
      <c r="H315" s="10">
        <v>1</v>
      </c>
      <c r="I315" s="10">
        <v>1</v>
      </c>
      <c r="J315" s="10" t="s">
        <v>418</v>
      </c>
      <c r="K315" s="10">
        <f t="shared" si="127"/>
        <v>44759</v>
      </c>
      <c r="L315" s="10">
        <f t="shared" si="125"/>
        <v>4759</v>
      </c>
      <c r="M315" s="10">
        <f t="shared" si="126"/>
        <v>4758</v>
      </c>
      <c r="N315" s="221" t="s">
        <v>943</v>
      </c>
      <c r="O315" s="10" t="s">
        <v>324</v>
      </c>
      <c r="P315" s="10">
        <v>0</v>
      </c>
      <c r="Q315" s="10"/>
      <c r="R315" s="10"/>
      <c r="S315" s="6"/>
      <c r="T315" s="6"/>
      <c r="U315" s="6"/>
      <c r="V315" s="6"/>
      <c r="W315" s="6"/>
      <c r="X315" s="6"/>
      <c r="Y315" s="6"/>
      <c r="Z315" s="6"/>
      <c r="AA315" s="35"/>
      <c r="AB315" s="35"/>
    </row>
    <row r="316" spans="1:28" s="14" customFormat="1" x14ac:dyDescent="0.3">
      <c r="A316" s="6"/>
      <c r="B316" s="10" t="s">
        <v>320</v>
      </c>
      <c r="C316" s="10" t="s">
        <v>321</v>
      </c>
      <c r="D316" s="10">
        <v>2</v>
      </c>
      <c r="E316" s="10">
        <f t="shared" si="129"/>
        <v>1</v>
      </c>
      <c r="F316" s="10">
        <v>0</v>
      </c>
      <c r="G316" s="10">
        <v>0</v>
      </c>
      <c r="H316" s="10">
        <v>1</v>
      </c>
      <c r="I316" s="10">
        <v>1</v>
      </c>
      <c r="J316" s="10" t="s">
        <v>418</v>
      </c>
      <c r="K316" s="10">
        <f t="shared" si="127"/>
        <v>44760</v>
      </c>
      <c r="L316" s="10">
        <f t="shared" si="125"/>
        <v>4760</v>
      </c>
      <c r="M316" s="10">
        <f t="shared" si="126"/>
        <v>4759</v>
      </c>
      <c r="N316" s="221" t="s">
        <v>943</v>
      </c>
      <c r="O316" s="10" t="s">
        <v>324</v>
      </c>
      <c r="P316" s="10">
        <v>0</v>
      </c>
      <c r="Q316" s="10"/>
      <c r="R316" s="10"/>
      <c r="S316" s="6"/>
      <c r="T316" s="6"/>
      <c r="U316" s="6"/>
      <c r="V316" s="6"/>
      <c r="W316" s="6"/>
      <c r="X316" s="6"/>
      <c r="Y316" s="6"/>
      <c r="Z316" s="6"/>
      <c r="AA316" s="35"/>
      <c r="AB316" s="35"/>
    </row>
    <row r="317" spans="1:28" s="14" customFormat="1" x14ac:dyDescent="0.3">
      <c r="A317" s="6"/>
      <c r="B317" s="10" t="s">
        <v>320</v>
      </c>
      <c r="C317" s="10" t="s">
        <v>321</v>
      </c>
      <c r="D317" s="10">
        <v>2</v>
      </c>
      <c r="E317" s="10">
        <f t="shared" si="129"/>
        <v>1</v>
      </c>
      <c r="F317" s="10">
        <v>0</v>
      </c>
      <c r="G317" s="10">
        <v>0</v>
      </c>
      <c r="H317" s="10">
        <v>1</v>
      </c>
      <c r="I317" s="10">
        <v>1</v>
      </c>
      <c r="J317" s="10" t="s">
        <v>418</v>
      </c>
      <c r="K317" s="10">
        <f t="shared" si="127"/>
        <v>44761</v>
      </c>
      <c r="L317" s="10">
        <f t="shared" si="125"/>
        <v>4761</v>
      </c>
      <c r="M317" s="10">
        <f t="shared" si="126"/>
        <v>4760</v>
      </c>
      <c r="N317" s="221" t="s">
        <v>943</v>
      </c>
      <c r="O317" s="10" t="s">
        <v>324</v>
      </c>
      <c r="P317" s="10">
        <v>0</v>
      </c>
      <c r="Q317" s="10"/>
      <c r="R317" s="10"/>
      <c r="S317" s="6"/>
      <c r="T317" s="6"/>
      <c r="U317" s="6"/>
      <c r="V317" s="6"/>
      <c r="W317" s="6"/>
      <c r="X317" s="6"/>
      <c r="Y317" s="6"/>
      <c r="Z317" s="6"/>
      <c r="AA317" s="35"/>
      <c r="AB317" s="35"/>
    </row>
    <row r="318" spans="1:28" s="14" customFormat="1" x14ac:dyDescent="0.3">
      <c r="A318" s="6"/>
      <c r="B318" s="10" t="s">
        <v>1195</v>
      </c>
      <c r="C318" s="10" t="s">
        <v>321</v>
      </c>
      <c r="D318" s="10">
        <v>2</v>
      </c>
      <c r="E318" s="10">
        <f t="shared" ref="E318:E323" si="132">D318/2</f>
        <v>1</v>
      </c>
      <c r="F318" s="10">
        <v>0</v>
      </c>
      <c r="G318" s="10">
        <v>11</v>
      </c>
      <c r="H318" s="10">
        <v>1</v>
      </c>
      <c r="I318" s="10">
        <v>1</v>
      </c>
      <c r="J318" s="10" t="s">
        <v>418</v>
      </c>
      <c r="K318" s="10">
        <f t="shared" si="127"/>
        <v>44762</v>
      </c>
      <c r="L318" s="10">
        <f t="shared" si="125"/>
        <v>4762</v>
      </c>
      <c r="M318" s="10">
        <f t="shared" si="126"/>
        <v>4761</v>
      </c>
      <c r="N318" s="221" t="s">
        <v>943</v>
      </c>
      <c r="O318" s="10" t="s">
        <v>327</v>
      </c>
      <c r="P318" s="10">
        <v>0</v>
      </c>
      <c r="Q318" s="10"/>
      <c r="R318" s="10" t="s">
        <v>1192</v>
      </c>
      <c r="S318" s="6"/>
      <c r="T318" s="6"/>
      <c r="U318" s="6"/>
      <c r="V318" s="6"/>
      <c r="W318" s="6"/>
      <c r="X318" s="6"/>
      <c r="Y318" s="6"/>
      <c r="Z318" s="6"/>
      <c r="AA318" s="35"/>
      <c r="AB318" s="35"/>
    </row>
    <row r="319" spans="1:28" s="14" customFormat="1" x14ac:dyDescent="0.3">
      <c r="A319" s="6"/>
      <c r="B319" s="10" t="s">
        <v>320</v>
      </c>
      <c r="C319" s="10" t="s">
        <v>321</v>
      </c>
      <c r="D319" s="10">
        <v>2</v>
      </c>
      <c r="E319" s="10">
        <f t="shared" si="132"/>
        <v>1</v>
      </c>
      <c r="F319" s="10">
        <v>0</v>
      </c>
      <c r="G319" s="10">
        <v>0</v>
      </c>
      <c r="H319" s="10">
        <v>1</v>
      </c>
      <c r="I319" s="10">
        <v>1</v>
      </c>
      <c r="J319" s="10" t="s">
        <v>418</v>
      </c>
      <c r="K319" s="10">
        <f t="shared" si="127"/>
        <v>44763</v>
      </c>
      <c r="L319" s="10">
        <f t="shared" si="125"/>
        <v>4763</v>
      </c>
      <c r="M319" s="10">
        <f t="shared" ref="M319" si="133">L319-1</f>
        <v>4762</v>
      </c>
      <c r="N319" s="221" t="s">
        <v>943</v>
      </c>
      <c r="O319" s="10" t="s">
        <v>324</v>
      </c>
      <c r="P319" s="10">
        <v>0</v>
      </c>
      <c r="Q319" s="10"/>
      <c r="R319" s="10"/>
      <c r="S319" s="6"/>
      <c r="T319" s="6"/>
      <c r="U319" s="6"/>
      <c r="V319" s="6"/>
      <c r="W319" s="6"/>
      <c r="X319" s="6"/>
      <c r="Y319" s="6"/>
      <c r="Z319" s="6"/>
      <c r="AA319" s="35"/>
      <c r="AB319" s="35"/>
    </row>
    <row r="320" spans="1:28" s="14" customFormat="1" x14ac:dyDescent="0.3">
      <c r="A320" s="6"/>
      <c r="B320" s="10" t="s">
        <v>1196</v>
      </c>
      <c r="C320" s="10" t="s">
        <v>321</v>
      </c>
      <c r="D320" s="10">
        <v>2</v>
      </c>
      <c r="E320" s="10">
        <f t="shared" si="132"/>
        <v>1</v>
      </c>
      <c r="F320" s="10">
        <v>0</v>
      </c>
      <c r="G320" s="10">
        <v>1000</v>
      </c>
      <c r="H320" s="10">
        <v>1</v>
      </c>
      <c r="I320" s="10">
        <v>1</v>
      </c>
      <c r="J320" s="10" t="s">
        <v>418</v>
      </c>
      <c r="K320" s="10">
        <f t="shared" si="127"/>
        <v>44764</v>
      </c>
      <c r="L320" s="10">
        <f t="shared" si="125"/>
        <v>4764</v>
      </c>
      <c r="M320" s="10">
        <f t="shared" si="126"/>
        <v>4763</v>
      </c>
      <c r="N320" s="221" t="s">
        <v>943</v>
      </c>
      <c r="O320" s="10" t="s">
        <v>327</v>
      </c>
      <c r="P320" s="10">
        <v>0</v>
      </c>
      <c r="Q320" s="10" t="s">
        <v>1192</v>
      </c>
      <c r="R320" s="10" t="s">
        <v>1192</v>
      </c>
      <c r="S320" s="6"/>
      <c r="T320" s="6"/>
      <c r="U320" s="6"/>
      <c r="V320" s="6"/>
      <c r="W320" s="6"/>
      <c r="X320" s="6"/>
      <c r="Y320" s="6"/>
      <c r="Z320" s="6"/>
      <c r="AA320" s="35"/>
      <c r="AB320" s="35"/>
    </row>
    <row r="321" spans="1:28" s="14" customFormat="1" x14ac:dyDescent="0.3">
      <c r="A321" s="6"/>
      <c r="B321" s="10" t="s">
        <v>320</v>
      </c>
      <c r="C321" s="10" t="s">
        <v>321</v>
      </c>
      <c r="D321" s="10">
        <v>2</v>
      </c>
      <c r="E321" s="10">
        <f t="shared" si="132"/>
        <v>1</v>
      </c>
      <c r="F321" s="10">
        <v>0</v>
      </c>
      <c r="G321" s="10">
        <v>0</v>
      </c>
      <c r="H321" s="10">
        <v>1</v>
      </c>
      <c r="I321" s="10">
        <v>1</v>
      </c>
      <c r="J321" s="10" t="s">
        <v>418</v>
      </c>
      <c r="K321" s="10">
        <f t="shared" si="127"/>
        <v>44765</v>
      </c>
      <c r="L321" s="10">
        <f t="shared" si="125"/>
        <v>4765</v>
      </c>
      <c r="M321" s="10">
        <f t="shared" si="126"/>
        <v>4764</v>
      </c>
      <c r="N321" s="221" t="s">
        <v>943</v>
      </c>
      <c r="O321" s="10" t="s">
        <v>324</v>
      </c>
      <c r="P321" s="10">
        <v>0</v>
      </c>
      <c r="Q321" s="10"/>
      <c r="R321" s="10"/>
      <c r="S321" s="6"/>
      <c r="T321" s="6"/>
      <c r="U321" s="6"/>
      <c r="V321" s="6"/>
      <c r="W321" s="6"/>
      <c r="X321" s="6"/>
      <c r="Y321" s="6"/>
      <c r="Z321" s="6"/>
      <c r="AA321" s="35"/>
      <c r="AB321" s="35"/>
    </row>
    <row r="322" spans="1:28" s="14" customFormat="1" x14ac:dyDescent="0.3">
      <c r="A322" s="6"/>
      <c r="B322" s="10" t="s">
        <v>1197</v>
      </c>
      <c r="C322" s="10" t="s">
        <v>321</v>
      </c>
      <c r="D322" s="10">
        <v>2</v>
      </c>
      <c r="E322" s="10">
        <f t="shared" si="132"/>
        <v>1</v>
      </c>
      <c r="F322" s="10">
        <v>0</v>
      </c>
      <c r="G322" s="10">
        <v>1000</v>
      </c>
      <c r="H322" s="10">
        <v>1</v>
      </c>
      <c r="I322" s="10">
        <v>1</v>
      </c>
      <c r="J322" s="10" t="s">
        <v>418</v>
      </c>
      <c r="K322" s="10">
        <f t="shared" si="127"/>
        <v>44766</v>
      </c>
      <c r="L322" s="10">
        <f t="shared" si="125"/>
        <v>4766</v>
      </c>
      <c r="M322" s="10">
        <f t="shared" si="126"/>
        <v>4765</v>
      </c>
      <c r="N322" s="221" t="s">
        <v>943</v>
      </c>
      <c r="O322" s="10" t="s">
        <v>327</v>
      </c>
      <c r="P322" s="10">
        <v>0</v>
      </c>
      <c r="Q322" s="10" t="s">
        <v>1192</v>
      </c>
      <c r="R322" s="10" t="s">
        <v>1192</v>
      </c>
      <c r="S322" s="6"/>
      <c r="T322" s="6"/>
      <c r="U322" s="6"/>
      <c r="V322" s="6"/>
      <c r="W322" s="6"/>
      <c r="X322" s="6"/>
      <c r="Y322" s="6"/>
      <c r="Z322" s="6"/>
      <c r="AA322" s="35"/>
      <c r="AB322" s="35"/>
    </row>
    <row r="323" spans="1:28" s="14" customFormat="1" x14ac:dyDescent="0.3">
      <c r="A323" s="6"/>
      <c r="B323" s="10" t="s">
        <v>320</v>
      </c>
      <c r="C323" s="10" t="s">
        <v>321</v>
      </c>
      <c r="D323" s="10">
        <v>2</v>
      </c>
      <c r="E323" s="10">
        <f t="shared" si="132"/>
        <v>1</v>
      </c>
      <c r="F323" s="10">
        <v>0</v>
      </c>
      <c r="G323" s="10">
        <v>0</v>
      </c>
      <c r="H323" s="10">
        <v>1</v>
      </c>
      <c r="I323" s="10">
        <v>1</v>
      </c>
      <c r="J323" s="10" t="s">
        <v>418</v>
      </c>
      <c r="K323" s="10">
        <f t="shared" si="127"/>
        <v>44767</v>
      </c>
      <c r="L323" s="10">
        <f t="shared" si="125"/>
        <v>4767</v>
      </c>
      <c r="M323" s="10">
        <f t="shared" si="126"/>
        <v>4766</v>
      </c>
      <c r="N323" s="221" t="s">
        <v>943</v>
      </c>
      <c r="O323" s="10" t="s">
        <v>324</v>
      </c>
      <c r="P323" s="10">
        <v>0</v>
      </c>
      <c r="Q323" s="10"/>
      <c r="R323" s="10"/>
      <c r="S323" s="6"/>
      <c r="T323" s="6"/>
      <c r="U323" s="6"/>
      <c r="V323" s="6"/>
      <c r="W323" s="6"/>
      <c r="X323" s="6"/>
      <c r="Y323" s="6"/>
      <c r="Z323" s="6"/>
      <c r="AA323" s="35"/>
      <c r="AB323" s="35"/>
    </row>
    <row r="324" spans="1:28" s="14" customFormat="1" x14ac:dyDescent="0.3">
      <c r="A324" s="6"/>
      <c r="B324" s="10" t="s">
        <v>320</v>
      </c>
      <c r="C324" s="10" t="s">
        <v>321</v>
      </c>
      <c r="D324" s="10">
        <v>2</v>
      </c>
      <c r="E324" s="10">
        <f t="shared" ref="E324:E327" si="134">D324/2</f>
        <v>1</v>
      </c>
      <c r="F324" s="10">
        <v>0</v>
      </c>
      <c r="G324" s="10">
        <v>0</v>
      </c>
      <c r="H324" s="10">
        <v>1</v>
      </c>
      <c r="I324" s="10">
        <v>1</v>
      </c>
      <c r="J324" s="10" t="s">
        <v>418</v>
      </c>
      <c r="K324" s="10">
        <f t="shared" si="127"/>
        <v>44768</v>
      </c>
      <c r="L324" s="10">
        <f t="shared" si="125"/>
        <v>4768</v>
      </c>
      <c r="M324" s="10">
        <f t="shared" si="126"/>
        <v>4767</v>
      </c>
      <c r="N324" s="221" t="s">
        <v>943</v>
      </c>
      <c r="O324" s="10" t="s">
        <v>324</v>
      </c>
      <c r="P324" s="10">
        <v>0</v>
      </c>
      <c r="Q324" s="10"/>
      <c r="R324" s="10"/>
      <c r="S324" s="6"/>
      <c r="T324" s="6"/>
      <c r="U324" s="6"/>
      <c r="V324" s="6"/>
      <c r="W324" s="6"/>
      <c r="X324" s="6"/>
      <c r="Y324" s="6"/>
      <c r="Z324" s="6"/>
      <c r="AA324" s="35"/>
      <c r="AB324" s="35"/>
    </row>
    <row r="325" spans="1:28" s="14" customFormat="1" x14ac:dyDescent="0.3">
      <c r="A325" s="6"/>
      <c r="B325" s="10" t="s">
        <v>320</v>
      </c>
      <c r="C325" s="10" t="s">
        <v>321</v>
      </c>
      <c r="D325" s="10">
        <v>2</v>
      </c>
      <c r="E325" s="10">
        <f t="shared" si="134"/>
        <v>1</v>
      </c>
      <c r="F325" s="10">
        <v>0</v>
      </c>
      <c r="G325" s="10">
        <v>0</v>
      </c>
      <c r="H325" s="10">
        <v>1</v>
      </c>
      <c r="I325" s="10">
        <v>1</v>
      </c>
      <c r="J325" s="10" t="s">
        <v>418</v>
      </c>
      <c r="K325" s="10">
        <f t="shared" si="127"/>
        <v>44769</v>
      </c>
      <c r="L325" s="10">
        <f t="shared" si="125"/>
        <v>4769</v>
      </c>
      <c r="M325" s="10">
        <f t="shared" si="126"/>
        <v>4768</v>
      </c>
      <c r="N325" s="221" t="s">
        <v>943</v>
      </c>
      <c r="O325" s="10" t="s">
        <v>324</v>
      </c>
      <c r="P325" s="10">
        <v>0</v>
      </c>
      <c r="Q325" s="10"/>
      <c r="R325" s="10"/>
      <c r="S325" s="6"/>
      <c r="T325" s="6"/>
      <c r="U325" s="6"/>
      <c r="V325" s="6"/>
      <c r="W325" s="6"/>
      <c r="X325" s="6"/>
      <c r="Y325" s="6"/>
      <c r="Z325" s="6"/>
      <c r="AA325" s="35"/>
      <c r="AB325" s="35"/>
    </row>
    <row r="326" spans="1:28" s="14" customFormat="1" x14ac:dyDescent="0.3">
      <c r="A326" s="6"/>
      <c r="B326" s="10" t="s">
        <v>320</v>
      </c>
      <c r="C326" s="10" t="s">
        <v>321</v>
      </c>
      <c r="D326" s="10">
        <v>2</v>
      </c>
      <c r="E326" s="10">
        <f t="shared" si="134"/>
        <v>1</v>
      </c>
      <c r="F326" s="10">
        <v>0</v>
      </c>
      <c r="G326" s="10">
        <v>0</v>
      </c>
      <c r="H326" s="10">
        <v>1</v>
      </c>
      <c r="I326" s="10">
        <v>1</v>
      </c>
      <c r="J326" s="10" t="s">
        <v>418</v>
      </c>
      <c r="K326" s="10">
        <f t="shared" si="127"/>
        <v>44770</v>
      </c>
      <c r="L326" s="10">
        <f t="shared" si="125"/>
        <v>4770</v>
      </c>
      <c r="M326" s="10">
        <f t="shared" si="126"/>
        <v>4769</v>
      </c>
      <c r="N326" s="221" t="s">
        <v>943</v>
      </c>
      <c r="O326" s="10" t="s">
        <v>324</v>
      </c>
      <c r="P326" s="10">
        <v>0</v>
      </c>
      <c r="Q326" s="10"/>
      <c r="R326" s="10"/>
      <c r="S326" s="6"/>
      <c r="T326" s="6"/>
      <c r="U326" s="6"/>
      <c r="V326" s="6"/>
      <c r="W326" s="6"/>
      <c r="X326" s="6"/>
      <c r="Y326" s="6"/>
      <c r="Z326" s="6"/>
      <c r="AA326" s="35"/>
      <c r="AB326" s="35"/>
    </row>
    <row r="327" spans="1:28" s="14" customFormat="1" x14ac:dyDescent="0.3">
      <c r="A327" s="6"/>
      <c r="B327" s="10" t="s">
        <v>320</v>
      </c>
      <c r="C327" s="10" t="s">
        <v>321</v>
      </c>
      <c r="D327" s="10">
        <v>2</v>
      </c>
      <c r="E327" s="10">
        <f t="shared" si="134"/>
        <v>1</v>
      </c>
      <c r="F327" s="10">
        <v>0</v>
      </c>
      <c r="G327" s="10">
        <v>0</v>
      </c>
      <c r="H327" s="10">
        <v>1</v>
      </c>
      <c r="I327" s="10">
        <v>1</v>
      </c>
      <c r="J327" s="10" t="s">
        <v>418</v>
      </c>
      <c r="K327" s="10">
        <f t="shared" si="127"/>
        <v>44771</v>
      </c>
      <c r="L327" s="10">
        <f t="shared" si="125"/>
        <v>4771</v>
      </c>
      <c r="M327" s="10">
        <f t="shared" si="126"/>
        <v>4770</v>
      </c>
      <c r="N327" s="221" t="s">
        <v>943</v>
      </c>
      <c r="O327" s="10" t="s">
        <v>324</v>
      </c>
      <c r="P327" s="10">
        <v>0</v>
      </c>
      <c r="Q327" s="10"/>
      <c r="R327" s="10"/>
      <c r="S327" s="6"/>
      <c r="T327" s="6"/>
      <c r="U327" s="6"/>
      <c r="V327" s="6"/>
      <c r="W327" s="6"/>
      <c r="X327" s="6"/>
      <c r="Y327" s="6"/>
      <c r="Z327" s="6"/>
      <c r="AA327" s="35"/>
      <c r="AB327" s="35"/>
    </row>
    <row r="328" spans="1:28" s="14" customFormat="1" x14ac:dyDescent="0.3">
      <c r="A328" s="6"/>
      <c r="B328" s="10" t="s">
        <v>320</v>
      </c>
      <c r="C328" s="10" t="s">
        <v>321</v>
      </c>
      <c r="D328" s="10">
        <v>2</v>
      </c>
      <c r="E328" s="10">
        <f t="shared" ref="E328" si="135">D328/2</f>
        <v>1</v>
      </c>
      <c r="F328" s="10">
        <v>0</v>
      </c>
      <c r="G328" s="10">
        <v>0</v>
      </c>
      <c r="H328" s="10">
        <v>1</v>
      </c>
      <c r="I328" s="10">
        <v>1</v>
      </c>
      <c r="J328" s="10" t="s">
        <v>418</v>
      </c>
      <c r="K328" s="10">
        <f t="shared" si="127"/>
        <v>44772</v>
      </c>
      <c r="L328" s="10">
        <f t="shared" si="125"/>
        <v>4772</v>
      </c>
      <c r="M328" s="10">
        <f t="shared" si="126"/>
        <v>4771</v>
      </c>
      <c r="N328" s="221" t="s">
        <v>943</v>
      </c>
      <c r="O328" s="10" t="s">
        <v>324</v>
      </c>
      <c r="P328" s="10">
        <v>0</v>
      </c>
      <c r="Q328" s="10"/>
      <c r="R328" s="10"/>
      <c r="S328" s="6"/>
      <c r="T328" s="6"/>
      <c r="U328" s="6"/>
      <c r="V328" s="6"/>
      <c r="W328" s="6"/>
      <c r="X328" s="6"/>
      <c r="Y328" s="6"/>
      <c r="Z328" s="6"/>
      <c r="AA328" s="35"/>
      <c r="AB328" s="35"/>
    </row>
    <row r="330" spans="1:28" customFormat="1" x14ac:dyDescent="0.3">
      <c r="B330" s="6"/>
      <c r="C330" s="160"/>
      <c r="D330" s="89"/>
      <c r="E330" s="89"/>
      <c r="F330" s="89"/>
      <c r="G330" s="89"/>
      <c r="H330" s="89"/>
      <c r="I330" s="89"/>
      <c r="J330" s="56"/>
      <c r="K330" s="56"/>
      <c r="L330" s="161"/>
      <c r="M330" s="89"/>
      <c r="N330" s="148"/>
      <c r="P330" s="56"/>
      <c r="Q330" s="56"/>
    </row>
    <row r="331" spans="1:28" x14ac:dyDescent="0.3">
      <c r="B331" s="158" t="s">
        <v>667</v>
      </c>
      <c r="C331" s="8"/>
      <c r="E331" s="47"/>
    </row>
    <row r="332" spans="1:28" x14ac:dyDescent="0.3">
      <c r="B332" s="81" t="s">
        <v>1198</v>
      </c>
      <c r="C332" s="162"/>
      <c r="D332" s="88" t="s">
        <v>1199</v>
      </c>
      <c r="E332" s="88" t="s">
        <v>1200</v>
      </c>
      <c r="F332" s="88" t="s">
        <v>1201</v>
      </c>
      <c r="G332" s="88" t="s">
        <v>1202</v>
      </c>
      <c r="H332" s="88" t="s">
        <v>1203</v>
      </c>
      <c r="J332" s="53"/>
      <c r="K332" s="53"/>
      <c r="L332" s="53"/>
      <c r="M332" s="53"/>
      <c r="N332" s="8"/>
      <c r="O332" s="8"/>
      <c r="P332" s="8"/>
      <c r="Q332" s="6"/>
      <c r="R332" s="6"/>
    </row>
    <row r="333" spans="1:28" ht="31.2" x14ac:dyDescent="0.3">
      <c r="B333" s="80" t="s">
        <v>1204</v>
      </c>
      <c r="C333" s="163"/>
      <c r="D333" s="164" t="s">
        <v>1205</v>
      </c>
      <c r="E333" s="164" t="s">
        <v>1206</v>
      </c>
      <c r="F333" s="164" t="s">
        <v>1207</v>
      </c>
      <c r="G333" s="164" t="s">
        <v>1208</v>
      </c>
      <c r="H333" s="74" t="s">
        <v>246</v>
      </c>
    </row>
    <row r="334" spans="1:28" ht="31.2" x14ac:dyDescent="0.3">
      <c r="B334" s="80" t="s">
        <v>1209</v>
      </c>
      <c r="C334" s="163"/>
      <c r="D334" s="164" t="s">
        <v>1205</v>
      </c>
      <c r="E334" s="164" t="s">
        <v>1206</v>
      </c>
      <c r="F334" s="164" t="s">
        <v>1207</v>
      </c>
      <c r="G334" s="164" t="s">
        <v>1208</v>
      </c>
      <c r="H334" s="74" t="s">
        <v>246</v>
      </c>
    </row>
    <row r="335" spans="1:28" ht="31.2" x14ac:dyDescent="0.3">
      <c r="B335" s="80" t="s">
        <v>1210</v>
      </c>
      <c r="C335" s="163"/>
      <c r="D335" s="164" t="s">
        <v>1205</v>
      </c>
      <c r="E335" s="164" t="s">
        <v>1206</v>
      </c>
      <c r="F335" s="164" t="s">
        <v>1207</v>
      </c>
      <c r="G335" s="164" t="s">
        <v>1208</v>
      </c>
      <c r="H335" s="74" t="s">
        <v>246</v>
      </c>
    </row>
    <row r="336" spans="1:28" ht="31.2" x14ac:dyDescent="0.3">
      <c r="B336" s="80" t="s">
        <v>1211</v>
      </c>
      <c r="C336" s="163"/>
      <c r="D336" s="164" t="s">
        <v>1205</v>
      </c>
      <c r="E336" s="164" t="s">
        <v>1206</v>
      </c>
      <c r="F336" s="164" t="s">
        <v>1207</v>
      </c>
      <c r="G336" s="164" t="s">
        <v>1208</v>
      </c>
      <c r="H336" s="74" t="s">
        <v>246</v>
      </c>
    </row>
    <row r="337" spans="2:13" x14ac:dyDescent="0.3">
      <c r="B337" s="78"/>
      <c r="C337" s="165"/>
      <c r="E337" s="47"/>
    </row>
    <row r="338" spans="2:13" x14ac:dyDescent="0.3">
      <c r="B338" s="78"/>
      <c r="C338" s="165"/>
      <c r="E338" s="47"/>
      <c r="L338" s="8" t="s">
        <v>1212</v>
      </c>
    </row>
    <row r="339" spans="2:13" x14ac:dyDescent="0.3">
      <c r="B339" s="158" t="s">
        <v>706</v>
      </c>
      <c r="C339" s="166"/>
      <c r="E339" s="47"/>
      <c r="I339" s="8" t="s">
        <v>1213</v>
      </c>
      <c r="L339" s="8" t="s">
        <v>1214</v>
      </c>
      <c r="M339" s="8" t="s">
        <v>1215</v>
      </c>
    </row>
    <row r="340" spans="2:13" x14ac:dyDescent="0.3">
      <c r="B340" s="81" t="s">
        <v>953</v>
      </c>
      <c r="C340" s="162"/>
      <c r="D340" s="88" t="s">
        <v>1216</v>
      </c>
      <c r="E340" s="88" t="s">
        <v>975</v>
      </c>
      <c r="F340" s="88" t="s">
        <v>976</v>
      </c>
      <c r="G340" s="88" t="s">
        <v>977</v>
      </c>
      <c r="H340" s="88" t="s">
        <v>978</v>
      </c>
      <c r="I340" s="8" t="s">
        <v>1217</v>
      </c>
      <c r="J340" s="8" t="s">
        <v>1218</v>
      </c>
    </row>
    <row r="341" spans="2:13" x14ac:dyDescent="0.3">
      <c r="B341" s="80" t="s">
        <v>1219</v>
      </c>
      <c r="C341" s="163"/>
      <c r="D341" s="164">
        <v>0</v>
      </c>
      <c r="E341" s="164" t="s">
        <v>1220</v>
      </c>
      <c r="F341" s="164" t="s">
        <v>1220</v>
      </c>
      <c r="G341" s="164" t="s">
        <v>1220</v>
      </c>
      <c r="H341" s="164" t="s">
        <v>1220</v>
      </c>
      <c r="I341" s="8" t="s">
        <v>1217</v>
      </c>
      <c r="J341" s="8" t="s">
        <v>1218</v>
      </c>
    </row>
    <row r="342" spans="2:13" x14ac:dyDescent="0.3">
      <c r="B342" s="80" t="s">
        <v>1221</v>
      </c>
      <c r="C342" s="163"/>
      <c r="D342" s="164">
        <v>1</v>
      </c>
      <c r="E342" s="164" t="s">
        <v>1220</v>
      </c>
      <c r="F342" s="164" t="s">
        <v>1220</v>
      </c>
      <c r="G342" s="164" t="s">
        <v>1220</v>
      </c>
      <c r="H342" s="164" t="s">
        <v>1220</v>
      </c>
      <c r="I342" s="8" t="s">
        <v>1222</v>
      </c>
      <c r="J342" s="8" t="s">
        <v>1223</v>
      </c>
      <c r="K342" s="8" t="s">
        <v>1218</v>
      </c>
    </row>
    <row r="343" spans="2:13" x14ac:dyDescent="0.3">
      <c r="B343" s="80" t="s">
        <v>1224</v>
      </c>
      <c r="C343" s="163"/>
      <c r="D343" s="164">
        <v>2</v>
      </c>
      <c r="E343" s="164" t="s">
        <v>1220</v>
      </c>
      <c r="F343" s="164" t="s">
        <v>1220</v>
      </c>
      <c r="G343" s="164" t="s">
        <v>1220</v>
      </c>
      <c r="H343" s="164" t="s">
        <v>1220</v>
      </c>
      <c r="K343" s="8" t="s">
        <v>1218</v>
      </c>
    </row>
    <row r="344" spans="2:13" ht="31.2" x14ac:dyDescent="0.3">
      <c r="B344" s="80" t="s">
        <v>1225</v>
      </c>
      <c r="C344" s="163"/>
      <c r="D344" s="74">
        <v>3</v>
      </c>
      <c r="E344" s="74" t="s">
        <v>1226</v>
      </c>
      <c r="F344" s="74" t="s">
        <v>1227</v>
      </c>
      <c r="G344" s="164" t="s">
        <v>1220</v>
      </c>
      <c r="H344" s="164" t="s">
        <v>1220</v>
      </c>
      <c r="K344" s="8" t="s">
        <v>1218</v>
      </c>
    </row>
    <row r="345" spans="2:13" ht="31.2" x14ac:dyDescent="0.3">
      <c r="B345" s="80" t="s">
        <v>1228</v>
      </c>
      <c r="C345" s="163"/>
      <c r="D345" s="74">
        <v>4</v>
      </c>
      <c r="E345" s="74" t="s">
        <v>1226</v>
      </c>
      <c r="F345" s="74" t="s">
        <v>1227</v>
      </c>
      <c r="G345" s="164" t="s">
        <v>1220</v>
      </c>
      <c r="H345" s="164" t="s">
        <v>1220</v>
      </c>
      <c r="K345" s="8" t="s">
        <v>1218</v>
      </c>
    </row>
    <row r="346" spans="2:13" ht="31.2" x14ac:dyDescent="0.3">
      <c r="B346" s="80" t="s">
        <v>1229</v>
      </c>
      <c r="C346" s="163"/>
      <c r="D346" s="74">
        <v>5</v>
      </c>
      <c r="E346" s="164" t="s">
        <v>1220</v>
      </c>
      <c r="F346" s="74" t="s">
        <v>1227</v>
      </c>
      <c r="G346" s="164" t="s">
        <v>1220</v>
      </c>
      <c r="H346" s="164" t="s">
        <v>1220</v>
      </c>
    </row>
    <row r="347" spans="2:13" ht="31.2" x14ac:dyDescent="0.3">
      <c r="B347" s="80" t="s">
        <v>1230</v>
      </c>
      <c r="C347" s="163"/>
      <c r="D347" s="74">
        <v>6</v>
      </c>
      <c r="E347" s="164" t="s">
        <v>1220</v>
      </c>
      <c r="F347" s="74" t="s">
        <v>1227</v>
      </c>
      <c r="G347" s="164" t="s">
        <v>1220</v>
      </c>
      <c r="H347" s="164" t="s">
        <v>1220</v>
      </c>
    </row>
    <row r="348" spans="2:13" ht="31.2" x14ac:dyDescent="0.3">
      <c r="B348" s="80" t="s">
        <v>1231</v>
      </c>
      <c r="C348" s="163"/>
      <c r="D348" s="74">
        <v>7</v>
      </c>
      <c r="E348" s="164" t="s">
        <v>1220</v>
      </c>
      <c r="F348" s="74" t="s">
        <v>1227</v>
      </c>
      <c r="G348" s="164" t="s">
        <v>1220</v>
      </c>
      <c r="H348" s="164" t="s">
        <v>1220</v>
      </c>
    </row>
    <row r="349" spans="2:13" ht="31.2" x14ac:dyDescent="0.3">
      <c r="B349" s="80" t="s">
        <v>1232</v>
      </c>
      <c r="C349" s="163"/>
      <c r="D349" s="74">
        <v>8</v>
      </c>
      <c r="E349" s="164" t="s">
        <v>1220</v>
      </c>
      <c r="F349" s="74" t="s">
        <v>1227</v>
      </c>
      <c r="G349" s="164" t="s">
        <v>1220</v>
      </c>
      <c r="H349" s="164" t="s">
        <v>1220</v>
      </c>
    </row>
    <row r="350" spans="2:13" x14ac:dyDescent="0.3">
      <c r="B350" s="80" t="s">
        <v>1233</v>
      </c>
      <c r="C350" s="163"/>
      <c r="D350" s="74">
        <v>9</v>
      </c>
      <c r="E350" s="164" t="s">
        <v>1220</v>
      </c>
      <c r="F350" s="164" t="s">
        <v>1220</v>
      </c>
      <c r="G350" s="164" t="s">
        <v>1220</v>
      </c>
      <c r="H350" s="164" t="s">
        <v>1220</v>
      </c>
    </row>
    <row r="351" spans="2:13" ht="62.4" x14ac:dyDescent="0.3">
      <c r="B351" s="80" t="s">
        <v>1234</v>
      </c>
      <c r="C351" s="163"/>
      <c r="D351" s="74">
        <v>10</v>
      </c>
      <c r="E351" s="164" t="s">
        <v>1220</v>
      </c>
      <c r="F351" s="164" t="s">
        <v>1220</v>
      </c>
      <c r="G351" s="164" t="s">
        <v>1235</v>
      </c>
      <c r="H351" s="164" t="s">
        <v>1236</v>
      </c>
    </row>
    <row r="352" spans="2:13" x14ac:dyDescent="0.3">
      <c r="B352" s="387" t="s">
        <v>1205</v>
      </c>
      <c r="C352" s="388"/>
      <c r="D352" s="389" t="s">
        <v>3828</v>
      </c>
      <c r="E352" s="390"/>
      <c r="F352" s="390"/>
      <c r="G352" s="390"/>
      <c r="H352" s="390"/>
    </row>
    <row r="353" spans="2:4" x14ac:dyDescent="0.3">
      <c r="B353" s="6"/>
      <c r="C353" s="89"/>
      <c r="D353" s="47">
        <v>11</v>
      </c>
    </row>
    <row r="354" spans="2:4" x14ac:dyDescent="0.3">
      <c r="B354" s="158" t="s">
        <v>1237</v>
      </c>
      <c r="C354" s="166"/>
    </row>
    <row r="355" spans="2:4" x14ac:dyDescent="0.3">
      <c r="B355" s="81" t="s">
        <v>1238</v>
      </c>
      <c r="C355" s="162"/>
      <c r="D355" s="88" t="s">
        <v>1216</v>
      </c>
    </row>
    <row r="356" spans="2:4" x14ac:dyDescent="0.3">
      <c r="B356" s="80" t="s">
        <v>1239</v>
      </c>
      <c r="C356" s="163"/>
      <c r="D356" s="74">
        <v>0</v>
      </c>
    </row>
    <row r="357" spans="2:4" x14ac:dyDescent="0.3">
      <c r="B357" s="80" t="s">
        <v>1240</v>
      </c>
      <c r="C357" s="163"/>
      <c r="D357" s="74">
        <v>1</v>
      </c>
    </row>
    <row r="358" spans="2:4" x14ac:dyDescent="0.3">
      <c r="B358" s="80" t="s">
        <v>1241</v>
      </c>
      <c r="C358" s="163"/>
      <c r="D358" s="74">
        <f>D357+1</f>
        <v>2</v>
      </c>
    </row>
    <row r="359" spans="2:4" x14ac:dyDescent="0.3">
      <c r="B359" s="80" t="s">
        <v>1242</v>
      </c>
      <c r="C359" s="163"/>
      <c r="D359" s="74">
        <f t="shared" ref="D359:D393" si="136">D358+1</f>
        <v>3</v>
      </c>
    </row>
    <row r="360" spans="2:4" x14ac:dyDescent="0.3">
      <c r="B360" s="80" t="s">
        <v>1243</v>
      </c>
      <c r="C360" s="163"/>
      <c r="D360" s="74">
        <f t="shared" si="136"/>
        <v>4</v>
      </c>
    </row>
    <row r="361" spans="2:4" x14ac:dyDescent="0.3">
      <c r="B361" s="80" t="s">
        <v>1244</v>
      </c>
      <c r="C361" s="163"/>
      <c r="D361" s="74">
        <f t="shared" si="136"/>
        <v>5</v>
      </c>
    </row>
    <row r="362" spans="2:4" x14ac:dyDescent="0.3">
      <c r="B362" s="80" t="s">
        <v>1245</v>
      </c>
      <c r="C362" s="163"/>
      <c r="D362" s="74">
        <f t="shared" si="136"/>
        <v>6</v>
      </c>
    </row>
    <row r="363" spans="2:4" x14ac:dyDescent="0.3">
      <c r="B363" s="80" t="s">
        <v>1246</v>
      </c>
      <c r="C363" s="163"/>
      <c r="D363" s="74">
        <f t="shared" si="136"/>
        <v>7</v>
      </c>
    </row>
    <row r="364" spans="2:4" x14ac:dyDescent="0.3">
      <c r="B364" s="80" t="s">
        <v>1247</v>
      </c>
      <c r="C364" s="163"/>
      <c r="D364" s="74">
        <f t="shared" si="136"/>
        <v>8</v>
      </c>
    </row>
    <row r="365" spans="2:4" x14ac:dyDescent="0.3">
      <c r="B365" s="80" t="s">
        <v>1248</v>
      </c>
      <c r="C365" s="163"/>
      <c r="D365" s="74">
        <f t="shared" si="136"/>
        <v>9</v>
      </c>
    </row>
    <row r="366" spans="2:4" x14ac:dyDescent="0.3">
      <c r="B366" s="80" t="s">
        <v>1249</v>
      </c>
      <c r="C366" s="163"/>
      <c r="D366" s="74">
        <f t="shared" si="136"/>
        <v>10</v>
      </c>
    </row>
    <row r="367" spans="2:4" x14ac:dyDescent="0.3">
      <c r="B367" s="80" t="s">
        <v>1250</v>
      </c>
      <c r="C367" s="163"/>
      <c r="D367" s="74">
        <f t="shared" si="136"/>
        <v>11</v>
      </c>
    </row>
    <row r="368" spans="2:4" x14ac:dyDescent="0.3">
      <c r="B368" s="80" t="s">
        <v>1251</v>
      </c>
      <c r="C368" s="163"/>
      <c r="D368" s="74">
        <f t="shared" si="136"/>
        <v>12</v>
      </c>
    </row>
    <row r="369" spans="2:4" x14ac:dyDescent="0.3">
      <c r="B369" s="80" t="s">
        <v>1252</v>
      </c>
      <c r="C369" s="163"/>
      <c r="D369" s="74">
        <f t="shared" si="136"/>
        <v>13</v>
      </c>
    </row>
    <row r="370" spans="2:4" x14ac:dyDescent="0.3">
      <c r="B370" s="80" t="s">
        <v>1253</v>
      </c>
      <c r="C370" s="163"/>
      <c r="D370" s="74">
        <f t="shared" si="136"/>
        <v>14</v>
      </c>
    </row>
    <row r="371" spans="2:4" x14ac:dyDescent="0.3">
      <c r="B371" s="80" t="s">
        <v>1254</v>
      </c>
      <c r="C371" s="163"/>
      <c r="D371" s="74">
        <f t="shared" si="136"/>
        <v>15</v>
      </c>
    </row>
    <row r="372" spans="2:4" x14ac:dyDescent="0.3">
      <c r="B372" s="80" t="s">
        <v>1255</v>
      </c>
      <c r="C372" s="163"/>
      <c r="D372" s="74">
        <f t="shared" si="136"/>
        <v>16</v>
      </c>
    </row>
    <row r="373" spans="2:4" x14ac:dyDescent="0.3">
      <c r="B373" s="80" t="s">
        <v>1256</v>
      </c>
      <c r="C373" s="163"/>
      <c r="D373" s="74">
        <f t="shared" si="136"/>
        <v>17</v>
      </c>
    </row>
    <row r="374" spans="2:4" x14ac:dyDescent="0.3">
      <c r="B374" s="80" t="s">
        <v>1257</v>
      </c>
      <c r="C374" s="163"/>
      <c r="D374" s="74">
        <f t="shared" si="136"/>
        <v>18</v>
      </c>
    </row>
    <row r="375" spans="2:4" x14ac:dyDescent="0.3">
      <c r="B375" s="80" t="s">
        <v>1258</v>
      </c>
      <c r="C375" s="163"/>
      <c r="D375" s="74">
        <f t="shared" si="136"/>
        <v>19</v>
      </c>
    </row>
    <row r="376" spans="2:4" x14ac:dyDescent="0.3">
      <c r="B376" s="80" t="s">
        <v>1259</v>
      </c>
      <c r="C376" s="163"/>
      <c r="D376" s="74">
        <f t="shared" si="136"/>
        <v>20</v>
      </c>
    </row>
    <row r="377" spans="2:4" x14ac:dyDescent="0.3">
      <c r="B377" s="80" t="s">
        <v>1260</v>
      </c>
      <c r="C377" s="163"/>
      <c r="D377" s="74">
        <f t="shared" si="136"/>
        <v>21</v>
      </c>
    </row>
    <row r="378" spans="2:4" x14ac:dyDescent="0.3">
      <c r="B378" s="80" t="s">
        <v>1261</v>
      </c>
      <c r="C378" s="163"/>
      <c r="D378" s="74">
        <f t="shared" si="136"/>
        <v>22</v>
      </c>
    </row>
    <row r="379" spans="2:4" x14ac:dyDescent="0.3">
      <c r="B379" s="80" t="s">
        <v>1262</v>
      </c>
      <c r="C379" s="163"/>
      <c r="D379" s="74">
        <f t="shared" si="136"/>
        <v>23</v>
      </c>
    </row>
    <row r="380" spans="2:4" x14ac:dyDescent="0.3">
      <c r="B380" s="80" t="s">
        <v>1263</v>
      </c>
      <c r="C380" s="163"/>
      <c r="D380" s="74">
        <f t="shared" si="136"/>
        <v>24</v>
      </c>
    </row>
    <row r="381" spans="2:4" x14ac:dyDescent="0.3">
      <c r="B381" s="80" t="s">
        <v>1264</v>
      </c>
      <c r="C381" s="163"/>
      <c r="D381" s="74">
        <f t="shared" si="136"/>
        <v>25</v>
      </c>
    </row>
    <row r="382" spans="2:4" x14ac:dyDescent="0.3">
      <c r="B382" s="80" t="s">
        <v>1265</v>
      </c>
      <c r="C382" s="163"/>
      <c r="D382" s="74">
        <f t="shared" si="136"/>
        <v>26</v>
      </c>
    </row>
    <row r="383" spans="2:4" x14ac:dyDescent="0.3">
      <c r="B383" s="80" t="s">
        <v>1266</v>
      </c>
      <c r="C383" s="163"/>
      <c r="D383" s="74">
        <f t="shared" si="136"/>
        <v>27</v>
      </c>
    </row>
    <row r="384" spans="2:4" x14ac:dyDescent="0.3">
      <c r="B384" s="80" t="s">
        <v>1267</v>
      </c>
      <c r="C384" s="163"/>
      <c r="D384" s="74">
        <f t="shared" si="136"/>
        <v>28</v>
      </c>
    </row>
    <row r="385" spans="2:4" x14ac:dyDescent="0.3">
      <c r="B385" s="80" t="s">
        <v>1268</v>
      </c>
      <c r="C385" s="163"/>
      <c r="D385" s="74">
        <f t="shared" si="136"/>
        <v>29</v>
      </c>
    </row>
    <row r="386" spans="2:4" x14ac:dyDescent="0.3">
      <c r="B386" s="80" t="s">
        <v>1269</v>
      </c>
      <c r="C386" s="163"/>
      <c r="D386" s="74">
        <f t="shared" si="136"/>
        <v>30</v>
      </c>
    </row>
    <row r="387" spans="2:4" x14ac:dyDescent="0.3">
      <c r="B387" s="80" t="s">
        <v>1270</v>
      </c>
      <c r="C387" s="163"/>
      <c r="D387" s="74">
        <f t="shared" si="136"/>
        <v>31</v>
      </c>
    </row>
    <row r="388" spans="2:4" x14ac:dyDescent="0.3">
      <c r="B388" s="80" t="s">
        <v>1271</v>
      </c>
      <c r="C388" s="163"/>
      <c r="D388" s="74">
        <f t="shared" si="136"/>
        <v>32</v>
      </c>
    </row>
    <row r="389" spans="2:4" x14ac:dyDescent="0.3">
      <c r="B389" s="80" t="s">
        <v>1272</v>
      </c>
      <c r="C389" s="163"/>
      <c r="D389" s="74">
        <f t="shared" si="136"/>
        <v>33</v>
      </c>
    </row>
    <row r="390" spans="2:4" x14ac:dyDescent="0.3">
      <c r="B390" s="80" t="s">
        <v>1273</v>
      </c>
      <c r="C390" s="163"/>
      <c r="D390" s="74">
        <f t="shared" si="136"/>
        <v>34</v>
      </c>
    </row>
    <row r="391" spans="2:4" x14ac:dyDescent="0.3">
      <c r="B391" s="80" t="s">
        <v>1274</v>
      </c>
      <c r="C391" s="163"/>
      <c r="D391" s="74">
        <f t="shared" si="136"/>
        <v>35</v>
      </c>
    </row>
    <row r="392" spans="2:4" x14ac:dyDescent="0.3">
      <c r="B392" s="80" t="s">
        <v>1275</v>
      </c>
      <c r="C392" s="163"/>
      <c r="D392" s="74">
        <f t="shared" si="136"/>
        <v>36</v>
      </c>
    </row>
    <row r="393" spans="2:4" x14ac:dyDescent="0.3">
      <c r="B393" s="80" t="s">
        <v>1276</v>
      </c>
      <c r="C393" s="163"/>
      <c r="D393" s="74">
        <f t="shared" si="136"/>
        <v>37</v>
      </c>
    </row>
    <row r="394" spans="2:4" x14ac:dyDescent="0.3">
      <c r="B394" s="80" t="s">
        <v>1277</v>
      </c>
      <c r="C394" s="163"/>
      <c r="D394" s="74">
        <v>38</v>
      </c>
    </row>
    <row r="395" spans="2:4" x14ac:dyDescent="0.3">
      <c r="B395" s="78"/>
      <c r="C395" s="165"/>
    </row>
    <row r="396" spans="2:4" x14ac:dyDescent="0.3">
      <c r="B396" s="158" t="s">
        <v>1278</v>
      </c>
      <c r="C396" s="166"/>
    </row>
    <row r="397" spans="2:4" x14ac:dyDescent="0.3">
      <c r="B397" s="81" t="s">
        <v>1279</v>
      </c>
      <c r="C397" s="162"/>
      <c r="D397" s="88" t="s">
        <v>1216</v>
      </c>
    </row>
    <row r="398" spans="2:4" x14ac:dyDescent="0.3">
      <c r="B398" s="7" t="s">
        <v>1280</v>
      </c>
      <c r="C398" s="70"/>
      <c r="D398" s="70">
        <v>0</v>
      </c>
    </row>
    <row r="399" spans="2:4" x14ac:dyDescent="0.3">
      <c r="B399" s="225" t="s">
        <v>1281</v>
      </c>
      <c r="C399" s="70"/>
      <c r="D399" s="70">
        <v>1</v>
      </c>
    </row>
    <row r="400" spans="2:4" x14ac:dyDescent="0.3">
      <c r="B400" s="7" t="s">
        <v>1282</v>
      </c>
      <c r="C400" s="70"/>
      <c r="D400" s="70">
        <v>2</v>
      </c>
    </row>
    <row r="401" spans="2:8" x14ac:dyDescent="0.3">
      <c r="B401" s="7" t="s">
        <v>1283</v>
      </c>
      <c r="C401" s="70"/>
      <c r="D401" s="70">
        <v>3</v>
      </c>
    </row>
    <row r="402" spans="2:8" x14ac:dyDescent="0.3">
      <c r="B402" s="7" t="s">
        <v>1284</v>
      </c>
      <c r="C402" s="70"/>
      <c r="D402" s="70">
        <v>4</v>
      </c>
    </row>
    <row r="403" spans="2:8" x14ac:dyDescent="0.3">
      <c r="B403" s="7" t="s">
        <v>1285</v>
      </c>
      <c r="C403" s="70"/>
      <c r="D403" s="70">
        <v>5</v>
      </c>
    </row>
    <row r="404" spans="2:8" x14ac:dyDescent="0.3">
      <c r="B404" s="7" t="s">
        <v>1286</v>
      </c>
      <c r="C404" s="70"/>
      <c r="D404" s="70">
        <v>6</v>
      </c>
    </row>
    <row r="405" spans="2:8" x14ac:dyDescent="0.3">
      <c r="B405" s="7" t="s">
        <v>1287</v>
      </c>
      <c r="C405" s="70"/>
      <c r="D405" s="70">
        <v>7</v>
      </c>
    </row>
    <row r="406" spans="2:8" x14ac:dyDescent="0.3">
      <c r="B406" s="7" t="s">
        <v>1288</v>
      </c>
      <c r="C406" s="70"/>
      <c r="D406" s="70">
        <v>8</v>
      </c>
    </row>
    <row r="407" spans="2:8" x14ac:dyDescent="0.3">
      <c r="B407" s="7" t="s">
        <v>1289</v>
      </c>
      <c r="C407" s="70"/>
      <c r="D407" s="70">
        <v>9</v>
      </c>
    </row>
    <row r="408" spans="2:8" x14ac:dyDescent="0.3">
      <c r="B408" s="7" t="s">
        <v>1290</v>
      </c>
      <c r="C408" s="70"/>
      <c r="D408" s="70">
        <v>10</v>
      </c>
    </row>
    <row r="409" spans="2:8" x14ac:dyDescent="0.3">
      <c r="B409" s="7" t="s">
        <v>1291</v>
      </c>
      <c r="C409" s="70"/>
      <c r="D409" s="70">
        <v>11</v>
      </c>
    </row>
    <row r="410" spans="2:8" x14ac:dyDescent="0.3">
      <c r="B410" s="7" t="s">
        <v>1292</v>
      </c>
      <c r="C410" s="70"/>
      <c r="D410" s="70">
        <v>12</v>
      </c>
    </row>
    <row r="413" spans="2:8" x14ac:dyDescent="0.3">
      <c r="B413" s="158" t="s">
        <v>1293</v>
      </c>
      <c r="C413" s="166"/>
    </row>
    <row r="414" spans="2:8" x14ac:dyDescent="0.3">
      <c r="B414" s="81" t="s">
        <v>1294</v>
      </c>
      <c r="C414" s="162"/>
      <c r="D414" s="88" t="s">
        <v>1216</v>
      </c>
      <c r="E414" s="162" t="s">
        <v>307</v>
      </c>
      <c r="F414" s="162" t="s">
        <v>308</v>
      </c>
      <c r="G414" s="162" t="s">
        <v>310</v>
      </c>
      <c r="H414" s="162" t="s">
        <v>1295</v>
      </c>
    </row>
    <row r="415" spans="2:8" x14ac:dyDescent="0.3">
      <c r="B415" s="10" t="s">
        <v>1296</v>
      </c>
      <c r="C415" s="10"/>
      <c r="D415" s="74">
        <v>0</v>
      </c>
      <c r="E415" s="59">
        <v>0</v>
      </c>
      <c r="F415" s="59">
        <v>0</v>
      </c>
      <c r="G415" s="59" t="s">
        <v>1297</v>
      </c>
      <c r="H415" s="59" t="s">
        <v>1297</v>
      </c>
    </row>
    <row r="416" spans="2:8" x14ac:dyDescent="0.3">
      <c r="B416" s="10" t="s">
        <v>1298</v>
      </c>
      <c r="C416" s="10"/>
      <c r="D416" s="74">
        <f>D415+1</f>
        <v>1</v>
      </c>
      <c r="E416" s="59">
        <v>10</v>
      </c>
      <c r="F416" s="10">
        <v>1000</v>
      </c>
      <c r="G416" s="59">
        <v>1</v>
      </c>
      <c r="H416" s="59" t="s">
        <v>1299</v>
      </c>
    </row>
    <row r="417" spans="2:13" x14ac:dyDescent="0.3">
      <c r="B417" s="10" t="s">
        <v>1300</v>
      </c>
      <c r="C417" s="10"/>
      <c r="D417" s="74">
        <f t="shared" ref="D417:D426" si="137">D416+1</f>
        <v>2</v>
      </c>
      <c r="E417" s="59">
        <v>10</v>
      </c>
      <c r="F417" s="10">
        <v>1000</v>
      </c>
      <c r="G417" s="59">
        <v>1</v>
      </c>
      <c r="H417" s="59" t="s">
        <v>1299</v>
      </c>
    </row>
    <row r="418" spans="2:13" x14ac:dyDescent="0.3">
      <c r="B418" s="10" t="s">
        <v>1301</v>
      </c>
      <c r="C418" s="10"/>
      <c r="D418" s="74">
        <f t="shared" si="137"/>
        <v>3</v>
      </c>
      <c r="E418" s="59">
        <v>10</v>
      </c>
      <c r="F418" s="10">
        <v>1000</v>
      </c>
      <c r="G418" s="59">
        <v>1</v>
      </c>
      <c r="H418" s="59" t="s">
        <v>1299</v>
      </c>
    </row>
    <row r="419" spans="2:13" x14ac:dyDescent="0.3">
      <c r="B419" s="10" t="s">
        <v>411</v>
      </c>
      <c r="C419" s="10"/>
      <c r="D419" s="74">
        <f t="shared" si="137"/>
        <v>4</v>
      </c>
      <c r="E419" s="59">
        <v>10</v>
      </c>
      <c r="F419" s="10">
        <v>1000</v>
      </c>
      <c r="G419" s="59">
        <v>1</v>
      </c>
      <c r="H419" s="59" t="s">
        <v>1299</v>
      </c>
    </row>
    <row r="420" spans="2:13" x14ac:dyDescent="0.3">
      <c r="B420" s="117" t="s">
        <v>1302</v>
      </c>
      <c r="C420" s="10"/>
      <c r="D420" s="74">
        <f t="shared" si="137"/>
        <v>5</v>
      </c>
      <c r="E420" s="59">
        <v>20</v>
      </c>
      <c r="F420" s="10">
        <v>150</v>
      </c>
      <c r="G420" s="59">
        <v>1</v>
      </c>
      <c r="H420" s="59" t="s">
        <v>789</v>
      </c>
    </row>
    <row r="421" spans="2:13" x14ac:dyDescent="0.3">
      <c r="B421" s="10" t="s">
        <v>1303</v>
      </c>
      <c r="C421" s="10"/>
      <c r="D421" s="74">
        <f t="shared" si="137"/>
        <v>6</v>
      </c>
      <c r="E421" s="59">
        <v>20</v>
      </c>
      <c r="F421" s="10">
        <v>150</v>
      </c>
      <c r="G421" s="59">
        <v>1</v>
      </c>
      <c r="H421" s="59" t="s">
        <v>789</v>
      </c>
    </row>
    <row r="422" spans="2:13" x14ac:dyDescent="0.3">
      <c r="B422" s="10" t="s">
        <v>1304</v>
      </c>
      <c r="C422" s="10"/>
      <c r="D422" s="74">
        <f t="shared" si="137"/>
        <v>7</v>
      </c>
      <c r="E422" s="59">
        <v>20</v>
      </c>
      <c r="F422" s="10">
        <v>150</v>
      </c>
      <c r="G422" s="59">
        <v>1</v>
      </c>
      <c r="H422" s="59" t="s">
        <v>789</v>
      </c>
    </row>
    <row r="423" spans="2:13" x14ac:dyDescent="0.3">
      <c r="B423" s="10" t="s">
        <v>396</v>
      </c>
      <c r="C423" s="10"/>
      <c r="D423" s="74">
        <f t="shared" si="137"/>
        <v>8</v>
      </c>
      <c r="E423" s="59">
        <v>20</v>
      </c>
      <c r="F423" s="10">
        <v>150</v>
      </c>
      <c r="G423" s="59">
        <v>1</v>
      </c>
      <c r="H423" s="59" t="s">
        <v>789</v>
      </c>
    </row>
    <row r="424" spans="2:13" x14ac:dyDescent="0.3">
      <c r="B424" s="10" t="s">
        <v>1305</v>
      </c>
      <c r="C424" s="10"/>
      <c r="D424" s="74">
        <f t="shared" si="137"/>
        <v>9</v>
      </c>
      <c r="E424" s="59">
        <v>50</v>
      </c>
      <c r="F424" s="94">
        <v>140</v>
      </c>
      <c r="G424" s="59">
        <v>1</v>
      </c>
      <c r="H424" s="59" t="s">
        <v>1306</v>
      </c>
    </row>
    <row r="425" spans="2:13" x14ac:dyDescent="0.3">
      <c r="B425" s="10" t="s">
        <v>1307</v>
      </c>
      <c r="C425" s="10"/>
      <c r="D425" s="74">
        <f t="shared" si="137"/>
        <v>10</v>
      </c>
      <c r="E425" s="59">
        <v>20</v>
      </c>
      <c r="F425" s="10">
        <v>1000</v>
      </c>
      <c r="G425" s="59">
        <v>1</v>
      </c>
      <c r="H425" s="59" t="s">
        <v>1308</v>
      </c>
    </row>
    <row r="426" spans="2:13" x14ac:dyDescent="0.3">
      <c r="B426" s="10" t="s">
        <v>1309</v>
      </c>
      <c r="C426" s="10"/>
      <c r="D426" s="74">
        <f t="shared" si="137"/>
        <v>11</v>
      </c>
      <c r="E426" s="59">
        <v>20</v>
      </c>
      <c r="F426" s="10">
        <v>1000</v>
      </c>
      <c r="G426" s="59">
        <v>1</v>
      </c>
      <c r="H426" s="59" t="s">
        <v>1308</v>
      </c>
    </row>
    <row r="429" spans="2:13" x14ac:dyDescent="0.3">
      <c r="B429" s="158" t="s">
        <v>1310</v>
      </c>
    </row>
    <row r="430" spans="2:13" x14ac:dyDescent="0.3">
      <c r="B430" s="145" t="s">
        <v>1311</v>
      </c>
      <c r="C430" s="167" t="s">
        <v>1312</v>
      </c>
      <c r="D430" s="88" t="s">
        <v>1313</v>
      </c>
      <c r="E430" s="146" t="s">
        <v>1314</v>
      </c>
      <c r="F430" s="146" t="s">
        <v>1225</v>
      </c>
      <c r="G430" s="146" t="s">
        <v>1315</v>
      </c>
      <c r="H430" s="146" t="s">
        <v>1229</v>
      </c>
      <c r="I430" s="146" t="s">
        <v>1316</v>
      </c>
      <c r="J430" s="146" t="s">
        <v>1317</v>
      </c>
      <c r="K430" s="146" t="s">
        <v>1318</v>
      </c>
      <c r="L430" s="146" t="s">
        <v>1319</v>
      </c>
      <c r="M430" s="146" t="s">
        <v>1320</v>
      </c>
    </row>
    <row r="431" spans="2:13" x14ac:dyDescent="0.3">
      <c r="B431" s="10" t="s">
        <v>1122</v>
      </c>
      <c r="C431" s="10">
        <v>0</v>
      </c>
      <c r="D431" s="10">
        <v>0</v>
      </c>
      <c r="E431" s="10">
        <v>0</v>
      </c>
      <c r="F431" s="10">
        <v>0</v>
      </c>
      <c r="G431" s="10">
        <v>0</v>
      </c>
      <c r="H431" s="10">
        <v>0</v>
      </c>
      <c r="I431" s="10">
        <v>0</v>
      </c>
      <c r="J431" s="10">
        <v>0</v>
      </c>
      <c r="K431" s="10">
        <v>0</v>
      </c>
      <c r="L431" s="10">
        <v>0</v>
      </c>
      <c r="M431" s="10">
        <v>0</v>
      </c>
    </row>
    <row r="432" spans="2:13" x14ac:dyDescent="0.3">
      <c r="B432" s="10" t="s">
        <v>1123</v>
      </c>
      <c r="C432" s="10">
        <v>504</v>
      </c>
      <c r="D432" s="10">
        <v>504</v>
      </c>
      <c r="E432" s="10">
        <v>504</v>
      </c>
      <c r="F432" s="10">
        <v>504</v>
      </c>
      <c r="G432" s="10">
        <v>504</v>
      </c>
      <c r="H432" s="10">
        <v>504</v>
      </c>
      <c r="I432" s="10">
        <v>504</v>
      </c>
      <c r="J432" s="10">
        <v>504</v>
      </c>
      <c r="K432" s="10">
        <v>504</v>
      </c>
      <c r="L432" s="10">
        <v>504</v>
      </c>
      <c r="M432" s="10">
        <v>504</v>
      </c>
    </row>
    <row r="433" spans="2:13" x14ac:dyDescent="0.3">
      <c r="B433" s="10" t="s">
        <v>1125</v>
      </c>
      <c r="C433" s="10">
        <v>7</v>
      </c>
      <c r="D433" s="10">
        <v>7</v>
      </c>
      <c r="E433" s="10">
        <v>7</v>
      </c>
      <c r="F433" s="10">
        <v>7</v>
      </c>
      <c r="G433" s="10">
        <v>7</v>
      </c>
      <c r="H433" s="10">
        <v>7</v>
      </c>
      <c r="I433" s="10">
        <v>7</v>
      </c>
      <c r="J433" s="10">
        <v>7</v>
      </c>
      <c r="K433" s="10">
        <v>7</v>
      </c>
      <c r="L433" s="10">
        <v>7</v>
      </c>
      <c r="M433" s="10">
        <v>7</v>
      </c>
    </row>
    <row r="434" spans="2:13" x14ac:dyDescent="0.3">
      <c r="B434" s="10" t="s">
        <v>1127</v>
      </c>
      <c r="C434" s="10">
        <v>0</v>
      </c>
      <c r="D434" s="10">
        <v>0</v>
      </c>
      <c r="E434" s="10">
        <v>0</v>
      </c>
      <c r="F434" s="10">
        <v>0</v>
      </c>
      <c r="G434" s="10">
        <v>0</v>
      </c>
      <c r="H434" s="10">
        <v>0</v>
      </c>
      <c r="I434" s="10">
        <v>0</v>
      </c>
      <c r="J434" s="10">
        <v>0</v>
      </c>
      <c r="K434" s="10">
        <v>0</v>
      </c>
      <c r="L434" s="10">
        <v>1</v>
      </c>
      <c r="M434" s="10">
        <v>0</v>
      </c>
    </row>
    <row r="435" spans="2:13" x14ac:dyDescent="0.3">
      <c r="B435" s="10" t="s">
        <v>1129</v>
      </c>
      <c r="C435" s="10">
        <v>0</v>
      </c>
      <c r="D435" s="10">
        <v>0</v>
      </c>
      <c r="E435" s="10">
        <v>0</v>
      </c>
      <c r="F435" s="10">
        <v>0</v>
      </c>
      <c r="G435" s="10">
        <v>0</v>
      </c>
      <c r="H435" s="10">
        <v>0</v>
      </c>
      <c r="I435" s="10">
        <v>0</v>
      </c>
      <c r="J435" s="10">
        <v>0</v>
      </c>
      <c r="K435" s="10">
        <v>0</v>
      </c>
      <c r="L435" s="10">
        <v>50</v>
      </c>
      <c r="M435" s="10">
        <v>0</v>
      </c>
    </row>
    <row r="436" spans="2:13" x14ac:dyDescent="0.3">
      <c r="B436" s="10" t="s">
        <v>1130</v>
      </c>
      <c r="C436" s="10">
        <v>0</v>
      </c>
      <c r="D436" s="10">
        <v>0</v>
      </c>
      <c r="E436" s="10">
        <v>0</v>
      </c>
      <c r="F436" s="10">
        <v>0</v>
      </c>
      <c r="G436" s="10">
        <v>0</v>
      </c>
      <c r="H436" s="10">
        <v>0</v>
      </c>
      <c r="I436" s="10">
        <v>0</v>
      </c>
      <c r="J436" s="10">
        <v>0</v>
      </c>
      <c r="K436" s="10">
        <v>0</v>
      </c>
      <c r="L436" s="10">
        <v>0</v>
      </c>
      <c r="M436" s="10">
        <v>0</v>
      </c>
    </row>
    <row r="437" spans="2:13" x14ac:dyDescent="0.3">
      <c r="B437" s="10" t="s">
        <v>1131</v>
      </c>
      <c r="C437" s="10">
        <v>233</v>
      </c>
      <c r="D437" s="10">
        <v>233</v>
      </c>
      <c r="E437" s="10">
        <v>505</v>
      </c>
      <c r="F437" s="10">
        <v>505</v>
      </c>
      <c r="G437" s="10">
        <v>505</v>
      </c>
      <c r="H437" s="10">
        <v>505</v>
      </c>
      <c r="I437" s="10">
        <v>505</v>
      </c>
      <c r="J437" s="10">
        <v>505</v>
      </c>
      <c r="K437" s="10">
        <v>505</v>
      </c>
      <c r="L437" s="10">
        <v>505</v>
      </c>
      <c r="M437" s="10">
        <v>505</v>
      </c>
    </row>
    <row r="438" spans="2:13" x14ac:dyDescent="0.3">
      <c r="B438" s="10" t="s">
        <v>1132</v>
      </c>
      <c r="C438" s="10">
        <v>3</v>
      </c>
      <c r="D438" s="10">
        <v>3</v>
      </c>
      <c r="E438" s="10">
        <v>8</v>
      </c>
      <c r="F438" s="10">
        <v>8</v>
      </c>
      <c r="G438" s="10">
        <v>8</v>
      </c>
      <c r="H438" s="10">
        <v>8</v>
      </c>
      <c r="I438" s="10">
        <v>8</v>
      </c>
      <c r="J438" s="10">
        <v>8</v>
      </c>
      <c r="K438" s="10">
        <v>8</v>
      </c>
      <c r="L438" s="10">
        <v>8</v>
      </c>
      <c r="M438" s="10">
        <v>8</v>
      </c>
    </row>
    <row r="439" spans="2:13" x14ac:dyDescent="0.3">
      <c r="B439" s="10" t="s">
        <v>1133</v>
      </c>
      <c r="C439" s="10">
        <v>0</v>
      </c>
      <c r="D439" s="10">
        <v>0</v>
      </c>
      <c r="E439" s="10">
        <v>0</v>
      </c>
      <c r="F439" s="10">
        <v>0</v>
      </c>
      <c r="G439" s="10">
        <v>0</v>
      </c>
      <c r="H439" s="10">
        <v>0</v>
      </c>
      <c r="I439" s="10">
        <v>0</v>
      </c>
      <c r="J439" s="10">
        <v>0</v>
      </c>
      <c r="K439" s="10">
        <v>0</v>
      </c>
      <c r="L439" s="10">
        <v>1</v>
      </c>
      <c r="M439" s="10">
        <v>0</v>
      </c>
    </row>
    <row r="440" spans="2:13" x14ac:dyDescent="0.3">
      <c r="B440" s="10" t="s">
        <v>1134</v>
      </c>
      <c r="C440" s="10">
        <v>0</v>
      </c>
      <c r="D440" s="10">
        <v>0</v>
      </c>
      <c r="E440" s="10">
        <v>0</v>
      </c>
      <c r="F440" s="10">
        <v>0</v>
      </c>
      <c r="G440" s="10">
        <v>0</v>
      </c>
      <c r="H440" s="10">
        <v>0</v>
      </c>
      <c r="I440" s="10">
        <v>0</v>
      </c>
      <c r="J440" s="10">
        <v>0</v>
      </c>
      <c r="K440" s="10">
        <v>0</v>
      </c>
      <c r="L440" s="10">
        <v>50</v>
      </c>
      <c r="M440" s="10">
        <v>0</v>
      </c>
    </row>
    <row r="441" spans="2:13" x14ac:dyDescent="0.3">
      <c r="B441" s="10" t="s">
        <v>1135</v>
      </c>
      <c r="C441" s="391">
        <v>1</v>
      </c>
      <c r="D441" s="10">
        <v>0</v>
      </c>
      <c r="E441" s="10">
        <v>0</v>
      </c>
      <c r="F441" s="10">
        <v>0</v>
      </c>
      <c r="G441" s="10">
        <v>0</v>
      </c>
      <c r="H441" s="10">
        <v>0</v>
      </c>
      <c r="I441" s="10">
        <v>0</v>
      </c>
      <c r="J441" s="10">
        <v>0</v>
      </c>
      <c r="K441" s="10">
        <v>0</v>
      </c>
      <c r="L441" s="10">
        <v>0</v>
      </c>
      <c r="M441" s="10">
        <v>0</v>
      </c>
    </row>
    <row r="442" spans="2:13" x14ac:dyDescent="0.3">
      <c r="B442" s="10" t="s">
        <v>1136</v>
      </c>
      <c r="C442" s="10">
        <v>234</v>
      </c>
      <c r="D442" s="10">
        <v>234</v>
      </c>
      <c r="E442" s="10">
        <v>234</v>
      </c>
      <c r="F442" s="10">
        <v>506</v>
      </c>
      <c r="G442" s="10">
        <v>506</v>
      </c>
      <c r="H442" s="10">
        <v>506</v>
      </c>
      <c r="I442" s="10">
        <v>506</v>
      </c>
      <c r="J442" s="10">
        <v>0</v>
      </c>
      <c r="K442" s="10">
        <v>0</v>
      </c>
      <c r="L442" s="10">
        <v>0</v>
      </c>
      <c r="M442" s="10">
        <v>506</v>
      </c>
    </row>
    <row r="443" spans="2:13" x14ac:dyDescent="0.3">
      <c r="B443" s="10" t="s">
        <v>1137</v>
      </c>
      <c r="C443" s="10">
        <v>2</v>
      </c>
      <c r="D443" s="10">
        <v>2</v>
      </c>
      <c r="E443" s="10">
        <v>2</v>
      </c>
      <c r="F443" s="10">
        <v>9</v>
      </c>
      <c r="G443" s="10">
        <v>9</v>
      </c>
      <c r="H443" s="10">
        <v>9</v>
      </c>
      <c r="I443" s="10">
        <v>9</v>
      </c>
      <c r="J443" s="10">
        <v>0</v>
      </c>
      <c r="K443" s="10">
        <v>0</v>
      </c>
      <c r="L443" s="10">
        <v>0</v>
      </c>
      <c r="M443" s="10">
        <v>9</v>
      </c>
    </row>
    <row r="444" spans="2:13" x14ac:dyDescent="0.3">
      <c r="B444" s="10" t="s">
        <v>1138</v>
      </c>
      <c r="C444" s="10">
        <v>0</v>
      </c>
      <c r="D444" s="10">
        <v>0</v>
      </c>
      <c r="E444" s="10">
        <v>0</v>
      </c>
      <c r="F444" s="10">
        <v>0</v>
      </c>
      <c r="G444" s="10">
        <v>0</v>
      </c>
      <c r="H444" s="10">
        <v>0</v>
      </c>
      <c r="I444" s="10">
        <v>0</v>
      </c>
      <c r="J444" s="10">
        <v>0</v>
      </c>
      <c r="K444" s="10">
        <v>0</v>
      </c>
      <c r="L444" s="10">
        <v>0</v>
      </c>
      <c r="M444" s="10">
        <v>0</v>
      </c>
    </row>
    <row r="445" spans="2:13" x14ac:dyDescent="0.3">
      <c r="B445" s="10" t="s">
        <v>1139</v>
      </c>
      <c r="C445" s="10">
        <v>0</v>
      </c>
      <c r="D445" s="10">
        <v>0</v>
      </c>
      <c r="E445" s="10">
        <v>0</v>
      </c>
      <c r="F445" s="10">
        <v>0</v>
      </c>
      <c r="G445" s="10">
        <v>0</v>
      </c>
      <c r="H445" s="10">
        <v>0</v>
      </c>
      <c r="I445" s="10">
        <v>0</v>
      </c>
      <c r="J445" s="10">
        <v>0</v>
      </c>
      <c r="K445" s="10">
        <v>0</v>
      </c>
      <c r="L445" s="10">
        <v>0</v>
      </c>
      <c r="M445" s="10">
        <v>0</v>
      </c>
    </row>
    <row r="446" spans="2:13" x14ac:dyDescent="0.3">
      <c r="B446" s="10" t="s">
        <v>1140</v>
      </c>
      <c r="C446" s="10">
        <v>0</v>
      </c>
      <c r="D446" s="10">
        <v>0</v>
      </c>
      <c r="E446" s="10">
        <v>0</v>
      </c>
      <c r="F446" s="10">
        <v>0</v>
      </c>
      <c r="G446" s="10">
        <v>0</v>
      </c>
      <c r="H446" s="10">
        <v>0</v>
      </c>
      <c r="I446" s="10">
        <v>0</v>
      </c>
      <c r="J446" s="10">
        <v>0</v>
      </c>
      <c r="K446" s="10">
        <v>0</v>
      </c>
      <c r="L446" s="10">
        <v>0</v>
      </c>
      <c r="M446" s="10">
        <v>0</v>
      </c>
    </row>
    <row r="447" spans="2:13" x14ac:dyDescent="0.3">
      <c r="B447" s="10" t="s">
        <v>1141</v>
      </c>
      <c r="C447" s="10">
        <v>0</v>
      </c>
      <c r="D447" s="10">
        <v>0</v>
      </c>
      <c r="E447" s="10">
        <v>0</v>
      </c>
      <c r="F447" s="10">
        <v>0</v>
      </c>
      <c r="G447" s="10">
        <v>507</v>
      </c>
      <c r="H447" s="10">
        <v>0</v>
      </c>
      <c r="I447" s="10">
        <v>507</v>
      </c>
      <c r="J447" s="10">
        <v>0</v>
      </c>
      <c r="K447" s="10">
        <v>507</v>
      </c>
      <c r="L447" s="10">
        <v>0</v>
      </c>
      <c r="M447" s="10">
        <v>507</v>
      </c>
    </row>
    <row r="448" spans="2:13" x14ac:dyDescent="0.3">
      <c r="B448" s="10" t="s">
        <v>1142</v>
      </c>
      <c r="C448" s="10">
        <v>0</v>
      </c>
      <c r="D448" s="10">
        <v>0</v>
      </c>
      <c r="E448" s="10">
        <v>0</v>
      </c>
      <c r="F448" s="10">
        <v>0</v>
      </c>
      <c r="G448" s="10">
        <v>10</v>
      </c>
      <c r="H448" s="10">
        <v>0</v>
      </c>
      <c r="I448" s="10">
        <v>10</v>
      </c>
      <c r="J448" s="10">
        <v>0</v>
      </c>
      <c r="K448" s="10">
        <v>10</v>
      </c>
      <c r="L448" s="10">
        <v>0</v>
      </c>
      <c r="M448" s="10">
        <v>10</v>
      </c>
    </row>
    <row r="449" spans="2:13" x14ac:dyDescent="0.3">
      <c r="B449" s="10" t="s">
        <v>1143</v>
      </c>
      <c r="C449" s="10">
        <v>0</v>
      </c>
      <c r="D449" s="10">
        <v>0</v>
      </c>
      <c r="E449" s="10">
        <v>0</v>
      </c>
      <c r="F449" s="10">
        <v>0</v>
      </c>
      <c r="G449" s="10">
        <v>0</v>
      </c>
      <c r="H449" s="10">
        <v>0</v>
      </c>
      <c r="I449" s="10">
        <v>0</v>
      </c>
      <c r="J449" s="10">
        <v>0</v>
      </c>
      <c r="K449" s="10">
        <v>0</v>
      </c>
      <c r="L449" s="10">
        <v>0</v>
      </c>
      <c r="M449" s="10">
        <v>0</v>
      </c>
    </row>
    <row r="450" spans="2:13" x14ac:dyDescent="0.3">
      <c r="B450" s="10" t="s">
        <v>1144</v>
      </c>
      <c r="C450" s="10">
        <v>0</v>
      </c>
      <c r="D450" s="10">
        <v>0</v>
      </c>
      <c r="E450" s="10">
        <v>0</v>
      </c>
      <c r="F450" s="10">
        <v>0</v>
      </c>
      <c r="G450" s="10">
        <v>0</v>
      </c>
      <c r="H450" s="10">
        <v>0</v>
      </c>
      <c r="I450" s="10">
        <v>0</v>
      </c>
      <c r="J450" s="10">
        <v>0</v>
      </c>
      <c r="K450" s="10">
        <v>0</v>
      </c>
      <c r="L450" s="10">
        <v>0</v>
      </c>
      <c r="M450" s="10">
        <v>0</v>
      </c>
    </row>
    <row r="451" spans="2:13" x14ac:dyDescent="0.3">
      <c r="B451" s="10" t="s">
        <v>1145</v>
      </c>
      <c r="C451" s="10">
        <v>0</v>
      </c>
      <c r="D451" s="10">
        <v>0</v>
      </c>
      <c r="E451" s="10">
        <v>0</v>
      </c>
      <c r="F451" s="10">
        <v>0</v>
      </c>
      <c r="G451" s="10">
        <v>0</v>
      </c>
      <c r="H451" s="10">
        <v>0</v>
      </c>
      <c r="I451" s="10">
        <v>0</v>
      </c>
      <c r="J451" s="10">
        <v>0</v>
      </c>
      <c r="K451" s="10">
        <v>0</v>
      </c>
      <c r="L451" s="10">
        <v>0</v>
      </c>
      <c r="M451" s="10">
        <v>0</v>
      </c>
    </row>
    <row r="452" spans="2:13" x14ac:dyDescent="0.3">
      <c r="B452" s="10" t="s">
        <v>1146</v>
      </c>
      <c r="C452" s="10">
        <v>0</v>
      </c>
      <c r="D452" s="10">
        <v>0</v>
      </c>
      <c r="E452" s="10">
        <v>0</v>
      </c>
      <c r="F452" s="10">
        <v>0</v>
      </c>
      <c r="G452" s="10">
        <v>0</v>
      </c>
      <c r="H452" s="10">
        <v>0</v>
      </c>
      <c r="I452" s="10">
        <v>508</v>
      </c>
      <c r="J452" s="10">
        <v>0</v>
      </c>
      <c r="K452" s="10">
        <v>508</v>
      </c>
      <c r="L452" s="10">
        <v>0</v>
      </c>
      <c r="M452" s="10">
        <v>508</v>
      </c>
    </row>
    <row r="453" spans="2:13" x14ac:dyDescent="0.3">
      <c r="B453" s="10" t="s">
        <v>1147</v>
      </c>
      <c r="C453" s="10">
        <v>0</v>
      </c>
      <c r="D453" s="10">
        <v>0</v>
      </c>
      <c r="E453" s="10">
        <v>0</v>
      </c>
      <c r="F453" s="10">
        <v>0</v>
      </c>
      <c r="G453" s="10">
        <v>0</v>
      </c>
      <c r="H453" s="10">
        <v>0</v>
      </c>
      <c r="I453" s="10">
        <v>11</v>
      </c>
      <c r="J453" s="10">
        <v>0</v>
      </c>
      <c r="K453" s="10">
        <v>11</v>
      </c>
      <c r="L453" s="10">
        <v>0</v>
      </c>
      <c r="M453" s="10">
        <v>11</v>
      </c>
    </row>
    <row r="454" spans="2:13" x14ac:dyDescent="0.3">
      <c r="B454" s="10" t="s">
        <v>1148</v>
      </c>
      <c r="C454" s="10">
        <v>0</v>
      </c>
      <c r="D454" s="10">
        <v>0</v>
      </c>
      <c r="E454" s="10">
        <v>0</v>
      </c>
      <c r="F454" s="10">
        <v>0</v>
      </c>
      <c r="G454" s="10">
        <v>0</v>
      </c>
      <c r="H454" s="10">
        <v>0</v>
      </c>
      <c r="I454" s="10">
        <v>0</v>
      </c>
      <c r="J454" s="10">
        <v>0</v>
      </c>
      <c r="K454" s="10">
        <v>0</v>
      </c>
      <c r="L454" s="10">
        <v>0</v>
      </c>
      <c r="M454" s="10">
        <v>0</v>
      </c>
    </row>
    <row r="455" spans="2:13" x14ac:dyDescent="0.3">
      <c r="B455" s="10" t="s">
        <v>1149</v>
      </c>
      <c r="C455" s="10">
        <v>0</v>
      </c>
      <c r="D455" s="10">
        <v>0</v>
      </c>
      <c r="E455" s="10">
        <v>0</v>
      </c>
      <c r="F455" s="10">
        <v>0</v>
      </c>
      <c r="G455" s="10">
        <v>0</v>
      </c>
      <c r="H455" s="10">
        <v>0</v>
      </c>
      <c r="I455" s="10">
        <v>0</v>
      </c>
      <c r="J455" s="10">
        <v>0</v>
      </c>
      <c r="K455" s="10">
        <v>0</v>
      </c>
      <c r="L455" s="10">
        <v>0</v>
      </c>
      <c r="M455" s="10">
        <v>0</v>
      </c>
    </row>
    <row r="457" spans="2:13" x14ac:dyDescent="0.3">
      <c r="B457" s="158" t="s">
        <v>1321</v>
      </c>
    </row>
    <row r="458" spans="2:13" x14ac:dyDescent="0.3">
      <c r="B458" s="145" t="s">
        <v>1322</v>
      </c>
      <c r="C458" s="167" t="s">
        <v>1312</v>
      </c>
      <c r="D458" s="88" t="s">
        <v>1313</v>
      </c>
      <c r="E458" s="146" t="s">
        <v>1314</v>
      </c>
      <c r="F458" s="146" t="s">
        <v>1225</v>
      </c>
      <c r="G458" s="146" t="s">
        <v>1315</v>
      </c>
      <c r="H458" s="146" t="s">
        <v>1229</v>
      </c>
      <c r="I458" s="146" t="s">
        <v>1316</v>
      </c>
      <c r="J458" s="146" t="s">
        <v>1317</v>
      </c>
      <c r="K458" s="146" t="s">
        <v>1318</v>
      </c>
      <c r="L458" s="146" t="s">
        <v>1319</v>
      </c>
      <c r="M458" s="146" t="s">
        <v>1320</v>
      </c>
    </row>
    <row r="459" spans="2:13" x14ac:dyDescent="0.3">
      <c r="B459" s="10" t="s">
        <v>1021</v>
      </c>
      <c r="C459" s="10">
        <v>0</v>
      </c>
      <c r="D459" s="10">
        <v>0</v>
      </c>
      <c r="E459" s="10">
        <v>0</v>
      </c>
      <c r="F459" s="10">
        <v>0</v>
      </c>
      <c r="G459" s="10">
        <v>0</v>
      </c>
      <c r="H459" s="10">
        <v>0</v>
      </c>
      <c r="I459" s="10">
        <v>0</v>
      </c>
      <c r="J459" s="10">
        <v>0</v>
      </c>
      <c r="K459" s="10">
        <v>0</v>
      </c>
      <c r="L459" s="10">
        <v>0</v>
      </c>
      <c r="M459" s="10">
        <v>0</v>
      </c>
    </row>
    <row r="460" spans="2:13" x14ac:dyDescent="0.3">
      <c r="B460" s="10" t="s">
        <v>1024</v>
      </c>
      <c r="C460" s="352">
        <v>38</v>
      </c>
      <c r="D460" s="10">
        <v>4</v>
      </c>
      <c r="E460" s="10">
        <v>4</v>
      </c>
      <c r="F460" s="10">
        <v>4</v>
      </c>
      <c r="G460" s="10">
        <v>4</v>
      </c>
      <c r="H460" s="10">
        <v>4</v>
      </c>
      <c r="I460" s="10">
        <v>4</v>
      </c>
      <c r="J460" s="10">
        <v>4</v>
      </c>
      <c r="K460" s="10">
        <v>4</v>
      </c>
      <c r="L460" s="10">
        <v>4</v>
      </c>
      <c r="M460" s="10">
        <v>4</v>
      </c>
    </row>
    <row r="461" spans="2:13" x14ac:dyDescent="0.3">
      <c r="B461" s="10" t="s">
        <v>1026</v>
      </c>
      <c r="C461" s="10">
        <v>10</v>
      </c>
      <c r="D461" s="10">
        <v>10</v>
      </c>
      <c r="E461" s="10">
        <v>10</v>
      </c>
      <c r="F461" s="10">
        <v>10</v>
      </c>
      <c r="G461" s="10">
        <v>10</v>
      </c>
      <c r="H461" s="10">
        <v>10</v>
      </c>
      <c r="I461" s="10">
        <v>10</v>
      </c>
      <c r="J461" s="10">
        <v>10</v>
      </c>
      <c r="K461" s="10">
        <v>10</v>
      </c>
      <c r="L461" s="10">
        <v>10</v>
      </c>
      <c r="M461" s="10">
        <v>10</v>
      </c>
    </row>
    <row r="462" spans="2:13" x14ac:dyDescent="0.3">
      <c r="B462" s="10" t="s">
        <v>1028</v>
      </c>
      <c r="C462" s="10">
        <v>0</v>
      </c>
      <c r="D462" s="10">
        <v>1</v>
      </c>
      <c r="E462" s="10">
        <v>1</v>
      </c>
      <c r="F462" s="10">
        <v>1</v>
      </c>
      <c r="G462" s="10">
        <v>1</v>
      </c>
      <c r="H462" s="10">
        <v>1</v>
      </c>
      <c r="I462" s="10">
        <v>1</v>
      </c>
      <c r="J462" s="10">
        <v>1</v>
      </c>
      <c r="K462" s="10">
        <v>1</v>
      </c>
      <c r="L462" s="10">
        <v>1</v>
      </c>
      <c r="M462" s="10">
        <v>1</v>
      </c>
    </row>
    <row r="463" spans="2:13" x14ac:dyDescent="0.3">
      <c r="B463" s="10" t="s">
        <v>1029</v>
      </c>
      <c r="C463" s="352">
        <v>38</v>
      </c>
      <c r="D463" s="10">
        <v>6</v>
      </c>
      <c r="E463" s="10">
        <v>6</v>
      </c>
      <c r="F463" s="10">
        <v>6</v>
      </c>
      <c r="G463" s="10">
        <v>6</v>
      </c>
      <c r="H463" s="10">
        <v>6</v>
      </c>
      <c r="I463" s="10">
        <v>6</v>
      </c>
      <c r="J463" s="10">
        <v>6</v>
      </c>
      <c r="K463" s="10">
        <v>6</v>
      </c>
      <c r="L463" s="10">
        <v>6</v>
      </c>
      <c r="M463" s="10">
        <v>6</v>
      </c>
    </row>
    <row r="464" spans="2:13" x14ac:dyDescent="0.3">
      <c r="B464" s="10" t="s">
        <v>1030</v>
      </c>
      <c r="C464" s="10">
        <v>10</v>
      </c>
      <c r="D464" s="10">
        <v>10</v>
      </c>
      <c r="E464" s="10">
        <v>10</v>
      </c>
      <c r="F464" s="10">
        <v>10</v>
      </c>
      <c r="G464" s="10">
        <v>10</v>
      </c>
      <c r="H464" s="10">
        <v>10</v>
      </c>
      <c r="I464" s="10">
        <v>10</v>
      </c>
      <c r="J464" s="10">
        <v>10</v>
      </c>
      <c r="K464" s="10">
        <v>10</v>
      </c>
      <c r="L464" s="10">
        <v>10</v>
      </c>
      <c r="M464" s="10">
        <v>10</v>
      </c>
    </row>
    <row r="465" spans="2:13" x14ac:dyDescent="0.3">
      <c r="B465" s="10" t="s">
        <v>1031</v>
      </c>
      <c r="C465" s="10">
        <v>0</v>
      </c>
      <c r="D465" s="10">
        <v>0</v>
      </c>
      <c r="E465" s="10">
        <v>0</v>
      </c>
      <c r="F465" s="10">
        <v>0</v>
      </c>
      <c r="G465" s="10">
        <v>0</v>
      </c>
      <c r="H465" s="10">
        <v>0</v>
      </c>
      <c r="I465" s="10">
        <v>0</v>
      </c>
      <c r="J465" s="10">
        <v>0</v>
      </c>
      <c r="K465" s="10">
        <v>0</v>
      </c>
      <c r="L465" s="10">
        <v>0</v>
      </c>
      <c r="M465" s="59">
        <v>0</v>
      </c>
    </row>
    <row r="466" spans="2:13" x14ac:dyDescent="0.3">
      <c r="B466" s="10" t="s">
        <v>1032</v>
      </c>
      <c r="C466" s="352">
        <v>38</v>
      </c>
      <c r="D466" s="352">
        <v>38</v>
      </c>
      <c r="E466" s="10">
        <v>7</v>
      </c>
      <c r="F466" s="352">
        <v>38</v>
      </c>
      <c r="G466" s="10">
        <v>7</v>
      </c>
      <c r="H466" s="10">
        <v>5</v>
      </c>
      <c r="I466" s="10">
        <v>5</v>
      </c>
      <c r="J466" s="10">
        <v>5</v>
      </c>
      <c r="K466" s="10">
        <v>5</v>
      </c>
      <c r="L466" s="352">
        <v>38</v>
      </c>
      <c r="M466" s="10">
        <v>27</v>
      </c>
    </row>
    <row r="467" spans="2:13" x14ac:dyDescent="0.3">
      <c r="B467" s="10" t="s">
        <v>1033</v>
      </c>
      <c r="C467" s="10">
        <v>10</v>
      </c>
      <c r="D467" s="10">
        <v>10</v>
      </c>
      <c r="E467" s="10">
        <v>10</v>
      </c>
      <c r="F467" s="10">
        <v>10</v>
      </c>
      <c r="G467" s="10">
        <v>10</v>
      </c>
      <c r="H467" s="10">
        <v>10</v>
      </c>
      <c r="I467" s="10">
        <v>10</v>
      </c>
      <c r="J467" s="10">
        <v>10</v>
      </c>
      <c r="K467" s="10">
        <v>10</v>
      </c>
      <c r="L467" s="10">
        <v>10</v>
      </c>
      <c r="M467" s="10">
        <v>10</v>
      </c>
    </row>
    <row r="468" spans="2:13" x14ac:dyDescent="0.3">
      <c r="B468" s="10" t="s">
        <v>1034</v>
      </c>
      <c r="C468" s="10">
        <v>0</v>
      </c>
      <c r="D468" s="10">
        <v>0</v>
      </c>
      <c r="E468" s="10">
        <v>0</v>
      </c>
      <c r="F468" s="10">
        <v>0</v>
      </c>
      <c r="G468" s="10">
        <v>0</v>
      </c>
      <c r="H468" s="10">
        <v>0</v>
      </c>
      <c r="I468" s="10">
        <v>0</v>
      </c>
      <c r="J468" s="10">
        <v>0</v>
      </c>
      <c r="K468" s="10">
        <v>0</v>
      </c>
      <c r="L468" s="10">
        <v>0</v>
      </c>
      <c r="M468" s="10">
        <v>0</v>
      </c>
    </row>
    <row r="469" spans="2:13" x14ac:dyDescent="0.3">
      <c r="B469" s="10" t="s">
        <v>1035</v>
      </c>
      <c r="C469" s="352">
        <v>38</v>
      </c>
      <c r="D469" s="10">
        <v>30</v>
      </c>
      <c r="E469" s="10">
        <v>30</v>
      </c>
      <c r="F469" s="10">
        <v>30</v>
      </c>
      <c r="G469" s="10">
        <v>30</v>
      </c>
      <c r="H469" s="10">
        <v>30</v>
      </c>
      <c r="I469" s="10">
        <v>30</v>
      </c>
      <c r="J469" s="10">
        <v>30</v>
      </c>
      <c r="K469" s="10">
        <v>30</v>
      </c>
      <c r="L469" s="10">
        <v>30</v>
      </c>
      <c r="M469" s="10">
        <v>30</v>
      </c>
    </row>
    <row r="470" spans="2:13" x14ac:dyDescent="0.3">
      <c r="B470" s="10" t="s">
        <v>1036</v>
      </c>
      <c r="C470" s="10">
        <v>10</v>
      </c>
      <c r="D470" s="10">
        <v>10</v>
      </c>
      <c r="E470" s="10">
        <v>10</v>
      </c>
      <c r="F470" s="10">
        <v>10</v>
      </c>
      <c r="G470" s="10">
        <v>10</v>
      </c>
      <c r="H470" s="10">
        <v>10</v>
      </c>
      <c r="I470" s="10">
        <v>10</v>
      </c>
      <c r="J470" s="10">
        <v>10</v>
      </c>
      <c r="K470" s="10">
        <v>10</v>
      </c>
      <c r="L470" s="10">
        <v>10</v>
      </c>
      <c r="M470" s="10">
        <v>10</v>
      </c>
    </row>
    <row r="471" spans="2:13" x14ac:dyDescent="0.3">
      <c r="B471" s="10" t="s">
        <v>1037</v>
      </c>
      <c r="C471" s="10">
        <v>0</v>
      </c>
      <c r="D471" s="10">
        <v>0</v>
      </c>
      <c r="E471" s="10">
        <v>0</v>
      </c>
      <c r="F471" s="10">
        <v>0</v>
      </c>
      <c r="G471" s="10">
        <v>0</v>
      </c>
      <c r="H471" s="10">
        <v>0</v>
      </c>
      <c r="I471" s="10">
        <v>0</v>
      </c>
      <c r="J471" s="10">
        <v>0</v>
      </c>
      <c r="K471" s="10">
        <v>0</v>
      </c>
      <c r="L471" s="10">
        <v>0</v>
      </c>
      <c r="M471" s="10">
        <v>0</v>
      </c>
    </row>
    <row r="472" spans="2:13" x14ac:dyDescent="0.3">
      <c r="B472" s="10" t="s">
        <v>1038</v>
      </c>
      <c r="C472" s="352">
        <v>38</v>
      </c>
      <c r="D472" s="352">
        <v>38</v>
      </c>
      <c r="E472" s="352">
        <v>38</v>
      </c>
      <c r="F472" s="352">
        <v>38</v>
      </c>
      <c r="G472" s="352">
        <v>38</v>
      </c>
      <c r="H472" s="352">
        <v>38</v>
      </c>
      <c r="I472" s="10">
        <v>7</v>
      </c>
      <c r="J472" s="352">
        <v>38</v>
      </c>
      <c r="K472" s="10">
        <v>7</v>
      </c>
      <c r="L472" s="352">
        <v>38</v>
      </c>
      <c r="M472" s="352">
        <v>38</v>
      </c>
    </row>
    <row r="473" spans="2:13" x14ac:dyDescent="0.3">
      <c r="B473" s="10" t="s">
        <v>1039</v>
      </c>
      <c r="C473" s="10">
        <v>10</v>
      </c>
      <c r="D473" s="10">
        <v>10</v>
      </c>
      <c r="E473" s="10">
        <v>10</v>
      </c>
      <c r="F473" s="10">
        <v>10</v>
      </c>
      <c r="G473" s="10">
        <v>10</v>
      </c>
      <c r="H473" s="10">
        <v>10</v>
      </c>
      <c r="I473" s="10">
        <v>10</v>
      </c>
      <c r="J473" s="10">
        <v>10</v>
      </c>
      <c r="K473" s="10">
        <v>10</v>
      </c>
      <c r="L473" s="10">
        <v>10</v>
      </c>
      <c r="M473" s="10">
        <v>10</v>
      </c>
    </row>
    <row r="474" spans="2:13" x14ac:dyDescent="0.3">
      <c r="B474" s="10" t="s">
        <v>1040</v>
      </c>
      <c r="C474" s="10">
        <v>0</v>
      </c>
      <c r="D474" s="10">
        <v>0</v>
      </c>
      <c r="E474" s="10">
        <v>0</v>
      </c>
      <c r="F474" s="10">
        <v>0</v>
      </c>
      <c r="G474" s="10">
        <v>0</v>
      </c>
      <c r="H474" s="10">
        <v>0</v>
      </c>
      <c r="I474" s="10">
        <v>0</v>
      </c>
      <c r="J474" s="10">
        <v>0</v>
      </c>
      <c r="K474" s="10">
        <v>0</v>
      </c>
      <c r="L474" s="10">
        <v>0</v>
      </c>
      <c r="M474" s="10">
        <v>0</v>
      </c>
    </row>
    <row r="475" spans="2:13" x14ac:dyDescent="0.3">
      <c r="B475" s="10" t="s">
        <v>1041</v>
      </c>
      <c r="C475" s="352">
        <v>38</v>
      </c>
      <c r="D475" s="352">
        <v>38</v>
      </c>
      <c r="E475" s="352">
        <v>38</v>
      </c>
      <c r="F475" s="352">
        <v>38</v>
      </c>
      <c r="G475" s="352">
        <v>38</v>
      </c>
      <c r="H475" s="352">
        <v>38</v>
      </c>
      <c r="I475" s="10">
        <v>8</v>
      </c>
      <c r="J475" s="352">
        <v>38</v>
      </c>
      <c r="K475" s="10">
        <v>8</v>
      </c>
      <c r="L475" s="352">
        <v>38</v>
      </c>
      <c r="M475" s="352">
        <v>38</v>
      </c>
    </row>
    <row r="476" spans="2:13" x14ac:dyDescent="0.3">
      <c r="B476" s="10" t="s">
        <v>1042</v>
      </c>
      <c r="C476" s="10">
        <v>10</v>
      </c>
      <c r="D476" s="10">
        <v>10</v>
      </c>
      <c r="E476" s="10">
        <v>10</v>
      </c>
      <c r="F476" s="10">
        <v>10</v>
      </c>
      <c r="G476" s="10">
        <v>10</v>
      </c>
      <c r="H476" s="10">
        <v>10</v>
      </c>
      <c r="I476" s="10">
        <v>10</v>
      </c>
      <c r="J476" s="10">
        <v>10</v>
      </c>
      <c r="K476" s="10">
        <v>10</v>
      </c>
      <c r="L476" s="10">
        <v>10</v>
      </c>
      <c r="M476" s="10">
        <v>10</v>
      </c>
    </row>
  </sheetData>
  <mergeCells count="12">
    <mergeCell ref="B132:R132"/>
    <mergeCell ref="B60:R60"/>
    <mergeCell ref="B94:R94"/>
    <mergeCell ref="B306:R306"/>
    <mergeCell ref="B136:R136"/>
    <mergeCell ref="B234:R234"/>
    <mergeCell ref="B119:R119"/>
    <mergeCell ref="B5:R5"/>
    <mergeCell ref="B25:R25"/>
    <mergeCell ref="B33:R33"/>
    <mergeCell ref="B41:R41"/>
    <mergeCell ref="B49:R49"/>
  </mergeCells>
  <phoneticPr fontId="30" type="noConversion"/>
  <conditionalFormatting sqref="A121:A122 S121:XFD122">
    <cfRule type="cellIs" dxfId="125" priority="2289" stopIfTrue="1" operator="notEqual">
      <formula>INDIRECT("Dummy_for_Comparison8!"&amp;ADDRESS(ROW(),COLUMN()))</formula>
    </cfRule>
  </conditionalFormatting>
  <conditionalFormatting sqref="A125:A126 S125:XFD126">
    <cfRule type="cellIs" dxfId="124" priority="2294" stopIfTrue="1" operator="notEqual">
      <formula>INDIRECT("Dummy_for_Comparison8!"&amp;ADDRESS(ROW(),COLUMN()))</formula>
    </cfRule>
  </conditionalFormatting>
  <conditionalFormatting sqref="A169:A208 S169:XFD208">
    <cfRule type="cellIs" dxfId="123" priority="2106" stopIfTrue="1" operator="notEqual">
      <formula>INDIRECT("Dummy_for_Comparison8!"&amp;ADDRESS(ROW(),COLUMN()))</formula>
    </cfRule>
  </conditionalFormatting>
  <conditionalFormatting sqref="A217:A232 S217:XFD232">
    <cfRule type="cellIs" dxfId="122" priority="2095" stopIfTrue="1" operator="notEqual">
      <formula>INDIRECT("Dummy_for_Comparison8!"&amp;ADDRESS(ROW(),COLUMN()))</formula>
    </cfRule>
  </conditionalFormatting>
  <conditionalFormatting sqref="A306:A328">
    <cfRule type="cellIs" dxfId="121" priority="297" stopIfTrue="1" operator="notEqual">
      <formula>INDIRECT("Dummy_for_Comparison8!"&amp;ADDRESS(ROW(),COLUMN()))</formula>
    </cfRule>
  </conditionalFormatting>
  <conditionalFormatting sqref="A413:A476 B430:M430 N430:XFD455 B456:XFD456 N457:XFD476">
    <cfRule type="cellIs" dxfId="120" priority="1057" stopIfTrue="1" operator="notEqual">
      <formula>INDIRECT("Dummy_for_Comparison8!"&amp;ADDRESS(ROW(),COLUMN()))</formula>
    </cfRule>
  </conditionalFormatting>
  <conditionalFormatting sqref="A132:C132 S132:XFD132">
    <cfRule type="cellIs" dxfId="119" priority="266" stopIfTrue="1" operator="notEqual">
      <formula>INDIRECT("Dummy_for_Comparison8!"&amp;ADDRESS(ROW(),COLUMN()))</formula>
    </cfRule>
  </conditionalFormatting>
  <conditionalFormatting sqref="A136:C136 S136:XFD160 A137:A160">
    <cfRule type="cellIs" dxfId="118" priority="2726" stopIfTrue="1" operator="notEqual">
      <formula>INDIRECT("Dummy_for_Comparison8!"&amp;ADDRESS(ROW(),COLUMN()))</formula>
    </cfRule>
  </conditionalFormatting>
  <conditionalFormatting sqref="A234:C234">
    <cfRule type="cellIs" dxfId="117" priority="2679" stopIfTrue="1" operator="notEqual">
      <formula>INDIRECT("Dummy_for_Comparison8!"&amp;ADDRESS(ROW(),COLUMN()))</formula>
    </cfRule>
  </conditionalFormatting>
  <conditionalFormatting sqref="A354:D397">
    <cfRule type="cellIs" dxfId="116" priority="795" stopIfTrue="1" operator="notEqual">
      <formula>INDIRECT("Dummy_for_Comparison8!"&amp;ADDRESS(ROW(),COLUMN()))</formula>
    </cfRule>
  </conditionalFormatting>
  <conditionalFormatting sqref="A5:R5 S5:XFD7 A6:A12 T8:XFD12 S8:S23 A24:XFD24">
    <cfRule type="cellIs" dxfId="115" priority="2735" stopIfTrue="1" operator="notEqual">
      <formula>INDIRECT("Dummy_for_Comparison8!"&amp;ADDRESS(ROW(),COLUMN()))</formula>
    </cfRule>
  </conditionalFormatting>
  <conditionalFormatting sqref="A331:XFD353">
    <cfRule type="cellIs" dxfId="114" priority="799" stopIfTrue="1" operator="notEqual">
      <formula>INDIRECT("Dummy_for_Comparison8!"&amp;ADDRESS(ROW(),COLUMN()))</formula>
    </cfRule>
  </conditionalFormatting>
  <conditionalFormatting sqref="B123 D123:J123">
    <cfRule type="cellIs" dxfId="113" priority="270" stopIfTrue="1" operator="notEqual">
      <formula>INDIRECT("Dummy_for_Comparison2!"&amp;ADDRESS(ROW(),COLUMN()))</formula>
    </cfRule>
  </conditionalFormatting>
  <conditionalFormatting sqref="B426">
    <cfRule type="cellIs" dxfId="112" priority="794" stopIfTrue="1" operator="notEqual">
      <formula>INDIRECT("Dummy_for_Comparison8!"&amp;ADDRESS(ROW(),COLUMN()))</formula>
    </cfRule>
  </conditionalFormatting>
  <conditionalFormatting sqref="B459:B476">
    <cfRule type="cellIs" dxfId="111" priority="190" stopIfTrue="1" operator="notEqual">
      <formula>INDIRECT("Dummy_for_Comparison2!"&amp;ADDRESS(ROW(),COLUMN()))</formula>
    </cfRule>
  </conditionalFormatting>
  <conditionalFormatting sqref="B62:C92">
    <cfRule type="cellIs" dxfId="110" priority="383" stopIfTrue="1" operator="notEqual">
      <formula>INDIRECT("Dummy_for_Comparison2!"&amp;ADDRESS(ROW(),COLUMN()))</formula>
    </cfRule>
  </conditionalFormatting>
  <conditionalFormatting sqref="B101:C117">
    <cfRule type="cellIs" dxfId="109" priority="409" stopIfTrue="1" operator="notEqual">
      <formula>INDIRECT("Dummy_for_Comparison2!"&amp;ADDRESS(ROW(),COLUMN()))</formula>
    </cfRule>
  </conditionalFormatting>
  <conditionalFormatting sqref="B119:C119">
    <cfRule type="cellIs" dxfId="108" priority="2588" stopIfTrue="1" operator="notEqual">
      <formula>INDIRECT("Dummy_for_Comparison8!"&amp;ADDRESS(ROW(),COLUMN()))</formula>
    </cfRule>
  </conditionalFormatting>
  <conditionalFormatting sqref="B120:C130">
    <cfRule type="cellIs" dxfId="107" priority="1349" stopIfTrue="1" operator="notEqual">
      <formula>INDIRECT("Dummy_for_Comparison2!"&amp;ADDRESS(ROW(),COLUMN()))</formula>
    </cfRule>
  </conditionalFormatting>
  <conditionalFormatting sqref="B306:C306">
    <cfRule type="cellIs" dxfId="106" priority="1720" stopIfTrue="1" operator="notEqual">
      <formula>INDIRECT("Dummy_for_Comparison8!"&amp;ADDRESS(ROW(),COLUMN()))</formula>
    </cfRule>
  </conditionalFormatting>
  <conditionalFormatting sqref="B415:C426 N330 F425:F426">
    <cfRule type="cellIs" dxfId="105" priority="2742" stopIfTrue="1" operator="notEqual">
      <formula>INDIRECT("Dummy_for_Comparison2!"&amp;ADDRESS(ROW(),COLUMN()))</formula>
    </cfRule>
  </conditionalFormatting>
  <conditionalFormatting sqref="B431:C455">
    <cfRule type="cellIs" dxfId="104" priority="833" stopIfTrue="1" operator="notEqual">
      <formula>INDIRECT("Dummy_for_Comparison2!"&amp;ADDRESS(ROW(),COLUMN()))</formula>
    </cfRule>
  </conditionalFormatting>
  <conditionalFormatting sqref="B235:J304">
    <cfRule type="cellIs" dxfId="103" priority="248" stopIfTrue="1" operator="notEqual">
      <formula>INDIRECT("Dummy_for_Comparison2!"&amp;ADDRESS(ROW(),COLUMN()))</formula>
    </cfRule>
  </conditionalFormatting>
  <conditionalFormatting sqref="B307:J307">
    <cfRule type="cellIs" dxfId="102" priority="1284" stopIfTrue="1" operator="notEqual">
      <formula>INDIRECT("Dummy_for_Comparison2!"&amp;ADDRESS(ROW(),COLUMN()))</formula>
    </cfRule>
  </conditionalFormatting>
  <conditionalFormatting sqref="B95:K100">
    <cfRule type="cellIs" dxfId="101" priority="1383" stopIfTrue="1" operator="notEqual">
      <formula>INDIRECT("Dummy_for_Comparison2!"&amp;ADDRESS(ROW(),COLUMN()))</formula>
    </cfRule>
  </conditionalFormatting>
  <conditionalFormatting sqref="B309:K328">
    <cfRule type="cellIs" dxfId="100" priority="288" stopIfTrue="1" operator="notEqual">
      <formula>INDIRECT("Dummy_for_Comparison2!"&amp;ADDRESS(ROW(),COLUMN()))</formula>
    </cfRule>
  </conditionalFormatting>
  <conditionalFormatting sqref="B2:M2">
    <cfRule type="cellIs" dxfId="99" priority="1228" stopIfTrue="1" operator="notEqual">
      <formula>INDIRECT("Dummy_for_Comparison2!"&amp;ADDRESS(ROW(),COLUMN()))</formula>
    </cfRule>
  </conditionalFormatting>
  <conditionalFormatting sqref="B457:M458 M465">
    <cfRule type="cellIs" dxfId="98" priority="144" stopIfTrue="1" operator="notEqual">
      <formula>INDIRECT("Dummy_for_Comparison8!"&amp;ADDRESS(ROW(),COLUMN()))</formula>
    </cfRule>
  </conditionalFormatting>
  <conditionalFormatting sqref="B308:P308 M309:P311 N312:N318 L320:R328">
    <cfRule type="cellIs" dxfId="97" priority="215" stopIfTrue="1" operator="notEqual">
      <formula>INDIRECT("Dummy_for_Comparison2!"&amp;ADDRESS(ROW(),COLUMN()))</formula>
    </cfRule>
  </conditionalFormatting>
  <conditionalFormatting sqref="B61:Q61">
    <cfRule type="cellIs" dxfId="96" priority="271" stopIfTrue="1" operator="notEqual">
      <formula>INDIRECT("Dummy_for_Comparison2!"&amp;ADDRESS(ROW(),COLUMN()))</formula>
    </cfRule>
  </conditionalFormatting>
  <conditionalFormatting sqref="B6:R23 T13:T23">
    <cfRule type="cellIs" dxfId="95" priority="209" stopIfTrue="1" operator="notEqual">
      <formula>INDIRECT("Dummy_for_Comparison2!"&amp;ADDRESS(ROW(),COLUMN()))</formula>
    </cfRule>
  </conditionalFormatting>
  <conditionalFormatting sqref="B26:R32">
    <cfRule type="cellIs" dxfId="94" priority="475" stopIfTrue="1" operator="notEqual">
      <formula>INDIRECT("Dummy_for_Comparison2!"&amp;ADDRESS(ROW(),COLUMN()))</formula>
    </cfRule>
  </conditionalFormatting>
  <conditionalFormatting sqref="B33:R33">
    <cfRule type="cellIs" dxfId="93" priority="384" stopIfTrue="1" operator="notEqual">
      <formula>INDIRECT("Dummy_for_Comparison8!"&amp;ADDRESS(ROW(),COLUMN()))</formula>
    </cfRule>
  </conditionalFormatting>
  <conditionalFormatting sqref="B34:R39">
    <cfRule type="cellIs" dxfId="92" priority="278" stopIfTrue="1" operator="notEqual">
      <formula>INDIRECT("Dummy_for_Comparison2!"&amp;ADDRESS(ROW(),COLUMN()))</formula>
    </cfRule>
  </conditionalFormatting>
  <conditionalFormatting sqref="B42:R47">
    <cfRule type="cellIs" dxfId="91" priority="416" stopIfTrue="1" operator="notEqual">
      <formula>INDIRECT("Dummy_for_Comparison2!"&amp;ADDRESS(ROW(),COLUMN()))</formula>
    </cfRule>
  </conditionalFormatting>
  <conditionalFormatting sqref="B50:R58">
    <cfRule type="cellIs" dxfId="90" priority="1223" stopIfTrue="1" operator="notEqual">
      <formula>INDIRECT("Dummy_for_Comparison2!"&amp;ADDRESS(ROW(),COLUMN()))</formula>
    </cfRule>
  </conditionalFormatting>
  <conditionalFormatting sqref="B137:R232">
    <cfRule type="cellIs" dxfId="89" priority="2" stopIfTrue="1" operator="notEqual">
      <formula>INDIRECT("Dummy_for_Comparison2!"&amp;ADDRESS(ROW(),COLUMN()))</formula>
    </cfRule>
  </conditionalFormatting>
  <conditionalFormatting sqref="B133:T134">
    <cfRule type="cellIs" dxfId="88" priority="260" stopIfTrue="1" operator="notEqual">
      <formula>INDIRECT("Dummy_for_Comparison2!"&amp;ADDRESS(ROW(),COLUMN()))</formula>
    </cfRule>
  </conditionalFormatting>
  <conditionalFormatting sqref="B413:XFD413 B414:C414">
    <cfRule type="cellIs" dxfId="87" priority="1661" stopIfTrue="1" operator="notEqual">
      <formula>INDIRECT("Dummy_for_Comparison8!"&amp;ADDRESS(ROW(),COLUMN()))</formula>
    </cfRule>
  </conditionalFormatting>
  <conditionalFormatting sqref="B427:XFD429">
    <cfRule type="cellIs" dxfId="86" priority="890" stopIfTrue="1" operator="notEqual">
      <formula>INDIRECT("Dummy_for_Comparison8!"&amp;ADDRESS(ROW(),COLUMN()))</formula>
    </cfRule>
  </conditionalFormatting>
  <conditionalFormatting sqref="C123:C124">
    <cfRule type="cellIs" dxfId="85" priority="268" stopIfTrue="1" operator="notEqual">
      <formula>INDIRECT("Dummy_for_Comparison2!"&amp;ADDRESS(ROW(),COLUMN()))</formula>
    </cfRule>
  </conditionalFormatting>
  <conditionalFormatting sqref="C426 A1:XFD1 A2 S2:XFD2 A3:XFD4 A25:R25 S25:XFD28 A26:A29 T29:XFD29 S29:S31 S32:XFD36 A32:A37 T37:XFD37 S37:S39 A40:R41 S40:XFD44 A42:A45 T45:XFD45 S45:S47 A48:R48 S48:XFD50 B49:R49 A49:A51 U51:XFD56 S51:T58 B59:J59 N59:XFD59 A60:XFD60 A61:A72 S61:XFD72 A79:A80 S79:XFD80 A93:XFD94 A95:A104 S95:XFD104 A109:A115 S109:XFD115 E354:XFD357 E358:F376 L358:XFD376 E377:XFD397 A398:XFD412 A477:XFD1048576">
    <cfRule type="cellIs" dxfId="84" priority="2743" stopIfTrue="1" operator="notEqual">
      <formula>INDIRECT("Dummy_for_Comparison8!"&amp;ADDRESS(ROW(),COLUMN()))</formula>
    </cfRule>
  </conditionalFormatting>
  <conditionalFormatting sqref="C459:C472">
    <cfRule type="cellIs" dxfId="83" priority="112" stopIfTrue="1" operator="notEqual">
      <formula>INDIRECT("Dummy_for_Comparison2!"&amp;ADDRESS(ROW(),COLUMN()))</formula>
    </cfRule>
  </conditionalFormatting>
  <conditionalFormatting sqref="C473:H476">
    <cfRule type="cellIs" dxfId="82" priority="98" stopIfTrue="1" operator="notEqual">
      <formula>INDIRECT("Dummy_for_Comparison2!"&amp;ADDRESS(ROW(),COLUMN()))</formula>
    </cfRule>
  </conditionalFormatting>
  <conditionalFormatting sqref="D414:D426">
    <cfRule type="cellIs" dxfId="81" priority="1482" stopIfTrue="1" operator="notEqual">
      <formula>INDIRECT("Dummy_for_Comparison8!"&amp;ADDRESS(ROW(),COLUMN()))</formula>
    </cfRule>
  </conditionalFormatting>
  <conditionalFormatting sqref="D116:E117">
    <cfRule type="cellIs" dxfId="80" priority="1607" stopIfTrue="1" operator="notEqual">
      <formula>INDIRECT("Dummy_for_Comparison2!"&amp;ADDRESS(ROW(),COLUMN()))</formula>
    </cfRule>
  </conditionalFormatting>
  <conditionalFormatting sqref="D80:H82">
    <cfRule type="cellIs" dxfId="79" priority="2200" stopIfTrue="1" operator="notEqual">
      <formula>INDIRECT("Dummy_for_Comparison2!"&amp;ADDRESS(ROW(),COLUMN()))</formula>
    </cfRule>
  </conditionalFormatting>
  <conditionalFormatting sqref="D84:H86">
    <cfRule type="cellIs" dxfId="78" priority="2213" stopIfTrue="1" operator="notEqual">
      <formula>INDIRECT("Dummy_for_Comparison2!"&amp;ADDRESS(ROW(),COLUMN()))</formula>
    </cfRule>
  </conditionalFormatting>
  <conditionalFormatting sqref="D471:H472">
    <cfRule type="cellIs" dxfId="77" priority="107" stopIfTrue="1" operator="notEqual">
      <formula>INDIRECT("Dummy_for_Comparison2!"&amp;ADDRESS(ROW(),COLUMN()))</formula>
    </cfRule>
  </conditionalFormatting>
  <conditionalFormatting sqref="D63:I64 D81:J81">
    <cfRule type="cellIs" dxfId="76" priority="2218" stopIfTrue="1" operator="notEqual">
      <formula>INDIRECT("Dummy_for_Comparison2!"&amp;ADDRESS(ROW(),COLUMN()))</formula>
    </cfRule>
  </conditionalFormatting>
  <conditionalFormatting sqref="D72:I73">
    <cfRule type="cellIs" dxfId="75" priority="1616" stopIfTrue="1" operator="notEqual">
      <formula>INDIRECT("Dummy_for_Comparison2!"&amp;ADDRESS(ROW(),COLUMN()))</formula>
    </cfRule>
  </conditionalFormatting>
  <conditionalFormatting sqref="D80:I81">
    <cfRule type="cellIs" dxfId="74" priority="2207" stopIfTrue="1" operator="notEqual">
      <formula>INDIRECT("Dummy_for_Comparison2!"&amp;ADDRESS(ROW(),COLUMN()))</formula>
    </cfRule>
  </conditionalFormatting>
  <conditionalFormatting sqref="D111:I115">
    <cfRule type="cellIs" dxfId="73" priority="2253" stopIfTrue="1" operator="notEqual">
      <formula>INDIRECT("Dummy_for_Comparison2!"&amp;ADDRESS(ROW(),COLUMN()))</formula>
    </cfRule>
  </conditionalFormatting>
  <conditionalFormatting sqref="D451:I455">
    <cfRule type="cellIs" dxfId="72" priority="954" stopIfTrue="1" operator="notEqual">
      <formula>INDIRECT("Dummy_for_Comparison2!"&amp;ADDRESS(ROW(),COLUMN()))</formula>
    </cfRule>
  </conditionalFormatting>
  <conditionalFormatting sqref="D62:J62 J80:J82 D83:J84">
    <cfRule type="cellIs" dxfId="71" priority="2219" stopIfTrue="1" operator="notEqual">
      <formula>INDIRECT("Dummy_for_Comparison2!"&amp;ADDRESS(ROW(),COLUMN()))</formula>
    </cfRule>
  </conditionalFormatting>
  <conditionalFormatting sqref="D71:J79">
    <cfRule type="cellIs" dxfId="70" priority="390" stopIfTrue="1" operator="notEqual">
      <formula>INDIRECT("Dummy_for_Comparison2!"&amp;ADDRESS(ROW(),COLUMN()))</formula>
    </cfRule>
  </conditionalFormatting>
  <conditionalFormatting sqref="D87:J92">
    <cfRule type="cellIs" dxfId="69" priority="1614" stopIfTrue="1" operator="notEqual">
      <formula>INDIRECT("Dummy_for_Comparison2!"&amp;ADDRESS(ROW(),COLUMN()))</formula>
    </cfRule>
  </conditionalFormatting>
  <conditionalFormatting sqref="D431:J450">
    <cfRule type="cellIs" dxfId="68" priority="946" stopIfTrue="1" operator="notEqual">
      <formula>INDIRECT("Dummy_for_Comparison2!"&amp;ADDRESS(ROW(),COLUMN()))</formula>
    </cfRule>
  </conditionalFormatting>
  <conditionalFormatting sqref="D101:K110">
    <cfRule type="cellIs" dxfId="67" priority="411" stopIfTrue="1" operator="notEqual">
      <formula>INDIRECT("Dummy_for_Comparison2!"&amp;ADDRESS(ROW(),COLUMN()))</formula>
    </cfRule>
  </conditionalFormatting>
  <conditionalFormatting sqref="D121:K130 V127:XFD130">
    <cfRule type="cellIs" dxfId="66" priority="1897" stopIfTrue="1" operator="notEqual">
      <formula>INDIRECT("Dummy_for_Comparison2!"&amp;ADDRESS(ROW(),COLUMN()))</formula>
    </cfRule>
  </conditionalFormatting>
  <conditionalFormatting sqref="D459:K470">
    <cfRule type="cellIs" dxfId="65" priority="115" stopIfTrue="1" operator="notEqual">
      <formula>INDIRECT("Dummy_for_Comparison2!"&amp;ADDRESS(ROW(),COLUMN()))</formula>
    </cfRule>
  </conditionalFormatting>
  <conditionalFormatting sqref="E120">
    <cfRule type="cellIs" dxfId="64" priority="2287" stopIfTrue="1" operator="notEqual">
      <formula>INDIRECT("Dummy_for_Comparison2!"&amp;ADDRESS(ROW(),COLUMN()))</formula>
    </cfRule>
  </conditionalFormatting>
  <conditionalFormatting sqref="E416:E426">
    <cfRule type="cellIs" dxfId="63" priority="311" stopIfTrue="1" operator="notEqual">
      <formula>INDIRECT("Dummy_for_Comparison8!"&amp;ADDRESS(ROW(),COLUMN()))</formula>
    </cfRule>
  </conditionalFormatting>
  <conditionalFormatting sqref="E414:F415">
    <cfRule type="cellIs" dxfId="62" priority="1480" stopIfTrue="1" operator="notEqual">
      <formula>INDIRECT("Dummy_for_Comparison8!"&amp;ADDRESS(ROW(),COLUMN()))</formula>
    </cfRule>
  </conditionalFormatting>
  <conditionalFormatting sqref="F416:F423">
    <cfRule type="cellIs" dxfId="61" priority="309" stopIfTrue="1" operator="notEqual">
      <formula>INDIRECT("Dummy_for_Comparison2!"&amp;ADDRESS(ROW(),COLUMN()))</formula>
    </cfRule>
  </conditionalFormatting>
  <conditionalFormatting sqref="F424">
    <cfRule type="cellIs" dxfId="60" priority="1" stopIfTrue="1" operator="notEqual">
      <formula>INDIRECT("Dummy_for_Comparison8!"&amp;ADDRESS(ROW(),COLUMN()))</formula>
    </cfRule>
  </conditionalFormatting>
  <conditionalFormatting sqref="F82:I82">
    <cfRule type="cellIs" dxfId="59" priority="2202" stopIfTrue="1" operator="notEqual">
      <formula>INDIRECT("Dummy_for_Comparison2!"&amp;ADDRESS(ROW(),COLUMN()))</formula>
    </cfRule>
  </conditionalFormatting>
  <conditionalFormatting sqref="F114:I117">
    <cfRule type="cellIs" dxfId="58" priority="1606" stopIfTrue="1" operator="notEqual">
      <formula>INDIRECT("Dummy_for_Comparison2!"&amp;ADDRESS(ROW(),COLUMN()))</formula>
    </cfRule>
  </conditionalFormatting>
  <conditionalFormatting sqref="F85:J86">
    <cfRule type="cellIs" dxfId="57" priority="2217" stopIfTrue="1" operator="notEqual">
      <formula>INDIRECT("Dummy_for_Comparison2!"&amp;ADDRESS(ROW(),COLUMN()))</formula>
    </cfRule>
  </conditionalFormatting>
  <conditionalFormatting sqref="G64:I71 D65:F71">
    <cfRule type="cellIs" dxfId="56" priority="2196" stopIfTrue="1" operator="notEqual">
      <formula>INDIRECT("Dummy_for_Comparison2!"&amp;ADDRESS(ROW(),COLUMN()))</formula>
    </cfRule>
  </conditionalFormatting>
  <conditionalFormatting sqref="G414:XFD426">
    <cfRule type="cellIs" dxfId="55" priority="310" stopIfTrue="1" operator="notEqual">
      <formula>INDIRECT("Dummy_for_Comparison8!"&amp;ADDRESS(ROW(),COLUMN()))</formula>
    </cfRule>
  </conditionalFormatting>
  <conditionalFormatting sqref="I471:K476">
    <cfRule type="cellIs" dxfId="54" priority="97" stopIfTrue="1" operator="notEqual">
      <formula>INDIRECT("Dummy_for_Comparison2!"&amp;ADDRESS(ROW(),COLUMN()))</formula>
    </cfRule>
  </conditionalFormatting>
  <conditionalFormatting sqref="J63:J70">
    <cfRule type="cellIs" dxfId="53" priority="2197" stopIfTrue="1" operator="notEqual">
      <formula>INDIRECT("Dummy_for_Comparison2!"&amp;ADDRESS(ROW(),COLUMN()))</formula>
    </cfRule>
  </conditionalFormatting>
  <conditionalFormatting sqref="J451:J453 J454:K455">
    <cfRule type="cellIs" dxfId="52" priority="1006" stopIfTrue="1" operator="notEqual">
      <formula>INDIRECT("Dummy_for_Comparison2!"&amp;ADDRESS(ROW(),COLUMN()))</formula>
    </cfRule>
  </conditionalFormatting>
  <conditionalFormatting sqref="J111:K117 S116:T117 V116:XFD117">
    <cfRule type="cellIs" dxfId="51" priority="2707" stopIfTrue="1" operator="notEqual">
      <formula>INDIRECT("Dummy_for_Comparison2!"&amp;ADDRESS(ROW(),COLUMN()))</formula>
    </cfRule>
  </conditionalFormatting>
  <conditionalFormatting sqref="K120">
    <cfRule type="cellIs" dxfId="50" priority="1617" stopIfTrue="1" operator="notEqual">
      <formula>INDIRECT("Dummy_for_Comparison2!"&amp;ADDRESS(ROW(),COLUMN()))</formula>
    </cfRule>
  </conditionalFormatting>
  <conditionalFormatting sqref="K236:K304">
    <cfRule type="cellIs" dxfId="49" priority="1808" stopIfTrue="1" operator="notEqual">
      <formula>INDIRECT("Dummy_for_Comparison2!"&amp;ADDRESS(ROW(),COLUMN()))</formula>
    </cfRule>
  </conditionalFormatting>
  <conditionalFormatting sqref="K431:K453">
    <cfRule type="cellIs" dxfId="48" priority="930" stopIfTrue="1" operator="notEqual">
      <formula>INDIRECT("Dummy_for_Comparison2!"&amp;ADDRESS(ROW(),COLUMN()))</formula>
    </cfRule>
  </conditionalFormatting>
  <conditionalFormatting sqref="K62:R92">
    <cfRule type="cellIs" dxfId="47" priority="214" stopIfTrue="1" operator="notEqual">
      <formula>INDIRECT("Dummy_for_Comparison2!"&amp;ADDRESS(ROW(),COLUMN()))</formula>
    </cfRule>
  </conditionalFormatting>
  <conditionalFormatting sqref="L330">
    <cfRule type="cellIs" dxfId="46" priority="703" stopIfTrue="1" operator="notEqual">
      <formula>INDIRECT("Dummy_for_Comparison2!"&amp;ADDRESS(ROW(),COLUMN()))</formula>
    </cfRule>
  </conditionalFormatting>
  <conditionalFormatting sqref="L459:L476">
    <cfRule type="cellIs" dxfId="45" priority="96" stopIfTrue="1" operator="notEqual">
      <formula>INDIRECT("Dummy_for_Comparison2!"&amp;ADDRESS(ROW(),COLUMN()))</formula>
    </cfRule>
  </conditionalFormatting>
  <conditionalFormatting sqref="L431:M455">
    <cfRule type="cellIs" dxfId="44" priority="830" stopIfTrue="1" operator="notEqual">
      <formula>INDIRECT("Dummy_for_Comparison2!"&amp;ADDRESS(ROW(),COLUMN()))</formula>
    </cfRule>
  </conditionalFormatting>
  <conditionalFormatting sqref="L95:O117">
    <cfRule type="cellIs" dxfId="43" priority="1221" stopIfTrue="1" operator="notEqual">
      <formula>INDIRECT("Dummy_for_Comparison2!"&amp;ADDRESS(ROW(),COLUMN()))</formula>
    </cfRule>
  </conditionalFormatting>
  <conditionalFormatting sqref="L120:O130">
    <cfRule type="cellIs" dxfId="42" priority="1220" stopIfTrue="1" operator="notEqual">
      <formula>INDIRECT("Dummy_for_Comparison2!"&amp;ADDRESS(ROW(),COLUMN()))</formula>
    </cfRule>
  </conditionalFormatting>
  <conditionalFormatting sqref="L235:R304">
    <cfRule type="cellIs" dxfId="41" priority="1072" stopIfTrue="1" operator="notEqual">
      <formula>INDIRECT("Dummy_for_Comparison2!"&amp;ADDRESS(ROW(),COLUMN()))</formula>
    </cfRule>
  </conditionalFormatting>
  <conditionalFormatting sqref="L307:R307">
    <cfRule type="cellIs" dxfId="40" priority="1216" stopIfTrue="1" operator="notEqual">
      <formula>INDIRECT("Dummy_for_Comparison2!"&amp;ADDRESS(ROW(),COLUMN()))</formula>
    </cfRule>
  </conditionalFormatting>
  <conditionalFormatting sqref="M312:M319">
    <cfRule type="cellIs" dxfId="39" priority="286" stopIfTrue="1" operator="notEqual">
      <formula>INDIRECT("Dummy_for_Comparison2!"&amp;ADDRESS(ROW(),COLUMN()))</formula>
    </cfRule>
  </conditionalFormatting>
  <conditionalFormatting sqref="M459:M464">
    <cfRule type="cellIs" dxfId="38" priority="137" stopIfTrue="1" operator="notEqual">
      <formula>INDIRECT("Dummy_for_Comparison2!"&amp;ADDRESS(ROW(),COLUMN()))</formula>
    </cfRule>
  </conditionalFormatting>
  <conditionalFormatting sqref="M466:M476">
    <cfRule type="cellIs" dxfId="37" priority="95" stopIfTrue="1" operator="notEqual">
      <formula>INDIRECT("Dummy_for_Comparison2!"&amp;ADDRESS(ROW(),COLUMN()))</formula>
    </cfRule>
  </conditionalFormatting>
  <conditionalFormatting sqref="N2:O2">
    <cfRule type="cellIs" dxfId="36" priority="2595" stopIfTrue="1" operator="notEqual">
      <formula>INDIRECT("Dummy_for_Comparison6!"&amp;ADDRESS(ROW(),COLUMN()))</formula>
    </cfRule>
  </conditionalFormatting>
  <conditionalFormatting sqref="N319:Q319">
    <cfRule type="cellIs" dxfId="35" priority="287" stopIfTrue="1" operator="notEqual">
      <formula>INDIRECT("Dummy_for_Comparison2!"&amp;ADDRESS(ROW(),COLUMN()))</formula>
    </cfRule>
  </conditionalFormatting>
  <conditionalFormatting sqref="O312:P312">
    <cfRule type="cellIs" dxfId="34" priority="370" stopIfTrue="1" operator="notEqual">
      <formula>INDIRECT("Dummy_for_Comparison2!"&amp;ADDRESS(ROW(),COLUMN()))</formula>
    </cfRule>
  </conditionalFormatting>
  <conditionalFormatting sqref="O313:Q318">
    <cfRule type="cellIs" dxfId="33" priority="1526" stopIfTrue="1" operator="notEqual">
      <formula>INDIRECT("Dummy_for_Comparison2!"&amp;ADDRESS(ROW(),COLUMN()))</formula>
    </cfRule>
  </conditionalFormatting>
  <conditionalFormatting sqref="P120:P124 Q121:R124">
    <cfRule type="cellIs" dxfId="32" priority="2288" stopIfTrue="1" operator="notEqual">
      <formula>INDIRECT("Dummy_for_Comparison2!"&amp;ADDRESS(ROW(),COLUMN()))</formula>
    </cfRule>
  </conditionalFormatting>
  <conditionalFormatting sqref="P2:R2">
    <cfRule type="cellIs" dxfId="31" priority="2596" stopIfTrue="1" operator="notEqual">
      <formula>INDIRECT("Dummy_for_Comparison2!"&amp;ADDRESS(ROW(),COLUMN()))</formula>
    </cfRule>
  </conditionalFormatting>
  <conditionalFormatting sqref="P95:R104">
    <cfRule type="cellIs" dxfId="30" priority="2573" stopIfTrue="1" operator="notEqual">
      <formula>INDIRECT("Dummy_for_Comparison2!"&amp;ADDRESS(ROW(),COLUMN()))</formula>
    </cfRule>
  </conditionalFormatting>
  <conditionalFormatting sqref="P109:R117">
    <cfRule type="cellIs" dxfId="29" priority="1058" stopIfTrue="1" operator="notEqual">
      <formula>INDIRECT("Dummy_for_Comparison2!"&amp;ADDRESS(ROW(),COLUMN()))</formula>
    </cfRule>
  </conditionalFormatting>
  <conditionalFormatting sqref="P125:R126">
    <cfRule type="cellIs" dxfId="28" priority="2293" stopIfTrue="1" operator="notEqual">
      <formula>INDIRECT("Dummy_for_Comparison2!"&amp;ADDRESS(ROW(),COLUMN()))</formula>
    </cfRule>
  </conditionalFormatting>
  <conditionalFormatting sqref="P105:T108">
    <cfRule type="cellIs" dxfId="27" priority="208" stopIfTrue="1" operator="notEqual">
      <formula>INDIRECT("Dummy_for_Comparison2!"&amp;ADDRESS(ROW(),COLUMN()))</formula>
    </cfRule>
  </conditionalFormatting>
  <conditionalFormatting sqref="P127:T130">
    <cfRule type="cellIs" dxfId="26" priority="1896" stopIfTrue="1" operator="notEqual">
      <formula>INDIRECT("Dummy_for_Comparison2!"&amp;ADDRESS(ROW(),COLUMN()))</formula>
    </cfRule>
  </conditionalFormatting>
  <conditionalFormatting sqref="Q308:Q312">
    <cfRule type="cellIs" dxfId="25" priority="304" stopIfTrue="1" operator="notEqual">
      <formula>INDIRECT("Dummy_for_Comparison2!"&amp;ADDRESS(ROW(),COLUMN()))</formula>
    </cfRule>
  </conditionalFormatting>
  <conditionalFormatting sqref="Q123:T124">
    <cfRule type="cellIs" dxfId="24" priority="2285" stopIfTrue="1" operator="notEqual">
      <formula>INDIRECT("Dummy_for_Comparison2!"&amp;ADDRESS(ROW(),COLUMN()))</formula>
    </cfRule>
  </conditionalFormatting>
  <conditionalFormatting sqref="R120">
    <cfRule type="cellIs" dxfId="23" priority="2586" stopIfTrue="1" operator="notEqual">
      <formula>INDIRECT("Dummy_for_Comparison2!"&amp;ADDRESS(ROW(),COLUMN()))</formula>
    </cfRule>
  </conditionalFormatting>
  <conditionalFormatting sqref="R122">
    <cfRule type="cellIs" dxfId="22" priority="267" stopIfTrue="1" operator="notEqual">
      <formula>INDIRECT("Dummy_for_Comparison2!"&amp;ADDRESS(ROW(),COLUMN()))</formula>
    </cfRule>
  </conditionalFormatting>
  <conditionalFormatting sqref="R308:R319 L309:L319">
    <cfRule type="cellIs" dxfId="21" priority="295" stopIfTrue="1" operator="notEqual">
      <formula>INDIRECT("Dummy_for_Comparison2!"&amp;ADDRESS(ROW(),COLUMN()))</formula>
    </cfRule>
  </conditionalFormatting>
  <conditionalFormatting sqref="S320:S329">
    <cfRule type="cellIs" dxfId="20" priority="424" stopIfTrue="1" operator="notEqual">
      <formula>INDIRECT("Dummy_for_Comparison8!"&amp;ADDRESS(ROW(),COLUMN()))</formula>
    </cfRule>
  </conditionalFormatting>
  <conditionalFormatting sqref="S73:T78 V73:XFD78">
    <cfRule type="cellIs" dxfId="19" priority="2157" stopIfTrue="1" operator="notEqual">
      <formula>INDIRECT("Dummy_for_Comparison2!"&amp;ADDRESS(ROW(),COLUMN()))</formula>
    </cfRule>
  </conditionalFormatting>
  <conditionalFormatting sqref="S81:T92 V81:XFD92">
    <cfRule type="cellIs" dxfId="18" priority="2221" stopIfTrue="1" operator="notEqual">
      <formula>INDIRECT("Dummy_for_Comparison2!"&amp;ADDRESS(ROW(),COLUMN()))</formula>
    </cfRule>
  </conditionalFormatting>
  <conditionalFormatting sqref="S161:T162 V161:XFD162">
    <cfRule type="cellIs" dxfId="17" priority="2703" stopIfTrue="1" operator="notEqual">
      <formula>INDIRECT("Dummy_for_Comparison2!"&amp;ADDRESS(ROW(),COLUMN()))</formula>
    </cfRule>
  </conditionalFormatting>
  <conditionalFormatting sqref="S165:T166 V165:XFD166">
    <cfRule type="cellIs" dxfId="16" priority="2684" stopIfTrue="1" operator="notEqual">
      <formula>INDIRECT("Dummy_for_Comparison2!"&amp;ADDRESS(ROW(),COLUMN()))</formula>
    </cfRule>
  </conditionalFormatting>
  <conditionalFormatting sqref="S209:T210 V209:XFD210">
    <cfRule type="cellIs" dxfId="15" priority="2102" stopIfTrue="1" operator="notEqual">
      <formula>INDIRECT("Dummy_for_Comparison2!"&amp;ADDRESS(ROW(),COLUMN()))</formula>
    </cfRule>
  </conditionalFormatting>
  <conditionalFormatting sqref="S213:T214 V213:XFD214">
    <cfRule type="cellIs" dxfId="14" priority="2100" stopIfTrue="1" operator="notEqual">
      <formula>INDIRECT("Dummy_for_Comparison2!"&amp;ADDRESS(ROW(),COLUMN()))</formula>
    </cfRule>
  </conditionalFormatting>
  <conditionalFormatting sqref="S234:XFD304 A235:A304">
    <cfRule type="cellIs" dxfId="13" priority="1807" stopIfTrue="1" operator="notEqual">
      <formula>INDIRECT("Dummy_for_Comparison8!"&amp;ADDRESS(ROW(),COLUMN()))</formula>
    </cfRule>
  </conditionalFormatting>
  <conditionalFormatting sqref="S306:XFD319">
    <cfRule type="cellIs" dxfId="12" priority="296" stopIfTrue="1" operator="notEqual">
      <formula>INDIRECT("Dummy_for_Comparison8!"&amp;ADDRESS(ROW(),COLUMN()))</formula>
    </cfRule>
  </conditionalFormatting>
  <conditionalFormatting sqref="T30:T31">
    <cfRule type="cellIs" dxfId="11" priority="2716" stopIfTrue="1" operator="notEqual">
      <formula>INDIRECT("Dummy_for_Comparison2!"&amp;ADDRESS(ROW(),COLUMN()))</formula>
    </cfRule>
  </conditionalFormatting>
  <conditionalFormatting sqref="T38:T39">
    <cfRule type="cellIs" dxfId="10" priority="468" stopIfTrue="1" operator="notEqual">
      <formula>INDIRECT("Dummy_for_Comparison2!"&amp;ADDRESS(ROW(),COLUMN()))</formula>
    </cfRule>
  </conditionalFormatting>
  <conditionalFormatting sqref="T46:T47">
    <cfRule type="cellIs" dxfId="9" priority="2712" stopIfTrue="1" operator="notEqual">
      <formula>INDIRECT("Dummy_for_Comparison2!"&amp;ADDRESS(ROW(),COLUMN()))</formula>
    </cfRule>
  </conditionalFormatting>
  <conditionalFormatting sqref="T320:XFD328">
    <cfRule type="cellIs" dxfId="8" priority="1691" stopIfTrue="1" operator="notEqual">
      <formula>INDIRECT("Dummy_for_Comparison8!"&amp;ADDRESS(ROW(),COLUMN()))</formula>
    </cfRule>
  </conditionalFormatting>
  <conditionalFormatting sqref="V13:XFD23">
    <cfRule type="cellIs" dxfId="7" priority="2299" stopIfTrue="1" operator="notEqual">
      <formula>INDIRECT("Dummy_for_Comparison2!"&amp;ADDRESS(ROW(),COLUMN()))</formula>
    </cfRule>
  </conditionalFormatting>
  <conditionalFormatting sqref="V30:XFD31">
    <cfRule type="cellIs" dxfId="6" priority="2717" stopIfTrue="1" operator="notEqual">
      <formula>INDIRECT("Dummy_for_Comparison2!"&amp;ADDRESS(ROW(),COLUMN()))</formula>
    </cfRule>
  </conditionalFormatting>
  <conditionalFormatting sqref="V38:XFD39">
    <cfRule type="cellIs" dxfId="5" priority="2715" stopIfTrue="1" operator="notEqual">
      <formula>INDIRECT("Dummy_for_Comparison2!"&amp;ADDRESS(ROW(),COLUMN()))</formula>
    </cfRule>
  </conditionalFormatting>
  <conditionalFormatting sqref="V46:XFD47">
    <cfRule type="cellIs" dxfId="4" priority="2713" stopIfTrue="1" operator="notEqual">
      <formula>INDIRECT("Dummy_for_Comparison2!"&amp;ADDRESS(ROW(),COLUMN()))</formula>
    </cfRule>
  </conditionalFormatting>
  <conditionalFormatting sqref="V57:XFD58">
    <cfRule type="cellIs" dxfId="3" priority="2711" stopIfTrue="1" operator="notEqual">
      <formula>INDIRECT("Dummy_for_Comparison2!"&amp;ADDRESS(ROW(),COLUMN()))</formula>
    </cfRule>
  </conditionalFormatting>
  <conditionalFormatting sqref="V105:XFD108">
    <cfRule type="cellIs" dxfId="2" priority="2575" stopIfTrue="1" operator="notEqual">
      <formula>INDIRECT("Dummy_for_Comparison2!"&amp;ADDRESS(ROW(),COLUMN()))</formula>
    </cfRule>
  </conditionalFormatting>
  <conditionalFormatting sqref="V123:XFD124">
    <cfRule type="cellIs" dxfId="1" priority="2286" stopIfTrue="1" operator="notEqual">
      <formula>INDIRECT("Dummy_for_Comparison2!"&amp;ADDRESS(ROW(),COLUMN()))</formula>
    </cfRule>
  </conditionalFormatting>
  <conditionalFormatting sqref="V133:XFD134">
    <cfRule type="cellIs" dxfId="0" priority="264" stopIfTrue="1" operator="notEqual">
      <formula>INDIRECT("Dummy_for_Comparison2!"&amp;ADDRESS(ROW(),COLUMN()))</formula>
    </cfRule>
  </conditionalFormatting>
  <pageMargins left="0.7" right="0.7" top="0.75" bottom="0.75" header="0.3" footer="0.3"/>
  <pageSetup orientation="portrait" horizontalDpi="300" r:id="rId1"/>
  <headerFooter>
    <oddFooter>&amp;C_x000D_&amp;1#&amp;"Calibri"&amp;6&amp;K626469 General</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W365"/>
  <sheetViews>
    <sheetView showGridLines="0" zoomScale="60" zoomScaleNormal="60" workbookViewId="0">
      <selection activeCell="B190" sqref="B190:R190"/>
    </sheetView>
  </sheetViews>
  <sheetFormatPr defaultColWidth="9.44140625" defaultRowHeight="14.4" x14ac:dyDescent="0.3"/>
  <cols>
    <col min="2" max="2" width="35.44140625" style="26" bestFit="1" customWidth="1"/>
    <col min="3" max="3" width="16.44140625" customWidth="1"/>
    <col min="6" max="6" width="12.21875" bestFit="1" customWidth="1"/>
    <col min="7" max="7" width="13.44140625" bestFit="1" customWidth="1"/>
    <col min="8" max="8" width="12.44140625" bestFit="1" customWidth="1"/>
    <col min="9" max="9" width="13.21875" customWidth="1"/>
    <col min="10" max="10" width="10" customWidth="1"/>
    <col min="11" max="11" width="20.5546875" bestFit="1" customWidth="1"/>
    <col min="12" max="12" width="17.44140625" customWidth="1"/>
    <col min="13" max="13" width="15.44140625" customWidth="1"/>
    <col min="14" max="14" width="18.5546875" customWidth="1"/>
    <col min="15" max="15" width="14.21875" customWidth="1"/>
    <col min="18" max="18" width="24.44140625" customWidth="1"/>
  </cols>
  <sheetData>
    <row r="1" spans="1:23" ht="16.8" thickBot="1" x14ac:dyDescent="0.35">
      <c r="A1" s="6"/>
      <c r="B1" s="22"/>
      <c r="C1" s="138"/>
      <c r="D1" s="58"/>
      <c r="E1" s="58"/>
      <c r="F1" s="63"/>
      <c r="G1" s="63"/>
      <c r="H1" s="63"/>
      <c r="I1" s="58"/>
      <c r="J1" s="58"/>
      <c r="K1" s="63"/>
      <c r="L1" s="63"/>
      <c r="M1" s="63"/>
      <c r="N1" s="52"/>
      <c r="O1" s="52"/>
      <c r="P1" s="52"/>
      <c r="Q1" s="58"/>
      <c r="R1" s="58"/>
    </row>
    <row r="2" spans="1:23" ht="42" customHeight="1" thickBot="1" x14ac:dyDescent="0.35">
      <c r="A2" s="6"/>
      <c r="B2" s="195" t="s">
        <v>303</v>
      </c>
      <c r="C2" s="194" t="s">
        <v>304</v>
      </c>
      <c r="D2" s="65" t="s">
        <v>305</v>
      </c>
      <c r="E2" s="65" t="s">
        <v>306</v>
      </c>
      <c r="F2" s="65" t="s">
        <v>307</v>
      </c>
      <c r="G2" s="65" t="s">
        <v>308</v>
      </c>
      <c r="H2" s="65" t="s">
        <v>309</v>
      </c>
      <c r="I2" s="65" t="s">
        <v>310</v>
      </c>
      <c r="J2" s="65" t="s">
        <v>311</v>
      </c>
      <c r="K2" s="65" t="s">
        <v>745</v>
      </c>
      <c r="L2" s="65" t="s">
        <v>312</v>
      </c>
      <c r="M2" s="65" t="s">
        <v>313</v>
      </c>
      <c r="N2" s="71" t="s">
        <v>314</v>
      </c>
      <c r="O2" s="71" t="s">
        <v>315</v>
      </c>
      <c r="P2" s="65" t="s">
        <v>316</v>
      </c>
      <c r="Q2" s="66" t="s">
        <v>317</v>
      </c>
      <c r="R2" s="82" t="s">
        <v>318</v>
      </c>
    </row>
    <row r="3" spans="1:23" ht="16.2" x14ac:dyDescent="0.3">
      <c r="A3" s="6"/>
      <c r="B3" s="83"/>
      <c r="C3" s="138"/>
      <c r="D3" s="58"/>
      <c r="E3" s="58"/>
      <c r="F3" s="63"/>
      <c r="G3" s="63"/>
      <c r="H3" s="63"/>
      <c r="I3" s="58"/>
      <c r="J3" s="58"/>
      <c r="K3" s="63"/>
      <c r="L3" s="63"/>
      <c r="M3" s="63"/>
      <c r="N3" s="52"/>
      <c r="O3" s="52"/>
      <c r="P3" s="52"/>
      <c r="Q3" s="58"/>
      <c r="R3" s="58"/>
      <c r="T3" s="96" t="s">
        <v>1323</v>
      </c>
    </row>
    <row r="4" spans="1:23" ht="15.6" x14ac:dyDescent="0.3">
      <c r="A4" s="6"/>
      <c r="B4" s="209" t="s">
        <v>1324</v>
      </c>
      <c r="C4" s="95"/>
      <c r="D4" s="492" t="s">
        <v>1325</v>
      </c>
      <c r="E4" s="492"/>
      <c r="F4" s="492"/>
      <c r="G4" s="492"/>
      <c r="H4" s="492"/>
      <c r="I4" s="492"/>
      <c r="J4" s="492"/>
      <c r="K4" s="492"/>
      <c r="L4" s="492"/>
      <c r="M4" s="492"/>
      <c r="N4" s="492"/>
      <c r="O4" s="492"/>
      <c r="P4" s="492"/>
      <c r="Q4" s="492"/>
      <c r="R4" s="94"/>
      <c r="T4" s="97" t="s">
        <v>1326</v>
      </c>
    </row>
    <row r="5" spans="1:23" ht="15.6" x14ac:dyDescent="0.3">
      <c r="A5" s="6"/>
      <c r="B5" s="479" t="s">
        <v>1327</v>
      </c>
      <c r="C5" s="480"/>
      <c r="D5" s="480"/>
      <c r="E5" s="480"/>
      <c r="F5" s="480"/>
      <c r="G5" s="480"/>
      <c r="H5" s="480"/>
      <c r="I5" s="480"/>
      <c r="J5" s="480"/>
      <c r="K5" s="480"/>
      <c r="L5" s="480"/>
      <c r="M5" s="480"/>
      <c r="N5" s="480"/>
      <c r="O5" s="480"/>
      <c r="P5" s="480"/>
      <c r="Q5" s="480"/>
      <c r="R5" s="481"/>
      <c r="T5" s="97" t="s">
        <v>1328</v>
      </c>
    </row>
    <row r="6" spans="1:23" ht="16.2" thickBot="1" x14ac:dyDescent="0.35">
      <c r="A6" s="6"/>
      <c r="B6" s="54" t="s">
        <v>1329</v>
      </c>
      <c r="C6" s="10" t="s">
        <v>321</v>
      </c>
      <c r="D6" s="10">
        <v>2</v>
      </c>
      <c r="E6" s="10">
        <f>D6/2</f>
        <v>1</v>
      </c>
      <c r="F6" s="10">
        <v>0</v>
      </c>
      <c r="G6" s="10">
        <v>65535</v>
      </c>
      <c r="H6" s="10">
        <v>1</v>
      </c>
      <c r="I6" s="10">
        <v>1</v>
      </c>
      <c r="J6" s="10" t="s">
        <v>418</v>
      </c>
      <c r="K6" s="10">
        <v>45251</v>
      </c>
      <c r="L6" s="10">
        <f t="shared" ref="L6:L69" si="0">K6-40000</f>
        <v>5251</v>
      </c>
      <c r="M6" s="10">
        <f t="shared" ref="M6:M69" si="1">L6-1</f>
        <v>5250</v>
      </c>
      <c r="N6" s="10" t="s">
        <v>419</v>
      </c>
      <c r="O6" s="10" t="s">
        <v>327</v>
      </c>
      <c r="P6" s="10">
        <v>0</v>
      </c>
      <c r="Q6" s="10"/>
      <c r="R6" s="10"/>
      <c r="T6" s="98" t="s">
        <v>1330</v>
      </c>
    </row>
    <row r="7" spans="1:23" ht="16.2" thickBot="1" x14ac:dyDescent="0.35">
      <c r="A7" s="6"/>
      <c r="B7" s="54" t="s">
        <v>1331</v>
      </c>
      <c r="C7" s="10" t="s">
        <v>321</v>
      </c>
      <c r="D7" s="10">
        <v>2</v>
      </c>
      <c r="E7" s="10">
        <f>D7/2</f>
        <v>1</v>
      </c>
      <c r="F7" s="10">
        <v>0</v>
      </c>
      <c r="G7" s="10">
        <v>65535</v>
      </c>
      <c r="H7" s="10">
        <v>1</v>
      </c>
      <c r="I7" s="10">
        <v>1</v>
      </c>
      <c r="J7" s="10" t="s">
        <v>418</v>
      </c>
      <c r="K7" s="10">
        <f>K6+E6</f>
        <v>45252</v>
      </c>
      <c r="L7" s="10">
        <f t="shared" si="0"/>
        <v>5252</v>
      </c>
      <c r="M7" s="10">
        <f t="shared" si="1"/>
        <v>5251</v>
      </c>
      <c r="N7" s="10" t="s">
        <v>419</v>
      </c>
      <c r="O7" s="10" t="s">
        <v>327</v>
      </c>
      <c r="P7" s="10">
        <v>0</v>
      </c>
      <c r="Q7" s="10"/>
      <c r="R7" s="10"/>
      <c r="T7" s="102" t="s">
        <v>1332</v>
      </c>
      <c r="U7" s="103" t="s">
        <v>1333</v>
      </c>
      <c r="V7" s="103" t="s">
        <v>1334</v>
      </c>
    </row>
    <row r="8" spans="1:23" ht="16.2" thickBot="1" x14ac:dyDescent="0.35">
      <c r="A8" s="6"/>
      <c r="B8" s="54" t="s">
        <v>1335</v>
      </c>
      <c r="C8" s="10" t="s">
        <v>321</v>
      </c>
      <c r="D8" s="10">
        <v>2</v>
      </c>
      <c r="E8" s="10">
        <f>D8/2</f>
        <v>1</v>
      </c>
      <c r="F8" s="10">
        <v>0</v>
      </c>
      <c r="G8" s="10">
        <v>15</v>
      </c>
      <c r="H8" s="10">
        <v>1</v>
      </c>
      <c r="I8" s="10">
        <v>1</v>
      </c>
      <c r="J8" s="10" t="s">
        <v>418</v>
      </c>
      <c r="K8" s="10">
        <f t="shared" ref="K8:K11" si="2">K7+E7</f>
        <v>45253</v>
      </c>
      <c r="L8" s="10">
        <f t="shared" si="0"/>
        <v>5253</v>
      </c>
      <c r="M8" s="10">
        <f t="shared" si="1"/>
        <v>5252</v>
      </c>
      <c r="N8" s="10" t="s">
        <v>419</v>
      </c>
      <c r="O8" s="10" t="s">
        <v>327</v>
      </c>
      <c r="P8" s="10">
        <v>0</v>
      </c>
      <c r="Q8" s="10"/>
      <c r="R8" s="10"/>
      <c r="T8" s="100">
        <v>0</v>
      </c>
      <c r="U8" s="99">
        <v>0</v>
      </c>
      <c r="V8" s="99">
        <v>1</v>
      </c>
      <c r="W8" s="101" t="s">
        <v>1336</v>
      </c>
    </row>
    <row r="9" spans="1:23" ht="16.2" thickBot="1" x14ac:dyDescent="0.35">
      <c r="A9" s="6"/>
      <c r="B9" s="54" t="s">
        <v>1337</v>
      </c>
      <c r="C9" s="10" t="s">
        <v>321</v>
      </c>
      <c r="D9" s="10">
        <v>2</v>
      </c>
      <c r="E9" s="10">
        <f t="shared" ref="E9:E11" si="3">D9/2</f>
        <v>1</v>
      </c>
      <c r="F9" s="10">
        <v>0</v>
      </c>
      <c r="G9" s="10">
        <v>65535</v>
      </c>
      <c r="H9" s="10">
        <v>1</v>
      </c>
      <c r="I9" s="10">
        <v>1</v>
      </c>
      <c r="J9" s="10" t="s">
        <v>418</v>
      </c>
      <c r="K9" s="10">
        <f t="shared" si="2"/>
        <v>45254</v>
      </c>
      <c r="L9" s="10">
        <f t="shared" si="0"/>
        <v>5254</v>
      </c>
      <c r="M9" s="10">
        <f t="shared" si="1"/>
        <v>5253</v>
      </c>
      <c r="N9" s="10" t="s">
        <v>419</v>
      </c>
      <c r="O9" s="10" t="s">
        <v>327</v>
      </c>
      <c r="P9" s="10">
        <v>0</v>
      </c>
      <c r="Q9" s="10"/>
      <c r="R9" s="10"/>
      <c r="T9" s="100">
        <v>0</v>
      </c>
      <c r="U9" s="99">
        <v>1</v>
      </c>
      <c r="V9" s="99">
        <v>0</v>
      </c>
    </row>
    <row r="10" spans="1:23" ht="16.2" thickBot="1" x14ac:dyDescent="0.35">
      <c r="A10" s="6"/>
      <c r="B10" s="54" t="s">
        <v>1338</v>
      </c>
      <c r="C10" s="10" t="s">
        <v>321</v>
      </c>
      <c r="D10" s="10">
        <v>2</v>
      </c>
      <c r="E10" s="10">
        <f t="shared" si="3"/>
        <v>1</v>
      </c>
      <c r="F10" s="10">
        <v>0</v>
      </c>
      <c r="G10" s="10">
        <v>65535</v>
      </c>
      <c r="H10" s="10">
        <v>1</v>
      </c>
      <c r="I10" s="10">
        <v>1</v>
      </c>
      <c r="J10" s="10" t="s">
        <v>418</v>
      </c>
      <c r="K10" s="10">
        <f t="shared" si="2"/>
        <v>45255</v>
      </c>
      <c r="L10" s="10">
        <f t="shared" si="0"/>
        <v>5255</v>
      </c>
      <c r="M10" s="10">
        <f t="shared" si="1"/>
        <v>5254</v>
      </c>
      <c r="N10" s="10" t="s">
        <v>419</v>
      </c>
      <c r="O10" s="10" t="s">
        <v>327</v>
      </c>
      <c r="P10" s="10">
        <v>0</v>
      </c>
      <c r="Q10" s="10"/>
      <c r="R10" s="10"/>
      <c r="T10" s="100">
        <v>1</v>
      </c>
      <c r="U10" s="99">
        <v>0</v>
      </c>
      <c r="V10" s="99">
        <v>1</v>
      </c>
    </row>
    <row r="11" spans="1:23" ht="16.2" thickBot="1" x14ac:dyDescent="0.35">
      <c r="A11" s="6"/>
      <c r="B11" s="54" t="s">
        <v>1339</v>
      </c>
      <c r="C11" s="10" t="s">
        <v>321</v>
      </c>
      <c r="D11" s="10">
        <v>2</v>
      </c>
      <c r="E11" s="10">
        <f t="shared" si="3"/>
        <v>1</v>
      </c>
      <c r="F11" s="10">
        <v>0</v>
      </c>
      <c r="G11" s="10">
        <v>15</v>
      </c>
      <c r="H11" s="10">
        <v>1</v>
      </c>
      <c r="I11" s="10">
        <v>1</v>
      </c>
      <c r="J11" s="10" t="s">
        <v>418</v>
      </c>
      <c r="K11" s="10">
        <f t="shared" si="2"/>
        <v>45256</v>
      </c>
      <c r="L11" s="10">
        <f t="shared" si="0"/>
        <v>5256</v>
      </c>
      <c r="M11" s="10">
        <f t="shared" si="1"/>
        <v>5255</v>
      </c>
      <c r="N11" s="10" t="s">
        <v>419</v>
      </c>
      <c r="O11" s="10" t="s">
        <v>327</v>
      </c>
      <c r="P11" s="10">
        <v>0</v>
      </c>
      <c r="Q11" s="10"/>
      <c r="R11" s="10"/>
      <c r="T11" s="100">
        <v>1</v>
      </c>
      <c r="U11" s="99">
        <v>1</v>
      </c>
      <c r="V11" s="99">
        <v>1</v>
      </c>
      <c r="W11" s="101" t="s">
        <v>1340</v>
      </c>
    </row>
    <row r="12" spans="1:23" ht="15.6" x14ac:dyDescent="0.3">
      <c r="A12" s="6"/>
      <c r="B12" s="479" t="s">
        <v>1341</v>
      </c>
      <c r="C12" s="480"/>
      <c r="D12" s="480"/>
      <c r="E12" s="480"/>
      <c r="F12" s="480"/>
      <c r="G12" s="480"/>
      <c r="H12" s="480"/>
      <c r="I12" s="480"/>
      <c r="J12" s="480"/>
      <c r="K12" s="480"/>
      <c r="L12" s="480"/>
      <c r="M12" s="480"/>
      <c r="N12" s="480"/>
      <c r="O12" s="480"/>
      <c r="P12" s="480"/>
      <c r="Q12" s="480"/>
      <c r="R12" s="481"/>
      <c r="T12" s="97" t="s">
        <v>1342</v>
      </c>
    </row>
    <row r="13" spans="1:23" ht="15.6" x14ac:dyDescent="0.3">
      <c r="A13" s="6"/>
      <c r="B13" s="54" t="s">
        <v>1329</v>
      </c>
      <c r="C13" s="10" t="s">
        <v>321</v>
      </c>
      <c r="D13" s="10">
        <v>2</v>
      </c>
      <c r="E13" s="10">
        <f>D13/2</f>
        <v>1</v>
      </c>
      <c r="F13" s="10">
        <v>0</v>
      </c>
      <c r="G13" s="10">
        <v>65535</v>
      </c>
      <c r="H13" s="10">
        <v>1</v>
      </c>
      <c r="I13" s="10">
        <v>1</v>
      </c>
      <c r="J13" s="10" t="s">
        <v>418</v>
      </c>
      <c r="K13" s="10">
        <f>K11+$E11</f>
        <v>45257</v>
      </c>
      <c r="L13" s="10">
        <f t="shared" si="0"/>
        <v>5257</v>
      </c>
      <c r="M13" s="10">
        <f t="shared" si="1"/>
        <v>5256</v>
      </c>
      <c r="N13" s="10" t="s">
        <v>419</v>
      </c>
      <c r="O13" s="10" t="s">
        <v>327</v>
      </c>
      <c r="P13" s="10">
        <v>0</v>
      </c>
      <c r="Q13" s="10"/>
      <c r="R13" s="10"/>
      <c r="T13" s="98" t="s">
        <v>1343</v>
      </c>
    </row>
    <row r="14" spans="1:23" ht="16.2" thickBot="1" x14ac:dyDescent="0.35">
      <c r="A14" s="26"/>
      <c r="B14" s="54" t="s">
        <v>1344</v>
      </c>
      <c r="C14" s="10" t="s">
        <v>321</v>
      </c>
      <c r="D14" s="10">
        <v>2</v>
      </c>
      <c r="E14" s="10">
        <f t="shared" ref="E14:E44" si="4">D14/2</f>
        <v>1</v>
      </c>
      <c r="F14" s="10">
        <v>0</v>
      </c>
      <c r="G14" s="10">
        <v>65535</v>
      </c>
      <c r="H14" s="10">
        <v>1</v>
      </c>
      <c r="I14" s="10">
        <v>1</v>
      </c>
      <c r="J14" s="10" t="s">
        <v>418</v>
      </c>
      <c r="K14" s="10">
        <f t="shared" ref="K14:K36" si="5">K13+E13</f>
        <v>45258</v>
      </c>
      <c r="L14" s="10">
        <f t="shared" si="0"/>
        <v>5258</v>
      </c>
      <c r="M14" s="10">
        <f t="shared" si="1"/>
        <v>5257</v>
      </c>
      <c r="N14" s="10" t="s">
        <v>419</v>
      </c>
      <c r="O14" s="10" t="s">
        <v>327</v>
      </c>
      <c r="P14" s="10">
        <v>0</v>
      </c>
      <c r="Q14" s="10"/>
      <c r="R14" s="10"/>
      <c r="T14" s="98" t="s">
        <v>1345</v>
      </c>
    </row>
    <row r="15" spans="1:23" ht="15.6" x14ac:dyDescent="0.3">
      <c r="A15" s="26"/>
      <c r="B15" s="54" t="s">
        <v>1346</v>
      </c>
      <c r="C15" s="10" t="s">
        <v>321</v>
      </c>
      <c r="D15" s="10">
        <v>2</v>
      </c>
      <c r="E15" s="10">
        <f t="shared" si="4"/>
        <v>1</v>
      </c>
      <c r="F15" s="10">
        <v>0</v>
      </c>
      <c r="G15" s="10">
        <v>65535</v>
      </c>
      <c r="H15" s="10">
        <v>1</v>
      </c>
      <c r="I15" s="10">
        <v>1</v>
      </c>
      <c r="J15" s="10" t="s">
        <v>418</v>
      </c>
      <c r="K15" s="10">
        <f t="shared" si="5"/>
        <v>45259</v>
      </c>
      <c r="L15" s="10">
        <f t="shared" si="0"/>
        <v>5259</v>
      </c>
      <c r="M15" s="10">
        <f t="shared" si="1"/>
        <v>5258</v>
      </c>
      <c r="N15" s="10" t="s">
        <v>419</v>
      </c>
      <c r="O15" s="10" t="s">
        <v>327</v>
      </c>
      <c r="P15" s="10">
        <v>0</v>
      </c>
      <c r="Q15" s="10"/>
      <c r="R15" s="10"/>
      <c r="T15" s="104" t="s">
        <v>1347</v>
      </c>
      <c r="U15" s="105"/>
    </row>
    <row r="16" spans="1:23" ht="16.2" thickBot="1" x14ac:dyDescent="0.35">
      <c r="A16" s="6"/>
      <c r="B16" s="54" t="s">
        <v>1335</v>
      </c>
      <c r="C16" s="10" t="s">
        <v>321</v>
      </c>
      <c r="D16" s="10">
        <v>2</v>
      </c>
      <c r="E16" s="10">
        <f t="shared" si="4"/>
        <v>1</v>
      </c>
      <c r="F16" s="10">
        <v>0</v>
      </c>
      <c r="G16" s="10">
        <v>255</v>
      </c>
      <c r="H16" s="10">
        <v>1</v>
      </c>
      <c r="I16" s="10">
        <v>1</v>
      </c>
      <c r="J16" s="10" t="s">
        <v>418</v>
      </c>
      <c r="K16" s="10">
        <f t="shared" si="5"/>
        <v>45260</v>
      </c>
      <c r="L16" s="10">
        <f t="shared" si="0"/>
        <v>5260</v>
      </c>
      <c r="M16" s="10">
        <f t="shared" si="1"/>
        <v>5259</v>
      </c>
      <c r="N16" s="10" t="s">
        <v>419</v>
      </c>
      <c r="O16" s="10" t="s">
        <v>327</v>
      </c>
      <c r="P16" s="10">
        <v>0</v>
      </c>
      <c r="Q16" s="59"/>
      <c r="R16" s="59"/>
      <c r="T16" s="106" t="s">
        <v>1348</v>
      </c>
      <c r="U16" s="107"/>
    </row>
    <row r="17" spans="2:18" ht="15.6" x14ac:dyDescent="0.3">
      <c r="B17" s="54" t="s">
        <v>1337</v>
      </c>
      <c r="C17" s="10" t="s">
        <v>321</v>
      </c>
      <c r="D17" s="10">
        <v>2</v>
      </c>
      <c r="E17" s="10">
        <f t="shared" si="4"/>
        <v>1</v>
      </c>
      <c r="F17" s="10">
        <v>0</v>
      </c>
      <c r="G17" s="10">
        <v>65535</v>
      </c>
      <c r="H17" s="10">
        <v>1</v>
      </c>
      <c r="I17" s="10">
        <v>1</v>
      </c>
      <c r="J17" s="10" t="s">
        <v>418</v>
      </c>
      <c r="K17" s="10">
        <f t="shared" si="5"/>
        <v>45261</v>
      </c>
      <c r="L17" s="10">
        <f t="shared" si="0"/>
        <v>5261</v>
      </c>
      <c r="M17" s="10">
        <f t="shared" si="1"/>
        <v>5260</v>
      </c>
      <c r="N17" s="10" t="s">
        <v>419</v>
      </c>
      <c r="O17" s="10" t="s">
        <v>327</v>
      </c>
      <c r="P17" s="10">
        <v>0</v>
      </c>
      <c r="Q17" s="55"/>
      <c r="R17" s="55"/>
    </row>
    <row r="18" spans="2:18" ht="15.6" x14ac:dyDescent="0.3">
      <c r="B18" s="54" t="s">
        <v>1338</v>
      </c>
      <c r="C18" s="10" t="s">
        <v>321</v>
      </c>
      <c r="D18" s="10">
        <v>2</v>
      </c>
      <c r="E18" s="10">
        <f t="shared" si="4"/>
        <v>1</v>
      </c>
      <c r="F18" s="10">
        <v>0</v>
      </c>
      <c r="G18" s="10">
        <v>65535</v>
      </c>
      <c r="H18" s="10">
        <v>1</v>
      </c>
      <c r="I18" s="10">
        <v>1</v>
      </c>
      <c r="J18" s="10" t="s">
        <v>418</v>
      </c>
      <c r="K18" s="10">
        <f t="shared" si="5"/>
        <v>45262</v>
      </c>
      <c r="L18" s="10">
        <f t="shared" si="0"/>
        <v>5262</v>
      </c>
      <c r="M18" s="10">
        <f t="shared" si="1"/>
        <v>5261</v>
      </c>
      <c r="N18" s="10" t="s">
        <v>419</v>
      </c>
      <c r="O18" s="10" t="s">
        <v>327</v>
      </c>
      <c r="P18" s="10">
        <v>0</v>
      </c>
      <c r="Q18" s="55"/>
      <c r="R18" s="55"/>
    </row>
    <row r="19" spans="2:18" ht="15.6" x14ac:dyDescent="0.3">
      <c r="B19" s="54" t="s">
        <v>1349</v>
      </c>
      <c r="C19" s="10" t="s">
        <v>321</v>
      </c>
      <c r="D19" s="10">
        <v>2</v>
      </c>
      <c r="E19" s="10">
        <f t="shared" si="4"/>
        <v>1</v>
      </c>
      <c r="F19" s="10">
        <v>0</v>
      </c>
      <c r="G19" s="10">
        <v>65535</v>
      </c>
      <c r="H19" s="10">
        <v>1</v>
      </c>
      <c r="I19" s="10">
        <v>1</v>
      </c>
      <c r="J19" s="10" t="s">
        <v>418</v>
      </c>
      <c r="K19" s="10">
        <f t="shared" si="5"/>
        <v>45263</v>
      </c>
      <c r="L19" s="10">
        <f t="shared" si="0"/>
        <v>5263</v>
      </c>
      <c r="M19" s="10">
        <f t="shared" si="1"/>
        <v>5262</v>
      </c>
      <c r="N19" s="10" t="s">
        <v>419</v>
      </c>
      <c r="O19" s="10" t="s">
        <v>327</v>
      </c>
      <c r="P19" s="10">
        <v>0</v>
      </c>
      <c r="Q19" s="55"/>
      <c r="R19" s="55"/>
    </row>
    <row r="20" spans="2:18" ht="15.6" x14ac:dyDescent="0.3">
      <c r="B20" s="54" t="s">
        <v>1339</v>
      </c>
      <c r="C20" s="10" t="s">
        <v>321</v>
      </c>
      <c r="D20" s="10">
        <v>2</v>
      </c>
      <c r="E20" s="10">
        <f t="shared" si="4"/>
        <v>1</v>
      </c>
      <c r="F20" s="10">
        <v>0</v>
      </c>
      <c r="G20" s="10">
        <v>255</v>
      </c>
      <c r="H20" s="10">
        <v>1</v>
      </c>
      <c r="I20" s="10">
        <v>1</v>
      </c>
      <c r="J20" s="10" t="s">
        <v>418</v>
      </c>
      <c r="K20" s="10">
        <f t="shared" si="5"/>
        <v>45264</v>
      </c>
      <c r="L20" s="10">
        <f t="shared" si="0"/>
        <v>5264</v>
      </c>
      <c r="M20" s="10">
        <f t="shared" si="1"/>
        <v>5263</v>
      </c>
      <c r="N20" s="10" t="s">
        <v>419</v>
      </c>
      <c r="O20" s="10" t="s">
        <v>327</v>
      </c>
      <c r="P20" s="10">
        <v>0</v>
      </c>
      <c r="Q20" s="55"/>
      <c r="R20" s="55"/>
    </row>
    <row r="21" spans="2:18" ht="15.6" x14ac:dyDescent="0.3">
      <c r="B21" s="54" t="s">
        <v>1350</v>
      </c>
      <c r="C21" s="10" t="s">
        <v>321</v>
      </c>
      <c r="D21" s="10">
        <v>2</v>
      </c>
      <c r="E21" s="10">
        <f t="shared" si="4"/>
        <v>1</v>
      </c>
      <c r="F21" s="10">
        <v>0</v>
      </c>
      <c r="G21" s="10">
        <v>65535</v>
      </c>
      <c r="H21" s="10">
        <v>1</v>
      </c>
      <c r="I21" s="10">
        <v>1</v>
      </c>
      <c r="J21" s="10" t="s">
        <v>418</v>
      </c>
      <c r="K21" s="10">
        <f t="shared" si="5"/>
        <v>45265</v>
      </c>
      <c r="L21" s="10">
        <f t="shared" si="0"/>
        <v>5265</v>
      </c>
      <c r="M21" s="10">
        <f t="shared" si="1"/>
        <v>5264</v>
      </c>
      <c r="N21" s="10" t="s">
        <v>419</v>
      </c>
      <c r="O21" s="10" t="s">
        <v>327</v>
      </c>
      <c r="P21" s="10">
        <v>0</v>
      </c>
      <c r="Q21" s="55"/>
      <c r="R21" s="55"/>
    </row>
    <row r="22" spans="2:18" ht="15.6" x14ac:dyDescent="0.3">
      <c r="B22" s="54" t="s">
        <v>1351</v>
      </c>
      <c r="C22" s="10" t="s">
        <v>321</v>
      </c>
      <c r="D22" s="10">
        <v>2</v>
      </c>
      <c r="E22" s="10">
        <f t="shared" si="4"/>
        <v>1</v>
      </c>
      <c r="F22" s="10">
        <v>0</v>
      </c>
      <c r="G22" s="10">
        <v>65535</v>
      </c>
      <c r="H22" s="10">
        <v>1</v>
      </c>
      <c r="I22" s="10">
        <v>1</v>
      </c>
      <c r="J22" s="10" t="s">
        <v>418</v>
      </c>
      <c r="K22" s="10">
        <f t="shared" si="5"/>
        <v>45266</v>
      </c>
      <c r="L22" s="10">
        <f t="shared" si="0"/>
        <v>5266</v>
      </c>
      <c r="M22" s="10">
        <f t="shared" si="1"/>
        <v>5265</v>
      </c>
      <c r="N22" s="10" t="s">
        <v>419</v>
      </c>
      <c r="O22" s="10" t="s">
        <v>327</v>
      </c>
      <c r="P22" s="10">
        <v>0</v>
      </c>
      <c r="Q22" s="55"/>
      <c r="R22" s="55"/>
    </row>
    <row r="23" spans="2:18" ht="15.6" x14ac:dyDescent="0.3">
      <c r="B23" s="54" t="s">
        <v>1352</v>
      </c>
      <c r="C23" s="10" t="s">
        <v>321</v>
      </c>
      <c r="D23" s="10">
        <v>2</v>
      </c>
      <c r="E23" s="10">
        <f t="shared" si="4"/>
        <v>1</v>
      </c>
      <c r="F23" s="10">
        <v>0</v>
      </c>
      <c r="G23" s="10">
        <v>65535</v>
      </c>
      <c r="H23" s="10">
        <v>1</v>
      </c>
      <c r="I23" s="10">
        <v>1</v>
      </c>
      <c r="J23" s="10" t="s">
        <v>418</v>
      </c>
      <c r="K23" s="10">
        <f t="shared" si="5"/>
        <v>45267</v>
      </c>
      <c r="L23" s="10">
        <f t="shared" si="0"/>
        <v>5267</v>
      </c>
      <c r="M23" s="10">
        <f t="shared" si="1"/>
        <v>5266</v>
      </c>
      <c r="N23" s="10" t="s">
        <v>419</v>
      </c>
      <c r="O23" s="10" t="s">
        <v>327</v>
      </c>
      <c r="P23" s="10">
        <v>0</v>
      </c>
      <c r="Q23" s="55"/>
      <c r="R23" s="55"/>
    </row>
    <row r="24" spans="2:18" ht="15.6" x14ac:dyDescent="0.3">
      <c r="B24" s="54" t="s">
        <v>1353</v>
      </c>
      <c r="C24" s="10" t="s">
        <v>321</v>
      </c>
      <c r="D24" s="10">
        <v>2</v>
      </c>
      <c r="E24" s="10">
        <f t="shared" si="4"/>
        <v>1</v>
      </c>
      <c r="F24" s="10">
        <v>0</v>
      </c>
      <c r="G24" s="10">
        <v>255</v>
      </c>
      <c r="H24" s="10">
        <v>1</v>
      </c>
      <c r="I24" s="10">
        <v>1</v>
      </c>
      <c r="J24" s="10" t="s">
        <v>418</v>
      </c>
      <c r="K24" s="10">
        <f t="shared" si="5"/>
        <v>45268</v>
      </c>
      <c r="L24" s="10">
        <f t="shared" si="0"/>
        <v>5268</v>
      </c>
      <c r="M24" s="10">
        <f t="shared" si="1"/>
        <v>5267</v>
      </c>
      <c r="N24" s="10" t="s">
        <v>419</v>
      </c>
      <c r="O24" s="10" t="s">
        <v>327</v>
      </c>
      <c r="P24" s="10">
        <v>0</v>
      </c>
      <c r="Q24" s="55"/>
      <c r="R24" s="55"/>
    </row>
    <row r="25" spans="2:18" ht="15.6" x14ac:dyDescent="0.3">
      <c r="B25" s="54" t="s">
        <v>1354</v>
      </c>
      <c r="C25" s="10" t="s">
        <v>321</v>
      </c>
      <c r="D25" s="10">
        <v>2</v>
      </c>
      <c r="E25" s="10">
        <f t="shared" si="4"/>
        <v>1</v>
      </c>
      <c r="F25" s="10">
        <v>0</v>
      </c>
      <c r="G25" s="10">
        <v>65535</v>
      </c>
      <c r="H25" s="10">
        <v>1</v>
      </c>
      <c r="I25" s="10">
        <v>1</v>
      </c>
      <c r="J25" s="10" t="s">
        <v>418</v>
      </c>
      <c r="K25" s="10">
        <f t="shared" si="5"/>
        <v>45269</v>
      </c>
      <c r="L25" s="10">
        <f t="shared" si="0"/>
        <v>5269</v>
      </c>
      <c r="M25" s="10">
        <f t="shared" si="1"/>
        <v>5268</v>
      </c>
      <c r="N25" s="10" t="s">
        <v>419</v>
      </c>
      <c r="O25" s="10" t="s">
        <v>327</v>
      </c>
      <c r="P25" s="10">
        <v>0</v>
      </c>
      <c r="Q25" s="55"/>
      <c r="R25" s="55"/>
    </row>
    <row r="26" spans="2:18" ht="15.6" x14ac:dyDescent="0.3">
      <c r="B26" s="54" t="s">
        <v>1355</v>
      </c>
      <c r="C26" s="10" t="s">
        <v>321</v>
      </c>
      <c r="D26" s="10">
        <v>2</v>
      </c>
      <c r="E26" s="10">
        <f t="shared" si="4"/>
        <v>1</v>
      </c>
      <c r="F26" s="10">
        <v>0</v>
      </c>
      <c r="G26" s="10">
        <v>65535</v>
      </c>
      <c r="H26" s="10">
        <v>1</v>
      </c>
      <c r="I26" s="10">
        <v>1</v>
      </c>
      <c r="J26" s="10" t="s">
        <v>418</v>
      </c>
      <c r="K26" s="10">
        <f t="shared" si="5"/>
        <v>45270</v>
      </c>
      <c r="L26" s="10">
        <f t="shared" si="0"/>
        <v>5270</v>
      </c>
      <c r="M26" s="10">
        <f t="shared" si="1"/>
        <v>5269</v>
      </c>
      <c r="N26" s="10" t="s">
        <v>419</v>
      </c>
      <c r="O26" s="10" t="s">
        <v>327</v>
      </c>
      <c r="P26" s="10">
        <v>0</v>
      </c>
      <c r="Q26" s="55"/>
      <c r="R26" s="55"/>
    </row>
    <row r="27" spans="2:18" ht="15.6" x14ac:dyDescent="0.3">
      <c r="B27" s="54" t="s">
        <v>1356</v>
      </c>
      <c r="C27" s="10" t="s">
        <v>321</v>
      </c>
      <c r="D27" s="10">
        <v>2</v>
      </c>
      <c r="E27" s="10">
        <f t="shared" si="4"/>
        <v>1</v>
      </c>
      <c r="F27" s="10">
        <v>0</v>
      </c>
      <c r="G27" s="10">
        <v>65535</v>
      </c>
      <c r="H27" s="10">
        <v>1</v>
      </c>
      <c r="I27" s="10">
        <v>1</v>
      </c>
      <c r="J27" s="10" t="s">
        <v>418</v>
      </c>
      <c r="K27" s="10">
        <f t="shared" si="5"/>
        <v>45271</v>
      </c>
      <c r="L27" s="10">
        <f t="shared" si="0"/>
        <v>5271</v>
      </c>
      <c r="M27" s="10">
        <f t="shared" si="1"/>
        <v>5270</v>
      </c>
      <c r="N27" s="10" t="s">
        <v>419</v>
      </c>
      <c r="O27" s="10" t="s">
        <v>327</v>
      </c>
      <c r="P27" s="10">
        <v>0</v>
      </c>
      <c r="Q27" s="55"/>
      <c r="R27" s="55"/>
    </row>
    <row r="28" spans="2:18" ht="15.6" x14ac:dyDescent="0.3">
      <c r="B28" s="54" t="s">
        <v>1357</v>
      </c>
      <c r="C28" s="10" t="s">
        <v>321</v>
      </c>
      <c r="D28" s="10">
        <v>2</v>
      </c>
      <c r="E28" s="10">
        <f t="shared" si="4"/>
        <v>1</v>
      </c>
      <c r="F28" s="10">
        <v>0</v>
      </c>
      <c r="G28" s="10">
        <v>255</v>
      </c>
      <c r="H28" s="10">
        <v>1</v>
      </c>
      <c r="I28" s="10">
        <v>1</v>
      </c>
      <c r="J28" s="10" t="s">
        <v>418</v>
      </c>
      <c r="K28" s="10">
        <f t="shared" si="5"/>
        <v>45272</v>
      </c>
      <c r="L28" s="10">
        <f t="shared" si="0"/>
        <v>5272</v>
      </c>
      <c r="M28" s="10">
        <f t="shared" si="1"/>
        <v>5271</v>
      </c>
      <c r="N28" s="10" t="s">
        <v>419</v>
      </c>
      <c r="O28" s="10" t="s">
        <v>327</v>
      </c>
      <c r="P28" s="10">
        <v>0</v>
      </c>
      <c r="Q28" s="55"/>
      <c r="R28" s="55"/>
    </row>
    <row r="29" spans="2:18" ht="15.6" x14ac:dyDescent="0.3">
      <c r="B29" s="54" t="s">
        <v>1358</v>
      </c>
      <c r="C29" s="10" t="s">
        <v>321</v>
      </c>
      <c r="D29" s="10">
        <v>2</v>
      </c>
      <c r="E29" s="10">
        <f t="shared" si="4"/>
        <v>1</v>
      </c>
      <c r="F29" s="10">
        <v>0</v>
      </c>
      <c r="G29" s="10">
        <v>65535</v>
      </c>
      <c r="H29" s="10">
        <v>1</v>
      </c>
      <c r="I29" s="10">
        <v>1</v>
      </c>
      <c r="J29" s="10" t="s">
        <v>418</v>
      </c>
      <c r="K29" s="10">
        <f t="shared" si="5"/>
        <v>45273</v>
      </c>
      <c r="L29" s="10">
        <f t="shared" si="0"/>
        <v>5273</v>
      </c>
      <c r="M29" s="10">
        <f t="shared" si="1"/>
        <v>5272</v>
      </c>
      <c r="N29" s="10" t="s">
        <v>419</v>
      </c>
      <c r="O29" s="10" t="s">
        <v>327</v>
      </c>
      <c r="P29" s="10">
        <v>0</v>
      </c>
      <c r="Q29" s="55"/>
      <c r="R29" s="55"/>
    </row>
    <row r="30" spans="2:18" ht="15.6" x14ac:dyDescent="0.3">
      <c r="B30" s="54" t="s">
        <v>1359</v>
      </c>
      <c r="C30" s="10" t="s">
        <v>321</v>
      </c>
      <c r="D30" s="10">
        <v>2</v>
      </c>
      <c r="E30" s="10">
        <f t="shared" si="4"/>
        <v>1</v>
      </c>
      <c r="F30" s="10">
        <v>0</v>
      </c>
      <c r="G30" s="10">
        <v>65535</v>
      </c>
      <c r="H30" s="10">
        <v>1</v>
      </c>
      <c r="I30" s="10">
        <v>1</v>
      </c>
      <c r="J30" s="10" t="s">
        <v>418</v>
      </c>
      <c r="K30" s="10">
        <f t="shared" si="5"/>
        <v>45274</v>
      </c>
      <c r="L30" s="10">
        <f t="shared" si="0"/>
        <v>5274</v>
      </c>
      <c r="M30" s="10">
        <f t="shared" si="1"/>
        <v>5273</v>
      </c>
      <c r="N30" s="10" t="s">
        <v>419</v>
      </c>
      <c r="O30" s="10" t="s">
        <v>327</v>
      </c>
      <c r="P30" s="10">
        <v>0</v>
      </c>
      <c r="Q30" s="55"/>
      <c r="R30" s="55"/>
    </row>
    <row r="31" spans="2:18" ht="15.6" x14ac:dyDescent="0.3">
      <c r="B31" s="54" t="s">
        <v>1360</v>
      </c>
      <c r="C31" s="10" t="s">
        <v>321</v>
      </c>
      <c r="D31" s="10">
        <v>2</v>
      </c>
      <c r="E31" s="10">
        <f t="shared" si="4"/>
        <v>1</v>
      </c>
      <c r="F31" s="10">
        <v>0</v>
      </c>
      <c r="G31" s="10">
        <v>65535</v>
      </c>
      <c r="H31" s="10">
        <v>1</v>
      </c>
      <c r="I31" s="10">
        <v>1</v>
      </c>
      <c r="J31" s="10" t="s">
        <v>418</v>
      </c>
      <c r="K31" s="10">
        <f t="shared" si="5"/>
        <v>45275</v>
      </c>
      <c r="L31" s="10">
        <f t="shared" si="0"/>
        <v>5275</v>
      </c>
      <c r="M31" s="10">
        <f t="shared" si="1"/>
        <v>5274</v>
      </c>
      <c r="N31" s="10" t="s">
        <v>419</v>
      </c>
      <c r="O31" s="10" t="s">
        <v>327</v>
      </c>
      <c r="P31" s="10">
        <v>0</v>
      </c>
      <c r="Q31" s="55"/>
      <c r="R31" s="55"/>
    </row>
    <row r="32" spans="2:18" ht="15.6" x14ac:dyDescent="0.3">
      <c r="B32" s="54" t="s">
        <v>1361</v>
      </c>
      <c r="C32" s="10" t="s">
        <v>321</v>
      </c>
      <c r="D32" s="10">
        <v>2</v>
      </c>
      <c r="E32" s="10">
        <f t="shared" si="4"/>
        <v>1</v>
      </c>
      <c r="F32" s="10">
        <v>0</v>
      </c>
      <c r="G32" s="10">
        <v>255</v>
      </c>
      <c r="H32" s="10">
        <v>1</v>
      </c>
      <c r="I32" s="10">
        <v>1</v>
      </c>
      <c r="J32" s="10" t="s">
        <v>418</v>
      </c>
      <c r="K32" s="10">
        <f t="shared" si="5"/>
        <v>45276</v>
      </c>
      <c r="L32" s="10">
        <f t="shared" si="0"/>
        <v>5276</v>
      </c>
      <c r="M32" s="10">
        <f t="shared" si="1"/>
        <v>5275</v>
      </c>
      <c r="N32" s="10" t="s">
        <v>419</v>
      </c>
      <c r="O32" s="10" t="s">
        <v>327</v>
      </c>
      <c r="P32" s="10">
        <v>0</v>
      </c>
      <c r="Q32" s="55"/>
      <c r="R32" s="55"/>
    </row>
    <row r="33" spans="1:18" ht="15.6" x14ac:dyDescent="0.3">
      <c r="B33" s="54" t="s">
        <v>1362</v>
      </c>
      <c r="C33" s="10" t="s">
        <v>321</v>
      </c>
      <c r="D33" s="10">
        <v>2</v>
      </c>
      <c r="E33" s="10">
        <f t="shared" si="4"/>
        <v>1</v>
      </c>
      <c r="F33" s="10">
        <v>0</v>
      </c>
      <c r="G33" s="10">
        <v>65535</v>
      </c>
      <c r="H33" s="10">
        <v>1</v>
      </c>
      <c r="I33" s="10">
        <v>1</v>
      </c>
      <c r="J33" s="10" t="s">
        <v>418</v>
      </c>
      <c r="K33" s="10">
        <f t="shared" si="5"/>
        <v>45277</v>
      </c>
      <c r="L33" s="10">
        <f t="shared" si="0"/>
        <v>5277</v>
      </c>
      <c r="M33" s="10">
        <f t="shared" si="1"/>
        <v>5276</v>
      </c>
      <c r="N33" s="10" t="s">
        <v>419</v>
      </c>
      <c r="O33" s="10" t="s">
        <v>327</v>
      </c>
      <c r="P33" s="10">
        <v>0</v>
      </c>
      <c r="Q33" s="55"/>
      <c r="R33" s="55"/>
    </row>
    <row r="34" spans="1:18" ht="15.6" x14ac:dyDescent="0.3">
      <c r="B34" s="54" t="s">
        <v>1363</v>
      </c>
      <c r="C34" s="10" t="s">
        <v>321</v>
      </c>
      <c r="D34" s="10">
        <v>2</v>
      </c>
      <c r="E34" s="10">
        <f t="shared" si="4"/>
        <v>1</v>
      </c>
      <c r="F34" s="10">
        <v>0</v>
      </c>
      <c r="G34" s="10">
        <v>65535</v>
      </c>
      <c r="H34" s="10">
        <v>1</v>
      </c>
      <c r="I34" s="10">
        <v>1</v>
      </c>
      <c r="J34" s="10" t="s">
        <v>418</v>
      </c>
      <c r="K34" s="10">
        <f t="shared" si="5"/>
        <v>45278</v>
      </c>
      <c r="L34" s="10">
        <f t="shared" si="0"/>
        <v>5278</v>
      </c>
      <c r="M34" s="10">
        <f t="shared" si="1"/>
        <v>5277</v>
      </c>
      <c r="N34" s="10" t="s">
        <v>419</v>
      </c>
      <c r="O34" s="10" t="s">
        <v>327</v>
      </c>
      <c r="P34" s="10">
        <v>0</v>
      </c>
      <c r="Q34" s="55"/>
      <c r="R34" s="55"/>
    </row>
    <row r="35" spans="1:18" ht="15.6" x14ac:dyDescent="0.3">
      <c r="B35" s="54" t="s">
        <v>1364</v>
      </c>
      <c r="C35" s="10" t="s">
        <v>321</v>
      </c>
      <c r="D35" s="10">
        <v>2</v>
      </c>
      <c r="E35" s="10">
        <f t="shared" si="4"/>
        <v>1</v>
      </c>
      <c r="F35" s="10">
        <v>0</v>
      </c>
      <c r="G35" s="10">
        <v>65535</v>
      </c>
      <c r="H35" s="10">
        <v>1</v>
      </c>
      <c r="I35" s="10">
        <v>1</v>
      </c>
      <c r="J35" s="10" t="s">
        <v>418</v>
      </c>
      <c r="K35" s="10">
        <f t="shared" si="5"/>
        <v>45279</v>
      </c>
      <c r="L35" s="10">
        <f t="shared" si="0"/>
        <v>5279</v>
      </c>
      <c r="M35" s="10">
        <f t="shared" si="1"/>
        <v>5278</v>
      </c>
      <c r="N35" s="10" t="s">
        <v>419</v>
      </c>
      <c r="O35" s="10" t="s">
        <v>327</v>
      </c>
      <c r="P35" s="10">
        <v>0</v>
      </c>
      <c r="Q35" s="55"/>
      <c r="R35" s="55"/>
    </row>
    <row r="36" spans="1:18" ht="15.6" x14ac:dyDescent="0.3">
      <c r="B36" s="54" t="s">
        <v>1365</v>
      </c>
      <c r="C36" s="10" t="s">
        <v>321</v>
      </c>
      <c r="D36" s="10">
        <v>2</v>
      </c>
      <c r="E36" s="10">
        <f t="shared" si="4"/>
        <v>1</v>
      </c>
      <c r="F36" s="10">
        <v>0</v>
      </c>
      <c r="G36" s="10">
        <v>255</v>
      </c>
      <c r="H36" s="10">
        <v>1</v>
      </c>
      <c r="I36" s="10">
        <v>1</v>
      </c>
      <c r="J36" s="10" t="s">
        <v>418</v>
      </c>
      <c r="K36" s="10">
        <f t="shared" si="5"/>
        <v>45280</v>
      </c>
      <c r="L36" s="10">
        <f t="shared" si="0"/>
        <v>5280</v>
      </c>
      <c r="M36" s="10">
        <f t="shared" si="1"/>
        <v>5279</v>
      </c>
      <c r="N36" s="10" t="s">
        <v>419</v>
      </c>
      <c r="O36" s="10" t="s">
        <v>327</v>
      </c>
      <c r="P36" s="10">
        <v>0</v>
      </c>
      <c r="Q36" s="55"/>
      <c r="R36" s="55"/>
    </row>
    <row r="37" spans="1:18" ht="15.6" x14ac:dyDescent="0.3">
      <c r="B37" s="54" t="s">
        <v>1366</v>
      </c>
      <c r="C37" s="10" t="s">
        <v>321</v>
      </c>
      <c r="D37" s="10">
        <v>2</v>
      </c>
      <c r="E37" s="10">
        <f t="shared" si="4"/>
        <v>1</v>
      </c>
      <c r="F37" s="10">
        <v>0</v>
      </c>
      <c r="G37" s="10">
        <v>65535</v>
      </c>
      <c r="H37" s="10">
        <v>1</v>
      </c>
      <c r="I37" s="10">
        <v>1</v>
      </c>
      <c r="J37" s="10" t="s">
        <v>418</v>
      </c>
      <c r="K37" s="10">
        <f t="shared" ref="K37:K44" si="6">K36+E36</f>
        <v>45281</v>
      </c>
      <c r="L37" s="10">
        <f t="shared" si="0"/>
        <v>5281</v>
      </c>
      <c r="M37" s="10">
        <f t="shared" si="1"/>
        <v>5280</v>
      </c>
      <c r="N37" s="10" t="s">
        <v>419</v>
      </c>
      <c r="O37" s="10" t="s">
        <v>327</v>
      </c>
      <c r="P37" s="10">
        <v>0</v>
      </c>
      <c r="Q37" s="55"/>
      <c r="R37" s="55"/>
    </row>
    <row r="38" spans="1:18" ht="15.6" x14ac:dyDescent="0.3">
      <c r="B38" s="54" t="s">
        <v>1367</v>
      </c>
      <c r="C38" s="10" t="s">
        <v>321</v>
      </c>
      <c r="D38" s="10">
        <v>2</v>
      </c>
      <c r="E38" s="10">
        <f t="shared" si="4"/>
        <v>1</v>
      </c>
      <c r="F38" s="10">
        <v>0</v>
      </c>
      <c r="G38" s="10">
        <v>65535</v>
      </c>
      <c r="H38" s="10">
        <v>1</v>
      </c>
      <c r="I38" s="10">
        <v>1</v>
      </c>
      <c r="J38" s="10" t="s">
        <v>418</v>
      </c>
      <c r="K38" s="10">
        <f t="shared" si="6"/>
        <v>45282</v>
      </c>
      <c r="L38" s="10">
        <f t="shared" si="0"/>
        <v>5282</v>
      </c>
      <c r="M38" s="10">
        <f t="shared" si="1"/>
        <v>5281</v>
      </c>
      <c r="N38" s="10" t="s">
        <v>419</v>
      </c>
      <c r="O38" s="10" t="s">
        <v>327</v>
      </c>
      <c r="P38" s="10">
        <v>0</v>
      </c>
      <c r="Q38" s="55"/>
      <c r="R38" s="55"/>
    </row>
    <row r="39" spans="1:18" ht="15.6" x14ac:dyDescent="0.3">
      <c r="B39" s="54" t="s">
        <v>1368</v>
      </c>
      <c r="C39" s="10" t="s">
        <v>321</v>
      </c>
      <c r="D39" s="10">
        <v>2</v>
      </c>
      <c r="E39" s="10">
        <f t="shared" si="4"/>
        <v>1</v>
      </c>
      <c r="F39" s="10">
        <v>0</v>
      </c>
      <c r="G39" s="10">
        <v>65535</v>
      </c>
      <c r="H39" s="10">
        <v>1</v>
      </c>
      <c r="I39" s="10">
        <v>1</v>
      </c>
      <c r="J39" s="10" t="s">
        <v>418</v>
      </c>
      <c r="K39" s="10">
        <f t="shared" si="6"/>
        <v>45283</v>
      </c>
      <c r="L39" s="10">
        <f t="shared" si="0"/>
        <v>5283</v>
      </c>
      <c r="M39" s="10">
        <f t="shared" si="1"/>
        <v>5282</v>
      </c>
      <c r="N39" s="10" t="s">
        <v>419</v>
      </c>
      <c r="O39" s="10" t="s">
        <v>327</v>
      </c>
      <c r="P39" s="10">
        <v>0</v>
      </c>
      <c r="Q39" s="55"/>
      <c r="R39" s="55"/>
    </row>
    <row r="40" spans="1:18" ht="15.6" x14ac:dyDescent="0.3">
      <c r="B40" s="54" t="s">
        <v>1369</v>
      </c>
      <c r="C40" s="10" t="s">
        <v>321</v>
      </c>
      <c r="D40" s="10">
        <v>2</v>
      </c>
      <c r="E40" s="10">
        <f t="shared" si="4"/>
        <v>1</v>
      </c>
      <c r="F40" s="10">
        <v>0</v>
      </c>
      <c r="G40" s="10">
        <v>255</v>
      </c>
      <c r="H40" s="10">
        <v>1</v>
      </c>
      <c r="I40" s="10">
        <v>1</v>
      </c>
      <c r="J40" s="10" t="s">
        <v>418</v>
      </c>
      <c r="K40" s="10">
        <f t="shared" si="6"/>
        <v>45284</v>
      </c>
      <c r="L40" s="10">
        <f t="shared" si="0"/>
        <v>5284</v>
      </c>
      <c r="M40" s="10">
        <f t="shared" si="1"/>
        <v>5283</v>
      </c>
      <c r="N40" s="10" t="s">
        <v>419</v>
      </c>
      <c r="O40" s="10" t="s">
        <v>327</v>
      </c>
      <c r="P40" s="10">
        <v>0</v>
      </c>
      <c r="Q40" s="55"/>
      <c r="R40" s="55"/>
    </row>
    <row r="41" spans="1:18" ht="15.6" x14ac:dyDescent="0.3">
      <c r="B41" s="54" t="s">
        <v>1370</v>
      </c>
      <c r="C41" s="10" t="s">
        <v>321</v>
      </c>
      <c r="D41" s="10">
        <v>2</v>
      </c>
      <c r="E41" s="10">
        <f t="shared" si="4"/>
        <v>1</v>
      </c>
      <c r="F41" s="10">
        <v>0</v>
      </c>
      <c r="G41" s="10">
        <v>65535</v>
      </c>
      <c r="H41" s="10">
        <v>1</v>
      </c>
      <c r="I41" s="10">
        <v>1</v>
      </c>
      <c r="J41" s="10" t="s">
        <v>418</v>
      </c>
      <c r="K41" s="10">
        <f t="shared" si="6"/>
        <v>45285</v>
      </c>
      <c r="L41" s="10">
        <f t="shared" si="0"/>
        <v>5285</v>
      </c>
      <c r="M41" s="10">
        <f t="shared" si="1"/>
        <v>5284</v>
      </c>
      <c r="N41" s="10" t="s">
        <v>419</v>
      </c>
      <c r="O41" s="10" t="s">
        <v>327</v>
      </c>
      <c r="P41" s="10">
        <v>0</v>
      </c>
      <c r="Q41" s="55"/>
      <c r="R41" s="55"/>
    </row>
    <row r="42" spans="1:18" ht="15.6" x14ac:dyDescent="0.3">
      <c r="B42" s="54" t="s">
        <v>1371</v>
      </c>
      <c r="C42" s="10" t="s">
        <v>321</v>
      </c>
      <c r="D42" s="10">
        <v>2</v>
      </c>
      <c r="E42" s="10">
        <f t="shared" si="4"/>
        <v>1</v>
      </c>
      <c r="F42" s="10">
        <v>0</v>
      </c>
      <c r="G42" s="10">
        <v>65535</v>
      </c>
      <c r="H42" s="10">
        <v>1</v>
      </c>
      <c r="I42" s="10">
        <v>1</v>
      </c>
      <c r="J42" s="10" t="s">
        <v>418</v>
      </c>
      <c r="K42" s="10">
        <f t="shared" si="6"/>
        <v>45286</v>
      </c>
      <c r="L42" s="10">
        <f t="shared" si="0"/>
        <v>5286</v>
      </c>
      <c r="M42" s="10">
        <f t="shared" si="1"/>
        <v>5285</v>
      </c>
      <c r="N42" s="10" t="s">
        <v>419</v>
      </c>
      <c r="O42" s="10" t="s">
        <v>327</v>
      </c>
      <c r="P42" s="10">
        <v>0</v>
      </c>
      <c r="Q42" s="55"/>
      <c r="R42" s="55"/>
    </row>
    <row r="43" spans="1:18" ht="15.6" x14ac:dyDescent="0.3">
      <c r="B43" s="54" t="s">
        <v>1372</v>
      </c>
      <c r="C43" s="10" t="s">
        <v>321</v>
      </c>
      <c r="D43" s="10">
        <v>2</v>
      </c>
      <c r="E43" s="10">
        <f t="shared" si="4"/>
        <v>1</v>
      </c>
      <c r="F43" s="10">
        <v>0</v>
      </c>
      <c r="G43" s="10">
        <v>65535</v>
      </c>
      <c r="H43" s="10">
        <v>1</v>
      </c>
      <c r="I43" s="10">
        <v>1</v>
      </c>
      <c r="J43" s="10" t="s">
        <v>418</v>
      </c>
      <c r="K43" s="10">
        <f t="shared" si="6"/>
        <v>45287</v>
      </c>
      <c r="L43" s="10">
        <f t="shared" si="0"/>
        <v>5287</v>
      </c>
      <c r="M43" s="10">
        <f t="shared" si="1"/>
        <v>5286</v>
      </c>
      <c r="N43" s="10" t="s">
        <v>419</v>
      </c>
      <c r="O43" s="10" t="s">
        <v>327</v>
      </c>
      <c r="P43" s="10">
        <v>0</v>
      </c>
      <c r="Q43" s="55"/>
      <c r="R43" s="55"/>
    </row>
    <row r="44" spans="1:18" ht="15.6" x14ac:dyDescent="0.3">
      <c r="B44" s="54" t="s">
        <v>1373</v>
      </c>
      <c r="C44" s="10" t="s">
        <v>321</v>
      </c>
      <c r="D44" s="10">
        <v>2</v>
      </c>
      <c r="E44" s="10">
        <f t="shared" si="4"/>
        <v>1</v>
      </c>
      <c r="F44" s="10">
        <v>0</v>
      </c>
      <c r="G44" s="10">
        <v>255</v>
      </c>
      <c r="H44" s="10">
        <v>1</v>
      </c>
      <c r="I44" s="10">
        <v>1</v>
      </c>
      <c r="J44" s="10" t="s">
        <v>418</v>
      </c>
      <c r="K44" s="10">
        <f t="shared" si="6"/>
        <v>45288</v>
      </c>
      <c r="L44" s="10">
        <f t="shared" si="0"/>
        <v>5288</v>
      </c>
      <c r="M44" s="10">
        <f t="shared" si="1"/>
        <v>5287</v>
      </c>
      <c r="N44" s="10" t="s">
        <v>419</v>
      </c>
      <c r="O44" s="10" t="s">
        <v>327</v>
      </c>
      <c r="P44" s="10">
        <v>0</v>
      </c>
      <c r="Q44" s="55"/>
      <c r="R44" s="55"/>
    </row>
    <row r="45" spans="1:18" ht="15.6" x14ac:dyDescent="0.3">
      <c r="A45" s="6"/>
      <c r="B45" s="479" t="s">
        <v>1374</v>
      </c>
      <c r="C45" s="480"/>
      <c r="D45" s="480"/>
      <c r="E45" s="480"/>
      <c r="F45" s="480"/>
      <c r="G45" s="480"/>
      <c r="H45" s="480"/>
      <c r="I45" s="480"/>
      <c r="J45" s="480"/>
      <c r="K45" s="480"/>
      <c r="L45" s="480"/>
      <c r="M45" s="480"/>
      <c r="N45" s="480"/>
      <c r="O45" s="480"/>
      <c r="P45" s="480"/>
      <c r="Q45" s="480"/>
      <c r="R45" s="481"/>
    </row>
    <row r="46" spans="1:18" ht="15.6" x14ac:dyDescent="0.3">
      <c r="B46" s="54" t="s">
        <v>1329</v>
      </c>
      <c r="C46" s="10" t="s">
        <v>321</v>
      </c>
      <c r="D46" s="10">
        <v>2</v>
      </c>
      <c r="E46" s="10">
        <f>D46/2</f>
        <v>1</v>
      </c>
      <c r="F46" s="10">
        <v>0</v>
      </c>
      <c r="G46" s="10">
        <v>65535</v>
      </c>
      <c r="H46" s="10">
        <v>1</v>
      </c>
      <c r="I46" s="10">
        <v>1</v>
      </c>
      <c r="J46" s="10" t="s">
        <v>418</v>
      </c>
      <c r="K46" s="10">
        <f>K44+E44</f>
        <v>45289</v>
      </c>
      <c r="L46" s="10">
        <f t="shared" si="0"/>
        <v>5289</v>
      </c>
      <c r="M46" s="10">
        <f t="shared" si="1"/>
        <v>5288</v>
      </c>
      <c r="N46" s="10" t="s">
        <v>419</v>
      </c>
      <c r="O46" s="10" t="s">
        <v>327</v>
      </c>
      <c r="P46" s="10">
        <v>0</v>
      </c>
      <c r="Q46" s="55"/>
      <c r="R46" s="55"/>
    </row>
    <row r="47" spans="1:18" ht="15.6" x14ac:dyDescent="0.3">
      <c r="B47" s="54" t="s">
        <v>1331</v>
      </c>
      <c r="C47" s="10" t="s">
        <v>321</v>
      </c>
      <c r="D47" s="10">
        <v>2</v>
      </c>
      <c r="E47" s="10">
        <f t="shared" ref="E47:E59" si="7">D47/2</f>
        <v>1</v>
      </c>
      <c r="F47" s="10">
        <v>0</v>
      </c>
      <c r="G47" s="10">
        <v>65535</v>
      </c>
      <c r="H47" s="10">
        <v>1</v>
      </c>
      <c r="I47" s="10">
        <v>1</v>
      </c>
      <c r="J47" s="10" t="s">
        <v>418</v>
      </c>
      <c r="K47" s="10">
        <f>K46+E46</f>
        <v>45290</v>
      </c>
      <c r="L47" s="10">
        <f t="shared" si="0"/>
        <v>5290</v>
      </c>
      <c r="M47" s="10">
        <f t="shared" si="1"/>
        <v>5289</v>
      </c>
      <c r="N47" s="10" t="s">
        <v>419</v>
      </c>
      <c r="O47" s="10" t="s">
        <v>327</v>
      </c>
      <c r="P47" s="10">
        <v>0</v>
      </c>
      <c r="Q47" s="55"/>
      <c r="R47" s="55"/>
    </row>
    <row r="48" spans="1:18" ht="15.6" x14ac:dyDescent="0.3">
      <c r="B48" s="54" t="s">
        <v>1375</v>
      </c>
      <c r="C48" s="10" t="s">
        <v>321</v>
      </c>
      <c r="D48" s="10">
        <v>2</v>
      </c>
      <c r="E48" s="10">
        <f t="shared" si="7"/>
        <v>1</v>
      </c>
      <c r="F48" s="10">
        <v>0</v>
      </c>
      <c r="G48" s="10">
        <v>65535</v>
      </c>
      <c r="H48" s="10">
        <v>1</v>
      </c>
      <c r="I48" s="10">
        <v>1</v>
      </c>
      <c r="J48" s="10" t="s">
        <v>418</v>
      </c>
      <c r="K48" s="10">
        <f t="shared" ref="K48:K59" si="8">K47+E47</f>
        <v>45291</v>
      </c>
      <c r="L48" s="10">
        <f t="shared" si="0"/>
        <v>5291</v>
      </c>
      <c r="M48" s="10">
        <f t="shared" si="1"/>
        <v>5290</v>
      </c>
      <c r="N48" s="10" t="s">
        <v>419</v>
      </c>
      <c r="O48" s="10" t="s">
        <v>327</v>
      </c>
      <c r="P48" s="10">
        <v>0</v>
      </c>
      <c r="Q48" s="55"/>
      <c r="R48" s="55"/>
    </row>
    <row r="49" spans="2:18" ht="15.6" x14ac:dyDescent="0.3">
      <c r="B49" s="54" t="s">
        <v>1376</v>
      </c>
      <c r="C49" s="10" t="s">
        <v>321</v>
      </c>
      <c r="D49" s="10">
        <v>2</v>
      </c>
      <c r="E49" s="10">
        <f t="shared" si="7"/>
        <v>1</v>
      </c>
      <c r="F49" s="10">
        <v>0</v>
      </c>
      <c r="G49" s="10">
        <v>65535</v>
      </c>
      <c r="H49" s="10">
        <v>1</v>
      </c>
      <c r="I49" s="10">
        <v>1</v>
      </c>
      <c r="J49" s="10" t="s">
        <v>418</v>
      </c>
      <c r="K49" s="10">
        <f t="shared" si="8"/>
        <v>45292</v>
      </c>
      <c r="L49" s="10">
        <f t="shared" si="0"/>
        <v>5292</v>
      </c>
      <c r="M49" s="10">
        <f t="shared" si="1"/>
        <v>5291</v>
      </c>
      <c r="N49" s="10" t="s">
        <v>419</v>
      </c>
      <c r="O49" s="10" t="s">
        <v>327</v>
      </c>
      <c r="P49" s="10">
        <v>0</v>
      </c>
      <c r="Q49" s="55"/>
      <c r="R49" s="55"/>
    </row>
    <row r="50" spans="2:18" ht="15.6" x14ac:dyDescent="0.3">
      <c r="B50" s="54" t="s">
        <v>1377</v>
      </c>
      <c r="C50" s="10" t="s">
        <v>321</v>
      </c>
      <c r="D50" s="10">
        <v>2</v>
      </c>
      <c r="E50" s="10">
        <f t="shared" si="7"/>
        <v>1</v>
      </c>
      <c r="F50" s="10">
        <v>0</v>
      </c>
      <c r="G50" s="10">
        <v>65535</v>
      </c>
      <c r="H50" s="10">
        <v>1</v>
      </c>
      <c r="I50" s="10">
        <v>1</v>
      </c>
      <c r="J50" s="10" t="s">
        <v>418</v>
      </c>
      <c r="K50" s="10">
        <f t="shared" si="8"/>
        <v>45293</v>
      </c>
      <c r="L50" s="10">
        <f t="shared" si="0"/>
        <v>5293</v>
      </c>
      <c r="M50" s="10">
        <f t="shared" si="1"/>
        <v>5292</v>
      </c>
      <c r="N50" s="10" t="s">
        <v>419</v>
      </c>
      <c r="O50" s="10" t="s">
        <v>327</v>
      </c>
      <c r="P50" s="10">
        <v>0</v>
      </c>
      <c r="Q50" s="55"/>
      <c r="R50" s="55"/>
    </row>
    <row r="51" spans="2:18" ht="15.6" x14ac:dyDescent="0.3">
      <c r="B51" s="54" t="s">
        <v>1378</v>
      </c>
      <c r="C51" s="10" t="s">
        <v>326</v>
      </c>
      <c r="D51" s="10">
        <v>4</v>
      </c>
      <c r="E51" s="10">
        <f t="shared" si="7"/>
        <v>2</v>
      </c>
      <c r="F51" s="10">
        <v>0</v>
      </c>
      <c r="G51" s="10">
        <v>4294967295</v>
      </c>
      <c r="H51" s="10">
        <v>1</v>
      </c>
      <c r="I51" s="10">
        <v>1</v>
      </c>
      <c r="J51" s="10" t="s">
        <v>418</v>
      </c>
      <c r="K51" s="10">
        <f t="shared" si="8"/>
        <v>45294</v>
      </c>
      <c r="L51" s="10">
        <f t="shared" si="0"/>
        <v>5294</v>
      </c>
      <c r="M51" s="10">
        <f t="shared" si="1"/>
        <v>5293</v>
      </c>
      <c r="N51" s="10" t="s">
        <v>419</v>
      </c>
      <c r="O51" s="10" t="s">
        <v>327</v>
      </c>
      <c r="P51" s="10">
        <v>0</v>
      </c>
      <c r="Q51" s="55"/>
      <c r="R51" s="55"/>
    </row>
    <row r="52" spans="2:18" ht="15.6" x14ac:dyDescent="0.3">
      <c r="B52" s="54" t="s">
        <v>1379</v>
      </c>
      <c r="C52" s="10" t="s">
        <v>326</v>
      </c>
      <c r="D52" s="10">
        <v>4</v>
      </c>
      <c r="E52" s="10">
        <f t="shared" si="7"/>
        <v>2</v>
      </c>
      <c r="F52" s="10">
        <v>0</v>
      </c>
      <c r="G52" s="10">
        <v>4294967295</v>
      </c>
      <c r="H52" s="10">
        <v>1</v>
      </c>
      <c r="I52" s="10">
        <v>1</v>
      </c>
      <c r="J52" s="10" t="s">
        <v>418</v>
      </c>
      <c r="K52" s="10">
        <f t="shared" si="8"/>
        <v>45296</v>
      </c>
      <c r="L52" s="10">
        <f t="shared" si="0"/>
        <v>5296</v>
      </c>
      <c r="M52" s="10">
        <f t="shared" si="1"/>
        <v>5295</v>
      </c>
      <c r="N52" s="10" t="s">
        <v>419</v>
      </c>
      <c r="O52" s="10" t="s">
        <v>327</v>
      </c>
      <c r="P52" s="10">
        <v>0</v>
      </c>
      <c r="Q52" s="55"/>
      <c r="R52" s="55"/>
    </row>
    <row r="53" spans="2:18" ht="15.6" x14ac:dyDescent="0.3">
      <c r="B53" s="54" t="s">
        <v>1337</v>
      </c>
      <c r="C53" s="10" t="s">
        <v>321</v>
      </c>
      <c r="D53" s="10">
        <v>2</v>
      </c>
      <c r="E53" s="10">
        <f t="shared" si="7"/>
        <v>1</v>
      </c>
      <c r="F53" s="10">
        <v>0</v>
      </c>
      <c r="G53" s="10">
        <v>65535</v>
      </c>
      <c r="H53" s="10">
        <v>1</v>
      </c>
      <c r="I53" s="10">
        <v>1</v>
      </c>
      <c r="J53" s="10" t="s">
        <v>418</v>
      </c>
      <c r="K53" s="10">
        <f t="shared" si="8"/>
        <v>45298</v>
      </c>
      <c r="L53" s="10">
        <f t="shared" si="0"/>
        <v>5298</v>
      </c>
      <c r="M53" s="10">
        <f t="shared" si="1"/>
        <v>5297</v>
      </c>
      <c r="N53" s="10" t="s">
        <v>419</v>
      </c>
      <c r="O53" s="10" t="s">
        <v>327</v>
      </c>
      <c r="P53" s="10">
        <v>0</v>
      </c>
      <c r="Q53" s="55"/>
      <c r="R53" s="55"/>
    </row>
    <row r="54" spans="2:18" ht="15.6" x14ac:dyDescent="0.3">
      <c r="B54" s="54" t="s">
        <v>1338</v>
      </c>
      <c r="C54" s="10" t="s">
        <v>321</v>
      </c>
      <c r="D54" s="10">
        <v>2</v>
      </c>
      <c r="E54" s="10">
        <f t="shared" si="7"/>
        <v>1</v>
      </c>
      <c r="F54" s="10">
        <v>0</v>
      </c>
      <c r="G54" s="10">
        <v>65535</v>
      </c>
      <c r="H54" s="10">
        <v>1</v>
      </c>
      <c r="I54" s="10">
        <v>1</v>
      </c>
      <c r="J54" s="10" t="s">
        <v>418</v>
      </c>
      <c r="K54" s="10">
        <f t="shared" si="8"/>
        <v>45299</v>
      </c>
      <c r="L54" s="10">
        <f t="shared" si="0"/>
        <v>5299</v>
      </c>
      <c r="M54" s="10">
        <f t="shared" si="1"/>
        <v>5298</v>
      </c>
      <c r="N54" s="10" t="s">
        <v>419</v>
      </c>
      <c r="O54" s="10" t="s">
        <v>327</v>
      </c>
      <c r="P54" s="10">
        <v>0</v>
      </c>
      <c r="Q54" s="55"/>
      <c r="R54" s="55"/>
    </row>
    <row r="55" spans="2:18" ht="15.6" x14ac:dyDescent="0.3">
      <c r="B55" s="54" t="s">
        <v>1349</v>
      </c>
      <c r="C55" s="10" t="s">
        <v>321</v>
      </c>
      <c r="D55" s="10">
        <v>2</v>
      </c>
      <c r="E55" s="10">
        <f t="shared" si="7"/>
        <v>1</v>
      </c>
      <c r="F55" s="10">
        <v>0</v>
      </c>
      <c r="G55" s="10">
        <v>65535</v>
      </c>
      <c r="H55" s="10">
        <v>1</v>
      </c>
      <c r="I55" s="10">
        <v>1</v>
      </c>
      <c r="J55" s="10" t="s">
        <v>418</v>
      </c>
      <c r="K55" s="10">
        <f t="shared" si="8"/>
        <v>45300</v>
      </c>
      <c r="L55" s="10">
        <f t="shared" si="0"/>
        <v>5300</v>
      </c>
      <c r="M55" s="10">
        <f t="shared" si="1"/>
        <v>5299</v>
      </c>
      <c r="N55" s="10" t="s">
        <v>419</v>
      </c>
      <c r="O55" s="10" t="s">
        <v>327</v>
      </c>
      <c r="P55" s="10">
        <v>0</v>
      </c>
      <c r="Q55" s="55"/>
      <c r="R55" s="55"/>
    </row>
    <row r="56" spans="2:18" ht="15.6" x14ac:dyDescent="0.3">
      <c r="B56" s="54" t="s">
        <v>1380</v>
      </c>
      <c r="C56" s="10" t="s">
        <v>321</v>
      </c>
      <c r="D56" s="10">
        <v>2</v>
      </c>
      <c r="E56" s="10">
        <f t="shared" si="7"/>
        <v>1</v>
      </c>
      <c r="F56" s="10">
        <v>0</v>
      </c>
      <c r="G56" s="10">
        <v>65535</v>
      </c>
      <c r="H56" s="10">
        <v>1</v>
      </c>
      <c r="I56" s="10">
        <v>1</v>
      </c>
      <c r="J56" s="10" t="s">
        <v>418</v>
      </c>
      <c r="K56" s="10">
        <f t="shared" si="8"/>
        <v>45301</v>
      </c>
      <c r="L56" s="10">
        <f t="shared" si="0"/>
        <v>5301</v>
      </c>
      <c r="M56" s="10">
        <f t="shared" si="1"/>
        <v>5300</v>
      </c>
      <c r="N56" s="10" t="s">
        <v>419</v>
      </c>
      <c r="O56" s="10" t="s">
        <v>327</v>
      </c>
      <c r="P56" s="10">
        <v>0</v>
      </c>
      <c r="Q56" s="55"/>
      <c r="R56" s="55"/>
    </row>
    <row r="57" spans="2:18" ht="15.6" x14ac:dyDescent="0.3">
      <c r="B57" s="54" t="s">
        <v>1381</v>
      </c>
      <c r="C57" s="10" t="s">
        <v>321</v>
      </c>
      <c r="D57" s="10">
        <v>2</v>
      </c>
      <c r="E57" s="10">
        <f t="shared" si="7"/>
        <v>1</v>
      </c>
      <c r="F57" s="10">
        <v>0</v>
      </c>
      <c r="G57" s="10">
        <v>65535</v>
      </c>
      <c r="H57" s="10">
        <v>1</v>
      </c>
      <c r="I57" s="10">
        <v>1</v>
      </c>
      <c r="J57" s="10" t="s">
        <v>418</v>
      </c>
      <c r="K57" s="10">
        <f t="shared" si="8"/>
        <v>45302</v>
      </c>
      <c r="L57" s="10">
        <f t="shared" si="0"/>
        <v>5302</v>
      </c>
      <c r="M57" s="10">
        <f t="shared" si="1"/>
        <v>5301</v>
      </c>
      <c r="N57" s="10" t="s">
        <v>419</v>
      </c>
      <c r="O57" s="10" t="s">
        <v>327</v>
      </c>
      <c r="P57" s="10">
        <v>0</v>
      </c>
      <c r="Q57" s="55"/>
      <c r="R57" s="55"/>
    </row>
    <row r="58" spans="2:18" ht="15.6" x14ac:dyDescent="0.3">
      <c r="B58" s="54" t="s">
        <v>1382</v>
      </c>
      <c r="C58" s="10" t="s">
        <v>326</v>
      </c>
      <c r="D58" s="10">
        <v>4</v>
      </c>
      <c r="E58" s="10">
        <f t="shared" si="7"/>
        <v>2</v>
      </c>
      <c r="F58" s="10">
        <v>0</v>
      </c>
      <c r="G58" s="10">
        <v>4294967295</v>
      </c>
      <c r="H58" s="10">
        <v>1</v>
      </c>
      <c r="I58" s="10">
        <v>1</v>
      </c>
      <c r="J58" s="10" t="s">
        <v>418</v>
      </c>
      <c r="K58" s="10">
        <f t="shared" si="8"/>
        <v>45303</v>
      </c>
      <c r="L58" s="10">
        <f t="shared" si="0"/>
        <v>5303</v>
      </c>
      <c r="M58" s="10">
        <f t="shared" si="1"/>
        <v>5302</v>
      </c>
      <c r="N58" s="10" t="s">
        <v>419</v>
      </c>
      <c r="O58" s="10" t="s">
        <v>327</v>
      </c>
      <c r="P58" s="10">
        <v>0</v>
      </c>
      <c r="Q58" s="55"/>
      <c r="R58" s="55"/>
    </row>
    <row r="59" spans="2:18" ht="15.6" x14ac:dyDescent="0.3">
      <c r="B59" s="54" t="s">
        <v>1383</v>
      </c>
      <c r="C59" s="10" t="s">
        <v>326</v>
      </c>
      <c r="D59" s="10">
        <v>4</v>
      </c>
      <c r="E59" s="10">
        <f t="shared" si="7"/>
        <v>2</v>
      </c>
      <c r="F59" s="10">
        <v>0</v>
      </c>
      <c r="G59" s="10">
        <v>4294967295</v>
      </c>
      <c r="H59" s="10">
        <v>1</v>
      </c>
      <c r="I59" s="10">
        <v>1</v>
      </c>
      <c r="J59" s="10" t="s">
        <v>418</v>
      </c>
      <c r="K59" s="10">
        <f t="shared" si="8"/>
        <v>45305</v>
      </c>
      <c r="L59" s="10">
        <f t="shared" si="0"/>
        <v>5305</v>
      </c>
      <c r="M59" s="10">
        <f t="shared" si="1"/>
        <v>5304</v>
      </c>
      <c r="N59" s="10" t="s">
        <v>419</v>
      </c>
      <c r="O59" s="10" t="s">
        <v>327</v>
      </c>
      <c r="P59" s="10">
        <v>0</v>
      </c>
      <c r="Q59" s="55"/>
      <c r="R59" s="55"/>
    </row>
    <row r="60" spans="2:18" ht="15.6" x14ac:dyDescent="0.3">
      <c r="B60" s="479" t="s">
        <v>1384</v>
      </c>
      <c r="C60" s="480"/>
      <c r="D60" s="480"/>
      <c r="E60" s="480"/>
      <c r="F60" s="480"/>
      <c r="G60" s="480"/>
      <c r="H60" s="480"/>
      <c r="I60" s="480"/>
      <c r="J60" s="480"/>
      <c r="K60" s="480"/>
      <c r="L60" s="480"/>
      <c r="M60" s="480"/>
      <c r="N60" s="480"/>
      <c r="O60" s="480"/>
      <c r="P60" s="480"/>
      <c r="Q60" s="480"/>
      <c r="R60" s="481"/>
    </row>
    <row r="61" spans="2:18" ht="15.6" x14ac:dyDescent="0.3">
      <c r="B61" s="54" t="s">
        <v>1329</v>
      </c>
      <c r="C61" s="10" t="s">
        <v>321</v>
      </c>
      <c r="D61" s="10">
        <v>2</v>
      </c>
      <c r="E61" s="10">
        <f>D61/2</f>
        <v>1</v>
      </c>
      <c r="F61" s="10">
        <v>0</v>
      </c>
      <c r="G61" s="10">
        <v>65535</v>
      </c>
      <c r="H61" s="10">
        <v>1</v>
      </c>
      <c r="I61" s="10">
        <v>1</v>
      </c>
      <c r="J61" s="10" t="s">
        <v>418</v>
      </c>
      <c r="K61" s="10">
        <f>K59+E59</f>
        <v>45307</v>
      </c>
      <c r="L61" s="10">
        <f t="shared" si="0"/>
        <v>5307</v>
      </c>
      <c r="M61" s="10">
        <f t="shared" si="1"/>
        <v>5306</v>
      </c>
      <c r="N61" s="10" t="s">
        <v>419</v>
      </c>
      <c r="O61" s="10" t="s">
        <v>327</v>
      </c>
      <c r="P61" s="10">
        <v>0</v>
      </c>
      <c r="Q61" s="55"/>
      <c r="R61" s="55"/>
    </row>
    <row r="62" spans="2:18" ht="15.6" x14ac:dyDescent="0.3">
      <c r="B62" s="54" t="s">
        <v>1331</v>
      </c>
      <c r="C62" s="10" t="s">
        <v>321</v>
      </c>
      <c r="D62" s="10">
        <v>2</v>
      </c>
      <c r="E62" s="10">
        <f t="shared" ref="E62:E129" si="9">D62/2</f>
        <v>1</v>
      </c>
      <c r="F62" s="10">
        <v>0</v>
      </c>
      <c r="G62" s="10">
        <v>65535</v>
      </c>
      <c r="H62" s="10">
        <v>1</v>
      </c>
      <c r="I62" s="10">
        <v>1</v>
      </c>
      <c r="J62" s="10" t="s">
        <v>418</v>
      </c>
      <c r="K62" s="10">
        <f t="shared" ref="K62:K129" si="10">K61+E61</f>
        <v>45308</v>
      </c>
      <c r="L62" s="10">
        <f t="shared" si="0"/>
        <v>5308</v>
      </c>
      <c r="M62" s="10">
        <f t="shared" si="1"/>
        <v>5307</v>
      </c>
      <c r="N62" s="10" t="s">
        <v>419</v>
      </c>
      <c r="O62" s="10" t="s">
        <v>327</v>
      </c>
      <c r="P62" s="10">
        <v>0</v>
      </c>
      <c r="Q62" s="55"/>
      <c r="R62" s="55"/>
    </row>
    <row r="63" spans="2:18" ht="15.6" x14ac:dyDescent="0.3">
      <c r="B63" s="54" t="s">
        <v>1375</v>
      </c>
      <c r="C63" s="10" t="s">
        <v>321</v>
      </c>
      <c r="D63" s="10">
        <v>2</v>
      </c>
      <c r="E63" s="10">
        <f t="shared" si="9"/>
        <v>1</v>
      </c>
      <c r="F63" s="10">
        <v>0</v>
      </c>
      <c r="G63" s="10">
        <v>65535</v>
      </c>
      <c r="H63" s="10">
        <v>1</v>
      </c>
      <c r="I63" s="10">
        <v>1</v>
      </c>
      <c r="J63" s="10" t="s">
        <v>418</v>
      </c>
      <c r="K63" s="10">
        <f t="shared" si="10"/>
        <v>45309</v>
      </c>
      <c r="L63" s="10">
        <f t="shared" si="0"/>
        <v>5309</v>
      </c>
      <c r="M63" s="10">
        <f t="shared" si="1"/>
        <v>5308</v>
      </c>
      <c r="N63" s="10" t="s">
        <v>419</v>
      </c>
      <c r="O63" s="10" t="s">
        <v>327</v>
      </c>
      <c r="P63" s="10">
        <v>0</v>
      </c>
      <c r="Q63" s="55"/>
      <c r="R63" s="55"/>
    </row>
    <row r="64" spans="2:18" ht="15.6" x14ac:dyDescent="0.3">
      <c r="B64" s="54" t="s">
        <v>1376</v>
      </c>
      <c r="C64" s="10" t="s">
        <v>321</v>
      </c>
      <c r="D64" s="10">
        <v>2</v>
      </c>
      <c r="E64" s="10">
        <f t="shared" si="9"/>
        <v>1</v>
      </c>
      <c r="F64" s="10">
        <v>0</v>
      </c>
      <c r="G64" s="10">
        <v>65535</v>
      </c>
      <c r="H64" s="10">
        <v>1</v>
      </c>
      <c r="I64" s="10">
        <v>1</v>
      </c>
      <c r="J64" s="10" t="s">
        <v>418</v>
      </c>
      <c r="K64" s="10">
        <f t="shared" si="10"/>
        <v>45310</v>
      </c>
      <c r="L64" s="10">
        <f t="shared" si="0"/>
        <v>5310</v>
      </c>
      <c r="M64" s="10">
        <f t="shared" si="1"/>
        <v>5309</v>
      </c>
      <c r="N64" s="10" t="s">
        <v>419</v>
      </c>
      <c r="O64" s="10" t="s">
        <v>327</v>
      </c>
      <c r="P64" s="10">
        <v>0</v>
      </c>
      <c r="Q64" s="55"/>
      <c r="R64" s="55"/>
    </row>
    <row r="65" spans="2:18" ht="15.6" x14ac:dyDescent="0.3">
      <c r="B65" s="54" t="s">
        <v>1378</v>
      </c>
      <c r="C65" s="10" t="s">
        <v>321</v>
      </c>
      <c r="D65" s="10">
        <v>2</v>
      </c>
      <c r="E65" s="10">
        <f t="shared" si="9"/>
        <v>1</v>
      </c>
      <c r="F65" s="10">
        <v>0</v>
      </c>
      <c r="G65" s="10">
        <v>65535</v>
      </c>
      <c r="H65" s="10">
        <v>1</v>
      </c>
      <c r="I65" s="10">
        <v>1</v>
      </c>
      <c r="J65" s="10" t="s">
        <v>418</v>
      </c>
      <c r="K65" s="10">
        <f t="shared" si="10"/>
        <v>45311</v>
      </c>
      <c r="L65" s="10">
        <f t="shared" si="0"/>
        <v>5311</v>
      </c>
      <c r="M65" s="10">
        <f t="shared" si="1"/>
        <v>5310</v>
      </c>
      <c r="N65" s="10" t="s">
        <v>419</v>
      </c>
      <c r="O65" s="10" t="s">
        <v>327</v>
      </c>
      <c r="P65" s="10">
        <v>0</v>
      </c>
      <c r="Q65" s="55"/>
      <c r="R65" s="55"/>
    </row>
    <row r="66" spans="2:18" ht="15.6" x14ac:dyDescent="0.3">
      <c r="B66" s="54" t="s">
        <v>1337</v>
      </c>
      <c r="C66" s="10" t="s">
        <v>321</v>
      </c>
      <c r="D66" s="10">
        <v>2</v>
      </c>
      <c r="E66" s="10">
        <f t="shared" si="9"/>
        <v>1</v>
      </c>
      <c r="F66" s="10">
        <v>0</v>
      </c>
      <c r="G66" s="10">
        <v>65535</v>
      </c>
      <c r="H66" s="10">
        <v>1</v>
      </c>
      <c r="I66" s="10">
        <v>1</v>
      </c>
      <c r="J66" s="10" t="s">
        <v>418</v>
      </c>
      <c r="K66" s="10">
        <f t="shared" si="10"/>
        <v>45312</v>
      </c>
      <c r="L66" s="10">
        <f t="shared" si="0"/>
        <v>5312</v>
      </c>
      <c r="M66" s="10">
        <f t="shared" si="1"/>
        <v>5311</v>
      </c>
      <c r="N66" s="10" t="s">
        <v>419</v>
      </c>
      <c r="O66" s="10" t="s">
        <v>327</v>
      </c>
      <c r="P66" s="10">
        <v>0</v>
      </c>
      <c r="Q66" s="55"/>
      <c r="R66" s="55"/>
    </row>
    <row r="67" spans="2:18" ht="15.6" x14ac:dyDescent="0.3">
      <c r="B67" s="54" t="s">
        <v>1338</v>
      </c>
      <c r="C67" s="10" t="s">
        <v>321</v>
      </c>
      <c r="D67" s="10">
        <v>2</v>
      </c>
      <c r="E67" s="10">
        <f t="shared" si="9"/>
        <v>1</v>
      </c>
      <c r="F67" s="10">
        <v>0</v>
      </c>
      <c r="G67" s="10">
        <v>65535</v>
      </c>
      <c r="H67" s="10">
        <v>1</v>
      </c>
      <c r="I67" s="10">
        <v>1</v>
      </c>
      <c r="J67" s="10" t="s">
        <v>418</v>
      </c>
      <c r="K67" s="10">
        <f t="shared" si="10"/>
        <v>45313</v>
      </c>
      <c r="L67" s="10">
        <f t="shared" si="0"/>
        <v>5313</v>
      </c>
      <c r="M67" s="10">
        <f t="shared" si="1"/>
        <v>5312</v>
      </c>
      <c r="N67" s="10" t="s">
        <v>419</v>
      </c>
      <c r="O67" s="10" t="s">
        <v>327</v>
      </c>
      <c r="P67" s="10">
        <v>0</v>
      </c>
      <c r="Q67" s="55"/>
      <c r="R67" s="55"/>
    </row>
    <row r="68" spans="2:18" ht="15.6" x14ac:dyDescent="0.3">
      <c r="B68" s="54" t="s">
        <v>1349</v>
      </c>
      <c r="C68" s="10" t="s">
        <v>321</v>
      </c>
      <c r="D68" s="10">
        <v>2</v>
      </c>
      <c r="E68" s="10">
        <f t="shared" si="9"/>
        <v>1</v>
      </c>
      <c r="F68" s="10">
        <v>0</v>
      </c>
      <c r="G68" s="10">
        <v>65535</v>
      </c>
      <c r="H68" s="10">
        <v>1</v>
      </c>
      <c r="I68" s="10">
        <v>1</v>
      </c>
      <c r="J68" s="10" t="s">
        <v>418</v>
      </c>
      <c r="K68" s="10">
        <f t="shared" si="10"/>
        <v>45314</v>
      </c>
      <c r="L68" s="10">
        <f t="shared" si="0"/>
        <v>5314</v>
      </c>
      <c r="M68" s="10">
        <f t="shared" si="1"/>
        <v>5313</v>
      </c>
      <c r="N68" s="10" t="s">
        <v>419</v>
      </c>
      <c r="O68" s="10" t="s">
        <v>327</v>
      </c>
      <c r="P68" s="10">
        <v>0</v>
      </c>
      <c r="Q68" s="55"/>
      <c r="R68" s="55"/>
    </row>
    <row r="69" spans="2:18" ht="15.6" x14ac:dyDescent="0.3">
      <c r="B69" s="54" t="s">
        <v>1380</v>
      </c>
      <c r="C69" s="10" t="s">
        <v>321</v>
      </c>
      <c r="D69" s="10">
        <v>2</v>
      </c>
      <c r="E69" s="10">
        <f t="shared" si="9"/>
        <v>1</v>
      </c>
      <c r="F69" s="10">
        <v>0</v>
      </c>
      <c r="G69" s="10">
        <v>65535</v>
      </c>
      <c r="H69" s="10">
        <v>1</v>
      </c>
      <c r="I69" s="10">
        <v>1</v>
      </c>
      <c r="J69" s="10" t="s">
        <v>418</v>
      </c>
      <c r="K69" s="10">
        <f t="shared" si="10"/>
        <v>45315</v>
      </c>
      <c r="L69" s="10">
        <f t="shared" si="0"/>
        <v>5315</v>
      </c>
      <c r="M69" s="10">
        <f t="shared" si="1"/>
        <v>5314</v>
      </c>
      <c r="N69" s="10" t="s">
        <v>419</v>
      </c>
      <c r="O69" s="10" t="s">
        <v>327</v>
      </c>
      <c r="P69" s="10">
        <v>0</v>
      </c>
      <c r="Q69" s="55"/>
      <c r="R69" s="55"/>
    </row>
    <row r="70" spans="2:18" ht="15.6" x14ac:dyDescent="0.3">
      <c r="B70" s="54" t="s">
        <v>1382</v>
      </c>
      <c r="C70" s="10" t="s">
        <v>321</v>
      </c>
      <c r="D70" s="10">
        <v>2</v>
      </c>
      <c r="E70" s="10">
        <f t="shared" si="9"/>
        <v>1</v>
      </c>
      <c r="F70" s="10">
        <v>0</v>
      </c>
      <c r="G70" s="10">
        <v>65535</v>
      </c>
      <c r="H70" s="10">
        <v>1</v>
      </c>
      <c r="I70" s="10">
        <v>1</v>
      </c>
      <c r="J70" s="10" t="s">
        <v>418</v>
      </c>
      <c r="K70" s="10">
        <f t="shared" si="10"/>
        <v>45316</v>
      </c>
      <c r="L70" s="10">
        <f t="shared" ref="L70:L133" si="11">K70-40000</f>
        <v>5316</v>
      </c>
      <c r="M70" s="10">
        <f t="shared" ref="M70:M133" si="12">L70-1</f>
        <v>5315</v>
      </c>
      <c r="N70" s="10" t="s">
        <v>419</v>
      </c>
      <c r="O70" s="10" t="s">
        <v>327</v>
      </c>
      <c r="P70" s="10">
        <v>0</v>
      </c>
      <c r="Q70" s="55"/>
      <c r="R70" s="55"/>
    </row>
    <row r="71" spans="2:18" ht="15.6" x14ac:dyDescent="0.3">
      <c r="B71" s="54" t="s">
        <v>1350</v>
      </c>
      <c r="C71" s="10" t="s">
        <v>321</v>
      </c>
      <c r="D71" s="10">
        <v>2</v>
      </c>
      <c r="E71" s="10">
        <f t="shared" si="9"/>
        <v>1</v>
      </c>
      <c r="F71" s="10">
        <v>0</v>
      </c>
      <c r="G71" s="10">
        <v>65535</v>
      </c>
      <c r="H71" s="10">
        <v>1</v>
      </c>
      <c r="I71" s="10">
        <v>1</v>
      </c>
      <c r="J71" s="10" t="s">
        <v>418</v>
      </c>
      <c r="K71" s="10">
        <f t="shared" si="10"/>
        <v>45317</v>
      </c>
      <c r="L71" s="10">
        <f t="shared" si="11"/>
        <v>5317</v>
      </c>
      <c r="M71" s="10">
        <f t="shared" si="12"/>
        <v>5316</v>
      </c>
      <c r="N71" s="10" t="s">
        <v>419</v>
      </c>
      <c r="O71" s="10" t="s">
        <v>327</v>
      </c>
      <c r="P71" s="10">
        <v>0</v>
      </c>
      <c r="Q71" s="55"/>
      <c r="R71" s="55"/>
    </row>
    <row r="72" spans="2:18" ht="15.6" x14ac:dyDescent="0.3">
      <c r="B72" s="54" t="s">
        <v>1385</v>
      </c>
      <c r="C72" s="10" t="s">
        <v>321</v>
      </c>
      <c r="D72" s="10">
        <v>2</v>
      </c>
      <c r="E72" s="10">
        <f t="shared" si="9"/>
        <v>1</v>
      </c>
      <c r="F72" s="10">
        <v>0</v>
      </c>
      <c r="G72" s="10">
        <v>65535</v>
      </c>
      <c r="H72" s="10">
        <v>1</v>
      </c>
      <c r="I72" s="10">
        <v>1</v>
      </c>
      <c r="J72" s="10" t="s">
        <v>418</v>
      </c>
      <c r="K72" s="10">
        <f t="shared" si="10"/>
        <v>45318</v>
      </c>
      <c r="L72" s="10">
        <f t="shared" si="11"/>
        <v>5318</v>
      </c>
      <c r="M72" s="10">
        <f t="shared" si="12"/>
        <v>5317</v>
      </c>
      <c r="N72" s="10" t="s">
        <v>419</v>
      </c>
      <c r="O72" s="10" t="s">
        <v>327</v>
      </c>
      <c r="P72" s="10">
        <v>0</v>
      </c>
      <c r="Q72" s="55"/>
      <c r="R72" s="55"/>
    </row>
    <row r="73" spans="2:18" ht="15.6" x14ac:dyDescent="0.3">
      <c r="B73" s="54" t="s">
        <v>1386</v>
      </c>
      <c r="C73" s="10" t="s">
        <v>321</v>
      </c>
      <c r="D73" s="10">
        <v>2</v>
      </c>
      <c r="E73" s="10">
        <f t="shared" si="9"/>
        <v>1</v>
      </c>
      <c r="F73" s="10">
        <v>0</v>
      </c>
      <c r="G73" s="10">
        <v>65535</v>
      </c>
      <c r="H73" s="10">
        <v>1</v>
      </c>
      <c r="I73" s="10">
        <v>1</v>
      </c>
      <c r="J73" s="10" t="s">
        <v>418</v>
      </c>
      <c r="K73" s="10">
        <f t="shared" si="10"/>
        <v>45319</v>
      </c>
      <c r="L73" s="10">
        <f t="shared" si="11"/>
        <v>5319</v>
      </c>
      <c r="M73" s="10">
        <f t="shared" si="12"/>
        <v>5318</v>
      </c>
      <c r="N73" s="10" t="s">
        <v>419</v>
      </c>
      <c r="O73" s="10" t="s">
        <v>327</v>
      </c>
      <c r="P73" s="10">
        <v>0</v>
      </c>
      <c r="Q73" s="55"/>
      <c r="R73" s="55"/>
    </row>
    <row r="74" spans="2:18" ht="15.6" x14ac:dyDescent="0.3">
      <c r="B74" s="54" t="s">
        <v>1387</v>
      </c>
      <c r="C74" s="10" t="s">
        <v>321</v>
      </c>
      <c r="D74" s="10">
        <v>2</v>
      </c>
      <c r="E74" s="10">
        <f t="shared" si="9"/>
        <v>1</v>
      </c>
      <c r="F74" s="10">
        <v>0</v>
      </c>
      <c r="G74" s="10">
        <v>65535</v>
      </c>
      <c r="H74" s="10">
        <v>1</v>
      </c>
      <c r="I74" s="10">
        <v>1</v>
      </c>
      <c r="J74" s="10" t="s">
        <v>418</v>
      </c>
      <c r="K74" s="10">
        <f t="shared" si="10"/>
        <v>45320</v>
      </c>
      <c r="L74" s="10">
        <f t="shared" si="11"/>
        <v>5320</v>
      </c>
      <c r="M74" s="10">
        <f t="shared" si="12"/>
        <v>5319</v>
      </c>
      <c r="N74" s="10" t="s">
        <v>419</v>
      </c>
      <c r="O74" s="10" t="s">
        <v>327</v>
      </c>
      <c r="P74" s="10">
        <v>0</v>
      </c>
      <c r="Q74" s="55"/>
      <c r="R74" s="55"/>
    </row>
    <row r="75" spans="2:18" ht="15.6" x14ac:dyDescent="0.3">
      <c r="B75" s="54" t="s">
        <v>1388</v>
      </c>
      <c r="C75" s="10" t="s">
        <v>321</v>
      </c>
      <c r="D75" s="10">
        <v>2</v>
      </c>
      <c r="E75" s="10">
        <f t="shared" si="9"/>
        <v>1</v>
      </c>
      <c r="F75" s="10">
        <v>0</v>
      </c>
      <c r="G75" s="10">
        <v>65535</v>
      </c>
      <c r="H75" s="10">
        <v>1</v>
      </c>
      <c r="I75" s="10">
        <v>1</v>
      </c>
      <c r="J75" s="10" t="s">
        <v>418</v>
      </c>
      <c r="K75" s="10">
        <f t="shared" si="10"/>
        <v>45321</v>
      </c>
      <c r="L75" s="10">
        <f t="shared" si="11"/>
        <v>5321</v>
      </c>
      <c r="M75" s="10">
        <f t="shared" si="12"/>
        <v>5320</v>
      </c>
      <c r="N75" s="10" t="s">
        <v>419</v>
      </c>
      <c r="O75" s="10" t="s">
        <v>327</v>
      </c>
      <c r="P75" s="10">
        <v>0</v>
      </c>
      <c r="Q75" s="55"/>
      <c r="R75" s="55"/>
    </row>
    <row r="76" spans="2:18" ht="15.6" x14ac:dyDescent="0.3">
      <c r="B76" s="54" t="s">
        <v>1354</v>
      </c>
      <c r="C76" s="10" t="s">
        <v>321</v>
      </c>
      <c r="D76" s="10">
        <v>2</v>
      </c>
      <c r="E76" s="10">
        <f t="shared" si="9"/>
        <v>1</v>
      </c>
      <c r="F76" s="10">
        <v>0</v>
      </c>
      <c r="G76" s="10">
        <v>65535</v>
      </c>
      <c r="H76" s="10">
        <v>1</v>
      </c>
      <c r="I76" s="10">
        <v>1</v>
      </c>
      <c r="J76" s="10" t="s">
        <v>418</v>
      </c>
      <c r="K76" s="10">
        <f t="shared" si="10"/>
        <v>45322</v>
      </c>
      <c r="L76" s="10">
        <f t="shared" si="11"/>
        <v>5322</v>
      </c>
      <c r="M76" s="10">
        <f t="shared" si="12"/>
        <v>5321</v>
      </c>
      <c r="N76" s="10" t="s">
        <v>419</v>
      </c>
      <c r="O76" s="10" t="s">
        <v>327</v>
      </c>
      <c r="P76" s="10">
        <v>0</v>
      </c>
      <c r="Q76" s="55"/>
      <c r="R76" s="55"/>
    </row>
    <row r="77" spans="2:18" ht="15.6" x14ac:dyDescent="0.3">
      <c r="B77" s="54" t="s">
        <v>1389</v>
      </c>
      <c r="C77" s="10" t="s">
        <v>321</v>
      </c>
      <c r="D77" s="10">
        <v>2</v>
      </c>
      <c r="E77" s="10">
        <f t="shared" si="9"/>
        <v>1</v>
      </c>
      <c r="F77" s="10">
        <v>0</v>
      </c>
      <c r="G77" s="10">
        <v>65535</v>
      </c>
      <c r="H77" s="10">
        <v>1</v>
      </c>
      <c r="I77" s="10">
        <v>1</v>
      </c>
      <c r="J77" s="10" t="s">
        <v>418</v>
      </c>
      <c r="K77" s="10">
        <f t="shared" si="10"/>
        <v>45323</v>
      </c>
      <c r="L77" s="10">
        <f t="shared" si="11"/>
        <v>5323</v>
      </c>
      <c r="M77" s="10">
        <f t="shared" si="12"/>
        <v>5322</v>
      </c>
      <c r="N77" s="10" t="s">
        <v>419</v>
      </c>
      <c r="O77" s="10" t="s">
        <v>327</v>
      </c>
      <c r="P77" s="10">
        <v>0</v>
      </c>
      <c r="Q77" s="55"/>
      <c r="R77" s="55"/>
    </row>
    <row r="78" spans="2:18" ht="15.6" x14ac:dyDescent="0.3">
      <c r="B78" s="54" t="s">
        <v>1390</v>
      </c>
      <c r="C78" s="10" t="s">
        <v>321</v>
      </c>
      <c r="D78" s="10">
        <v>2</v>
      </c>
      <c r="E78" s="10">
        <f t="shared" si="9"/>
        <v>1</v>
      </c>
      <c r="F78" s="10">
        <v>0</v>
      </c>
      <c r="G78" s="10">
        <v>65535</v>
      </c>
      <c r="H78" s="10">
        <v>1</v>
      </c>
      <c r="I78" s="10">
        <v>1</v>
      </c>
      <c r="J78" s="10" t="s">
        <v>418</v>
      </c>
      <c r="K78" s="10">
        <f t="shared" si="10"/>
        <v>45324</v>
      </c>
      <c r="L78" s="10">
        <f t="shared" si="11"/>
        <v>5324</v>
      </c>
      <c r="M78" s="10">
        <f t="shared" si="12"/>
        <v>5323</v>
      </c>
      <c r="N78" s="10" t="s">
        <v>419</v>
      </c>
      <c r="O78" s="10" t="s">
        <v>327</v>
      </c>
      <c r="P78" s="10">
        <v>0</v>
      </c>
      <c r="Q78" s="55"/>
      <c r="R78" s="55"/>
    </row>
    <row r="79" spans="2:18" ht="15.6" x14ac:dyDescent="0.3">
      <c r="B79" s="54" t="s">
        <v>1391</v>
      </c>
      <c r="C79" s="10" t="s">
        <v>321</v>
      </c>
      <c r="D79" s="10">
        <v>2</v>
      </c>
      <c r="E79" s="10">
        <f t="shared" si="9"/>
        <v>1</v>
      </c>
      <c r="F79" s="10">
        <v>0</v>
      </c>
      <c r="G79" s="10">
        <v>65535</v>
      </c>
      <c r="H79" s="10">
        <v>1</v>
      </c>
      <c r="I79" s="10">
        <v>1</v>
      </c>
      <c r="J79" s="10" t="s">
        <v>418</v>
      </c>
      <c r="K79" s="10">
        <f t="shared" si="10"/>
        <v>45325</v>
      </c>
      <c r="L79" s="10">
        <f t="shared" si="11"/>
        <v>5325</v>
      </c>
      <c r="M79" s="10">
        <f t="shared" si="12"/>
        <v>5324</v>
      </c>
      <c r="N79" s="10" t="s">
        <v>419</v>
      </c>
      <c r="O79" s="10" t="s">
        <v>327</v>
      </c>
      <c r="P79" s="10">
        <v>0</v>
      </c>
      <c r="Q79" s="55"/>
      <c r="R79" s="55"/>
    </row>
    <row r="80" spans="2:18" ht="15.6" x14ac:dyDescent="0.3">
      <c r="B80" s="54" t="s">
        <v>1392</v>
      </c>
      <c r="C80" s="10" t="s">
        <v>321</v>
      </c>
      <c r="D80" s="10">
        <v>2</v>
      </c>
      <c r="E80" s="10">
        <f t="shared" si="9"/>
        <v>1</v>
      </c>
      <c r="F80" s="10">
        <v>0</v>
      </c>
      <c r="G80" s="10">
        <v>65535</v>
      </c>
      <c r="H80" s="10">
        <v>1</v>
      </c>
      <c r="I80" s="10">
        <v>1</v>
      </c>
      <c r="J80" s="10" t="s">
        <v>418</v>
      </c>
      <c r="K80" s="10">
        <f t="shared" si="10"/>
        <v>45326</v>
      </c>
      <c r="L80" s="10">
        <f t="shared" si="11"/>
        <v>5326</v>
      </c>
      <c r="M80" s="10">
        <f t="shared" si="12"/>
        <v>5325</v>
      </c>
      <c r="N80" s="10" t="s">
        <v>419</v>
      </c>
      <c r="O80" s="10" t="s">
        <v>327</v>
      </c>
      <c r="P80" s="10">
        <v>0</v>
      </c>
      <c r="Q80" s="55"/>
      <c r="R80" s="55"/>
    </row>
    <row r="81" spans="2:18" ht="15.6" x14ac:dyDescent="0.3">
      <c r="B81" s="54" t="s">
        <v>1358</v>
      </c>
      <c r="C81" s="10" t="s">
        <v>321</v>
      </c>
      <c r="D81" s="10">
        <v>2</v>
      </c>
      <c r="E81" s="10">
        <f t="shared" si="9"/>
        <v>1</v>
      </c>
      <c r="F81" s="10">
        <v>0</v>
      </c>
      <c r="G81" s="10">
        <v>65535</v>
      </c>
      <c r="H81" s="10">
        <v>1</v>
      </c>
      <c r="I81" s="10">
        <v>1</v>
      </c>
      <c r="J81" s="10" t="s">
        <v>418</v>
      </c>
      <c r="K81" s="10">
        <f t="shared" si="10"/>
        <v>45327</v>
      </c>
      <c r="L81" s="10">
        <f t="shared" si="11"/>
        <v>5327</v>
      </c>
      <c r="M81" s="10">
        <f t="shared" si="12"/>
        <v>5326</v>
      </c>
      <c r="N81" s="10" t="s">
        <v>419</v>
      </c>
      <c r="O81" s="10" t="s">
        <v>327</v>
      </c>
      <c r="P81" s="10">
        <v>0</v>
      </c>
      <c r="Q81" s="55"/>
      <c r="R81" s="55"/>
    </row>
    <row r="82" spans="2:18" ht="15.6" x14ac:dyDescent="0.3">
      <c r="B82" s="54" t="s">
        <v>1393</v>
      </c>
      <c r="C82" s="10" t="s">
        <v>321</v>
      </c>
      <c r="D82" s="10">
        <v>2</v>
      </c>
      <c r="E82" s="10">
        <f t="shared" si="9"/>
        <v>1</v>
      </c>
      <c r="F82" s="10">
        <v>0</v>
      </c>
      <c r="G82" s="10">
        <v>65535</v>
      </c>
      <c r="H82" s="10">
        <v>1</v>
      </c>
      <c r="I82" s="10">
        <v>1</v>
      </c>
      <c r="J82" s="10" t="s">
        <v>418</v>
      </c>
      <c r="K82" s="10">
        <f t="shared" si="10"/>
        <v>45328</v>
      </c>
      <c r="L82" s="10">
        <f t="shared" si="11"/>
        <v>5328</v>
      </c>
      <c r="M82" s="10">
        <f t="shared" si="12"/>
        <v>5327</v>
      </c>
      <c r="N82" s="10" t="s">
        <v>419</v>
      </c>
      <c r="O82" s="10" t="s">
        <v>327</v>
      </c>
      <c r="P82" s="10">
        <v>0</v>
      </c>
      <c r="Q82" s="55"/>
      <c r="R82" s="55"/>
    </row>
    <row r="83" spans="2:18" ht="15.6" x14ac:dyDescent="0.3">
      <c r="B83" s="54" t="s">
        <v>1394</v>
      </c>
      <c r="C83" s="10" t="s">
        <v>321</v>
      </c>
      <c r="D83" s="10">
        <v>2</v>
      </c>
      <c r="E83" s="10">
        <f t="shared" si="9"/>
        <v>1</v>
      </c>
      <c r="F83" s="10">
        <v>0</v>
      </c>
      <c r="G83" s="10">
        <v>65535</v>
      </c>
      <c r="H83" s="10">
        <v>1</v>
      </c>
      <c r="I83" s="10">
        <v>1</v>
      </c>
      <c r="J83" s="10" t="s">
        <v>418</v>
      </c>
      <c r="K83" s="10">
        <f t="shared" si="10"/>
        <v>45329</v>
      </c>
      <c r="L83" s="10">
        <f t="shared" si="11"/>
        <v>5329</v>
      </c>
      <c r="M83" s="10">
        <f t="shared" si="12"/>
        <v>5328</v>
      </c>
      <c r="N83" s="10" t="s">
        <v>419</v>
      </c>
      <c r="O83" s="10" t="s">
        <v>327</v>
      </c>
      <c r="P83" s="10">
        <v>0</v>
      </c>
      <c r="Q83" s="55"/>
      <c r="R83" s="55"/>
    </row>
    <row r="84" spans="2:18" ht="15.6" x14ac:dyDescent="0.3">
      <c r="B84" s="54" t="s">
        <v>1395</v>
      </c>
      <c r="C84" s="10" t="s">
        <v>321</v>
      </c>
      <c r="D84" s="10">
        <v>2</v>
      </c>
      <c r="E84" s="10">
        <f t="shared" si="9"/>
        <v>1</v>
      </c>
      <c r="F84" s="10">
        <v>0</v>
      </c>
      <c r="G84" s="10">
        <v>65535</v>
      </c>
      <c r="H84" s="10">
        <v>1</v>
      </c>
      <c r="I84" s="10">
        <v>1</v>
      </c>
      <c r="J84" s="10" t="s">
        <v>418</v>
      </c>
      <c r="K84" s="10">
        <f t="shared" si="10"/>
        <v>45330</v>
      </c>
      <c r="L84" s="10">
        <f t="shared" si="11"/>
        <v>5330</v>
      </c>
      <c r="M84" s="10">
        <f t="shared" si="12"/>
        <v>5329</v>
      </c>
      <c r="N84" s="10" t="s">
        <v>419</v>
      </c>
      <c r="O84" s="10" t="s">
        <v>327</v>
      </c>
      <c r="P84" s="10">
        <v>0</v>
      </c>
      <c r="Q84" s="55"/>
      <c r="R84" s="55"/>
    </row>
    <row r="85" spans="2:18" ht="15.6" x14ac:dyDescent="0.3">
      <c r="B85" s="54" t="s">
        <v>1396</v>
      </c>
      <c r="C85" s="10" t="s">
        <v>321</v>
      </c>
      <c r="D85" s="10">
        <v>2</v>
      </c>
      <c r="E85" s="10">
        <f t="shared" si="9"/>
        <v>1</v>
      </c>
      <c r="F85" s="10">
        <v>0</v>
      </c>
      <c r="G85" s="10">
        <v>65535</v>
      </c>
      <c r="H85" s="10">
        <v>1</v>
      </c>
      <c r="I85" s="10">
        <v>1</v>
      </c>
      <c r="J85" s="10" t="s">
        <v>418</v>
      </c>
      <c r="K85" s="10">
        <f t="shared" si="10"/>
        <v>45331</v>
      </c>
      <c r="L85" s="10">
        <f t="shared" si="11"/>
        <v>5331</v>
      </c>
      <c r="M85" s="10">
        <f t="shared" si="12"/>
        <v>5330</v>
      </c>
      <c r="N85" s="10" t="s">
        <v>419</v>
      </c>
      <c r="O85" s="10" t="s">
        <v>327</v>
      </c>
      <c r="P85" s="10">
        <v>0</v>
      </c>
      <c r="Q85" s="55"/>
      <c r="R85" s="55"/>
    </row>
    <row r="86" spans="2:18" ht="15.6" x14ac:dyDescent="0.3">
      <c r="B86" s="54" t="s">
        <v>1362</v>
      </c>
      <c r="C86" s="10" t="s">
        <v>321</v>
      </c>
      <c r="D86" s="10">
        <v>2</v>
      </c>
      <c r="E86" s="10">
        <f t="shared" si="9"/>
        <v>1</v>
      </c>
      <c r="F86" s="10">
        <v>0</v>
      </c>
      <c r="G86" s="10">
        <v>65535</v>
      </c>
      <c r="H86" s="10">
        <v>1</v>
      </c>
      <c r="I86" s="10">
        <v>1</v>
      </c>
      <c r="J86" s="10" t="s">
        <v>418</v>
      </c>
      <c r="K86" s="10">
        <f t="shared" si="10"/>
        <v>45332</v>
      </c>
      <c r="L86" s="10">
        <f t="shared" si="11"/>
        <v>5332</v>
      </c>
      <c r="M86" s="10">
        <f t="shared" si="12"/>
        <v>5331</v>
      </c>
      <c r="N86" s="10" t="s">
        <v>419</v>
      </c>
      <c r="O86" s="10" t="s">
        <v>327</v>
      </c>
      <c r="P86" s="10">
        <v>0</v>
      </c>
      <c r="Q86" s="55"/>
      <c r="R86" s="55"/>
    </row>
    <row r="87" spans="2:18" ht="15.6" x14ac:dyDescent="0.3">
      <c r="B87" s="54" t="s">
        <v>1397</v>
      </c>
      <c r="C87" s="10" t="s">
        <v>321</v>
      </c>
      <c r="D87" s="10">
        <v>2</v>
      </c>
      <c r="E87" s="10">
        <f t="shared" si="9"/>
        <v>1</v>
      </c>
      <c r="F87" s="10">
        <v>0</v>
      </c>
      <c r="G87" s="10">
        <v>65535</v>
      </c>
      <c r="H87" s="10">
        <v>1</v>
      </c>
      <c r="I87" s="10">
        <v>1</v>
      </c>
      <c r="J87" s="10" t="s">
        <v>418</v>
      </c>
      <c r="K87" s="10">
        <f t="shared" si="10"/>
        <v>45333</v>
      </c>
      <c r="L87" s="10">
        <f t="shared" si="11"/>
        <v>5333</v>
      </c>
      <c r="M87" s="10">
        <f t="shared" si="12"/>
        <v>5332</v>
      </c>
      <c r="N87" s="10" t="s">
        <v>419</v>
      </c>
      <c r="O87" s="10" t="s">
        <v>327</v>
      </c>
      <c r="P87" s="10">
        <v>0</v>
      </c>
      <c r="Q87" s="55"/>
      <c r="R87" s="55"/>
    </row>
    <row r="88" spans="2:18" ht="15.6" x14ac:dyDescent="0.3">
      <c r="B88" s="54" t="s">
        <v>1398</v>
      </c>
      <c r="C88" s="10" t="s">
        <v>321</v>
      </c>
      <c r="D88" s="10">
        <v>2</v>
      </c>
      <c r="E88" s="10">
        <f t="shared" si="9"/>
        <v>1</v>
      </c>
      <c r="F88" s="10">
        <v>0</v>
      </c>
      <c r="G88" s="10">
        <v>65535</v>
      </c>
      <c r="H88" s="10">
        <v>1</v>
      </c>
      <c r="I88" s="10">
        <v>1</v>
      </c>
      <c r="J88" s="10" t="s">
        <v>418</v>
      </c>
      <c r="K88" s="10">
        <f t="shared" si="10"/>
        <v>45334</v>
      </c>
      <c r="L88" s="10">
        <f t="shared" si="11"/>
        <v>5334</v>
      </c>
      <c r="M88" s="10">
        <f t="shared" si="12"/>
        <v>5333</v>
      </c>
      <c r="N88" s="10" t="s">
        <v>419</v>
      </c>
      <c r="O88" s="10" t="s">
        <v>327</v>
      </c>
      <c r="P88" s="10">
        <v>0</v>
      </c>
      <c r="Q88" s="55"/>
      <c r="R88" s="55"/>
    </row>
    <row r="89" spans="2:18" ht="15.6" x14ac:dyDescent="0.3">
      <c r="B89" s="54" t="s">
        <v>1399</v>
      </c>
      <c r="C89" s="10" t="s">
        <v>321</v>
      </c>
      <c r="D89" s="10">
        <v>2</v>
      </c>
      <c r="E89" s="10">
        <f t="shared" si="9"/>
        <v>1</v>
      </c>
      <c r="F89" s="10">
        <v>0</v>
      </c>
      <c r="G89" s="10">
        <v>65535</v>
      </c>
      <c r="H89" s="10">
        <v>1</v>
      </c>
      <c r="I89" s="10">
        <v>1</v>
      </c>
      <c r="J89" s="10" t="s">
        <v>418</v>
      </c>
      <c r="K89" s="10">
        <f t="shared" si="10"/>
        <v>45335</v>
      </c>
      <c r="L89" s="10">
        <f t="shared" si="11"/>
        <v>5335</v>
      </c>
      <c r="M89" s="10">
        <f t="shared" si="12"/>
        <v>5334</v>
      </c>
      <c r="N89" s="10" t="s">
        <v>419</v>
      </c>
      <c r="O89" s="10" t="s">
        <v>327</v>
      </c>
      <c r="P89" s="10">
        <v>0</v>
      </c>
      <c r="Q89" s="55"/>
      <c r="R89" s="55"/>
    </row>
    <row r="90" spans="2:18" ht="15.6" x14ac:dyDescent="0.3">
      <c r="B90" s="54" t="s">
        <v>1400</v>
      </c>
      <c r="C90" s="10" t="s">
        <v>321</v>
      </c>
      <c r="D90" s="10">
        <v>2</v>
      </c>
      <c r="E90" s="10">
        <f t="shared" si="9"/>
        <v>1</v>
      </c>
      <c r="F90" s="10">
        <v>0</v>
      </c>
      <c r="G90" s="10">
        <v>65535</v>
      </c>
      <c r="H90" s="10">
        <v>1</v>
      </c>
      <c r="I90" s="10">
        <v>1</v>
      </c>
      <c r="J90" s="10" t="s">
        <v>418</v>
      </c>
      <c r="K90" s="10">
        <f t="shared" si="10"/>
        <v>45336</v>
      </c>
      <c r="L90" s="10">
        <f t="shared" si="11"/>
        <v>5336</v>
      </c>
      <c r="M90" s="10">
        <f t="shared" si="12"/>
        <v>5335</v>
      </c>
      <c r="N90" s="10" t="s">
        <v>419</v>
      </c>
      <c r="O90" s="10" t="s">
        <v>327</v>
      </c>
      <c r="P90" s="10">
        <v>0</v>
      </c>
      <c r="Q90" s="55"/>
      <c r="R90" s="55"/>
    </row>
    <row r="91" spans="2:18" ht="15.6" x14ac:dyDescent="0.3">
      <c r="B91" s="54" t="s">
        <v>1366</v>
      </c>
      <c r="C91" s="10" t="s">
        <v>321</v>
      </c>
      <c r="D91" s="10">
        <v>2</v>
      </c>
      <c r="E91" s="10">
        <f t="shared" si="9"/>
        <v>1</v>
      </c>
      <c r="F91" s="10">
        <v>0</v>
      </c>
      <c r="G91" s="10">
        <v>65535</v>
      </c>
      <c r="H91" s="10">
        <v>1</v>
      </c>
      <c r="I91" s="10">
        <v>1</v>
      </c>
      <c r="J91" s="10" t="s">
        <v>418</v>
      </c>
      <c r="K91" s="10">
        <f t="shared" si="10"/>
        <v>45337</v>
      </c>
      <c r="L91" s="10">
        <f t="shared" si="11"/>
        <v>5337</v>
      </c>
      <c r="M91" s="10">
        <f t="shared" si="12"/>
        <v>5336</v>
      </c>
      <c r="N91" s="10" t="s">
        <v>419</v>
      </c>
      <c r="O91" s="10" t="s">
        <v>327</v>
      </c>
      <c r="P91" s="10">
        <v>0</v>
      </c>
      <c r="Q91" s="55"/>
      <c r="R91" s="55"/>
    </row>
    <row r="92" spans="2:18" ht="15.6" x14ac:dyDescent="0.3">
      <c r="B92" s="54" t="s">
        <v>1401</v>
      </c>
      <c r="C92" s="10" t="s">
        <v>321</v>
      </c>
      <c r="D92" s="10">
        <v>2</v>
      </c>
      <c r="E92" s="10">
        <f t="shared" si="9"/>
        <v>1</v>
      </c>
      <c r="F92" s="10">
        <v>0</v>
      </c>
      <c r="G92" s="10">
        <v>65535</v>
      </c>
      <c r="H92" s="10">
        <v>1</v>
      </c>
      <c r="I92" s="10">
        <v>1</v>
      </c>
      <c r="J92" s="10" t="s">
        <v>418</v>
      </c>
      <c r="K92" s="10">
        <f t="shared" si="10"/>
        <v>45338</v>
      </c>
      <c r="L92" s="10">
        <f t="shared" si="11"/>
        <v>5338</v>
      </c>
      <c r="M92" s="10">
        <f t="shared" si="12"/>
        <v>5337</v>
      </c>
      <c r="N92" s="10" t="s">
        <v>419</v>
      </c>
      <c r="O92" s="10" t="s">
        <v>327</v>
      </c>
      <c r="P92" s="10">
        <v>0</v>
      </c>
      <c r="Q92" s="55"/>
      <c r="R92" s="55"/>
    </row>
    <row r="93" spans="2:18" ht="15.6" x14ac:dyDescent="0.3">
      <c r="B93" s="54" t="s">
        <v>1402</v>
      </c>
      <c r="C93" s="10" t="s">
        <v>321</v>
      </c>
      <c r="D93" s="10">
        <v>2</v>
      </c>
      <c r="E93" s="10">
        <f t="shared" si="9"/>
        <v>1</v>
      </c>
      <c r="F93" s="10">
        <v>0</v>
      </c>
      <c r="G93" s="10">
        <v>65535</v>
      </c>
      <c r="H93" s="10">
        <v>1</v>
      </c>
      <c r="I93" s="10">
        <v>1</v>
      </c>
      <c r="J93" s="10" t="s">
        <v>418</v>
      </c>
      <c r="K93" s="10">
        <f t="shared" si="10"/>
        <v>45339</v>
      </c>
      <c r="L93" s="10">
        <f t="shared" si="11"/>
        <v>5339</v>
      </c>
      <c r="M93" s="10">
        <f t="shared" si="12"/>
        <v>5338</v>
      </c>
      <c r="N93" s="10" t="s">
        <v>419</v>
      </c>
      <c r="O93" s="10" t="s">
        <v>327</v>
      </c>
      <c r="P93" s="10">
        <v>0</v>
      </c>
      <c r="Q93" s="55"/>
      <c r="R93" s="55"/>
    </row>
    <row r="94" spans="2:18" ht="15.6" x14ac:dyDescent="0.3">
      <c r="B94" s="54" t="s">
        <v>1403</v>
      </c>
      <c r="C94" s="10" t="s">
        <v>321</v>
      </c>
      <c r="D94" s="10">
        <v>2</v>
      </c>
      <c r="E94" s="10">
        <f t="shared" si="9"/>
        <v>1</v>
      </c>
      <c r="F94" s="10">
        <v>0</v>
      </c>
      <c r="G94" s="10">
        <v>65535</v>
      </c>
      <c r="H94" s="10">
        <v>1</v>
      </c>
      <c r="I94" s="10">
        <v>1</v>
      </c>
      <c r="J94" s="10" t="s">
        <v>418</v>
      </c>
      <c r="K94" s="10">
        <f t="shared" si="10"/>
        <v>45340</v>
      </c>
      <c r="L94" s="10">
        <f t="shared" si="11"/>
        <v>5340</v>
      </c>
      <c r="M94" s="10">
        <f t="shared" si="12"/>
        <v>5339</v>
      </c>
      <c r="N94" s="10" t="s">
        <v>419</v>
      </c>
      <c r="O94" s="10" t="s">
        <v>327</v>
      </c>
      <c r="P94" s="10">
        <v>0</v>
      </c>
      <c r="Q94" s="55"/>
      <c r="R94" s="55"/>
    </row>
    <row r="95" spans="2:18" ht="15.6" x14ac:dyDescent="0.3">
      <c r="B95" s="54" t="s">
        <v>1404</v>
      </c>
      <c r="C95" s="10" t="s">
        <v>321</v>
      </c>
      <c r="D95" s="10">
        <v>2</v>
      </c>
      <c r="E95" s="10">
        <f t="shared" si="9"/>
        <v>1</v>
      </c>
      <c r="F95" s="10">
        <v>0</v>
      </c>
      <c r="G95" s="10">
        <v>65535</v>
      </c>
      <c r="H95" s="10">
        <v>1</v>
      </c>
      <c r="I95" s="10">
        <v>1</v>
      </c>
      <c r="J95" s="10" t="s">
        <v>418</v>
      </c>
      <c r="K95" s="10">
        <f t="shared" si="10"/>
        <v>45341</v>
      </c>
      <c r="L95" s="10">
        <f t="shared" si="11"/>
        <v>5341</v>
      </c>
      <c r="M95" s="10">
        <f t="shared" si="12"/>
        <v>5340</v>
      </c>
      <c r="N95" s="10" t="s">
        <v>419</v>
      </c>
      <c r="O95" s="10" t="s">
        <v>327</v>
      </c>
      <c r="P95" s="10">
        <v>0</v>
      </c>
      <c r="Q95" s="55"/>
      <c r="R95" s="55"/>
    </row>
    <row r="96" spans="2:18" ht="15.6" x14ac:dyDescent="0.3">
      <c r="B96" s="54" t="s">
        <v>1370</v>
      </c>
      <c r="C96" s="10" t="s">
        <v>321</v>
      </c>
      <c r="D96" s="10">
        <v>2</v>
      </c>
      <c r="E96" s="10">
        <f t="shared" si="9"/>
        <v>1</v>
      </c>
      <c r="F96" s="10">
        <v>0</v>
      </c>
      <c r="G96" s="10">
        <v>65535</v>
      </c>
      <c r="H96" s="10">
        <v>1</v>
      </c>
      <c r="I96" s="10">
        <v>1</v>
      </c>
      <c r="J96" s="10" t="s">
        <v>418</v>
      </c>
      <c r="K96" s="10">
        <f t="shared" si="10"/>
        <v>45342</v>
      </c>
      <c r="L96" s="10">
        <f t="shared" si="11"/>
        <v>5342</v>
      </c>
      <c r="M96" s="10">
        <f t="shared" si="12"/>
        <v>5341</v>
      </c>
      <c r="N96" s="10" t="s">
        <v>419</v>
      </c>
      <c r="O96" s="10" t="s">
        <v>327</v>
      </c>
      <c r="P96" s="10">
        <v>0</v>
      </c>
      <c r="Q96" s="55"/>
      <c r="R96" s="55"/>
    </row>
    <row r="97" spans="2:18" ht="15.6" x14ac:dyDescent="0.3">
      <c r="B97" s="54" t="s">
        <v>1405</v>
      </c>
      <c r="C97" s="10" t="s">
        <v>321</v>
      </c>
      <c r="D97" s="10">
        <v>2</v>
      </c>
      <c r="E97" s="10">
        <f t="shared" si="9"/>
        <v>1</v>
      </c>
      <c r="F97" s="10">
        <v>0</v>
      </c>
      <c r="G97" s="10">
        <v>65535</v>
      </c>
      <c r="H97" s="10">
        <v>1</v>
      </c>
      <c r="I97" s="10">
        <v>1</v>
      </c>
      <c r="J97" s="10" t="s">
        <v>418</v>
      </c>
      <c r="K97" s="10">
        <f t="shared" si="10"/>
        <v>45343</v>
      </c>
      <c r="L97" s="10">
        <f t="shared" si="11"/>
        <v>5343</v>
      </c>
      <c r="M97" s="10">
        <f t="shared" si="12"/>
        <v>5342</v>
      </c>
      <c r="N97" s="10" t="s">
        <v>419</v>
      </c>
      <c r="O97" s="10" t="s">
        <v>327</v>
      </c>
      <c r="P97" s="10">
        <v>0</v>
      </c>
      <c r="Q97" s="55"/>
      <c r="R97" s="55"/>
    </row>
    <row r="98" spans="2:18" ht="15.6" x14ac:dyDescent="0.3">
      <c r="B98" s="54" t="s">
        <v>1406</v>
      </c>
      <c r="C98" s="10" t="s">
        <v>321</v>
      </c>
      <c r="D98" s="10">
        <v>2</v>
      </c>
      <c r="E98" s="10">
        <f t="shared" si="9"/>
        <v>1</v>
      </c>
      <c r="F98" s="10">
        <v>0</v>
      </c>
      <c r="G98" s="10">
        <v>65535</v>
      </c>
      <c r="H98" s="10">
        <v>1</v>
      </c>
      <c r="I98" s="10">
        <v>1</v>
      </c>
      <c r="J98" s="10" t="s">
        <v>418</v>
      </c>
      <c r="K98" s="10">
        <f t="shared" si="10"/>
        <v>45344</v>
      </c>
      <c r="L98" s="10">
        <f t="shared" si="11"/>
        <v>5344</v>
      </c>
      <c r="M98" s="10">
        <f t="shared" si="12"/>
        <v>5343</v>
      </c>
      <c r="N98" s="10" t="s">
        <v>419</v>
      </c>
      <c r="O98" s="10" t="s">
        <v>327</v>
      </c>
      <c r="P98" s="10">
        <v>0</v>
      </c>
      <c r="Q98" s="55"/>
      <c r="R98" s="55"/>
    </row>
    <row r="99" spans="2:18" ht="15.6" x14ac:dyDescent="0.3">
      <c r="B99" s="54" t="s">
        <v>1407</v>
      </c>
      <c r="C99" s="10" t="s">
        <v>321</v>
      </c>
      <c r="D99" s="10">
        <v>2</v>
      </c>
      <c r="E99" s="10">
        <f t="shared" si="9"/>
        <v>1</v>
      </c>
      <c r="F99" s="10">
        <v>0</v>
      </c>
      <c r="G99" s="10">
        <v>65535</v>
      </c>
      <c r="H99" s="10">
        <v>1</v>
      </c>
      <c r="I99" s="10">
        <v>1</v>
      </c>
      <c r="J99" s="10" t="s">
        <v>418</v>
      </c>
      <c r="K99" s="10">
        <f t="shared" si="10"/>
        <v>45345</v>
      </c>
      <c r="L99" s="10">
        <f t="shared" si="11"/>
        <v>5345</v>
      </c>
      <c r="M99" s="10">
        <f t="shared" si="12"/>
        <v>5344</v>
      </c>
      <c r="N99" s="10" t="s">
        <v>419</v>
      </c>
      <c r="O99" s="10" t="s">
        <v>327</v>
      </c>
      <c r="P99" s="10">
        <v>0</v>
      </c>
      <c r="Q99" s="55"/>
      <c r="R99" s="55"/>
    </row>
    <row r="100" spans="2:18" ht="15.6" x14ac:dyDescent="0.3">
      <c r="B100" s="54" t="s">
        <v>1408</v>
      </c>
      <c r="C100" s="10" t="s">
        <v>321</v>
      </c>
      <c r="D100" s="10">
        <v>2</v>
      </c>
      <c r="E100" s="10">
        <f t="shared" si="9"/>
        <v>1</v>
      </c>
      <c r="F100" s="10">
        <v>0</v>
      </c>
      <c r="G100" s="10">
        <v>65535</v>
      </c>
      <c r="H100" s="10">
        <v>1</v>
      </c>
      <c r="I100" s="10">
        <v>1</v>
      </c>
      <c r="J100" s="10" t="s">
        <v>418</v>
      </c>
      <c r="K100" s="10">
        <f>K99+E99</f>
        <v>45346</v>
      </c>
      <c r="L100" s="10">
        <f t="shared" si="11"/>
        <v>5346</v>
      </c>
      <c r="M100" s="10">
        <f t="shared" si="12"/>
        <v>5345</v>
      </c>
      <c r="N100" s="10" t="s">
        <v>419</v>
      </c>
      <c r="O100" s="10" t="s">
        <v>327</v>
      </c>
      <c r="P100" s="10">
        <v>0</v>
      </c>
      <c r="Q100" s="55"/>
      <c r="R100" s="55"/>
    </row>
    <row r="101" spans="2:18" ht="15.6" x14ac:dyDescent="0.3">
      <c r="B101" s="54" t="s">
        <v>320</v>
      </c>
      <c r="C101" s="10" t="s">
        <v>321</v>
      </c>
      <c r="D101" s="10">
        <v>2</v>
      </c>
      <c r="E101" s="10">
        <f t="shared" si="9"/>
        <v>1</v>
      </c>
      <c r="F101" s="10">
        <v>0</v>
      </c>
      <c r="G101" s="10">
        <v>0</v>
      </c>
      <c r="H101" s="10">
        <v>1</v>
      </c>
      <c r="I101" s="10">
        <v>1</v>
      </c>
      <c r="J101" s="10" t="s">
        <v>418</v>
      </c>
      <c r="K101" s="10">
        <f t="shared" si="10"/>
        <v>45347</v>
      </c>
      <c r="L101" s="10">
        <f t="shared" si="11"/>
        <v>5347</v>
      </c>
      <c r="M101" s="10">
        <f t="shared" si="12"/>
        <v>5346</v>
      </c>
      <c r="N101" s="10" t="s">
        <v>419</v>
      </c>
      <c r="O101" s="10" t="s">
        <v>324</v>
      </c>
      <c r="P101" s="10">
        <v>0</v>
      </c>
      <c r="Q101" s="55"/>
      <c r="R101" s="55"/>
    </row>
    <row r="102" spans="2:18" ht="15.6" x14ac:dyDescent="0.3">
      <c r="B102" s="54" t="s">
        <v>320</v>
      </c>
      <c r="C102" s="10" t="s">
        <v>321</v>
      </c>
      <c r="D102" s="10">
        <v>2</v>
      </c>
      <c r="E102" s="10">
        <f t="shared" si="9"/>
        <v>1</v>
      </c>
      <c r="F102" s="10">
        <v>0</v>
      </c>
      <c r="G102" s="10">
        <v>0</v>
      </c>
      <c r="H102" s="10">
        <v>1</v>
      </c>
      <c r="I102" s="10">
        <v>1</v>
      </c>
      <c r="J102" s="10" t="s">
        <v>418</v>
      </c>
      <c r="K102" s="10">
        <f t="shared" si="10"/>
        <v>45348</v>
      </c>
      <c r="L102" s="10">
        <f t="shared" si="11"/>
        <v>5348</v>
      </c>
      <c r="M102" s="10">
        <f t="shared" si="12"/>
        <v>5347</v>
      </c>
      <c r="N102" s="10" t="s">
        <v>419</v>
      </c>
      <c r="O102" s="10" t="s">
        <v>324</v>
      </c>
      <c r="P102" s="10">
        <v>0</v>
      </c>
      <c r="Q102" s="55"/>
      <c r="R102" s="55"/>
    </row>
    <row r="103" spans="2:18" ht="15.6" x14ac:dyDescent="0.3">
      <c r="B103" s="54" t="s">
        <v>320</v>
      </c>
      <c r="C103" s="10" t="s">
        <v>321</v>
      </c>
      <c r="D103" s="10">
        <v>2</v>
      </c>
      <c r="E103" s="10">
        <f t="shared" si="9"/>
        <v>1</v>
      </c>
      <c r="F103" s="10">
        <v>0</v>
      </c>
      <c r="G103" s="10">
        <v>0</v>
      </c>
      <c r="H103" s="10">
        <v>1</v>
      </c>
      <c r="I103" s="10">
        <v>1</v>
      </c>
      <c r="J103" s="10" t="s">
        <v>418</v>
      </c>
      <c r="K103" s="10">
        <f t="shared" si="10"/>
        <v>45349</v>
      </c>
      <c r="L103" s="10">
        <f t="shared" si="11"/>
        <v>5349</v>
      </c>
      <c r="M103" s="10">
        <f t="shared" si="12"/>
        <v>5348</v>
      </c>
      <c r="N103" s="10" t="s">
        <v>419</v>
      </c>
      <c r="O103" s="10" t="s">
        <v>324</v>
      </c>
      <c r="P103" s="10">
        <v>0</v>
      </c>
      <c r="Q103" s="55"/>
      <c r="R103" s="55"/>
    </row>
    <row r="104" spans="2:18" ht="15.6" x14ac:dyDescent="0.3">
      <c r="B104" s="54" t="s">
        <v>320</v>
      </c>
      <c r="C104" s="10" t="s">
        <v>321</v>
      </c>
      <c r="D104" s="10">
        <v>2</v>
      </c>
      <c r="E104" s="10">
        <f t="shared" si="9"/>
        <v>1</v>
      </c>
      <c r="F104" s="10">
        <v>0</v>
      </c>
      <c r="G104" s="10">
        <v>0</v>
      </c>
      <c r="H104" s="10">
        <v>1</v>
      </c>
      <c r="I104" s="10">
        <v>1</v>
      </c>
      <c r="J104" s="10" t="s">
        <v>418</v>
      </c>
      <c r="K104" s="10">
        <f t="shared" si="10"/>
        <v>45350</v>
      </c>
      <c r="L104" s="10">
        <f t="shared" si="11"/>
        <v>5350</v>
      </c>
      <c r="M104" s="10">
        <f t="shared" si="12"/>
        <v>5349</v>
      </c>
      <c r="N104" s="10" t="s">
        <v>419</v>
      </c>
      <c r="O104" s="10" t="s">
        <v>324</v>
      </c>
      <c r="P104" s="10">
        <v>0</v>
      </c>
      <c r="Q104" s="55"/>
      <c r="R104" s="55"/>
    </row>
    <row r="105" spans="2:18" ht="15.6" x14ac:dyDescent="0.3">
      <c r="B105" s="54" t="s">
        <v>320</v>
      </c>
      <c r="C105" s="10" t="s">
        <v>321</v>
      </c>
      <c r="D105" s="10">
        <v>2</v>
      </c>
      <c r="E105" s="10">
        <f t="shared" si="9"/>
        <v>1</v>
      </c>
      <c r="F105" s="10">
        <v>0</v>
      </c>
      <c r="G105" s="10">
        <v>0</v>
      </c>
      <c r="H105" s="10">
        <v>1</v>
      </c>
      <c r="I105" s="10">
        <v>1</v>
      </c>
      <c r="J105" s="10" t="s">
        <v>418</v>
      </c>
      <c r="K105" s="10">
        <f t="shared" si="10"/>
        <v>45351</v>
      </c>
      <c r="L105" s="10">
        <f t="shared" si="11"/>
        <v>5351</v>
      </c>
      <c r="M105" s="10">
        <f t="shared" si="12"/>
        <v>5350</v>
      </c>
      <c r="N105" s="10" t="s">
        <v>419</v>
      </c>
      <c r="O105" s="10" t="s">
        <v>324</v>
      </c>
      <c r="P105" s="10">
        <v>0</v>
      </c>
      <c r="Q105" s="55"/>
      <c r="R105" s="55"/>
    </row>
    <row r="106" spans="2:18" ht="15.6" x14ac:dyDescent="0.3">
      <c r="B106" s="54" t="s">
        <v>320</v>
      </c>
      <c r="C106" s="10" t="s">
        <v>321</v>
      </c>
      <c r="D106" s="10">
        <v>2</v>
      </c>
      <c r="E106" s="10">
        <f t="shared" si="9"/>
        <v>1</v>
      </c>
      <c r="F106" s="10">
        <v>0</v>
      </c>
      <c r="G106" s="10">
        <v>0</v>
      </c>
      <c r="H106" s="10">
        <v>1</v>
      </c>
      <c r="I106" s="10">
        <v>1</v>
      </c>
      <c r="J106" s="10" t="s">
        <v>418</v>
      </c>
      <c r="K106" s="10">
        <f t="shared" si="10"/>
        <v>45352</v>
      </c>
      <c r="L106" s="10">
        <f t="shared" si="11"/>
        <v>5352</v>
      </c>
      <c r="M106" s="10">
        <f t="shared" si="12"/>
        <v>5351</v>
      </c>
      <c r="N106" s="10" t="s">
        <v>419</v>
      </c>
      <c r="O106" s="10" t="s">
        <v>324</v>
      </c>
      <c r="P106" s="10">
        <v>0</v>
      </c>
      <c r="Q106" s="55"/>
      <c r="R106" s="55"/>
    </row>
    <row r="107" spans="2:18" ht="15.6" x14ac:dyDescent="0.3">
      <c r="B107" s="54" t="s">
        <v>320</v>
      </c>
      <c r="C107" s="10" t="s">
        <v>321</v>
      </c>
      <c r="D107" s="10">
        <v>2</v>
      </c>
      <c r="E107" s="10">
        <f t="shared" si="9"/>
        <v>1</v>
      </c>
      <c r="F107" s="10">
        <v>0</v>
      </c>
      <c r="G107" s="10">
        <v>0</v>
      </c>
      <c r="H107" s="10">
        <v>1</v>
      </c>
      <c r="I107" s="10">
        <v>1</v>
      </c>
      <c r="J107" s="10" t="s">
        <v>418</v>
      </c>
      <c r="K107" s="10">
        <f t="shared" si="10"/>
        <v>45353</v>
      </c>
      <c r="L107" s="10">
        <f t="shared" si="11"/>
        <v>5353</v>
      </c>
      <c r="M107" s="10">
        <f t="shared" si="12"/>
        <v>5352</v>
      </c>
      <c r="N107" s="10" t="s">
        <v>419</v>
      </c>
      <c r="O107" s="10" t="s">
        <v>324</v>
      </c>
      <c r="P107" s="10">
        <v>0</v>
      </c>
      <c r="Q107" s="55"/>
      <c r="R107" s="55"/>
    </row>
    <row r="108" spans="2:18" ht="15.6" x14ac:dyDescent="0.3">
      <c r="B108" s="54" t="s">
        <v>320</v>
      </c>
      <c r="C108" s="10" t="s">
        <v>321</v>
      </c>
      <c r="D108" s="10">
        <v>2</v>
      </c>
      <c r="E108" s="10">
        <f t="shared" si="9"/>
        <v>1</v>
      </c>
      <c r="F108" s="10">
        <v>0</v>
      </c>
      <c r="G108" s="10">
        <v>0</v>
      </c>
      <c r="H108" s="10">
        <v>1</v>
      </c>
      <c r="I108" s="10">
        <v>1</v>
      </c>
      <c r="J108" s="10" t="s">
        <v>418</v>
      </c>
      <c r="K108" s="10">
        <f t="shared" si="10"/>
        <v>45354</v>
      </c>
      <c r="L108" s="10">
        <f t="shared" si="11"/>
        <v>5354</v>
      </c>
      <c r="M108" s="10">
        <f t="shared" si="12"/>
        <v>5353</v>
      </c>
      <c r="N108" s="10" t="s">
        <v>419</v>
      </c>
      <c r="O108" s="10" t="s">
        <v>324</v>
      </c>
      <c r="P108" s="10">
        <v>0</v>
      </c>
      <c r="Q108" s="55"/>
      <c r="R108" s="55"/>
    </row>
    <row r="109" spans="2:18" ht="15.6" x14ac:dyDescent="0.3">
      <c r="B109" s="54" t="s">
        <v>320</v>
      </c>
      <c r="C109" s="10" t="s">
        <v>321</v>
      </c>
      <c r="D109" s="10">
        <v>2</v>
      </c>
      <c r="E109" s="10">
        <f t="shared" si="9"/>
        <v>1</v>
      </c>
      <c r="F109" s="10">
        <v>0</v>
      </c>
      <c r="G109" s="10">
        <v>0</v>
      </c>
      <c r="H109" s="10">
        <v>1</v>
      </c>
      <c r="I109" s="10">
        <v>1</v>
      </c>
      <c r="J109" s="10" t="s">
        <v>418</v>
      </c>
      <c r="K109" s="10">
        <f t="shared" si="10"/>
        <v>45355</v>
      </c>
      <c r="L109" s="10">
        <f t="shared" si="11"/>
        <v>5355</v>
      </c>
      <c r="M109" s="10">
        <f t="shared" si="12"/>
        <v>5354</v>
      </c>
      <c r="N109" s="10" t="s">
        <v>419</v>
      </c>
      <c r="O109" s="10" t="s">
        <v>324</v>
      </c>
      <c r="P109" s="10">
        <v>0</v>
      </c>
      <c r="Q109" s="55"/>
      <c r="R109" s="55"/>
    </row>
    <row r="110" spans="2:18" ht="15.6" x14ac:dyDescent="0.3">
      <c r="B110" s="54" t="s">
        <v>320</v>
      </c>
      <c r="C110" s="10" t="s">
        <v>321</v>
      </c>
      <c r="D110" s="10">
        <v>2</v>
      </c>
      <c r="E110" s="10">
        <f t="shared" si="9"/>
        <v>1</v>
      </c>
      <c r="F110" s="10">
        <v>0</v>
      </c>
      <c r="G110" s="10">
        <v>0</v>
      </c>
      <c r="H110" s="10">
        <v>1</v>
      </c>
      <c r="I110" s="10">
        <v>1</v>
      </c>
      <c r="J110" s="10" t="s">
        <v>418</v>
      </c>
      <c r="K110" s="10">
        <f t="shared" si="10"/>
        <v>45356</v>
      </c>
      <c r="L110" s="10">
        <f t="shared" si="11"/>
        <v>5356</v>
      </c>
      <c r="M110" s="10">
        <f t="shared" si="12"/>
        <v>5355</v>
      </c>
      <c r="N110" s="10" t="s">
        <v>419</v>
      </c>
      <c r="O110" s="10" t="s">
        <v>324</v>
      </c>
      <c r="P110" s="10">
        <v>0</v>
      </c>
      <c r="Q110" s="55"/>
      <c r="R110" s="55"/>
    </row>
    <row r="111" spans="2:18" ht="15.6" x14ac:dyDescent="0.3">
      <c r="B111" s="54" t="s">
        <v>320</v>
      </c>
      <c r="C111" s="10" t="s">
        <v>321</v>
      </c>
      <c r="D111" s="10">
        <v>2</v>
      </c>
      <c r="E111" s="10">
        <f t="shared" si="9"/>
        <v>1</v>
      </c>
      <c r="F111" s="10">
        <v>0</v>
      </c>
      <c r="G111" s="10">
        <v>0</v>
      </c>
      <c r="H111" s="10">
        <v>1</v>
      </c>
      <c r="I111" s="10">
        <v>1</v>
      </c>
      <c r="J111" s="10" t="s">
        <v>418</v>
      </c>
      <c r="K111" s="10">
        <f t="shared" si="10"/>
        <v>45357</v>
      </c>
      <c r="L111" s="10">
        <f t="shared" si="11"/>
        <v>5357</v>
      </c>
      <c r="M111" s="10">
        <f t="shared" si="12"/>
        <v>5356</v>
      </c>
      <c r="N111" s="10" t="s">
        <v>419</v>
      </c>
      <c r="O111" s="10" t="s">
        <v>324</v>
      </c>
      <c r="P111" s="10">
        <v>0</v>
      </c>
      <c r="Q111" s="55"/>
      <c r="R111" s="55"/>
    </row>
    <row r="112" spans="2:18" ht="15.6" x14ac:dyDescent="0.3">
      <c r="B112" s="54" t="s">
        <v>320</v>
      </c>
      <c r="C112" s="10" t="s">
        <v>321</v>
      </c>
      <c r="D112" s="10">
        <v>2</v>
      </c>
      <c r="E112" s="10">
        <f t="shared" si="9"/>
        <v>1</v>
      </c>
      <c r="F112" s="10">
        <v>0</v>
      </c>
      <c r="G112" s="10">
        <v>0</v>
      </c>
      <c r="H112" s="10">
        <v>1</v>
      </c>
      <c r="I112" s="10">
        <v>1</v>
      </c>
      <c r="J112" s="10" t="s">
        <v>418</v>
      </c>
      <c r="K112" s="10">
        <f t="shared" si="10"/>
        <v>45358</v>
      </c>
      <c r="L112" s="10">
        <f t="shared" si="11"/>
        <v>5358</v>
      </c>
      <c r="M112" s="10">
        <f t="shared" si="12"/>
        <v>5357</v>
      </c>
      <c r="N112" s="10" t="s">
        <v>419</v>
      </c>
      <c r="O112" s="10" t="s">
        <v>324</v>
      </c>
      <c r="P112" s="10">
        <v>0</v>
      </c>
      <c r="Q112" s="55"/>
      <c r="R112" s="55"/>
    </row>
    <row r="113" spans="2:18" ht="15.6" x14ac:dyDescent="0.3">
      <c r="B113" s="54" t="s">
        <v>320</v>
      </c>
      <c r="C113" s="10" t="s">
        <v>321</v>
      </c>
      <c r="D113" s="10">
        <v>2</v>
      </c>
      <c r="E113" s="10">
        <f t="shared" si="9"/>
        <v>1</v>
      </c>
      <c r="F113" s="10">
        <v>0</v>
      </c>
      <c r="G113" s="10">
        <v>0</v>
      </c>
      <c r="H113" s="10">
        <v>1</v>
      </c>
      <c r="I113" s="10">
        <v>1</v>
      </c>
      <c r="J113" s="10" t="s">
        <v>418</v>
      </c>
      <c r="K113" s="10">
        <f t="shared" si="10"/>
        <v>45359</v>
      </c>
      <c r="L113" s="10">
        <f t="shared" si="11"/>
        <v>5359</v>
      </c>
      <c r="M113" s="10">
        <f t="shared" si="12"/>
        <v>5358</v>
      </c>
      <c r="N113" s="10" t="s">
        <v>419</v>
      </c>
      <c r="O113" s="10" t="s">
        <v>324</v>
      </c>
      <c r="P113" s="10">
        <v>0</v>
      </c>
      <c r="Q113" s="55"/>
      <c r="R113" s="55"/>
    </row>
    <row r="114" spans="2:18" ht="15.6" x14ac:dyDescent="0.3">
      <c r="B114" s="54" t="s">
        <v>320</v>
      </c>
      <c r="C114" s="10" t="s">
        <v>321</v>
      </c>
      <c r="D114" s="10">
        <v>2</v>
      </c>
      <c r="E114" s="10">
        <f t="shared" si="9"/>
        <v>1</v>
      </c>
      <c r="F114" s="10">
        <v>0</v>
      </c>
      <c r="G114" s="10">
        <v>0</v>
      </c>
      <c r="H114" s="10">
        <v>1</v>
      </c>
      <c r="I114" s="10">
        <v>1</v>
      </c>
      <c r="J114" s="10" t="s">
        <v>418</v>
      </c>
      <c r="K114" s="10">
        <f t="shared" si="10"/>
        <v>45360</v>
      </c>
      <c r="L114" s="10">
        <f t="shared" si="11"/>
        <v>5360</v>
      </c>
      <c r="M114" s="10">
        <f t="shared" si="12"/>
        <v>5359</v>
      </c>
      <c r="N114" s="10" t="s">
        <v>419</v>
      </c>
      <c r="O114" s="10" t="s">
        <v>324</v>
      </c>
      <c r="P114" s="10">
        <v>0</v>
      </c>
      <c r="Q114" s="55"/>
      <c r="R114" s="55"/>
    </row>
    <row r="115" spans="2:18" ht="15.6" x14ac:dyDescent="0.3">
      <c r="B115" s="54" t="s">
        <v>320</v>
      </c>
      <c r="C115" s="10" t="s">
        <v>321</v>
      </c>
      <c r="D115" s="10">
        <v>2</v>
      </c>
      <c r="E115" s="10">
        <f t="shared" si="9"/>
        <v>1</v>
      </c>
      <c r="F115" s="10">
        <v>0</v>
      </c>
      <c r="G115" s="10">
        <v>0</v>
      </c>
      <c r="H115" s="10">
        <v>1</v>
      </c>
      <c r="I115" s="10">
        <v>1</v>
      </c>
      <c r="J115" s="10" t="s">
        <v>418</v>
      </c>
      <c r="K115" s="10">
        <f t="shared" si="10"/>
        <v>45361</v>
      </c>
      <c r="L115" s="10">
        <f t="shared" si="11"/>
        <v>5361</v>
      </c>
      <c r="M115" s="10">
        <f t="shared" si="12"/>
        <v>5360</v>
      </c>
      <c r="N115" s="10" t="s">
        <v>419</v>
      </c>
      <c r="O115" s="10" t="s">
        <v>324</v>
      </c>
      <c r="P115" s="10">
        <v>0</v>
      </c>
      <c r="Q115" s="55"/>
      <c r="R115" s="55"/>
    </row>
    <row r="116" spans="2:18" ht="15.6" x14ac:dyDescent="0.3">
      <c r="B116" s="54" t="s">
        <v>320</v>
      </c>
      <c r="C116" s="10" t="s">
        <v>321</v>
      </c>
      <c r="D116" s="10">
        <v>2</v>
      </c>
      <c r="E116" s="10">
        <f t="shared" si="9"/>
        <v>1</v>
      </c>
      <c r="F116" s="10">
        <v>0</v>
      </c>
      <c r="G116" s="10">
        <v>0</v>
      </c>
      <c r="H116" s="10">
        <v>1</v>
      </c>
      <c r="I116" s="10">
        <v>1</v>
      </c>
      <c r="J116" s="10" t="s">
        <v>418</v>
      </c>
      <c r="K116" s="10">
        <f t="shared" si="10"/>
        <v>45362</v>
      </c>
      <c r="L116" s="10">
        <f t="shared" si="11"/>
        <v>5362</v>
      </c>
      <c r="M116" s="10">
        <f t="shared" si="12"/>
        <v>5361</v>
      </c>
      <c r="N116" s="10" t="s">
        <v>419</v>
      </c>
      <c r="O116" s="10" t="s">
        <v>324</v>
      </c>
      <c r="P116" s="10">
        <v>0</v>
      </c>
      <c r="Q116" s="55"/>
      <c r="R116" s="55"/>
    </row>
    <row r="117" spans="2:18" ht="15.6" x14ac:dyDescent="0.3">
      <c r="B117" s="54" t="s">
        <v>320</v>
      </c>
      <c r="C117" s="10" t="s">
        <v>321</v>
      </c>
      <c r="D117" s="10">
        <v>2</v>
      </c>
      <c r="E117" s="10">
        <f t="shared" si="9"/>
        <v>1</v>
      </c>
      <c r="F117" s="10">
        <v>0</v>
      </c>
      <c r="G117" s="10">
        <v>0</v>
      </c>
      <c r="H117" s="10">
        <v>1</v>
      </c>
      <c r="I117" s="10">
        <v>1</v>
      </c>
      <c r="J117" s="10" t="s">
        <v>418</v>
      </c>
      <c r="K117" s="10">
        <f t="shared" si="10"/>
        <v>45363</v>
      </c>
      <c r="L117" s="10">
        <f t="shared" si="11"/>
        <v>5363</v>
      </c>
      <c r="M117" s="10">
        <f t="shared" si="12"/>
        <v>5362</v>
      </c>
      <c r="N117" s="10" t="s">
        <v>419</v>
      </c>
      <c r="O117" s="10" t="s">
        <v>324</v>
      </c>
      <c r="P117" s="10">
        <v>0</v>
      </c>
      <c r="Q117" s="55"/>
      <c r="R117" s="55"/>
    </row>
    <row r="118" spans="2:18" ht="15.6" x14ac:dyDescent="0.3">
      <c r="B118" s="54" t="s">
        <v>320</v>
      </c>
      <c r="C118" s="10" t="s">
        <v>321</v>
      </c>
      <c r="D118" s="10">
        <v>2</v>
      </c>
      <c r="E118" s="10">
        <f t="shared" si="9"/>
        <v>1</v>
      </c>
      <c r="F118" s="10">
        <v>0</v>
      </c>
      <c r="G118" s="10">
        <v>0</v>
      </c>
      <c r="H118" s="10">
        <v>1</v>
      </c>
      <c r="I118" s="10">
        <v>1</v>
      </c>
      <c r="J118" s="10" t="s">
        <v>418</v>
      </c>
      <c r="K118" s="10">
        <f t="shared" si="10"/>
        <v>45364</v>
      </c>
      <c r="L118" s="10">
        <f t="shared" si="11"/>
        <v>5364</v>
      </c>
      <c r="M118" s="10">
        <f t="shared" si="12"/>
        <v>5363</v>
      </c>
      <c r="N118" s="10" t="s">
        <v>419</v>
      </c>
      <c r="O118" s="10" t="s">
        <v>324</v>
      </c>
      <c r="P118" s="10">
        <v>0</v>
      </c>
      <c r="Q118" s="55"/>
      <c r="R118" s="55"/>
    </row>
    <row r="119" spans="2:18" ht="15.6" x14ac:dyDescent="0.3">
      <c r="B119" s="54" t="s">
        <v>320</v>
      </c>
      <c r="C119" s="10" t="s">
        <v>321</v>
      </c>
      <c r="D119" s="10">
        <v>2</v>
      </c>
      <c r="E119" s="10">
        <f t="shared" si="9"/>
        <v>1</v>
      </c>
      <c r="F119" s="10">
        <v>0</v>
      </c>
      <c r="G119" s="10">
        <v>0</v>
      </c>
      <c r="H119" s="10">
        <v>1</v>
      </c>
      <c r="I119" s="10">
        <v>1</v>
      </c>
      <c r="J119" s="10" t="s">
        <v>418</v>
      </c>
      <c r="K119" s="10">
        <f t="shared" si="10"/>
        <v>45365</v>
      </c>
      <c r="L119" s="10">
        <f t="shared" si="11"/>
        <v>5365</v>
      </c>
      <c r="M119" s="10">
        <f t="shared" si="12"/>
        <v>5364</v>
      </c>
      <c r="N119" s="10" t="s">
        <v>419</v>
      </c>
      <c r="O119" s="10" t="s">
        <v>324</v>
      </c>
      <c r="P119" s="10">
        <v>0</v>
      </c>
      <c r="Q119" s="55"/>
      <c r="R119" s="55"/>
    </row>
    <row r="120" spans="2:18" ht="15.6" x14ac:dyDescent="0.3">
      <c r="B120" s="54" t="s">
        <v>320</v>
      </c>
      <c r="C120" s="10" t="s">
        <v>321</v>
      </c>
      <c r="D120" s="10">
        <v>2</v>
      </c>
      <c r="E120" s="10">
        <f t="shared" si="9"/>
        <v>1</v>
      </c>
      <c r="F120" s="10">
        <v>0</v>
      </c>
      <c r="G120" s="10">
        <v>0</v>
      </c>
      <c r="H120" s="10">
        <v>1</v>
      </c>
      <c r="I120" s="10">
        <v>1</v>
      </c>
      <c r="J120" s="10" t="s">
        <v>418</v>
      </c>
      <c r="K120" s="10">
        <f t="shared" si="10"/>
        <v>45366</v>
      </c>
      <c r="L120" s="10">
        <f t="shared" si="11"/>
        <v>5366</v>
      </c>
      <c r="M120" s="10">
        <f t="shared" si="12"/>
        <v>5365</v>
      </c>
      <c r="N120" s="10" t="s">
        <v>419</v>
      </c>
      <c r="O120" s="10" t="s">
        <v>324</v>
      </c>
      <c r="P120" s="10">
        <v>0</v>
      </c>
      <c r="Q120" s="55"/>
      <c r="R120" s="55"/>
    </row>
    <row r="121" spans="2:18" ht="15.6" x14ac:dyDescent="0.3">
      <c r="B121" s="54" t="s">
        <v>320</v>
      </c>
      <c r="C121" s="10" t="s">
        <v>321</v>
      </c>
      <c r="D121" s="10">
        <v>2</v>
      </c>
      <c r="E121" s="10">
        <f t="shared" si="9"/>
        <v>1</v>
      </c>
      <c r="F121" s="10">
        <v>0</v>
      </c>
      <c r="G121" s="10">
        <v>0</v>
      </c>
      <c r="H121" s="10">
        <v>1</v>
      </c>
      <c r="I121" s="10">
        <v>1</v>
      </c>
      <c r="J121" s="10" t="s">
        <v>418</v>
      </c>
      <c r="K121" s="10">
        <f t="shared" si="10"/>
        <v>45367</v>
      </c>
      <c r="L121" s="10">
        <f t="shared" si="11"/>
        <v>5367</v>
      </c>
      <c r="M121" s="10">
        <f t="shared" si="12"/>
        <v>5366</v>
      </c>
      <c r="N121" s="10" t="s">
        <v>419</v>
      </c>
      <c r="O121" s="10" t="s">
        <v>324</v>
      </c>
      <c r="P121" s="10">
        <v>0</v>
      </c>
      <c r="Q121" s="55"/>
      <c r="R121" s="55"/>
    </row>
    <row r="122" spans="2:18" ht="15.6" x14ac:dyDescent="0.3">
      <c r="B122" s="54" t="s">
        <v>320</v>
      </c>
      <c r="C122" s="10" t="s">
        <v>321</v>
      </c>
      <c r="D122" s="10">
        <v>2</v>
      </c>
      <c r="E122" s="10">
        <f t="shared" si="9"/>
        <v>1</v>
      </c>
      <c r="F122" s="10">
        <v>0</v>
      </c>
      <c r="G122" s="10">
        <v>0</v>
      </c>
      <c r="H122" s="10">
        <v>1</v>
      </c>
      <c r="I122" s="10">
        <v>1</v>
      </c>
      <c r="J122" s="10" t="s">
        <v>418</v>
      </c>
      <c r="K122" s="10">
        <f t="shared" si="10"/>
        <v>45368</v>
      </c>
      <c r="L122" s="10">
        <f t="shared" si="11"/>
        <v>5368</v>
      </c>
      <c r="M122" s="10">
        <f t="shared" si="12"/>
        <v>5367</v>
      </c>
      <c r="N122" s="10" t="s">
        <v>419</v>
      </c>
      <c r="O122" s="10" t="s">
        <v>324</v>
      </c>
      <c r="P122" s="10">
        <v>0</v>
      </c>
      <c r="Q122" s="55"/>
      <c r="R122" s="55"/>
    </row>
    <row r="123" spans="2:18" ht="15.6" x14ac:dyDescent="0.3">
      <c r="B123" s="54" t="s">
        <v>320</v>
      </c>
      <c r="C123" s="10" t="s">
        <v>321</v>
      </c>
      <c r="D123" s="10">
        <v>2</v>
      </c>
      <c r="E123" s="10">
        <f t="shared" si="9"/>
        <v>1</v>
      </c>
      <c r="F123" s="10">
        <v>0</v>
      </c>
      <c r="G123" s="10">
        <v>0</v>
      </c>
      <c r="H123" s="10">
        <v>1</v>
      </c>
      <c r="I123" s="10">
        <v>1</v>
      </c>
      <c r="J123" s="10" t="s">
        <v>418</v>
      </c>
      <c r="K123" s="10">
        <f t="shared" si="10"/>
        <v>45369</v>
      </c>
      <c r="L123" s="10">
        <f t="shared" si="11"/>
        <v>5369</v>
      </c>
      <c r="M123" s="10">
        <f t="shared" si="12"/>
        <v>5368</v>
      </c>
      <c r="N123" s="10" t="s">
        <v>419</v>
      </c>
      <c r="O123" s="10" t="s">
        <v>324</v>
      </c>
      <c r="P123" s="10">
        <v>0</v>
      </c>
      <c r="Q123" s="55"/>
      <c r="R123" s="55"/>
    </row>
    <row r="124" spans="2:18" ht="15.6" x14ac:dyDescent="0.3">
      <c r="B124" s="54" t="s">
        <v>320</v>
      </c>
      <c r="C124" s="10" t="s">
        <v>321</v>
      </c>
      <c r="D124" s="10">
        <v>2</v>
      </c>
      <c r="E124" s="10">
        <f t="shared" si="9"/>
        <v>1</v>
      </c>
      <c r="F124" s="10">
        <v>0</v>
      </c>
      <c r="G124" s="10">
        <v>0</v>
      </c>
      <c r="H124" s="10">
        <v>1</v>
      </c>
      <c r="I124" s="10">
        <v>1</v>
      </c>
      <c r="J124" s="10" t="s">
        <v>418</v>
      </c>
      <c r="K124" s="10">
        <f t="shared" si="10"/>
        <v>45370</v>
      </c>
      <c r="L124" s="10">
        <f t="shared" si="11"/>
        <v>5370</v>
      </c>
      <c r="M124" s="10">
        <f t="shared" si="12"/>
        <v>5369</v>
      </c>
      <c r="N124" s="10" t="s">
        <v>419</v>
      </c>
      <c r="O124" s="10" t="s">
        <v>324</v>
      </c>
      <c r="P124" s="10">
        <v>0</v>
      </c>
      <c r="Q124" s="55"/>
      <c r="R124" s="55"/>
    </row>
    <row r="125" spans="2:18" ht="15.6" x14ac:dyDescent="0.3">
      <c r="B125" s="54" t="s">
        <v>320</v>
      </c>
      <c r="C125" s="10" t="s">
        <v>321</v>
      </c>
      <c r="D125" s="10">
        <v>2</v>
      </c>
      <c r="E125" s="10">
        <f t="shared" si="9"/>
        <v>1</v>
      </c>
      <c r="F125" s="10">
        <v>0</v>
      </c>
      <c r="G125" s="10">
        <v>0</v>
      </c>
      <c r="H125" s="10">
        <v>1</v>
      </c>
      <c r="I125" s="10">
        <v>1</v>
      </c>
      <c r="J125" s="10" t="s">
        <v>418</v>
      </c>
      <c r="K125" s="10">
        <f t="shared" si="10"/>
        <v>45371</v>
      </c>
      <c r="L125" s="10">
        <f t="shared" si="11"/>
        <v>5371</v>
      </c>
      <c r="M125" s="10">
        <f t="shared" si="12"/>
        <v>5370</v>
      </c>
      <c r="N125" s="10" t="s">
        <v>419</v>
      </c>
      <c r="O125" s="10" t="s">
        <v>324</v>
      </c>
      <c r="P125" s="10">
        <v>0</v>
      </c>
      <c r="Q125" s="55"/>
      <c r="R125" s="55"/>
    </row>
    <row r="126" spans="2:18" ht="15.6" x14ac:dyDescent="0.3">
      <c r="B126" s="54" t="s">
        <v>320</v>
      </c>
      <c r="C126" s="10" t="s">
        <v>321</v>
      </c>
      <c r="D126" s="10">
        <v>2</v>
      </c>
      <c r="E126" s="10">
        <f t="shared" si="9"/>
        <v>1</v>
      </c>
      <c r="F126" s="10">
        <v>0</v>
      </c>
      <c r="G126" s="10">
        <v>0</v>
      </c>
      <c r="H126" s="10">
        <v>1</v>
      </c>
      <c r="I126" s="10">
        <v>1</v>
      </c>
      <c r="J126" s="10" t="s">
        <v>418</v>
      </c>
      <c r="K126" s="10">
        <f t="shared" si="10"/>
        <v>45372</v>
      </c>
      <c r="L126" s="10">
        <f t="shared" si="11"/>
        <v>5372</v>
      </c>
      <c r="M126" s="10">
        <f t="shared" si="12"/>
        <v>5371</v>
      </c>
      <c r="N126" s="10" t="s">
        <v>419</v>
      </c>
      <c r="O126" s="10" t="s">
        <v>324</v>
      </c>
      <c r="P126" s="10">
        <v>0</v>
      </c>
      <c r="Q126" s="55"/>
      <c r="R126" s="55"/>
    </row>
    <row r="127" spans="2:18" ht="15.6" x14ac:dyDescent="0.3">
      <c r="B127" s="54" t="s">
        <v>320</v>
      </c>
      <c r="C127" s="10" t="s">
        <v>321</v>
      </c>
      <c r="D127" s="10">
        <v>2</v>
      </c>
      <c r="E127" s="10">
        <f t="shared" si="9"/>
        <v>1</v>
      </c>
      <c r="F127" s="10">
        <v>0</v>
      </c>
      <c r="G127" s="10">
        <v>0</v>
      </c>
      <c r="H127" s="10">
        <v>1</v>
      </c>
      <c r="I127" s="10">
        <v>1</v>
      </c>
      <c r="J127" s="10" t="s">
        <v>418</v>
      </c>
      <c r="K127" s="10">
        <f t="shared" si="10"/>
        <v>45373</v>
      </c>
      <c r="L127" s="10">
        <f t="shared" si="11"/>
        <v>5373</v>
      </c>
      <c r="M127" s="10">
        <f t="shared" si="12"/>
        <v>5372</v>
      </c>
      <c r="N127" s="10" t="s">
        <v>419</v>
      </c>
      <c r="O127" s="10" t="s">
        <v>324</v>
      </c>
      <c r="P127" s="10">
        <v>0</v>
      </c>
      <c r="Q127" s="55"/>
      <c r="R127" s="55"/>
    </row>
    <row r="128" spans="2:18" ht="15.6" x14ac:dyDescent="0.3">
      <c r="B128" s="54" t="s">
        <v>320</v>
      </c>
      <c r="C128" s="10" t="s">
        <v>321</v>
      </c>
      <c r="D128" s="10">
        <v>2</v>
      </c>
      <c r="E128" s="10">
        <f t="shared" si="9"/>
        <v>1</v>
      </c>
      <c r="F128" s="10">
        <v>0</v>
      </c>
      <c r="G128" s="10">
        <v>0</v>
      </c>
      <c r="H128" s="10">
        <v>1</v>
      </c>
      <c r="I128" s="10">
        <v>1</v>
      </c>
      <c r="J128" s="10" t="s">
        <v>418</v>
      </c>
      <c r="K128" s="10">
        <f t="shared" si="10"/>
        <v>45374</v>
      </c>
      <c r="L128" s="10">
        <f t="shared" si="11"/>
        <v>5374</v>
      </c>
      <c r="M128" s="10">
        <f t="shared" si="12"/>
        <v>5373</v>
      </c>
      <c r="N128" s="10" t="s">
        <v>419</v>
      </c>
      <c r="O128" s="10" t="s">
        <v>324</v>
      </c>
      <c r="P128" s="10">
        <v>0</v>
      </c>
      <c r="Q128" s="55"/>
      <c r="R128" s="55"/>
    </row>
    <row r="129" spans="2:18" ht="15.6" x14ac:dyDescent="0.3">
      <c r="B129" s="54" t="s">
        <v>320</v>
      </c>
      <c r="C129" s="10" t="s">
        <v>321</v>
      </c>
      <c r="D129" s="10">
        <v>2</v>
      </c>
      <c r="E129" s="10">
        <f t="shared" si="9"/>
        <v>1</v>
      </c>
      <c r="F129" s="10">
        <v>0</v>
      </c>
      <c r="G129" s="10">
        <v>0</v>
      </c>
      <c r="H129" s="10">
        <v>1</v>
      </c>
      <c r="I129" s="10">
        <v>1</v>
      </c>
      <c r="J129" s="10" t="s">
        <v>418</v>
      </c>
      <c r="K129" s="10">
        <f t="shared" si="10"/>
        <v>45375</v>
      </c>
      <c r="L129" s="10">
        <f t="shared" si="11"/>
        <v>5375</v>
      </c>
      <c r="M129" s="10">
        <f t="shared" si="12"/>
        <v>5374</v>
      </c>
      <c r="N129" s="10" t="s">
        <v>419</v>
      </c>
      <c r="O129" s="10" t="s">
        <v>324</v>
      </c>
      <c r="P129" s="10">
        <v>0</v>
      </c>
      <c r="Q129" s="55"/>
      <c r="R129" s="55"/>
    </row>
    <row r="130" spans="2:18" ht="15.6" x14ac:dyDescent="0.3">
      <c r="B130" s="479" t="s">
        <v>1409</v>
      </c>
      <c r="C130" s="480"/>
      <c r="D130" s="480"/>
      <c r="E130" s="480"/>
      <c r="F130" s="480"/>
      <c r="G130" s="480"/>
      <c r="H130" s="480"/>
      <c r="I130" s="480"/>
      <c r="J130" s="480"/>
      <c r="K130" s="480"/>
      <c r="L130" s="480"/>
      <c r="M130" s="480"/>
      <c r="N130" s="480"/>
      <c r="O130" s="480"/>
      <c r="P130" s="480"/>
      <c r="Q130" s="480"/>
      <c r="R130" s="481"/>
    </row>
    <row r="131" spans="2:18" ht="15.6" x14ac:dyDescent="0.3">
      <c r="B131" s="54" t="s">
        <v>1410</v>
      </c>
      <c r="C131" s="10" t="s">
        <v>321</v>
      </c>
      <c r="D131" s="54">
        <v>2</v>
      </c>
      <c r="E131" s="54">
        <f>D131/2</f>
        <v>1</v>
      </c>
      <c r="F131" s="10">
        <v>0</v>
      </c>
      <c r="G131" s="54">
        <v>3</v>
      </c>
      <c r="H131" s="10">
        <v>1</v>
      </c>
      <c r="I131" s="10">
        <v>1</v>
      </c>
      <c r="J131" s="10" t="s">
        <v>418</v>
      </c>
      <c r="K131" s="54">
        <f>K129+E129</f>
        <v>45376</v>
      </c>
      <c r="L131" s="10">
        <f t="shared" si="11"/>
        <v>5376</v>
      </c>
      <c r="M131" s="10">
        <f t="shared" si="12"/>
        <v>5375</v>
      </c>
      <c r="N131" s="10" t="s">
        <v>419</v>
      </c>
      <c r="O131" s="10" t="s">
        <v>327</v>
      </c>
      <c r="P131" s="10">
        <v>0</v>
      </c>
      <c r="Q131" s="54"/>
      <c r="R131" s="54"/>
    </row>
    <row r="132" spans="2:18" ht="15.6" x14ac:dyDescent="0.3">
      <c r="B132" s="54" t="s">
        <v>1411</v>
      </c>
      <c r="C132" s="10" t="s">
        <v>321</v>
      </c>
      <c r="D132" s="54">
        <v>2</v>
      </c>
      <c r="E132" s="54">
        <f t="shared" ref="E132:E146" si="13">D132/2</f>
        <v>1</v>
      </c>
      <c r="F132" s="10">
        <v>0</v>
      </c>
      <c r="G132" s="54">
        <v>65535</v>
      </c>
      <c r="H132" s="10">
        <v>1</v>
      </c>
      <c r="I132" s="64" t="s">
        <v>386</v>
      </c>
      <c r="J132" s="10" t="s">
        <v>418</v>
      </c>
      <c r="K132" s="54">
        <f>E131+K131</f>
        <v>45377</v>
      </c>
      <c r="L132" s="10">
        <f t="shared" si="11"/>
        <v>5377</v>
      </c>
      <c r="M132" s="10">
        <f t="shared" si="12"/>
        <v>5376</v>
      </c>
      <c r="N132" s="10" t="s">
        <v>419</v>
      </c>
      <c r="O132" s="10" t="s">
        <v>327</v>
      </c>
      <c r="P132" s="10">
        <v>0</v>
      </c>
      <c r="Q132" s="54"/>
      <c r="R132" s="54"/>
    </row>
    <row r="133" spans="2:18" ht="15.6" x14ac:dyDescent="0.3">
      <c r="B133" s="54" t="s">
        <v>1412</v>
      </c>
      <c r="C133" s="10" t="s">
        <v>321</v>
      </c>
      <c r="D133" s="54">
        <v>2</v>
      </c>
      <c r="E133" s="54">
        <f t="shared" si="13"/>
        <v>1</v>
      </c>
      <c r="F133" s="10">
        <v>0</v>
      </c>
      <c r="G133" s="54">
        <v>65535</v>
      </c>
      <c r="H133" s="10">
        <v>1</v>
      </c>
      <c r="I133" s="10">
        <v>1</v>
      </c>
      <c r="J133" s="10" t="s">
        <v>418</v>
      </c>
      <c r="K133" s="54">
        <f t="shared" ref="K133:K146" si="14">E132+K132</f>
        <v>45378</v>
      </c>
      <c r="L133" s="10">
        <f t="shared" si="11"/>
        <v>5378</v>
      </c>
      <c r="M133" s="10">
        <f t="shared" si="12"/>
        <v>5377</v>
      </c>
      <c r="N133" s="10" t="s">
        <v>419</v>
      </c>
      <c r="O133" s="10" t="s">
        <v>327</v>
      </c>
      <c r="P133" s="10">
        <v>0</v>
      </c>
      <c r="Q133" s="54"/>
      <c r="R133" s="54"/>
    </row>
    <row r="134" spans="2:18" ht="15.6" x14ac:dyDescent="0.3">
      <c r="B134" s="54" t="s">
        <v>1413</v>
      </c>
      <c r="C134" s="10" t="s">
        <v>321</v>
      </c>
      <c r="D134" s="54">
        <v>2</v>
      </c>
      <c r="E134" s="54">
        <f t="shared" si="13"/>
        <v>1</v>
      </c>
      <c r="F134" s="10">
        <v>0</v>
      </c>
      <c r="G134" s="54">
        <v>65535</v>
      </c>
      <c r="H134" s="10">
        <v>1</v>
      </c>
      <c r="I134" s="10">
        <v>1</v>
      </c>
      <c r="J134" s="10" t="s">
        <v>418</v>
      </c>
      <c r="K134" s="54">
        <f t="shared" si="14"/>
        <v>45379</v>
      </c>
      <c r="L134" s="10">
        <f t="shared" ref="L134:L198" si="15">K134-40000</f>
        <v>5379</v>
      </c>
      <c r="M134" s="10">
        <f t="shared" ref="M134:M198" si="16">L134-1</f>
        <v>5378</v>
      </c>
      <c r="N134" s="10" t="s">
        <v>419</v>
      </c>
      <c r="O134" s="10" t="s">
        <v>327</v>
      </c>
      <c r="P134" s="10">
        <v>0</v>
      </c>
      <c r="Q134" s="54"/>
      <c r="R134" s="54"/>
    </row>
    <row r="135" spans="2:18" ht="15.6" x14ac:dyDescent="0.3">
      <c r="B135" s="54" t="s">
        <v>1414</v>
      </c>
      <c r="C135" s="10" t="s">
        <v>321</v>
      </c>
      <c r="D135" s="54">
        <v>2</v>
      </c>
      <c r="E135" s="54">
        <f t="shared" si="13"/>
        <v>1</v>
      </c>
      <c r="F135" s="10">
        <v>0</v>
      </c>
      <c r="G135" s="54">
        <v>3</v>
      </c>
      <c r="H135" s="10">
        <v>1</v>
      </c>
      <c r="I135" s="10">
        <v>1</v>
      </c>
      <c r="J135" s="10" t="s">
        <v>418</v>
      </c>
      <c r="K135" s="54">
        <f t="shared" si="14"/>
        <v>45380</v>
      </c>
      <c r="L135" s="10">
        <f t="shared" si="15"/>
        <v>5380</v>
      </c>
      <c r="M135" s="10">
        <f t="shared" si="16"/>
        <v>5379</v>
      </c>
      <c r="N135" s="10" t="s">
        <v>419</v>
      </c>
      <c r="O135" s="10" t="s">
        <v>327</v>
      </c>
      <c r="P135" s="10">
        <v>0</v>
      </c>
      <c r="Q135" s="54"/>
      <c r="R135" s="54"/>
    </row>
    <row r="136" spans="2:18" ht="15.6" x14ac:dyDescent="0.3">
      <c r="B136" s="54" t="s">
        <v>1415</v>
      </c>
      <c r="C136" s="10" t="s">
        <v>321</v>
      </c>
      <c r="D136" s="54">
        <v>2</v>
      </c>
      <c r="E136" s="54">
        <f t="shared" si="13"/>
        <v>1</v>
      </c>
      <c r="F136" s="10">
        <v>0</v>
      </c>
      <c r="G136" s="54">
        <v>65535</v>
      </c>
      <c r="H136" s="10">
        <v>1</v>
      </c>
      <c r="I136" s="64" t="s">
        <v>386</v>
      </c>
      <c r="J136" s="10" t="s">
        <v>418</v>
      </c>
      <c r="K136" s="54">
        <f t="shared" si="14"/>
        <v>45381</v>
      </c>
      <c r="L136" s="10">
        <f t="shared" si="15"/>
        <v>5381</v>
      </c>
      <c r="M136" s="10">
        <f t="shared" si="16"/>
        <v>5380</v>
      </c>
      <c r="N136" s="10" t="s">
        <v>419</v>
      </c>
      <c r="O136" s="10" t="s">
        <v>327</v>
      </c>
      <c r="P136" s="10">
        <v>0</v>
      </c>
      <c r="Q136" s="54"/>
      <c r="R136" s="54"/>
    </row>
    <row r="137" spans="2:18" ht="15.6" x14ac:dyDescent="0.3">
      <c r="B137" s="54" t="s">
        <v>1416</v>
      </c>
      <c r="C137" s="10" t="s">
        <v>321</v>
      </c>
      <c r="D137" s="54">
        <v>2</v>
      </c>
      <c r="E137" s="54">
        <f t="shared" si="13"/>
        <v>1</v>
      </c>
      <c r="F137" s="10">
        <v>0</v>
      </c>
      <c r="G137" s="54">
        <v>65535</v>
      </c>
      <c r="H137" s="10">
        <v>1</v>
      </c>
      <c r="I137" s="10">
        <v>1</v>
      </c>
      <c r="J137" s="10" t="s">
        <v>418</v>
      </c>
      <c r="K137" s="54">
        <f t="shared" si="14"/>
        <v>45382</v>
      </c>
      <c r="L137" s="10">
        <f t="shared" si="15"/>
        <v>5382</v>
      </c>
      <c r="M137" s="10">
        <f t="shared" si="16"/>
        <v>5381</v>
      </c>
      <c r="N137" s="10" t="s">
        <v>419</v>
      </c>
      <c r="O137" s="10" t="s">
        <v>327</v>
      </c>
      <c r="P137" s="10">
        <v>0</v>
      </c>
      <c r="Q137" s="54"/>
      <c r="R137" s="54"/>
    </row>
    <row r="138" spans="2:18" ht="15.6" x14ac:dyDescent="0.3">
      <c r="B138" s="54" t="s">
        <v>1417</v>
      </c>
      <c r="C138" s="10" t="s">
        <v>321</v>
      </c>
      <c r="D138" s="54">
        <v>2</v>
      </c>
      <c r="E138" s="54">
        <f t="shared" si="13"/>
        <v>1</v>
      </c>
      <c r="F138" s="10">
        <v>0</v>
      </c>
      <c r="G138" s="54">
        <v>65535</v>
      </c>
      <c r="H138" s="10">
        <v>1</v>
      </c>
      <c r="I138" s="10">
        <v>1</v>
      </c>
      <c r="J138" s="10" t="s">
        <v>418</v>
      </c>
      <c r="K138" s="54">
        <f t="shared" si="14"/>
        <v>45383</v>
      </c>
      <c r="L138" s="10">
        <f t="shared" si="15"/>
        <v>5383</v>
      </c>
      <c r="M138" s="10">
        <f t="shared" si="16"/>
        <v>5382</v>
      </c>
      <c r="N138" s="10" t="s">
        <v>419</v>
      </c>
      <c r="O138" s="10" t="s">
        <v>327</v>
      </c>
      <c r="P138" s="10">
        <v>0</v>
      </c>
      <c r="Q138" s="54"/>
      <c r="R138" s="54"/>
    </row>
    <row r="139" spans="2:18" ht="15.6" x14ac:dyDescent="0.3">
      <c r="B139" s="54" t="s">
        <v>1418</v>
      </c>
      <c r="C139" s="10" t="s">
        <v>321</v>
      </c>
      <c r="D139" s="54">
        <v>2</v>
      </c>
      <c r="E139" s="54">
        <f t="shared" si="13"/>
        <v>1</v>
      </c>
      <c r="F139" s="10">
        <v>0</v>
      </c>
      <c r="G139" s="54">
        <v>3</v>
      </c>
      <c r="H139" s="10">
        <v>1</v>
      </c>
      <c r="I139" s="10">
        <v>1</v>
      </c>
      <c r="J139" s="10" t="s">
        <v>418</v>
      </c>
      <c r="K139" s="54">
        <f t="shared" si="14"/>
        <v>45384</v>
      </c>
      <c r="L139" s="10">
        <f t="shared" si="15"/>
        <v>5384</v>
      </c>
      <c r="M139" s="10">
        <f t="shared" si="16"/>
        <v>5383</v>
      </c>
      <c r="N139" s="10" t="s">
        <v>419</v>
      </c>
      <c r="O139" s="10" t="s">
        <v>327</v>
      </c>
      <c r="P139" s="10">
        <v>0</v>
      </c>
      <c r="Q139" s="54"/>
      <c r="R139" s="54"/>
    </row>
    <row r="140" spans="2:18" ht="15.6" x14ac:dyDescent="0.3">
      <c r="B140" s="54" t="s">
        <v>1419</v>
      </c>
      <c r="C140" s="10" t="s">
        <v>321</v>
      </c>
      <c r="D140" s="54">
        <v>2</v>
      </c>
      <c r="E140" s="54">
        <f t="shared" si="13"/>
        <v>1</v>
      </c>
      <c r="F140" s="10">
        <v>0</v>
      </c>
      <c r="G140" s="54">
        <v>65535</v>
      </c>
      <c r="H140" s="10">
        <v>1</v>
      </c>
      <c r="I140" s="64" t="s">
        <v>386</v>
      </c>
      <c r="J140" s="10" t="s">
        <v>418</v>
      </c>
      <c r="K140" s="54">
        <f t="shared" si="14"/>
        <v>45385</v>
      </c>
      <c r="L140" s="10">
        <f t="shared" si="15"/>
        <v>5385</v>
      </c>
      <c r="M140" s="10">
        <f t="shared" si="16"/>
        <v>5384</v>
      </c>
      <c r="N140" s="10" t="s">
        <v>419</v>
      </c>
      <c r="O140" s="10" t="s">
        <v>327</v>
      </c>
      <c r="P140" s="10">
        <v>0</v>
      </c>
      <c r="Q140" s="54"/>
      <c r="R140" s="54"/>
    </row>
    <row r="141" spans="2:18" ht="15.6" x14ac:dyDescent="0.3">
      <c r="B141" s="54" t="s">
        <v>1420</v>
      </c>
      <c r="C141" s="10" t="s">
        <v>321</v>
      </c>
      <c r="D141" s="54">
        <v>2</v>
      </c>
      <c r="E141" s="54">
        <f t="shared" si="13"/>
        <v>1</v>
      </c>
      <c r="F141" s="10">
        <v>0</v>
      </c>
      <c r="G141" s="54">
        <v>65535</v>
      </c>
      <c r="H141" s="10">
        <v>1</v>
      </c>
      <c r="I141" s="10">
        <v>1</v>
      </c>
      <c r="J141" s="10" t="s">
        <v>418</v>
      </c>
      <c r="K141" s="54">
        <f t="shared" si="14"/>
        <v>45386</v>
      </c>
      <c r="L141" s="10">
        <f t="shared" si="15"/>
        <v>5386</v>
      </c>
      <c r="M141" s="10">
        <f t="shared" si="16"/>
        <v>5385</v>
      </c>
      <c r="N141" s="10" t="s">
        <v>419</v>
      </c>
      <c r="O141" s="10" t="s">
        <v>327</v>
      </c>
      <c r="P141" s="10">
        <v>0</v>
      </c>
      <c r="Q141" s="54"/>
      <c r="R141" s="54"/>
    </row>
    <row r="142" spans="2:18" ht="15.6" x14ac:dyDescent="0.3">
      <c r="B142" s="54" t="s">
        <v>1421</v>
      </c>
      <c r="C142" s="10" t="s">
        <v>321</v>
      </c>
      <c r="D142" s="54">
        <v>2</v>
      </c>
      <c r="E142" s="54">
        <f t="shared" si="13"/>
        <v>1</v>
      </c>
      <c r="F142" s="10">
        <v>0</v>
      </c>
      <c r="G142" s="54">
        <v>65535</v>
      </c>
      <c r="H142" s="10">
        <v>1</v>
      </c>
      <c r="I142" s="10">
        <v>1</v>
      </c>
      <c r="J142" s="10" t="s">
        <v>418</v>
      </c>
      <c r="K142" s="54">
        <f t="shared" si="14"/>
        <v>45387</v>
      </c>
      <c r="L142" s="10">
        <f t="shared" si="15"/>
        <v>5387</v>
      </c>
      <c r="M142" s="10">
        <f t="shared" si="16"/>
        <v>5386</v>
      </c>
      <c r="N142" s="10" t="s">
        <v>419</v>
      </c>
      <c r="O142" s="10" t="s">
        <v>327</v>
      </c>
      <c r="P142" s="10">
        <v>0</v>
      </c>
      <c r="Q142" s="54"/>
      <c r="R142" s="54"/>
    </row>
    <row r="143" spans="2:18" ht="15.6" x14ac:dyDescent="0.3">
      <c r="B143" s="54" t="s">
        <v>1422</v>
      </c>
      <c r="C143" s="10" t="s">
        <v>321</v>
      </c>
      <c r="D143" s="54">
        <v>2</v>
      </c>
      <c r="E143" s="54">
        <f t="shared" si="13"/>
        <v>1</v>
      </c>
      <c r="F143" s="10">
        <v>0</v>
      </c>
      <c r="G143" s="54">
        <v>3</v>
      </c>
      <c r="H143" s="10">
        <v>1</v>
      </c>
      <c r="I143" s="10">
        <v>1</v>
      </c>
      <c r="J143" s="10" t="s">
        <v>418</v>
      </c>
      <c r="K143" s="54">
        <f t="shared" si="14"/>
        <v>45388</v>
      </c>
      <c r="L143" s="10">
        <f t="shared" si="15"/>
        <v>5388</v>
      </c>
      <c r="M143" s="10">
        <f t="shared" si="16"/>
        <v>5387</v>
      </c>
      <c r="N143" s="10" t="s">
        <v>419</v>
      </c>
      <c r="O143" s="10" t="s">
        <v>327</v>
      </c>
      <c r="P143" s="10">
        <v>0</v>
      </c>
      <c r="Q143" s="54"/>
      <c r="R143" s="54"/>
    </row>
    <row r="144" spans="2:18" ht="15.6" x14ac:dyDescent="0.3">
      <c r="B144" s="54" t="s">
        <v>1423</v>
      </c>
      <c r="C144" s="10" t="s">
        <v>321</v>
      </c>
      <c r="D144" s="54">
        <v>2</v>
      </c>
      <c r="E144" s="54">
        <f t="shared" si="13"/>
        <v>1</v>
      </c>
      <c r="F144" s="10">
        <v>0</v>
      </c>
      <c r="G144" s="54">
        <v>65535</v>
      </c>
      <c r="H144" s="10">
        <v>1</v>
      </c>
      <c r="I144" s="64" t="s">
        <v>386</v>
      </c>
      <c r="J144" s="10" t="s">
        <v>418</v>
      </c>
      <c r="K144" s="54">
        <f t="shared" si="14"/>
        <v>45389</v>
      </c>
      <c r="L144" s="10">
        <f t="shared" si="15"/>
        <v>5389</v>
      </c>
      <c r="M144" s="10">
        <f t="shared" si="16"/>
        <v>5388</v>
      </c>
      <c r="N144" s="10" t="s">
        <v>419</v>
      </c>
      <c r="O144" s="10" t="s">
        <v>327</v>
      </c>
      <c r="P144" s="10">
        <v>0</v>
      </c>
      <c r="Q144" s="54"/>
      <c r="R144" s="54"/>
    </row>
    <row r="145" spans="2:18" ht="15.6" x14ac:dyDescent="0.3">
      <c r="B145" s="54" t="s">
        <v>1424</v>
      </c>
      <c r="C145" s="10" t="s">
        <v>321</v>
      </c>
      <c r="D145" s="54">
        <v>2</v>
      </c>
      <c r="E145" s="54">
        <f t="shared" si="13"/>
        <v>1</v>
      </c>
      <c r="F145" s="10">
        <v>0</v>
      </c>
      <c r="G145" s="54">
        <v>65535</v>
      </c>
      <c r="H145" s="10">
        <v>1</v>
      </c>
      <c r="I145" s="10">
        <v>1</v>
      </c>
      <c r="J145" s="10" t="s">
        <v>418</v>
      </c>
      <c r="K145" s="54">
        <f t="shared" si="14"/>
        <v>45390</v>
      </c>
      <c r="L145" s="10">
        <f t="shared" si="15"/>
        <v>5390</v>
      </c>
      <c r="M145" s="10">
        <f t="shared" si="16"/>
        <v>5389</v>
      </c>
      <c r="N145" s="10" t="s">
        <v>419</v>
      </c>
      <c r="O145" s="10" t="s">
        <v>327</v>
      </c>
      <c r="P145" s="10">
        <v>0</v>
      </c>
      <c r="Q145" s="54"/>
      <c r="R145" s="54"/>
    </row>
    <row r="146" spans="2:18" ht="15.6" x14ac:dyDescent="0.3">
      <c r="B146" s="54" t="s">
        <v>1425</v>
      </c>
      <c r="C146" s="10" t="s">
        <v>321</v>
      </c>
      <c r="D146" s="54">
        <v>2</v>
      </c>
      <c r="E146" s="54">
        <f t="shared" si="13"/>
        <v>1</v>
      </c>
      <c r="F146" s="10">
        <v>0</v>
      </c>
      <c r="G146" s="54">
        <v>65535</v>
      </c>
      <c r="H146" s="10">
        <v>1</v>
      </c>
      <c r="I146" s="10">
        <v>1</v>
      </c>
      <c r="J146" s="10" t="s">
        <v>418</v>
      </c>
      <c r="K146" s="54">
        <f t="shared" si="14"/>
        <v>45391</v>
      </c>
      <c r="L146" s="10">
        <f t="shared" si="15"/>
        <v>5391</v>
      </c>
      <c r="M146" s="10">
        <f t="shared" si="16"/>
        <v>5390</v>
      </c>
      <c r="N146" s="10" t="s">
        <v>419</v>
      </c>
      <c r="O146" s="10" t="s">
        <v>327</v>
      </c>
      <c r="P146" s="10">
        <v>0</v>
      </c>
      <c r="Q146" s="54"/>
      <c r="R146" s="54"/>
    </row>
    <row r="147" spans="2:18" ht="15.6" x14ac:dyDescent="0.3">
      <c r="B147" s="493" t="s">
        <v>1426</v>
      </c>
      <c r="C147" s="493"/>
      <c r="D147" s="493"/>
      <c r="E147" s="493"/>
      <c r="F147" s="493"/>
      <c r="G147" s="493"/>
      <c r="H147" s="493"/>
      <c r="I147" s="493"/>
      <c r="J147" s="493"/>
      <c r="K147" s="493"/>
      <c r="L147" s="493"/>
      <c r="M147" s="493"/>
      <c r="N147" s="493"/>
      <c r="O147" s="493"/>
      <c r="P147" s="493"/>
      <c r="Q147" s="493"/>
      <c r="R147" s="493"/>
    </row>
    <row r="148" spans="2:18" ht="15.6" x14ac:dyDescent="0.3">
      <c r="B148" s="54" t="s">
        <v>1427</v>
      </c>
      <c r="C148" s="10" t="s">
        <v>321</v>
      </c>
      <c r="D148" s="54">
        <v>2</v>
      </c>
      <c r="E148" s="54">
        <f>D148/2</f>
        <v>1</v>
      </c>
      <c r="F148" s="10">
        <v>0</v>
      </c>
      <c r="G148" s="54">
        <v>3</v>
      </c>
      <c r="H148" s="10">
        <v>1</v>
      </c>
      <c r="I148" s="10">
        <v>1</v>
      </c>
      <c r="J148" s="10" t="s">
        <v>418</v>
      </c>
      <c r="K148" s="54">
        <f>E146+K146</f>
        <v>45392</v>
      </c>
      <c r="L148" s="10">
        <f t="shared" si="15"/>
        <v>5392</v>
      </c>
      <c r="M148" s="10">
        <f t="shared" si="16"/>
        <v>5391</v>
      </c>
      <c r="N148" s="10" t="s">
        <v>419</v>
      </c>
      <c r="O148" s="10" t="s">
        <v>327</v>
      </c>
      <c r="P148" s="10">
        <v>0</v>
      </c>
      <c r="Q148" s="54"/>
      <c r="R148" s="54"/>
    </row>
    <row r="149" spans="2:18" ht="15.6" x14ac:dyDescent="0.3">
      <c r="B149" s="54" t="s">
        <v>1428</v>
      </c>
      <c r="C149" s="10" t="s">
        <v>321</v>
      </c>
      <c r="D149" s="54">
        <v>2</v>
      </c>
      <c r="E149" s="54">
        <f t="shared" ref="E149:E159" si="17">D149/2</f>
        <v>1</v>
      </c>
      <c r="F149" s="10">
        <v>0</v>
      </c>
      <c r="G149" s="54">
        <v>65535</v>
      </c>
      <c r="H149" s="10">
        <v>1</v>
      </c>
      <c r="I149" s="10">
        <v>1</v>
      </c>
      <c r="J149" s="10" t="s">
        <v>418</v>
      </c>
      <c r="K149" s="54">
        <f>E148+K148</f>
        <v>45393</v>
      </c>
      <c r="L149" s="10">
        <f t="shared" si="15"/>
        <v>5393</v>
      </c>
      <c r="M149" s="10">
        <f t="shared" si="16"/>
        <v>5392</v>
      </c>
      <c r="N149" s="10" t="s">
        <v>419</v>
      </c>
      <c r="O149" s="10" t="s">
        <v>327</v>
      </c>
      <c r="P149" s="10">
        <v>0</v>
      </c>
      <c r="Q149" s="54"/>
      <c r="R149" s="54"/>
    </row>
    <row r="150" spans="2:18" ht="15.6" x14ac:dyDescent="0.3">
      <c r="B150" s="54" t="s">
        <v>1429</v>
      </c>
      <c r="C150" s="10" t="s">
        <v>321</v>
      </c>
      <c r="D150" s="54">
        <v>2</v>
      </c>
      <c r="E150" s="54">
        <f t="shared" si="17"/>
        <v>1</v>
      </c>
      <c r="F150" s="10">
        <v>0</v>
      </c>
      <c r="G150" s="54">
        <v>65535</v>
      </c>
      <c r="H150" s="10">
        <v>1</v>
      </c>
      <c r="I150" s="10">
        <v>1</v>
      </c>
      <c r="J150" s="10" t="s">
        <v>418</v>
      </c>
      <c r="K150" s="54">
        <f t="shared" ref="K150:K159" si="18">E149+K149</f>
        <v>45394</v>
      </c>
      <c r="L150" s="10">
        <f t="shared" si="15"/>
        <v>5394</v>
      </c>
      <c r="M150" s="10">
        <f t="shared" si="16"/>
        <v>5393</v>
      </c>
      <c r="N150" s="10" t="s">
        <v>419</v>
      </c>
      <c r="O150" s="10" t="s">
        <v>327</v>
      </c>
      <c r="P150" s="10">
        <v>0</v>
      </c>
      <c r="Q150" s="54"/>
      <c r="R150" s="54"/>
    </row>
    <row r="151" spans="2:18" ht="15.6" x14ac:dyDescent="0.3">
      <c r="B151" s="54" t="s">
        <v>1430</v>
      </c>
      <c r="C151" s="10" t="s">
        <v>321</v>
      </c>
      <c r="D151" s="54">
        <v>2</v>
      </c>
      <c r="E151" s="54">
        <f t="shared" si="17"/>
        <v>1</v>
      </c>
      <c r="F151" s="10">
        <v>0</v>
      </c>
      <c r="G151" s="54">
        <v>3</v>
      </c>
      <c r="H151" s="10">
        <v>1</v>
      </c>
      <c r="I151" s="10">
        <v>1</v>
      </c>
      <c r="J151" s="10" t="s">
        <v>418</v>
      </c>
      <c r="K151" s="54">
        <f t="shared" si="18"/>
        <v>45395</v>
      </c>
      <c r="L151" s="10">
        <f t="shared" si="15"/>
        <v>5395</v>
      </c>
      <c r="M151" s="10">
        <f t="shared" si="16"/>
        <v>5394</v>
      </c>
      <c r="N151" s="10" t="s">
        <v>419</v>
      </c>
      <c r="O151" s="10" t="s">
        <v>327</v>
      </c>
      <c r="P151" s="10">
        <v>0</v>
      </c>
      <c r="Q151" s="54"/>
      <c r="R151" s="54"/>
    </row>
    <row r="152" spans="2:18" ht="15.6" x14ac:dyDescent="0.3">
      <c r="B152" s="54" t="s">
        <v>1431</v>
      </c>
      <c r="C152" s="10" t="s">
        <v>321</v>
      </c>
      <c r="D152" s="54">
        <v>2</v>
      </c>
      <c r="E152" s="54">
        <f t="shared" si="17"/>
        <v>1</v>
      </c>
      <c r="F152" s="10">
        <v>0</v>
      </c>
      <c r="G152" s="54">
        <v>65535</v>
      </c>
      <c r="H152" s="10">
        <v>1</v>
      </c>
      <c r="I152" s="10">
        <v>1</v>
      </c>
      <c r="J152" s="10" t="s">
        <v>418</v>
      </c>
      <c r="K152" s="54">
        <f t="shared" si="18"/>
        <v>45396</v>
      </c>
      <c r="L152" s="10">
        <f t="shared" si="15"/>
        <v>5396</v>
      </c>
      <c r="M152" s="10">
        <f t="shared" si="16"/>
        <v>5395</v>
      </c>
      <c r="N152" s="10" t="s">
        <v>419</v>
      </c>
      <c r="O152" s="10" t="s">
        <v>327</v>
      </c>
      <c r="P152" s="10">
        <v>0</v>
      </c>
      <c r="Q152" s="54"/>
      <c r="R152" s="54"/>
    </row>
    <row r="153" spans="2:18" ht="15.6" x14ac:dyDescent="0.3">
      <c r="B153" s="54" t="s">
        <v>1432</v>
      </c>
      <c r="C153" s="10" t="s">
        <v>321</v>
      </c>
      <c r="D153" s="54">
        <v>2</v>
      </c>
      <c r="E153" s="54">
        <f t="shared" si="17"/>
        <v>1</v>
      </c>
      <c r="F153" s="10">
        <v>0</v>
      </c>
      <c r="G153" s="54">
        <v>65535</v>
      </c>
      <c r="H153" s="10">
        <v>1</v>
      </c>
      <c r="I153" s="10">
        <v>1</v>
      </c>
      <c r="J153" s="10" t="s">
        <v>418</v>
      </c>
      <c r="K153" s="54">
        <f t="shared" si="18"/>
        <v>45397</v>
      </c>
      <c r="L153" s="10">
        <f t="shared" si="15"/>
        <v>5397</v>
      </c>
      <c r="M153" s="10">
        <f t="shared" si="16"/>
        <v>5396</v>
      </c>
      <c r="N153" s="10" t="s">
        <v>419</v>
      </c>
      <c r="O153" s="10" t="s">
        <v>327</v>
      </c>
      <c r="P153" s="10">
        <v>0</v>
      </c>
      <c r="Q153" s="54"/>
      <c r="R153" s="54"/>
    </row>
    <row r="154" spans="2:18" ht="15.6" x14ac:dyDescent="0.3">
      <c r="B154" s="54" t="s">
        <v>1433</v>
      </c>
      <c r="C154" s="10" t="s">
        <v>321</v>
      </c>
      <c r="D154" s="54">
        <v>2</v>
      </c>
      <c r="E154" s="54">
        <f t="shared" si="17"/>
        <v>1</v>
      </c>
      <c r="F154" s="10">
        <v>0</v>
      </c>
      <c r="G154" s="54">
        <v>3</v>
      </c>
      <c r="H154" s="10">
        <v>1</v>
      </c>
      <c r="I154" s="10">
        <v>1</v>
      </c>
      <c r="J154" s="10" t="s">
        <v>418</v>
      </c>
      <c r="K154" s="54">
        <f t="shared" si="18"/>
        <v>45398</v>
      </c>
      <c r="L154" s="10">
        <f t="shared" si="15"/>
        <v>5398</v>
      </c>
      <c r="M154" s="10">
        <f t="shared" si="16"/>
        <v>5397</v>
      </c>
      <c r="N154" s="10" t="s">
        <v>419</v>
      </c>
      <c r="O154" s="10" t="s">
        <v>327</v>
      </c>
      <c r="P154" s="10">
        <v>0</v>
      </c>
      <c r="Q154" s="54"/>
      <c r="R154" s="54"/>
    </row>
    <row r="155" spans="2:18" ht="15.6" x14ac:dyDescent="0.3">
      <c r="B155" s="54" t="s">
        <v>1434</v>
      </c>
      <c r="C155" s="10" t="s">
        <v>321</v>
      </c>
      <c r="D155" s="54">
        <v>2</v>
      </c>
      <c r="E155" s="54">
        <f t="shared" si="17"/>
        <v>1</v>
      </c>
      <c r="F155" s="10">
        <v>0</v>
      </c>
      <c r="G155" s="54">
        <v>65535</v>
      </c>
      <c r="H155" s="10">
        <v>1</v>
      </c>
      <c r="I155" s="10">
        <v>1</v>
      </c>
      <c r="J155" s="10" t="s">
        <v>418</v>
      </c>
      <c r="K155" s="54">
        <f t="shared" si="18"/>
        <v>45399</v>
      </c>
      <c r="L155" s="10">
        <f t="shared" si="15"/>
        <v>5399</v>
      </c>
      <c r="M155" s="10">
        <f t="shared" si="16"/>
        <v>5398</v>
      </c>
      <c r="N155" s="10" t="s">
        <v>419</v>
      </c>
      <c r="O155" s="10" t="s">
        <v>327</v>
      </c>
      <c r="P155" s="10">
        <v>0</v>
      </c>
      <c r="Q155" s="54"/>
      <c r="R155" s="54"/>
    </row>
    <row r="156" spans="2:18" ht="15.6" x14ac:dyDescent="0.3">
      <c r="B156" s="54" t="s">
        <v>1435</v>
      </c>
      <c r="C156" s="10" t="s">
        <v>321</v>
      </c>
      <c r="D156" s="54">
        <v>2</v>
      </c>
      <c r="E156" s="54">
        <f t="shared" si="17"/>
        <v>1</v>
      </c>
      <c r="F156" s="10">
        <v>0</v>
      </c>
      <c r="G156" s="54">
        <v>65535</v>
      </c>
      <c r="H156" s="10">
        <v>1</v>
      </c>
      <c r="I156" s="10">
        <v>1</v>
      </c>
      <c r="J156" s="10" t="s">
        <v>418</v>
      </c>
      <c r="K156" s="54">
        <f t="shared" si="18"/>
        <v>45400</v>
      </c>
      <c r="L156" s="10">
        <f t="shared" si="15"/>
        <v>5400</v>
      </c>
      <c r="M156" s="10">
        <f t="shared" si="16"/>
        <v>5399</v>
      </c>
      <c r="N156" s="10" t="s">
        <v>419</v>
      </c>
      <c r="O156" s="10" t="s">
        <v>327</v>
      </c>
      <c r="P156" s="10">
        <v>0</v>
      </c>
      <c r="Q156" s="54"/>
      <c r="R156" s="54"/>
    </row>
    <row r="157" spans="2:18" ht="15.6" x14ac:dyDescent="0.3">
      <c r="B157" s="54" t="s">
        <v>1436</v>
      </c>
      <c r="C157" s="10" t="s">
        <v>321</v>
      </c>
      <c r="D157" s="54">
        <v>2</v>
      </c>
      <c r="E157" s="54">
        <f t="shared" si="17"/>
        <v>1</v>
      </c>
      <c r="F157" s="10">
        <v>0</v>
      </c>
      <c r="G157" s="54">
        <v>3</v>
      </c>
      <c r="H157" s="10">
        <v>1</v>
      </c>
      <c r="I157" s="10">
        <v>1</v>
      </c>
      <c r="J157" s="10" t="s">
        <v>418</v>
      </c>
      <c r="K157" s="54">
        <f t="shared" si="18"/>
        <v>45401</v>
      </c>
      <c r="L157" s="10">
        <f t="shared" si="15"/>
        <v>5401</v>
      </c>
      <c r="M157" s="10">
        <f t="shared" si="16"/>
        <v>5400</v>
      </c>
      <c r="N157" s="10" t="s">
        <v>419</v>
      </c>
      <c r="O157" s="10" t="s">
        <v>327</v>
      </c>
      <c r="P157" s="10">
        <v>0</v>
      </c>
      <c r="Q157" s="54"/>
      <c r="R157" s="54"/>
    </row>
    <row r="158" spans="2:18" ht="15.6" x14ac:dyDescent="0.3">
      <c r="B158" s="54" t="s">
        <v>1437</v>
      </c>
      <c r="C158" s="10" t="s">
        <v>321</v>
      </c>
      <c r="D158" s="54">
        <v>2</v>
      </c>
      <c r="E158" s="54">
        <f t="shared" si="17"/>
        <v>1</v>
      </c>
      <c r="F158" s="10">
        <v>0</v>
      </c>
      <c r="G158" s="54">
        <v>65535</v>
      </c>
      <c r="H158" s="10">
        <v>1</v>
      </c>
      <c r="I158" s="10">
        <v>1</v>
      </c>
      <c r="J158" s="10" t="s">
        <v>418</v>
      </c>
      <c r="K158" s="54">
        <f t="shared" si="18"/>
        <v>45402</v>
      </c>
      <c r="L158" s="10">
        <f t="shared" si="15"/>
        <v>5402</v>
      </c>
      <c r="M158" s="10">
        <f t="shared" si="16"/>
        <v>5401</v>
      </c>
      <c r="N158" s="10" t="s">
        <v>419</v>
      </c>
      <c r="O158" s="10" t="s">
        <v>327</v>
      </c>
      <c r="P158" s="10">
        <v>0</v>
      </c>
      <c r="Q158" s="54"/>
      <c r="R158" s="54"/>
    </row>
    <row r="159" spans="2:18" ht="15.6" x14ac:dyDescent="0.3">
      <c r="B159" s="54" t="s">
        <v>1438</v>
      </c>
      <c r="C159" s="10" t="s">
        <v>321</v>
      </c>
      <c r="D159" s="54">
        <v>2</v>
      </c>
      <c r="E159" s="54">
        <f t="shared" si="17"/>
        <v>1</v>
      </c>
      <c r="F159" s="10">
        <v>0</v>
      </c>
      <c r="G159" s="54">
        <v>65535</v>
      </c>
      <c r="H159" s="10">
        <v>1</v>
      </c>
      <c r="I159" s="10">
        <v>1</v>
      </c>
      <c r="J159" s="10" t="s">
        <v>418</v>
      </c>
      <c r="K159" s="54">
        <f t="shared" si="18"/>
        <v>45403</v>
      </c>
      <c r="L159" s="10">
        <f t="shared" si="15"/>
        <v>5403</v>
      </c>
      <c r="M159" s="10">
        <f t="shared" si="16"/>
        <v>5402</v>
      </c>
      <c r="N159" s="10" t="s">
        <v>419</v>
      </c>
      <c r="O159" s="10" t="s">
        <v>327</v>
      </c>
      <c r="P159" s="10">
        <v>0</v>
      </c>
      <c r="Q159" s="54"/>
      <c r="R159" s="54"/>
    </row>
    <row r="160" spans="2:18" ht="15.6" x14ac:dyDescent="0.3">
      <c r="B160" s="493" t="s">
        <v>1439</v>
      </c>
      <c r="C160" s="493"/>
      <c r="D160" s="493"/>
      <c r="E160" s="493"/>
      <c r="F160" s="493"/>
      <c r="G160" s="493"/>
      <c r="H160" s="493"/>
      <c r="I160" s="493"/>
      <c r="J160" s="493"/>
      <c r="K160" s="493"/>
      <c r="L160" s="493"/>
      <c r="M160" s="493"/>
      <c r="N160" s="493"/>
      <c r="O160" s="493"/>
      <c r="P160" s="493"/>
      <c r="Q160" s="493"/>
      <c r="R160" s="493"/>
    </row>
    <row r="161" spans="2:18" ht="15.6" x14ac:dyDescent="0.3">
      <c r="B161" s="54" t="s">
        <v>1440</v>
      </c>
      <c r="C161" s="10" t="s">
        <v>321</v>
      </c>
      <c r="D161" s="54">
        <v>2</v>
      </c>
      <c r="E161" s="54">
        <f>D161/2</f>
        <v>1</v>
      </c>
      <c r="F161" s="10">
        <v>0</v>
      </c>
      <c r="G161" s="54">
        <v>3</v>
      </c>
      <c r="H161" s="10">
        <v>1</v>
      </c>
      <c r="I161" s="10">
        <v>1</v>
      </c>
      <c r="J161" s="10" t="s">
        <v>418</v>
      </c>
      <c r="K161" s="54">
        <f>E159+K159</f>
        <v>45404</v>
      </c>
      <c r="L161" s="10">
        <f t="shared" si="15"/>
        <v>5404</v>
      </c>
      <c r="M161" s="10">
        <f t="shared" si="16"/>
        <v>5403</v>
      </c>
      <c r="N161" s="10" t="s">
        <v>419</v>
      </c>
      <c r="O161" s="10" t="s">
        <v>327</v>
      </c>
      <c r="P161" s="10">
        <v>2</v>
      </c>
      <c r="Q161" s="54"/>
      <c r="R161" s="54"/>
    </row>
    <row r="162" spans="2:18" ht="15.6" x14ac:dyDescent="0.3">
      <c r="B162" s="54" t="s">
        <v>1441</v>
      </c>
      <c r="C162" s="10" t="s">
        <v>321</v>
      </c>
      <c r="D162" s="54">
        <v>2</v>
      </c>
      <c r="E162" s="54">
        <f t="shared" ref="E162:E172" si="19">D162/2</f>
        <v>1</v>
      </c>
      <c r="F162" s="10">
        <v>0</v>
      </c>
      <c r="G162" s="54">
        <v>65535</v>
      </c>
      <c r="H162" s="10">
        <v>1</v>
      </c>
      <c r="I162" s="10">
        <v>1</v>
      </c>
      <c r="J162" s="10" t="s">
        <v>418</v>
      </c>
      <c r="K162" s="54">
        <f>E161+K161</f>
        <v>45405</v>
      </c>
      <c r="L162" s="10">
        <f t="shared" si="15"/>
        <v>5405</v>
      </c>
      <c r="M162" s="10">
        <f t="shared" si="16"/>
        <v>5404</v>
      </c>
      <c r="N162" s="10" t="s">
        <v>419</v>
      </c>
      <c r="O162" s="10" t="s">
        <v>327</v>
      </c>
      <c r="P162" s="10">
        <v>0</v>
      </c>
      <c r="Q162" s="54"/>
      <c r="R162" s="54"/>
    </row>
    <row r="163" spans="2:18" ht="15.6" x14ac:dyDescent="0.3">
      <c r="B163" s="54" t="s">
        <v>1442</v>
      </c>
      <c r="C163" s="10" t="s">
        <v>321</v>
      </c>
      <c r="D163" s="54">
        <v>2</v>
      </c>
      <c r="E163" s="54">
        <f t="shared" si="19"/>
        <v>1</v>
      </c>
      <c r="F163" s="10">
        <v>0</v>
      </c>
      <c r="G163" s="54">
        <v>65535</v>
      </c>
      <c r="H163" s="10">
        <v>1</v>
      </c>
      <c r="I163" s="10">
        <v>1</v>
      </c>
      <c r="J163" s="10" t="s">
        <v>418</v>
      </c>
      <c r="K163" s="54">
        <f t="shared" ref="K163:K172" si="20">E162+K162</f>
        <v>45406</v>
      </c>
      <c r="L163" s="10">
        <f t="shared" si="15"/>
        <v>5406</v>
      </c>
      <c r="M163" s="10">
        <f t="shared" si="16"/>
        <v>5405</v>
      </c>
      <c r="N163" s="10" t="s">
        <v>419</v>
      </c>
      <c r="O163" s="10" t="s">
        <v>327</v>
      </c>
      <c r="P163" s="10">
        <v>0</v>
      </c>
      <c r="Q163" s="54"/>
      <c r="R163" s="54"/>
    </row>
    <row r="164" spans="2:18" ht="15.6" x14ac:dyDescent="0.3">
      <c r="B164" s="54" t="s">
        <v>1443</v>
      </c>
      <c r="C164" s="10" t="s">
        <v>321</v>
      </c>
      <c r="D164" s="54">
        <v>2</v>
      </c>
      <c r="E164" s="54">
        <f t="shared" si="19"/>
        <v>1</v>
      </c>
      <c r="F164" s="10">
        <v>0</v>
      </c>
      <c r="G164" s="54">
        <v>3</v>
      </c>
      <c r="H164" s="10">
        <v>1</v>
      </c>
      <c r="I164" s="10">
        <v>1</v>
      </c>
      <c r="J164" s="10" t="s">
        <v>418</v>
      </c>
      <c r="K164" s="54">
        <f t="shared" si="20"/>
        <v>45407</v>
      </c>
      <c r="L164" s="10">
        <f t="shared" si="15"/>
        <v>5407</v>
      </c>
      <c r="M164" s="10">
        <f t="shared" si="16"/>
        <v>5406</v>
      </c>
      <c r="N164" s="10" t="s">
        <v>419</v>
      </c>
      <c r="O164" s="10" t="s">
        <v>327</v>
      </c>
      <c r="P164" s="10">
        <v>2</v>
      </c>
      <c r="Q164" s="54"/>
      <c r="R164" s="54"/>
    </row>
    <row r="165" spans="2:18" ht="15.6" x14ac:dyDescent="0.3">
      <c r="B165" s="54" t="s">
        <v>1444</v>
      </c>
      <c r="C165" s="10" t="s">
        <v>321</v>
      </c>
      <c r="D165" s="54">
        <v>2</v>
      </c>
      <c r="E165" s="54">
        <f t="shared" si="19"/>
        <v>1</v>
      </c>
      <c r="F165" s="10">
        <v>0</v>
      </c>
      <c r="G165" s="54">
        <v>65535</v>
      </c>
      <c r="H165" s="10">
        <v>1</v>
      </c>
      <c r="I165" s="10">
        <v>1</v>
      </c>
      <c r="J165" s="10" t="s">
        <v>418</v>
      </c>
      <c r="K165" s="54">
        <f t="shared" si="20"/>
        <v>45408</v>
      </c>
      <c r="L165" s="10">
        <f t="shared" si="15"/>
        <v>5408</v>
      </c>
      <c r="M165" s="10">
        <f t="shared" si="16"/>
        <v>5407</v>
      </c>
      <c r="N165" s="10" t="s">
        <v>419</v>
      </c>
      <c r="O165" s="10" t="s">
        <v>327</v>
      </c>
      <c r="P165" s="10">
        <v>0</v>
      </c>
      <c r="Q165" s="54"/>
      <c r="R165" s="54"/>
    </row>
    <row r="166" spans="2:18" ht="15.6" x14ac:dyDescent="0.3">
      <c r="B166" s="54" t="s">
        <v>1445</v>
      </c>
      <c r="C166" s="10" t="s">
        <v>321</v>
      </c>
      <c r="D166" s="54">
        <v>2</v>
      </c>
      <c r="E166" s="54">
        <f t="shared" si="19"/>
        <v>1</v>
      </c>
      <c r="F166" s="10">
        <v>0</v>
      </c>
      <c r="G166" s="54">
        <v>65535</v>
      </c>
      <c r="H166" s="10">
        <v>1</v>
      </c>
      <c r="I166" s="10">
        <v>1</v>
      </c>
      <c r="J166" s="10" t="s">
        <v>418</v>
      </c>
      <c r="K166" s="54">
        <f t="shared" si="20"/>
        <v>45409</v>
      </c>
      <c r="L166" s="10">
        <f t="shared" si="15"/>
        <v>5409</v>
      </c>
      <c r="M166" s="10">
        <f t="shared" si="16"/>
        <v>5408</v>
      </c>
      <c r="N166" s="10" t="s">
        <v>419</v>
      </c>
      <c r="O166" s="10" t="s">
        <v>327</v>
      </c>
      <c r="P166" s="10">
        <v>0</v>
      </c>
      <c r="Q166" s="54"/>
      <c r="R166" s="54"/>
    </row>
    <row r="167" spans="2:18" ht="15.6" x14ac:dyDescent="0.3">
      <c r="B167" s="54" t="s">
        <v>1446</v>
      </c>
      <c r="C167" s="10" t="s">
        <v>321</v>
      </c>
      <c r="D167" s="54">
        <v>2</v>
      </c>
      <c r="E167" s="54">
        <f t="shared" si="19"/>
        <v>1</v>
      </c>
      <c r="F167" s="10">
        <v>0</v>
      </c>
      <c r="G167" s="54">
        <v>3</v>
      </c>
      <c r="H167" s="10">
        <v>1</v>
      </c>
      <c r="I167" s="10">
        <v>1</v>
      </c>
      <c r="J167" s="10" t="s">
        <v>418</v>
      </c>
      <c r="K167" s="54">
        <f t="shared" si="20"/>
        <v>45410</v>
      </c>
      <c r="L167" s="10">
        <f t="shared" si="15"/>
        <v>5410</v>
      </c>
      <c r="M167" s="10">
        <f t="shared" si="16"/>
        <v>5409</v>
      </c>
      <c r="N167" s="10" t="s">
        <v>419</v>
      </c>
      <c r="O167" s="10" t="s">
        <v>327</v>
      </c>
      <c r="P167" s="10">
        <v>2</v>
      </c>
      <c r="Q167" s="54"/>
      <c r="R167" s="54"/>
    </row>
    <row r="168" spans="2:18" ht="15.6" x14ac:dyDescent="0.3">
      <c r="B168" s="54" t="s">
        <v>1447</v>
      </c>
      <c r="C168" s="10" t="s">
        <v>321</v>
      </c>
      <c r="D168" s="54">
        <v>2</v>
      </c>
      <c r="E168" s="54">
        <f t="shared" si="19"/>
        <v>1</v>
      </c>
      <c r="F168" s="10">
        <v>0</v>
      </c>
      <c r="G168" s="54">
        <v>65535</v>
      </c>
      <c r="H168" s="10">
        <v>1</v>
      </c>
      <c r="I168" s="10">
        <v>1</v>
      </c>
      <c r="J168" s="10" t="s">
        <v>418</v>
      </c>
      <c r="K168" s="54">
        <f t="shared" si="20"/>
        <v>45411</v>
      </c>
      <c r="L168" s="10">
        <f t="shared" si="15"/>
        <v>5411</v>
      </c>
      <c r="M168" s="10">
        <f t="shared" si="16"/>
        <v>5410</v>
      </c>
      <c r="N168" s="10" t="s">
        <v>419</v>
      </c>
      <c r="O168" s="10" t="s">
        <v>327</v>
      </c>
      <c r="P168" s="10">
        <v>0</v>
      </c>
      <c r="Q168" s="54"/>
      <c r="R168" s="54"/>
    </row>
    <row r="169" spans="2:18" ht="15.6" x14ac:dyDescent="0.3">
      <c r="B169" s="54" t="s">
        <v>1448</v>
      </c>
      <c r="C169" s="10" t="s">
        <v>321</v>
      </c>
      <c r="D169" s="54">
        <v>2</v>
      </c>
      <c r="E169" s="54">
        <f t="shared" si="19"/>
        <v>1</v>
      </c>
      <c r="F169" s="10">
        <v>0</v>
      </c>
      <c r="G169" s="54">
        <v>65535</v>
      </c>
      <c r="H169" s="10">
        <v>1</v>
      </c>
      <c r="I169" s="10">
        <v>1</v>
      </c>
      <c r="J169" s="10" t="s">
        <v>418</v>
      </c>
      <c r="K169" s="54">
        <f t="shared" si="20"/>
        <v>45412</v>
      </c>
      <c r="L169" s="10">
        <f t="shared" si="15"/>
        <v>5412</v>
      </c>
      <c r="M169" s="10">
        <f t="shared" si="16"/>
        <v>5411</v>
      </c>
      <c r="N169" s="10" t="s">
        <v>419</v>
      </c>
      <c r="O169" s="10" t="s">
        <v>327</v>
      </c>
      <c r="P169" s="10">
        <v>0</v>
      </c>
      <c r="Q169" s="54"/>
      <c r="R169" s="54"/>
    </row>
    <row r="170" spans="2:18" ht="15.6" x14ac:dyDescent="0.3">
      <c r="B170" s="54" t="s">
        <v>1449</v>
      </c>
      <c r="C170" s="10" t="s">
        <v>321</v>
      </c>
      <c r="D170" s="54">
        <v>2</v>
      </c>
      <c r="E170" s="54">
        <f t="shared" si="19"/>
        <v>1</v>
      </c>
      <c r="F170" s="10">
        <v>0</v>
      </c>
      <c r="G170" s="54">
        <v>3</v>
      </c>
      <c r="H170" s="10">
        <v>1</v>
      </c>
      <c r="I170" s="10">
        <v>1</v>
      </c>
      <c r="J170" s="10" t="s">
        <v>418</v>
      </c>
      <c r="K170" s="54">
        <f t="shared" si="20"/>
        <v>45413</v>
      </c>
      <c r="L170" s="10">
        <f t="shared" si="15"/>
        <v>5413</v>
      </c>
      <c r="M170" s="10">
        <f t="shared" si="16"/>
        <v>5412</v>
      </c>
      <c r="N170" s="10" t="s">
        <v>419</v>
      </c>
      <c r="O170" s="10" t="s">
        <v>327</v>
      </c>
      <c r="P170" s="10">
        <v>2</v>
      </c>
      <c r="Q170" s="54"/>
      <c r="R170" s="54"/>
    </row>
    <row r="171" spans="2:18" ht="15.6" x14ac:dyDescent="0.3">
      <c r="B171" s="54" t="s">
        <v>1450</v>
      </c>
      <c r="C171" s="10" t="s">
        <v>321</v>
      </c>
      <c r="D171" s="54">
        <v>2</v>
      </c>
      <c r="E171" s="54">
        <f t="shared" si="19"/>
        <v>1</v>
      </c>
      <c r="F171" s="10">
        <v>0</v>
      </c>
      <c r="G171" s="54">
        <v>65535</v>
      </c>
      <c r="H171" s="10">
        <v>1</v>
      </c>
      <c r="I171" s="10">
        <v>1</v>
      </c>
      <c r="J171" s="10" t="s">
        <v>418</v>
      </c>
      <c r="K171" s="54">
        <f t="shared" si="20"/>
        <v>45414</v>
      </c>
      <c r="L171" s="10">
        <f t="shared" si="15"/>
        <v>5414</v>
      </c>
      <c r="M171" s="10">
        <f t="shared" si="16"/>
        <v>5413</v>
      </c>
      <c r="N171" s="10" t="s">
        <v>419</v>
      </c>
      <c r="O171" s="10" t="s">
        <v>327</v>
      </c>
      <c r="P171" s="10">
        <v>0</v>
      </c>
      <c r="Q171" s="54"/>
      <c r="R171" s="54"/>
    </row>
    <row r="172" spans="2:18" ht="15.6" x14ac:dyDescent="0.3">
      <c r="B172" s="54" t="s">
        <v>1451</v>
      </c>
      <c r="C172" s="10" t="s">
        <v>321</v>
      </c>
      <c r="D172" s="54">
        <v>2</v>
      </c>
      <c r="E172" s="54">
        <f t="shared" si="19"/>
        <v>1</v>
      </c>
      <c r="F172" s="10">
        <v>0</v>
      </c>
      <c r="G172" s="54">
        <v>65535</v>
      </c>
      <c r="H172" s="10">
        <v>1</v>
      </c>
      <c r="I172" s="10">
        <v>1</v>
      </c>
      <c r="J172" s="10" t="s">
        <v>418</v>
      </c>
      <c r="K172" s="54">
        <f t="shared" si="20"/>
        <v>45415</v>
      </c>
      <c r="L172" s="10">
        <f t="shared" si="15"/>
        <v>5415</v>
      </c>
      <c r="M172" s="10">
        <f t="shared" si="16"/>
        <v>5414</v>
      </c>
      <c r="N172" s="10" t="s">
        <v>419</v>
      </c>
      <c r="O172" s="10" t="s">
        <v>327</v>
      </c>
      <c r="P172" s="10">
        <v>0</v>
      </c>
      <c r="Q172" s="54"/>
      <c r="R172" s="54"/>
    </row>
    <row r="173" spans="2:18" ht="15.6" x14ac:dyDescent="0.3">
      <c r="B173" s="489" t="s">
        <v>1452</v>
      </c>
      <c r="C173" s="490"/>
      <c r="D173" s="490"/>
      <c r="E173" s="490"/>
      <c r="F173" s="490"/>
      <c r="G173" s="490"/>
      <c r="H173" s="490"/>
      <c r="I173" s="490"/>
      <c r="J173" s="490"/>
      <c r="K173" s="490"/>
      <c r="L173" s="490"/>
      <c r="M173" s="490"/>
      <c r="N173" s="490"/>
      <c r="O173" s="490"/>
      <c r="P173" s="490"/>
      <c r="Q173" s="490"/>
      <c r="R173" s="491"/>
    </row>
    <row r="174" spans="2:18" ht="15.6" x14ac:dyDescent="0.3">
      <c r="B174" s="54" t="s">
        <v>1453</v>
      </c>
      <c r="C174" s="10" t="s">
        <v>321</v>
      </c>
      <c r="D174" s="54">
        <v>2</v>
      </c>
      <c r="E174" s="54">
        <f>D174/2</f>
        <v>1</v>
      </c>
      <c r="F174" s="10">
        <v>0</v>
      </c>
      <c r="G174" s="54">
        <v>65535</v>
      </c>
      <c r="H174" s="10">
        <v>1</v>
      </c>
      <c r="I174" s="10">
        <v>1</v>
      </c>
      <c r="J174" s="10" t="s">
        <v>418</v>
      </c>
      <c r="K174" s="54">
        <f>E172+K172</f>
        <v>45416</v>
      </c>
      <c r="L174" s="10">
        <f t="shared" si="15"/>
        <v>5416</v>
      </c>
      <c r="M174" s="10">
        <f t="shared" si="16"/>
        <v>5415</v>
      </c>
      <c r="N174" s="10" t="s">
        <v>419</v>
      </c>
      <c r="O174" s="10" t="s">
        <v>327</v>
      </c>
      <c r="P174" s="10">
        <v>0</v>
      </c>
      <c r="Q174" s="54"/>
      <c r="R174" s="54"/>
    </row>
    <row r="175" spans="2:18" ht="15.6" x14ac:dyDescent="0.3">
      <c r="B175" s="54" t="s">
        <v>1454</v>
      </c>
      <c r="C175" s="10" t="s">
        <v>321</v>
      </c>
      <c r="D175" s="54">
        <v>2</v>
      </c>
      <c r="E175" s="54">
        <f t="shared" ref="E175:E189" si="21">D175/2</f>
        <v>1</v>
      </c>
      <c r="F175" s="10">
        <v>0</v>
      </c>
      <c r="G175" s="54">
        <v>65535</v>
      </c>
      <c r="H175" s="10">
        <v>1</v>
      </c>
      <c r="I175" s="10">
        <v>1</v>
      </c>
      <c r="J175" s="10" t="s">
        <v>418</v>
      </c>
      <c r="K175" s="54">
        <f>E174+K174</f>
        <v>45417</v>
      </c>
      <c r="L175" s="10">
        <f t="shared" si="15"/>
        <v>5417</v>
      </c>
      <c r="M175" s="10">
        <f t="shared" si="16"/>
        <v>5416</v>
      </c>
      <c r="N175" s="10" t="s">
        <v>419</v>
      </c>
      <c r="O175" s="10" t="s">
        <v>327</v>
      </c>
      <c r="P175" s="10">
        <v>0</v>
      </c>
      <c r="Q175" s="54"/>
      <c r="R175" s="54"/>
    </row>
    <row r="176" spans="2:18" ht="15.6" x14ac:dyDescent="0.3">
      <c r="B176" s="54" t="s">
        <v>1455</v>
      </c>
      <c r="C176" s="10" t="s">
        <v>321</v>
      </c>
      <c r="D176" s="54">
        <v>2</v>
      </c>
      <c r="E176" s="54">
        <f t="shared" si="21"/>
        <v>1</v>
      </c>
      <c r="F176" s="10">
        <v>0</v>
      </c>
      <c r="G176" s="54">
        <v>65535</v>
      </c>
      <c r="H176" s="10">
        <v>1</v>
      </c>
      <c r="I176" s="10">
        <v>1</v>
      </c>
      <c r="J176" s="10" t="s">
        <v>418</v>
      </c>
      <c r="K176" s="54">
        <f t="shared" ref="K176:K189" si="22">E175+K175</f>
        <v>45418</v>
      </c>
      <c r="L176" s="10">
        <f t="shared" si="15"/>
        <v>5418</v>
      </c>
      <c r="M176" s="10">
        <f t="shared" si="16"/>
        <v>5417</v>
      </c>
      <c r="N176" s="10" t="s">
        <v>419</v>
      </c>
      <c r="O176" s="10" t="s">
        <v>327</v>
      </c>
      <c r="P176" s="10">
        <v>0</v>
      </c>
      <c r="Q176" s="54"/>
      <c r="R176" s="54"/>
    </row>
    <row r="177" spans="2:18" ht="15.6" x14ac:dyDescent="0.3">
      <c r="B177" s="54" t="s">
        <v>1456</v>
      </c>
      <c r="C177" s="10" t="s">
        <v>321</v>
      </c>
      <c r="D177" s="54">
        <v>2</v>
      </c>
      <c r="E177" s="54">
        <f t="shared" si="21"/>
        <v>1</v>
      </c>
      <c r="F177" s="10">
        <v>0</v>
      </c>
      <c r="G177" s="54">
        <v>65535</v>
      </c>
      <c r="H177" s="10">
        <v>1</v>
      </c>
      <c r="I177" s="10">
        <v>1</v>
      </c>
      <c r="J177" s="10" t="s">
        <v>418</v>
      </c>
      <c r="K177" s="54">
        <f t="shared" si="22"/>
        <v>45419</v>
      </c>
      <c r="L177" s="10">
        <f t="shared" si="15"/>
        <v>5419</v>
      </c>
      <c r="M177" s="10">
        <f t="shared" si="16"/>
        <v>5418</v>
      </c>
      <c r="N177" s="10" t="s">
        <v>419</v>
      </c>
      <c r="O177" s="10" t="s">
        <v>327</v>
      </c>
      <c r="P177" s="10">
        <v>0</v>
      </c>
      <c r="Q177" s="54"/>
      <c r="R177" s="54"/>
    </row>
    <row r="178" spans="2:18" ht="15.6" x14ac:dyDescent="0.3">
      <c r="B178" s="54" t="s">
        <v>1457</v>
      </c>
      <c r="C178" s="10" t="s">
        <v>321</v>
      </c>
      <c r="D178" s="54">
        <v>2</v>
      </c>
      <c r="E178" s="54">
        <f t="shared" si="21"/>
        <v>1</v>
      </c>
      <c r="F178" s="10">
        <v>0</v>
      </c>
      <c r="G178" s="54">
        <v>65535</v>
      </c>
      <c r="H178" s="10">
        <v>1</v>
      </c>
      <c r="I178" s="10">
        <v>1</v>
      </c>
      <c r="J178" s="10" t="s">
        <v>418</v>
      </c>
      <c r="K178" s="54">
        <f t="shared" si="22"/>
        <v>45420</v>
      </c>
      <c r="L178" s="10">
        <f t="shared" si="15"/>
        <v>5420</v>
      </c>
      <c r="M178" s="10">
        <f t="shared" si="16"/>
        <v>5419</v>
      </c>
      <c r="N178" s="10" t="s">
        <v>419</v>
      </c>
      <c r="O178" s="10" t="s">
        <v>327</v>
      </c>
      <c r="P178" s="10">
        <v>0</v>
      </c>
      <c r="Q178" s="54"/>
      <c r="R178" s="54"/>
    </row>
    <row r="179" spans="2:18" ht="15.6" x14ac:dyDescent="0.3">
      <c r="B179" s="54" t="s">
        <v>1458</v>
      </c>
      <c r="C179" s="10" t="s">
        <v>321</v>
      </c>
      <c r="D179" s="54">
        <v>2</v>
      </c>
      <c r="E179" s="54">
        <f t="shared" si="21"/>
        <v>1</v>
      </c>
      <c r="F179" s="10">
        <v>0</v>
      </c>
      <c r="G179" s="54">
        <v>65535</v>
      </c>
      <c r="H179" s="10">
        <v>1</v>
      </c>
      <c r="I179" s="10">
        <v>1</v>
      </c>
      <c r="J179" s="10" t="s">
        <v>418</v>
      </c>
      <c r="K179" s="54">
        <f t="shared" si="22"/>
        <v>45421</v>
      </c>
      <c r="L179" s="10">
        <f t="shared" si="15"/>
        <v>5421</v>
      </c>
      <c r="M179" s="10">
        <f t="shared" si="16"/>
        <v>5420</v>
      </c>
      <c r="N179" s="10" t="s">
        <v>419</v>
      </c>
      <c r="O179" s="10" t="s">
        <v>327</v>
      </c>
      <c r="P179" s="10">
        <v>0</v>
      </c>
      <c r="Q179" s="54"/>
      <c r="R179" s="54"/>
    </row>
    <row r="180" spans="2:18" ht="15.6" x14ac:dyDescent="0.3">
      <c r="B180" s="54" t="s">
        <v>1459</v>
      </c>
      <c r="C180" s="10" t="s">
        <v>321</v>
      </c>
      <c r="D180" s="54">
        <v>2</v>
      </c>
      <c r="E180" s="54">
        <f t="shared" si="21"/>
        <v>1</v>
      </c>
      <c r="F180" s="10">
        <v>0</v>
      </c>
      <c r="G180" s="54">
        <v>65535</v>
      </c>
      <c r="H180" s="10">
        <v>1</v>
      </c>
      <c r="I180" s="10">
        <v>1</v>
      </c>
      <c r="J180" s="10" t="s">
        <v>418</v>
      </c>
      <c r="K180" s="54">
        <f t="shared" si="22"/>
        <v>45422</v>
      </c>
      <c r="L180" s="10">
        <f t="shared" si="15"/>
        <v>5422</v>
      </c>
      <c r="M180" s="10">
        <f t="shared" si="16"/>
        <v>5421</v>
      </c>
      <c r="N180" s="10" t="s">
        <v>419</v>
      </c>
      <c r="O180" s="10" t="s">
        <v>327</v>
      </c>
      <c r="P180" s="10">
        <v>0</v>
      </c>
      <c r="Q180" s="54"/>
      <c r="R180" s="54"/>
    </row>
    <row r="181" spans="2:18" ht="15.6" x14ac:dyDescent="0.3">
      <c r="B181" s="54" t="s">
        <v>1460</v>
      </c>
      <c r="C181" s="10" t="s">
        <v>321</v>
      </c>
      <c r="D181" s="54">
        <v>2</v>
      </c>
      <c r="E181" s="54">
        <f t="shared" si="21"/>
        <v>1</v>
      </c>
      <c r="F181" s="10">
        <v>0</v>
      </c>
      <c r="G181" s="54">
        <v>65535</v>
      </c>
      <c r="H181" s="10">
        <v>1</v>
      </c>
      <c r="I181" s="10">
        <v>1</v>
      </c>
      <c r="J181" s="10" t="s">
        <v>418</v>
      </c>
      <c r="K181" s="54">
        <f t="shared" si="22"/>
        <v>45423</v>
      </c>
      <c r="L181" s="10">
        <f t="shared" si="15"/>
        <v>5423</v>
      </c>
      <c r="M181" s="10">
        <f t="shared" si="16"/>
        <v>5422</v>
      </c>
      <c r="N181" s="10" t="s">
        <v>419</v>
      </c>
      <c r="O181" s="10" t="s">
        <v>327</v>
      </c>
      <c r="P181" s="10">
        <v>0</v>
      </c>
      <c r="Q181" s="54"/>
      <c r="R181" s="54"/>
    </row>
    <row r="182" spans="2:18" ht="15.6" x14ac:dyDescent="0.3">
      <c r="B182" s="54" t="s">
        <v>1461</v>
      </c>
      <c r="C182" s="10" t="s">
        <v>321</v>
      </c>
      <c r="D182" s="54">
        <v>2</v>
      </c>
      <c r="E182" s="54">
        <f t="shared" si="21"/>
        <v>1</v>
      </c>
      <c r="F182" s="10">
        <v>0</v>
      </c>
      <c r="G182" s="54">
        <v>65535</v>
      </c>
      <c r="H182" s="10">
        <v>1</v>
      </c>
      <c r="I182" s="10">
        <v>1</v>
      </c>
      <c r="J182" s="10" t="s">
        <v>418</v>
      </c>
      <c r="K182" s="54">
        <f t="shared" si="22"/>
        <v>45424</v>
      </c>
      <c r="L182" s="10">
        <f t="shared" si="15"/>
        <v>5424</v>
      </c>
      <c r="M182" s="10">
        <f t="shared" si="16"/>
        <v>5423</v>
      </c>
      <c r="N182" s="10" t="s">
        <v>419</v>
      </c>
      <c r="O182" s="10" t="s">
        <v>327</v>
      </c>
      <c r="P182" s="10">
        <v>0</v>
      </c>
      <c r="Q182" s="54"/>
      <c r="R182" s="54"/>
    </row>
    <row r="183" spans="2:18" ht="15.6" x14ac:dyDescent="0.3">
      <c r="B183" s="54" t="s">
        <v>1462</v>
      </c>
      <c r="C183" s="10" t="s">
        <v>321</v>
      </c>
      <c r="D183" s="54">
        <v>2</v>
      </c>
      <c r="E183" s="54">
        <f t="shared" si="21"/>
        <v>1</v>
      </c>
      <c r="F183" s="10">
        <v>0</v>
      </c>
      <c r="G183" s="54">
        <v>65535</v>
      </c>
      <c r="H183" s="10">
        <v>1</v>
      </c>
      <c r="I183" s="10">
        <v>1</v>
      </c>
      <c r="J183" s="10" t="s">
        <v>418</v>
      </c>
      <c r="K183" s="54">
        <f t="shared" si="22"/>
        <v>45425</v>
      </c>
      <c r="L183" s="10">
        <f t="shared" si="15"/>
        <v>5425</v>
      </c>
      <c r="M183" s="10">
        <f t="shared" si="16"/>
        <v>5424</v>
      </c>
      <c r="N183" s="10" t="s">
        <v>419</v>
      </c>
      <c r="O183" s="10" t="s">
        <v>327</v>
      </c>
      <c r="P183" s="10">
        <v>0</v>
      </c>
      <c r="Q183" s="54"/>
      <c r="R183" s="54"/>
    </row>
    <row r="184" spans="2:18" ht="15.6" x14ac:dyDescent="0.3">
      <c r="B184" s="54" t="s">
        <v>1463</v>
      </c>
      <c r="C184" s="10" t="s">
        <v>321</v>
      </c>
      <c r="D184" s="54">
        <v>2</v>
      </c>
      <c r="E184" s="54">
        <f t="shared" si="21"/>
        <v>1</v>
      </c>
      <c r="F184" s="10">
        <v>0</v>
      </c>
      <c r="G184" s="54">
        <v>65535</v>
      </c>
      <c r="H184" s="10">
        <v>1</v>
      </c>
      <c r="I184" s="10">
        <v>1</v>
      </c>
      <c r="J184" s="10" t="s">
        <v>418</v>
      </c>
      <c r="K184" s="54">
        <f t="shared" si="22"/>
        <v>45426</v>
      </c>
      <c r="L184" s="10">
        <f t="shared" si="15"/>
        <v>5426</v>
      </c>
      <c r="M184" s="10">
        <f t="shared" si="16"/>
        <v>5425</v>
      </c>
      <c r="N184" s="10" t="s">
        <v>419</v>
      </c>
      <c r="O184" s="10" t="s">
        <v>327</v>
      </c>
      <c r="P184" s="10">
        <v>0</v>
      </c>
      <c r="Q184" s="54"/>
      <c r="R184" s="54"/>
    </row>
    <row r="185" spans="2:18" ht="15.6" x14ac:dyDescent="0.3">
      <c r="B185" s="54" t="s">
        <v>1464</v>
      </c>
      <c r="C185" s="10" t="s">
        <v>321</v>
      </c>
      <c r="D185" s="54">
        <v>2</v>
      </c>
      <c r="E185" s="54">
        <f t="shared" si="21"/>
        <v>1</v>
      </c>
      <c r="F185" s="10">
        <v>0</v>
      </c>
      <c r="G185" s="54">
        <v>65535</v>
      </c>
      <c r="H185" s="10">
        <v>1</v>
      </c>
      <c r="I185" s="10">
        <v>1</v>
      </c>
      <c r="J185" s="10" t="s">
        <v>418</v>
      </c>
      <c r="K185" s="54">
        <f t="shared" si="22"/>
        <v>45427</v>
      </c>
      <c r="L185" s="10">
        <f t="shared" si="15"/>
        <v>5427</v>
      </c>
      <c r="M185" s="10">
        <f t="shared" si="16"/>
        <v>5426</v>
      </c>
      <c r="N185" s="10" t="s">
        <v>419</v>
      </c>
      <c r="O185" s="10" t="s">
        <v>327</v>
      </c>
      <c r="P185" s="10">
        <v>0</v>
      </c>
      <c r="Q185" s="54"/>
      <c r="R185" s="54"/>
    </row>
    <row r="186" spans="2:18" ht="15.6" x14ac:dyDescent="0.3">
      <c r="B186" s="54" t="s">
        <v>1465</v>
      </c>
      <c r="C186" s="10" t="s">
        <v>321</v>
      </c>
      <c r="D186" s="54">
        <v>2</v>
      </c>
      <c r="E186" s="54">
        <f t="shared" si="21"/>
        <v>1</v>
      </c>
      <c r="F186" s="10">
        <v>0</v>
      </c>
      <c r="G186" s="54">
        <v>65535</v>
      </c>
      <c r="H186" s="10">
        <v>1</v>
      </c>
      <c r="I186" s="10">
        <v>1</v>
      </c>
      <c r="J186" s="10" t="s">
        <v>418</v>
      </c>
      <c r="K186" s="54">
        <f t="shared" si="22"/>
        <v>45428</v>
      </c>
      <c r="L186" s="10">
        <f t="shared" si="15"/>
        <v>5428</v>
      </c>
      <c r="M186" s="10">
        <f t="shared" si="16"/>
        <v>5427</v>
      </c>
      <c r="N186" s="10" t="s">
        <v>419</v>
      </c>
      <c r="O186" s="10" t="s">
        <v>327</v>
      </c>
      <c r="P186" s="10">
        <v>0</v>
      </c>
      <c r="Q186" s="54"/>
      <c r="R186" s="54"/>
    </row>
    <row r="187" spans="2:18" ht="15.6" x14ac:dyDescent="0.3">
      <c r="B187" s="54" t="s">
        <v>1466</v>
      </c>
      <c r="C187" s="10" t="s">
        <v>321</v>
      </c>
      <c r="D187" s="54">
        <v>2</v>
      </c>
      <c r="E187" s="54">
        <f t="shared" si="21"/>
        <v>1</v>
      </c>
      <c r="F187" s="10">
        <v>0</v>
      </c>
      <c r="G187" s="54">
        <v>65535</v>
      </c>
      <c r="H187" s="10">
        <v>1</v>
      </c>
      <c r="I187" s="10">
        <v>1</v>
      </c>
      <c r="J187" s="10" t="s">
        <v>418</v>
      </c>
      <c r="K187" s="54">
        <f t="shared" si="22"/>
        <v>45429</v>
      </c>
      <c r="L187" s="10">
        <f t="shared" si="15"/>
        <v>5429</v>
      </c>
      <c r="M187" s="10">
        <f t="shared" si="16"/>
        <v>5428</v>
      </c>
      <c r="N187" s="10" t="s">
        <v>419</v>
      </c>
      <c r="O187" s="10" t="s">
        <v>327</v>
      </c>
      <c r="P187" s="10">
        <v>0</v>
      </c>
      <c r="Q187" s="54"/>
      <c r="R187" s="54"/>
    </row>
    <row r="188" spans="2:18" ht="15.6" x14ac:dyDescent="0.3">
      <c r="B188" s="54" t="s">
        <v>1467</v>
      </c>
      <c r="C188" s="10" t="s">
        <v>321</v>
      </c>
      <c r="D188" s="54">
        <v>2</v>
      </c>
      <c r="E188" s="54">
        <f t="shared" si="21"/>
        <v>1</v>
      </c>
      <c r="F188" s="10">
        <v>0</v>
      </c>
      <c r="G188" s="54">
        <v>65535</v>
      </c>
      <c r="H188" s="10">
        <v>1</v>
      </c>
      <c r="I188" s="10">
        <v>1</v>
      </c>
      <c r="J188" s="10" t="s">
        <v>418</v>
      </c>
      <c r="K188" s="54">
        <f t="shared" si="22"/>
        <v>45430</v>
      </c>
      <c r="L188" s="10">
        <f t="shared" si="15"/>
        <v>5430</v>
      </c>
      <c r="M188" s="10">
        <f t="shared" si="16"/>
        <v>5429</v>
      </c>
      <c r="N188" s="10" t="s">
        <v>419</v>
      </c>
      <c r="O188" s="10" t="s">
        <v>327</v>
      </c>
      <c r="P188" s="10">
        <v>0</v>
      </c>
      <c r="Q188" s="54"/>
      <c r="R188" s="54"/>
    </row>
    <row r="189" spans="2:18" ht="15.6" x14ac:dyDescent="0.3">
      <c r="B189" s="54" t="s">
        <v>1468</v>
      </c>
      <c r="C189" s="10" t="s">
        <v>321</v>
      </c>
      <c r="D189" s="54">
        <v>2</v>
      </c>
      <c r="E189" s="54">
        <f t="shared" si="21"/>
        <v>1</v>
      </c>
      <c r="F189" s="10">
        <v>0</v>
      </c>
      <c r="G189" s="54">
        <v>65535</v>
      </c>
      <c r="H189" s="10">
        <v>1</v>
      </c>
      <c r="I189" s="10">
        <v>1</v>
      </c>
      <c r="J189" s="10" t="s">
        <v>418</v>
      </c>
      <c r="K189" s="54">
        <f t="shared" si="22"/>
        <v>45431</v>
      </c>
      <c r="L189" s="10">
        <f t="shared" si="15"/>
        <v>5431</v>
      </c>
      <c r="M189" s="10">
        <f t="shared" si="16"/>
        <v>5430</v>
      </c>
      <c r="N189" s="10" t="s">
        <v>419</v>
      </c>
      <c r="O189" s="10" t="s">
        <v>327</v>
      </c>
      <c r="P189" s="10">
        <v>0</v>
      </c>
      <c r="Q189" s="54"/>
      <c r="R189" s="54"/>
    </row>
    <row r="190" spans="2:18" ht="15.6" x14ac:dyDescent="0.3">
      <c r="B190" s="489" t="s">
        <v>1469</v>
      </c>
      <c r="C190" s="490"/>
      <c r="D190" s="490"/>
      <c r="E190" s="490"/>
      <c r="F190" s="490"/>
      <c r="G190" s="490"/>
      <c r="H190" s="490"/>
      <c r="I190" s="490"/>
      <c r="J190" s="490"/>
      <c r="K190" s="490"/>
      <c r="L190" s="490"/>
      <c r="M190" s="490"/>
      <c r="N190" s="490"/>
      <c r="O190" s="490"/>
      <c r="P190" s="490"/>
      <c r="Q190" s="490"/>
      <c r="R190" s="491"/>
    </row>
    <row r="191" spans="2:18" ht="15.6" x14ac:dyDescent="0.3">
      <c r="B191" s="54" t="s">
        <v>320</v>
      </c>
      <c r="C191" s="10" t="s">
        <v>321</v>
      </c>
      <c r="D191" s="54">
        <v>2</v>
      </c>
      <c r="E191" s="54">
        <f t="shared" ref="E191:E193" si="23">D191/2</f>
        <v>1</v>
      </c>
      <c r="F191" s="10">
        <v>0</v>
      </c>
      <c r="G191" s="54">
        <v>65535</v>
      </c>
      <c r="H191" s="10">
        <v>1</v>
      </c>
      <c r="I191" s="10">
        <v>1</v>
      </c>
      <c r="J191" s="10" t="s">
        <v>418</v>
      </c>
      <c r="K191" s="54">
        <f>E189+K189</f>
        <v>45432</v>
      </c>
      <c r="L191" s="10">
        <f t="shared" si="15"/>
        <v>5432</v>
      </c>
      <c r="M191" s="10">
        <f t="shared" si="16"/>
        <v>5431</v>
      </c>
      <c r="N191" s="10" t="s">
        <v>419</v>
      </c>
      <c r="O191" s="10" t="s">
        <v>327</v>
      </c>
      <c r="P191" s="10">
        <v>0</v>
      </c>
      <c r="Q191" s="54"/>
      <c r="R191" s="54" t="s">
        <v>1470</v>
      </c>
    </row>
    <row r="192" spans="2:18" ht="15.6" x14ac:dyDescent="0.3">
      <c r="B192" s="54" t="s">
        <v>320</v>
      </c>
      <c r="C192" s="10" t="s">
        <v>321</v>
      </c>
      <c r="D192" s="54">
        <v>2</v>
      </c>
      <c r="E192" s="54">
        <f t="shared" si="23"/>
        <v>1</v>
      </c>
      <c r="F192" s="10">
        <v>0</v>
      </c>
      <c r="G192" s="54">
        <v>65535</v>
      </c>
      <c r="H192" s="10">
        <v>1</v>
      </c>
      <c r="I192" s="10">
        <v>1</v>
      </c>
      <c r="J192" s="10" t="s">
        <v>418</v>
      </c>
      <c r="K192" s="54">
        <f>E191+K191</f>
        <v>45433</v>
      </c>
      <c r="L192" s="10">
        <f t="shared" si="15"/>
        <v>5433</v>
      </c>
      <c r="M192" s="10">
        <f t="shared" si="16"/>
        <v>5432</v>
      </c>
      <c r="N192" s="10" t="s">
        <v>419</v>
      </c>
      <c r="O192" s="10" t="s">
        <v>327</v>
      </c>
      <c r="P192" s="10">
        <v>0</v>
      </c>
      <c r="Q192" s="54"/>
      <c r="R192" s="54" t="s">
        <v>1471</v>
      </c>
    </row>
    <row r="193" spans="2:18" ht="15.6" x14ac:dyDescent="0.3">
      <c r="B193" s="54" t="s">
        <v>320</v>
      </c>
      <c r="C193" s="10" t="s">
        <v>321</v>
      </c>
      <c r="D193" s="54">
        <v>2</v>
      </c>
      <c r="E193" s="54">
        <f t="shared" si="23"/>
        <v>1</v>
      </c>
      <c r="F193" s="10">
        <v>0</v>
      </c>
      <c r="G193" s="54">
        <v>65535</v>
      </c>
      <c r="H193" s="10">
        <v>1</v>
      </c>
      <c r="I193" s="10">
        <v>1</v>
      </c>
      <c r="J193" s="10" t="s">
        <v>418</v>
      </c>
      <c r="K193" s="54">
        <f>E192+K192</f>
        <v>45434</v>
      </c>
      <c r="L193" s="10">
        <f t="shared" si="15"/>
        <v>5434</v>
      </c>
      <c r="M193" s="10">
        <f t="shared" si="16"/>
        <v>5433</v>
      </c>
      <c r="N193" s="10" t="s">
        <v>419</v>
      </c>
      <c r="O193" s="10" t="s">
        <v>327</v>
      </c>
      <c r="P193" s="10">
        <v>0</v>
      </c>
      <c r="Q193" s="54"/>
      <c r="R193" s="54" t="s">
        <v>1472</v>
      </c>
    </row>
    <row r="194" spans="2:18" ht="15.6" x14ac:dyDescent="0.3">
      <c r="B194" s="489" t="s">
        <v>320</v>
      </c>
      <c r="C194" s="490"/>
      <c r="D194" s="490"/>
      <c r="E194" s="490"/>
      <c r="F194" s="490"/>
      <c r="G194" s="490"/>
      <c r="H194" s="490"/>
      <c r="I194" s="490"/>
      <c r="J194" s="490"/>
      <c r="K194" s="490"/>
      <c r="L194" s="490"/>
      <c r="M194" s="490"/>
      <c r="N194" s="490"/>
      <c r="O194" s="490"/>
      <c r="P194" s="490"/>
      <c r="Q194" s="490"/>
      <c r="R194" s="491"/>
    </row>
    <row r="195" spans="2:18" ht="15.6" x14ac:dyDescent="0.3">
      <c r="B195" s="54" t="s">
        <v>320</v>
      </c>
      <c r="C195" s="10" t="s">
        <v>321</v>
      </c>
      <c r="D195" s="54">
        <v>2</v>
      </c>
      <c r="E195" s="54">
        <f t="shared" ref="E195:E197" si="24">D195/2</f>
        <v>1</v>
      </c>
      <c r="F195" s="10">
        <v>0</v>
      </c>
      <c r="G195" s="54">
        <v>65535</v>
      </c>
      <c r="H195" s="10">
        <v>1</v>
      </c>
      <c r="I195" s="10">
        <v>1</v>
      </c>
      <c r="J195" s="10" t="s">
        <v>418</v>
      </c>
      <c r="K195" s="54">
        <f>E193+K193</f>
        <v>45435</v>
      </c>
      <c r="L195" s="10">
        <f t="shared" si="15"/>
        <v>5435</v>
      </c>
      <c r="M195" s="10">
        <f t="shared" si="16"/>
        <v>5434</v>
      </c>
      <c r="N195" s="10" t="s">
        <v>419</v>
      </c>
      <c r="O195" s="10" t="s">
        <v>327</v>
      </c>
      <c r="P195" s="10">
        <v>0</v>
      </c>
      <c r="Q195" s="54"/>
      <c r="R195" s="54" t="s">
        <v>1473</v>
      </c>
    </row>
    <row r="196" spans="2:18" ht="15.6" x14ac:dyDescent="0.3">
      <c r="B196" s="54" t="s">
        <v>320</v>
      </c>
      <c r="C196" s="10" t="s">
        <v>321</v>
      </c>
      <c r="D196" s="54">
        <v>2</v>
      </c>
      <c r="E196" s="54">
        <f t="shared" si="24"/>
        <v>1</v>
      </c>
      <c r="F196" s="10">
        <v>0</v>
      </c>
      <c r="G196" s="54">
        <v>65535</v>
      </c>
      <c r="H196" s="10">
        <v>1</v>
      </c>
      <c r="I196" s="10">
        <v>1</v>
      </c>
      <c r="J196" s="10" t="s">
        <v>418</v>
      </c>
      <c r="K196" s="54">
        <f>E195+K195</f>
        <v>45436</v>
      </c>
      <c r="L196" s="10">
        <f t="shared" si="15"/>
        <v>5436</v>
      </c>
      <c r="M196" s="10">
        <f t="shared" si="16"/>
        <v>5435</v>
      </c>
      <c r="N196" s="10" t="s">
        <v>419</v>
      </c>
      <c r="O196" s="10" t="s">
        <v>327</v>
      </c>
      <c r="P196" s="10">
        <v>0</v>
      </c>
      <c r="Q196" s="54"/>
      <c r="R196" s="54" t="s">
        <v>1473</v>
      </c>
    </row>
    <row r="197" spans="2:18" ht="15.6" x14ac:dyDescent="0.3">
      <c r="B197" s="54" t="s">
        <v>320</v>
      </c>
      <c r="C197" s="10" t="s">
        <v>321</v>
      </c>
      <c r="D197" s="54">
        <v>2</v>
      </c>
      <c r="E197" s="54">
        <f t="shared" si="24"/>
        <v>1</v>
      </c>
      <c r="F197" s="10">
        <v>0</v>
      </c>
      <c r="G197" s="54">
        <v>65535</v>
      </c>
      <c r="H197" s="10">
        <v>1</v>
      </c>
      <c r="I197" s="10">
        <v>1</v>
      </c>
      <c r="J197" s="10" t="s">
        <v>418</v>
      </c>
      <c r="K197" s="54">
        <f>E196+K196</f>
        <v>45437</v>
      </c>
      <c r="L197" s="10">
        <f t="shared" si="15"/>
        <v>5437</v>
      </c>
      <c r="M197" s="10">
        <f t="shared" si="16"/>
        <v>5436</v>
      </c>
      <c r="N197" s="10" t="s">
        <v>419</v>
      </c>
      <c r="O197" s="10" t="s">
        <v>327</v>
      </c>
      <c r="P197" s="10">
        <v>0</v>
      </c>
      <c r="Q197" s="54"/>
      <c r="R197" s="54" t="s">
        <v>1473</v>
      </c>
    </row>
    <row r="198" spans="2:18" ht="15.6" x14ac:dyDescent="0.3">
      <c r="B198" s="54" t="s">
        <v>320</v>
      </c>
      <c r="C198" s="10" t="s">
        <v>321</v>
      </c>
      <c r="D198" s="54">
        <v>2</v>
      </c>
      <c r="E198" s="54">
        <f t="shared" ref="E198:E199" si="25">D198/2</f>
        <v>1</v>
      </c>
      <c r="F198" s="10">
        <v>0</v>
      </c>
      <c r="G198" s="54">
        <v>65535</v>
      </c>
      <c r="H198" s="10">
        <v>1</v>
      </c>
      <c r="I198" s="10">
        <v>1</v>
      </c>
      <c r="J198" s="10" t="s">
        <v>418</v>
      </c>
      <c r="K198" s="54">
        <f t="shared" ref="K198:K199" si="26">E197+K197</f>
        <v>45438</v>
      </c>
      <c r="L198" s="10">
        <f t="shared" si="15"/>
        <v>5438</v>
      </c>
      <c r="M198" s="10">
        <f t="shared" si="16"/>
        <v>5437</v>
      </c>
      <c r="N198" s="10" t="s">
        <v>419</v>
      </c>
      <c r="O198" s="10" t="s">
        <v>327</v>
      </c>
      <c r="P198" s="10">
        <v>0</v>
      </c>
      <c r="Q198" s="54"/>
      <c r="R198" s="54" t="s">
        <v>1473</v>
      </c>
    </row>
    <row r="199" spans="2:18" ht="15.6" x14ac:dyDescent="0.3">
      <c r="B199" s="54" t="s">
        <v>320</v>
      </c>
      <c r="C199" s="10" t="s">
        <v>321</v>
      </c>
      <c r="D199" s="54">
        <v>2</v>
      </c>
      <c r="E199" s="54">
        <f t="shared" si="25"/>
        <v>1</v>
      </c>
      <c r="F199" s="10">
        <v>0</v>
      </c>
      <c r="G199" s="54">
        <v>65535</v>
      </c>
      <c r="H199" s="10">
        <v>1</v>
      </c>
      <c r="I199" s="10">
        <v>1</v>
      </c>
      <c r="J199" s="10" t="s">
        <v>418</v>
      </c>
      <c r="K199" s="54">
        <f t="shared" si="26"/>
        <v>45439</v>
      </c>
      <c r="L199" s="10">
        <f t="shared" ref="L199" si="27">K199-40000</f>
        <v>5439</v>
      </c>
      <c r="M199" s="10">
        <f t="shared" ref="M199" si="28">L199-1</f>
        <v>5438</v>
      </c>
      <c r="N199" s="10" t="s">
        <v>419</v>
      </c>
      <c r="O199" s="10" t="s">
        <v>327</v>
      </c>
      <c r="P199" s="10">
        <v>0</v>
      </c>
      <c r="Q199" s="54"/>
      <c r="R199" s="54" t="s">
        <v>1473</v>
      </c>
    </row>
    <row r="200" spans="2:18" ht="15.6" x14ac:dyDescent="0.3">
      <c r="B200" s="486" t="s">
        <v>1474</v>
      </c>
      <c r="C200" s="487"/>
      <c r="D200" s="487"/>
      <c r="E200" s="487"/>
      <c r="F200" s="487"/>
      <c r="G200" s="487"/>
      <c r="H200" s="487"/>
      <c r="I200" s="487"/>
      <c r="J200" s="487"/>
      <c r="K200" s="487"/>
      <c r="L200" s="487"/>
      <c r="M200" s="487"/>
      <c r="N200" s="487"/>
      <c r="O200" s="487"/>
      <c r="P200" s="487"/>
      <c r="Q200" s="487"/>
      <c r="R200" s="488"/>
    </row>
    <row r="201" spans="2:18" ht="15.6" x14ac:dyDescent="0.3">
      <c r="B201" s="207" t="s">
        <v>1475</v>
      </c>
      <c r="C201" s="10" t="s">
        <v>321</v>
      </c>
      <c r="D201" s="54">
        <v>2</v>
      </c>
      <c r="E201" s="54">
        <f t="shared" ref="E201:E204" si="29">D201/2</f>
        <v>1</v>
      </c>
      <c r="F201" s="10">
        <v>0</v>
      </c>
      <c r="G201" s="10">
        <v>9249</v>
      </c>
      <c r="H201" s="10">
        <v>1</v>
      </c>
      <c r="I201" s="10">
        <v>1</v>
      </c>
      <c r="J201" s="10" t="s">
        <v>418</v>
      </c>
      <c r="K201" s="54">
        <f>E199+K199</f>
        <v>45440</v>
      </c>
      <c r="L201" s="10">
        <f t="shared" ref="L201:L204" si="30">K201-40000</f>
        <v>5440</v>
      </c>
      <c r="M201" s="10">
        <f t="shared" ref="M201:M204" si="31">L201-1</f>
        <v>5439</v>
      </c>
      <c r="N201" s="10" t="s">
        <v>419</v>
      </c>
      <c r="O201" s="10" t="s">
        <v>327</v>
      </c>
      <c r="P201" s="10">
        <v>0</v>
      </c>
      <c r="Q201" s="54"/>
      <c r="R201" s="54"/>
    </row>
    <row r="202" spans="2:18" ht="15.6" x14ac:dyDescent="0.3">
      <c r="B202" s="207" t="s">
        <v>1476</v>
      </c>
      <c r="C202" s="10" t="s">
        <v>864</v>
      </c>
      <c r="D202" s="54">
        <v>2</v>
      </c>
      <c r="E202" s="54">
        <f t="shared" si="29"/>
        <v>1</v>
      </c>
      <c r="F202" s="10">
        <v>-32766</v>
      </c>
      <c r="G202" s="10">
        <v>32767</v>
      </c>
      <c r="H202" s="10">
        <v>1</v>
      </c>
      <c r="I202" s="10">
        <v>1</v>
      </c>
      <c r="J202" s="10" t="s">
        <v>418</v>
      </c>
      <c r="K202" s="54">
        <f t="shared" ref="K202:K214" si="32">E201+K201</f>
        <v>45441</v>
      </c>
      <c r="L202" s="10">
        <f t="shared" si="30"/>
        <v>5441</v>
      </c>
      <c r="M202" s="10">
        <f t="shared" si="31"/>
        <v>5440</v>
      </c>
      <c r="N202" s="10" t="s">
        <v>419</v>
      </c>
      <c r="O202" s="10" t="s">
        <v>327</v>
      </c>
      <c r="P202" s="10">
        <v>0</v>
      </c>
      <c r="Q202" s="54"/>
      <c r="R202" s="54"/>
    </row>
    <row r="203" spans="2:18" ht="15.6" x14ac:dyDescent="0.3">
      <c r="B203" s="207" t="s">
        <v>1477</v>
      </c>
      <c r="C203" s="10" t="s">
        <v>321</v>
      </c>
      <c r="D203" s="54">
        <v>2</v>
      </c>
      <c r="E203" s="54">
        <f t="shared" si="29"/>
        <v>1</v>
      </c>
      <c r="F203" s="10">
        <v>0</v>
      </c>
      <c r="G203" s="54">
        <v>255</v>
      </c>
      <c r="H203" s="10">
        <v>1</v>
      </c>
      <c r="I203" s="10">
        <v>1</v>
      </c>
      <c r="J203" s="10" t="s">
        <v>418</v>
      </c>
      <c r="K203" s="54">
        <f t="shared" si="32"/>
        <v>45442</v>
      </c>
      <c r="L203" s="10">
        <f t="shared" si="30"/>
        <v>5442</v>
      </c>
      <c r="M203" s="10">
        <f t="shared" si="31"/>
        <v>5441</v>
      </c>
      <c r="N203" s="10" t="s">
        <v>419</v>
      </c>
      <c r="O203" s="10" t="s">
        <v>327</v>
      </c>
      <c r="P203" s="10">
        <v>0</v>
      </c>
      <c r="Q203" s="54"/>
      <c r="R203" s="54"/>
    </row>
    <row r="204" spans="2:18" ht="15.6" x14ac:dyDescent="0.3">
      <c r="B204" s="207" t="s">
        <v>1478</v>
      </c>
      <c r="C204" s="10" t="s">
        <v>864</v>
      </c>
      <c r="D204" s="54">
        <v>2</v>
      </c>
      <c r="E204" s="54">
        <f t="shared" si="29"/>
        <v>1</v>
      </c>
      <c r="F204" s="10">
        <v>-32766</v>
      </c>
      <c r="G204" s="10">
        <v>32767</v>
      </c>
      <c r="H204" s="10">
        <v>1</v>
      </c>
      <c r="I204" s="10">
        <v>1</v>
      </c>
      <c r="J204" s="10" t="s">
        <v>418</v>
      </c>
      <c r="K204" s="54">
        <f t="shared" si="32"/>
        <v>45443</v>
      </c>
      <c r="L204" s="10">
        <f t="shared" si="30"/>
        <v>5443</v>
      </c>
      <c r="M204" s="10">
        <f t="shared" si="31"/>
        <v>5442</v>
      </c>
      <c r="N204" s="10" t="s">
        <v>419</v>
      </c>
      <c r="O204" s="10" t="s">
        <v>327</v>
      </c>
      <c r="P204" s="10">
        <v>0</v>
      </c>
      <c r="Q204" s="54"/>
      <c r="R204" s="54"/>
    </row>
    <row r="205" spans="2:18" ht="15.6" x14ac:dyDescent="0.3">
      <c r="B205" s="207" t="s">
        <v>1479</v>
      </c>
      <c r="C205" s="10" t="s">
        <v>321</v>
      </c>
      <c r="D205" s="54">
        <v>2</v>
      </c>
      <c r="E205" s="54">
        <f t="shared" ref="E205:E214" si="33">D205/2</f>
        <v>1</v>
      </c>
      <c r="F205" s="10">
        <v>0</v>
      </c>
      <c r="G205" s="10">
        <v>9249</v>
      </c>
      <c r="H205" s="10">
        <v>1</v>
      </c>
      <c r="I205" s="10">
        <v>1</v>
      </c>
      <c r="J205" s="10" t="s">
        <v>418</v>
      </c>
      <c r="K205" s="54">
        <f t="shared" si="32"/>
        <v>45444</v>
      </c>
      <c r="L205" s="10">
        <f t="shared" ref="L205:L214" si="34">K205-40000</f>
        <v>5444</v>
      </c>
      <c r="M205" s="10">
        <f t="shared" ref="M205:M214" si="35">L205-1</f>
        <v>5443</v>
      </c>
      <c r="N205" s="10" t="s">
        <v>419</v>
      </c>
      <c r="O205" s="10" t="s">
        <v>327</v>
      </c>
      <c r="P205" s="10">
        <v>0</v>
      </c>
      <c r="Q205" s="54"/>
      <c r="R205" s="54"/>
    </row>
    <row r="206" spans="2:18" ht="15.6" x14ac:dyDescent="0.3">
      <c r="B206" s="207" t="s">
        <v>1480</v>
      </c>
      <c r="C206" s="10" t="s">
        <v>321</v>
      </c>
      <c r="D206" s="54">
        <v>2</v>
      </c>
      <c r="E206" s="54">
        <f t="shared" si="33"/>
        <v>1</v>
      </c>
      <c r="F206" s="10">
        <v>0</v>
      </c>
      <c r="G206" s="10">
        <v>9249</v>
      </c>
      <c r="H206" s="10">
        <v>1</v>
      </c>
      <c r="I206" s="10">
        <v>1</v>
      </c>
      <c r="J206" s="10" t="s">
        <v>418</v>
      </c>
      <c r="K206" s="54">
        <f t="shared" si="32"/>
        <v>45445</v>
      </c>
      <c r="L206" s="10">
        <f t="shared" si="34"/>
        <v>5445</v>
      </c>
      <c r="M206" s="10">
        <f t="shared" si="35"/>
        <v>5444</v>
      </c>
      <c r="N206" s="10" t="s">
        <v>419</v>
      </c>
      <c r="O206" s="10" t="s">
        <v>327</v>
      </c>
      <c r="P206" s="10">
        <v>0</v>
      </c>
      <c r="Q206" s="54"/>
      <c r="R206" s="54"/>
    </row>
    <row r="207" spans="2:18" ht="15.6" x14ac:dyDescent="0.3">
      <c r="B207" s="207" t="s">
        <v>1481</v>
      </c>
      <c r="C207" s="10" t="s">
        <v>864</v>
      </c>
      <c r="D207" s="54">
        <v>2</v>
      </c>
      <c r="E207" s="54">
        <f t="shared" si="33"/>
        <v>1</v>
      </c>
      <c r="F207" s="10">
        <v>-32766</v>
      </c>
      <c r="G207" s="10">
        <v>32767</v>
      </c>
      <c r="H207" s="10">
        <v>1</v>
      </c>
      <c r="I207" s="10">
        <v>1</v>
      </c>
      <c r="J207" s="10" t="s">
        <v>418</v>
      </c>
      <c r="K207" s="54">
        <f t="shared" si="32"/>
        <v>45446</v>
      </c>
      <c r="L207" s="10">
        <f t="shared" si="34"/>
        <v>5446</v>
      </c>
      <c r="M207" s="10">
        <f t="shared" si="35"/>
        <v>5445</v>
      </c>
      <c r="N207" s="10" t="s">
        <v>419</v>
      </c>
      <c r="O207" s="10" t="s">
        <v>327</v>
      </c>
      <c r="P207" s="10">
        <v>0</v>
      </c>
      <c r="Q207" s="54"/>
      <c r="R207" s="54"/>
    </row>
    <row r="208" spans="2:18" ht="15.6" x14ac:dyDescent="0.3">
      <c r="B208" s="207" t="s">
        <v>1482</v>
      </c>
      <c r="C208" s="10" t="s">
        <v>321</v>
      </c>
      <c r="D208" s="54">
        <v>2</v>
      </c>
      <c r="E208" s="54">
        <f t="shared" si="33"/>
        <v>1</v>
      </c>
      <c r="F208" s="10">
        <v>0</v>
      </c>
      <c r="G208" s="54">
        <v>255</v>
      </c>
      <c r="H208" s="10">
        <v>1</v>
      </c>
      <c r="I208" s="10">
        <v>1</v>
      </c>
      <c r="J208" s="10" t="s">
        <v>418</v>
      </c>
      <c r="K208" s="54">
        <f t="shared" si="32"/>
        <v>45447</v>
      </c>
      <c r="L208" s="10">
        <f t="shared" si="34"/>
        <v>5447</v>
      </c>
      <c r="M208" s="10">
        <f t="shared" si="35"/>
        <v>5446</v>
      </c>
      <c r="N208" s="10" t="s">
        <v>419</v>
      </c>
      <c r="O208" s="10" t="s">
        <v>327</v>
      </c>
      <c r="P208" s="10">
        <v>0</v>
      </c>
      <c r="Q208" s="54"/>
      <c r="R208" s="54"/>
    </row>
    <row r="209" spans="2:18" ht="15.6" x14ac:dyDescent="0.3">
      <c r="B209" s="207" t="s">
        <v>1483</v>
      </c>
      <c r="C209" s="10" t="s">
        <v>321</v>
      </c>
      <c r="D209" s="54">
        <v>2</v>
      </c>
      <c r="E209" s="54">
        <f t="shared" si="33"/>
        <v>1</v>
      </c>
      <c r="F209" s="10">
        <v>0</v>
      </c>
      <c r="G209" s="54">
        <v>255</v>
      </c>
      <c r="H209" s="10">
        <v>1</v>
      </c>
      <c r="I209" s="10">
        <v>1</v>
      </c>
      <c r="J209" s="10" t="s">
        <v>418</v>
      </c>
      <c r="K209" s="54">
        <f t="shared" si="32"/>
        <v>45448</v>
      </c>
      <c r="L209" s="10">
        <f t="shared" si="34"/>
        <v>5448</v>
      </c>
      <c r="M209" s="10">
        <f t="shared" si="35"/>
        <v>5447</v>
      </c>
      <c r="N209" s="10" t="s">
        <v>419</v>
      </c>
      <c r="O209" s="10" t="s">
        <v>327</v>
      </c>
      <c r="P209" s="10">
        <v>0</v>
      </c>
      <c r="Q209" s="54"/>
      <c r="R209" s="54"/>
    </row>
    <row r="210" spans="2:18" ht="15.6" x14ac:dyDescent="0.3">
      <c r="B210" s="207" t="s">
        <v>1484</v>
      </c>
      <c r="C210" s="10" t="s">
        <v>864</v>
      </c>
      <c r="D210" s="54">
        <v>2</v>
      </c>
      <c r="E210" s="54">
        <f t="shared" si="33"/>
        <v>1</v>
      </c>
      <c r="F210" s="10">
        <v>-32766</v>
      </c>
      <c r="G210" s="10">
        <v>32767</v>
      </c>
      <c r="H210" s="10">
        <v>1</v>
      </c>
      <c r="I210" s="10">
        <v>1</v>
      </c>
      <c r="J210" s="10" t="s">
        <v>418</v>
      </c>
      <c r="K210" s="54">
        <f t="shared" si="32"/>
        <v>45449</v>
      </c>
      <c r="L210" s="10">
        <f t="shared" si="34"/>
        <v>5449</v>
      </c>
      <c r="M210" s="10">
        <f t="shared" si="35"/>
        <v>5448</v>
      </c>
      <c r="N210" s="10" t="s">
        <v>419</v>
      </c>
      <c r="O210" s="10" t="s">
        <v>327</v>
      </c>
      <c r="P210" s="10">
        <v>0</v>
      </c>
      <c r="Q210" s="54"/>
      <c r="R210" s="54"/>
    </row>
    <row r="211" spans="2:18" ht="15.6" x14ac:dyDescent="0.3">
      <c r="B211" s="207" t="s">
        <v>1485</v>
      </c>
      <c r="C211" s="10" t="s">
        <v>864</v>
      </c>
      <c r="D211" s="54">
        <v>2</v>
      </c>
      <c r="E211" s="54">
        <f t="shared" si="33"/>
        <v>1</v>
      </c>
      <c r="F211" s="10">
        <v>-32766</v>
      </c>
      <c r="G211" s="10">
        <v>32767</v>
      </c>
      <c r="H211" s="10">
        <v>1</v>
      </c>
      <c r="I211" s="10">
        <v>1</v>
      </c>
      <c r="J211" s="10" t="s">
        <v>418</v>
      </c>
      <c r="K211" s="54">
        <f t="shared" si="32"/>
        <v>45450</v>
      </c>
      <c r="L211" s="10">
        <f t="shared" si="34"/>
        <v>5450</v>
      </c>
      <c r="M211" s="10">
        <f t="shared" si="35"/>
        <v>5449</v>
      </c>
      <c r="N211" s="10" t="s">
        <v>419</v>
      </c>
      <c r="O211" s="10" t="s">
        <v>327</v>
      </c>
      <c r="P211" s="10">
        <v>0</v>
      </c>
      <c r="Q211" s="54"/>
      <c r="R211" s="54"/>
    </row>
    <row r="212" spans="2:18" ht="15.6" x14ac:dyDescent="0.3">
      <c r="B212" s="207" t="s">
        <v>1486</v>
      </c>
      <c r="C212" s="10" t="s">
        <v>864</v>
      </c>
      <c r="D212" s="54">
        <v>2</v>
      </c>
      <c r="E212" s="54">
        <f t="shared" si="33"/>
        <v>1</v>
      </c>
      <c r="F212" s="10">
        <v>-32766</v>
      </c>
      <c r="G212" s="10">
        <v>32767</v>
      </c>
      <c r="H212" s="10">
        <v>1</v>
      </c>
      <c r="I212" s="10">
        <v>1</v>
      </c>
      <c r="J212" s="10" t="s">
        <v>418</v>
      </c>
      <c r="K212" s="54">
        <f t="shared" si="32"/>
        <v>45451</v>
      </c>
      <c r="L212" s="10">
        <f t="shared" ref="L212" si="36">K212-40000</f>
        <v>5451</v>
      </c>
      <c r="M212" s="10">
        <f t="shared" ref="M212" si="37">L212-1</f>
        <v>5450</v>
      </c>
      <c r="N212" s="10" t="s">
        <v>419</v>
      </c>
      <c r="O212" s="10" t="s">
        <v>327</v>
      </c>
      <c r="P212" s="10">
        <v>0</v>
      </c>
      <c r="Q212" s="54"/>
      <c r="R212" s="54"/>
    </row>
    <row r="213" spans="2:18" ht="15.6" x14ac:dyDescent="0.3">
      <c r="B213" s="207" t="s">
        <v>1487</v>
      </c>
      <c r="C213" s="10" t="s">
        <v>321</v>
      </c>
      <c r="D213" s="54">
        <v>2</v>
      </c>
      <c r="E213" s="54">
        <f t="shared" si="33"/>
        <v>1</v>
      </c>
      <c r="F213" s="10">
        <v>1</v>
      </c>
      <c r="G213" s="54">
        <v>2</v>
      </c>
      <c r="H213" s="10">
        <v>1</v>
      </c>
      <c r="I213" s="10">
        <v>1</v>
      </c>
      <c r="J213" s="10" t="s">
        <v>418</v>
      </c>
      <c r="K213" s="54">
        <f t="shared" si="32"/>
        <v>45452</v>
      </c>
      <c r="L213" s="10">
        <f t="shared" si="34"/>
        <v>5452</v>
      </c>
      <c r="M213" s="10">
        <f t="shared" si="35"/>
        <v>5451</v>
      </c>
      <c r="N213" s="10" t="s">
        <v>419</v>
      </c>
      <c r="O213" s="10" t="s">
        <v>327</v>
      </c>
      <c r="P213" s="10">
        <v>1</v>
      </c>
      <c r="Q213" s="54"/>
      <c r="R213" s="54"/>
    </row>
    <row r="214" spans="2:18" ht="57.6" x14ac:dyDescent="0.3">
      <c r="B214" s="207" t="s">
        <v>1488</v>
      </c>
      <c r="C214" s="10" t="s">
        <v>321</v>
      </c>
      <c r="D214" s="54">
        <v>2</v>
      </c>
      <c r="E214" s="54">
        <f t="shared" si="33"/>
        <v>1</v>
      </c>
      <c r="F214" s="10">
        <v>0</v>
      </c>
      <c r="G214" s="54">
        <v>3</v>
      </c>
      <c r="H214" s="10">
        <v>1</v>
      </c>
      <c r="I214" s="10">
        <v>1</v>
      </c>
      <c r="J214" s="10" t="s">
        <v>418</v>
      </c>
      <c r="K214" s="54">
        <f t="shared" si="32"/>
        <v>45453</v>
      </c>
      <c r="L214" s="10">
        <f t="shared" si="34"/>
        <v>5453</v>
      </c>
      <c r="M214" s="10">
        <f t="shared" si="35"/>
        <v>5452</v>
      </c>
      <c r="N214" s="10" t="s">
        <v>419</v>
      </c>
      <c r="O214" s="10" t="s">
        <v>327</v>
      </c>
      <c r="P214" s="10">
        <v>0</v>
      </c>
      <c r="Q214" s="54"/>
      <c r="R214" s="79" t="s">
        <v>1489</v>
      </c>
    </row>
    <row r="215" spans="2:18" ht="15.6" x14ac:dyDescent="0.3">
      <c r="B215" s="486" t="s">
        <v>1490</v>
      </c>
      <c r="C215" s="487"/>
      <c r="D215" s="487"/>
      <c r="E215" s="487"/>
      <c r="F215" s="487"/>
      <c r="G215" s="487"/>
      <c r="H215" s="487"/>
      <c r="I215" s="487"/>
      <c r="J215" s="487"/>
      <c r="K215" s="487"/>
      <c r="L215" s="487"/>
      <c r="M215" s="487"/>
      <c r="N215" s="487"/>
      <c r="O215" s="487"/>
      <c r="P215" s="487"/>
      <c r="Q215" s="487"/>
      <c r="R215" s="488"/>
    </row>
    <row r="216" spans="2:18" ht="15.6" x14ac:dyDescent="0.3">
      <c r="B216" s="207" t="s">
        <v>1491</v>
      </c>
      <c r="C216" s="54" t="s">
        <v>321</v>
      </c>
      <c r="D216" s="54">
        <v>2</v>
      </c>
      <c r="E216" s="54">
        <f t="shared" ref="E216:E239" si="38">D216/2</f>
        <v>1</v>
      </c>
      <c r="F216" s="10">
        <v>0</v>
      </c>
      <c r="G216" s="10">
        <v>9249</v>
      </c>
      <c r="H216" s="54">
        <v>1</v>
      </c>
      <c r="I216" s="54">
        <v>1</v>
      </c>
      <c r="J216" s="54" t="s">
        <v>418</v>
      </c>
      <c r="K216" s="54">
        <f>E214+K214</f>
        <v>45454</v>
      </c>
      <c r="L216" s="10">
        <f t="shared" ref="L216:L239" si="39">K216-40000</f>
        <v>5454</v>
      </c>
      <c r="M216" s="10">
        <f t="shared" ref="M216:M239" si="40">L216-1</f>
        <v>5453</v>
      </c>
      <c r="N216" s="54" t="s">
        <v>419</v>
      </c>
      <c r="O216" s="54" t="s">
        <v>327</v>
      </c>
      <c r="P216" s="54">
        <v>0</v>
      </c>
      <c r="Q216" s="54"/>
      <c r="R216" s="54"/>
    </row>
    <row r="217" spans="2:18" ht="28.8" x14ac:dyDescent="0.3">
      <c r="B217" s="207" t="s">
        <v>1492</v>
      </c>
      <c r="C217" s="54" t="s">
        <v>321</v>
      </c>
      <c r="D217" s="54">
        <v>2</v>
      </c>
      <c r="E217" s="54">
        <f t="shared" si="38"/>
        <v>1</v>
      </c>
      <c r="F217" s="54">
        <v>0</v>
      </c>
      <c r="G217" s="54">
        <v>1</v>
      </c>
      <c r="H217" s="54">
        <v>1</v>
      </c>
      <c r="I217" s="54">
        <v>1</v>
      </c>
      <c r="J217" s="54" t="s">
        <v>418</v>
      </c>
      <c r="K217" s="54">
        <f t="shared" ref="K217:K239" si="41">E216+K216</f>
        <v>45455</v>
      </c>
      <c r="L217" s="10">
        <f t="shared" si="39"/>
        <v>5455</v>
      </c>
      <c r="M217" s="10">
        <f t="shared" si="40"/>
        <v>5454</v>
      </c>
      <c r="N217" s="54" t="s">
        <v>419</v>
      </c>
      <c r="O217" s="54" t="s">
        <v>327</v>
      </c>
      <c r="P217" s="54">
        <v>0</v>
      </c>
      <c r="Q217" s="54"/>
      <c r="R217" s="79" t="s">
        <v>1493</v>
      </c>
    </row>
    <row r="218" spans="2:18" ht="15.6" x14ac:dyDescent="0.3">
      <c r="B218" s="207" t="s">
        <v>1494</v>
      </c>
      <c r="C218" s="54" t="s">
        <v>321</v>
      </c>
      <c r="D218" s="54">
        <v>2</v>
      </c>
      <c r="E218" s="54">
        <f t="shared" si="38"/>
        <v>1</v>
      </c>
      <c r="F218" s="54">
        <v>0</v>
      </c>
      <c r="G218" s="54">
        <v>60000</v>
      </c>
      <c r="H218" s="54">
        <v>1</v>
      </c>
      <c r="I218" s="208" t="s">
        <v>386</v>
      </c>
      <c r="J218" s="54" t="s">
        <v>418</v>
      </c>
      <c r="K218" s="54">
        <f t="shared" si="41"/>
        <v>45456</v>
      </c>
      <c r="L218" s="10">
        <f t="shared" si="39"/>
        <v>5456</v>
      </c>
      <c r="M218" s="10">
        <f t="shared" si="40"/>
        <v>5455</v>
      </c>
      <c r="N218" s="54" t="s">
        <v>419</v>
      </c>
      <c r="O218" s="54" t="s">
        <v>327</v>
      </c>
      <c r="P218" s="10">
        <v>0</v>
      </c>
      <c r="Q218" s="10" t="s">
        <v>329</v>
      </c>
      <c r="R218" s="112"/>
    </row>
    <row r="219" spans="2:18" ht="15.6" x14ac:dyDescent="0.3">
      <c r="B219" s="207" t="s">
        <v>1495</v>
      </c>
      <c r="C219" s="54" t="s">
        <v>321</v>
      </c>
      <c r="D219" s="54">
        <v>2</v>
      </c>
      <c r="E219" s="54">
        <f t="shared" si="38"/>
        <v>1</v>
      </c>
      <c r="F219" s="54">
        <v>0</v>
      </c>
      <c r="G219" s="54">
        <v>65535</v>
      </c>
      <c r="H219" s="54">
        <v>1</v>
      </c>
      <c r="I219" s="54">
        <v>1</v>
      </c>
      <c r="J219" s="54" t="s">
        <v>418</v>
      </c>
      <c r="K219" s="54">
        <f t="shared" si="41"/>
        <v>45457</v>
      </c>
      <c r="L219" s="10">
        <f t="shared" si="39"/>
        <v>5457</v>
      </c>
      <c r="M219" s="10">
        <f t="shared" si="40"/>
        <v>5456</v>
      </c>
      <c r="N219" s="54" t="s">
        <v>419</v>
      </c>
      <c r="O219" s="54" t="s">
        <v>327</v>
      </c>
      <c r="P219" s="54">
        <v>0</v>
      </c>
      <c r="Q219" s="54"/>
      <c r="R219" s="112"/>
    </row>
    <row r="220" spans="2:18" ht="46.8" x14ac:dyDescent="0.3">
      <c r="B220" s="207" t="s">
        <v>1496</v>
      </c>
      <c r="C220" s="54" t="s">
        <v>321</v>
      </c>
      <c r="D220" s="54">
        <v>2</v>
      </c>
      <c r="E220" s="54">
        <f t="shared" si="38"/>
        <v>1</v>
      </c>
      <c r="F220" s="54">
        <v>0</v>
      </c>
      <c r="G220" s="54">
        <v>7</v>
      </c>
      <c r="H220" s="54">
        <v>1</v>
      </c>
      <c r="I220" s="54">
        <v>1</v>
      </c>
      <c r="J220" s="54" t="s">
        <v>418</v>
      </c>
      <c r="K220" s="54">
        <f t="shared" si="41"/>
        <v>45458</v>
      </c>
      <c r="L220" s="10">
        <f t="shared" si="39"/>
        <v>5458</v>
      </c>
      <c r="M220" s="10">
        <f t="shared" si="40"/>
        <v>5457</v>
      </c>
      <c r="N220" s="54" t="s">
        <v>419</v>
      </c>
      <c r="O220" s="54" t="s">
        <v>327</v>
      </c>
      <c r="P220" s="54">
        <v>0</v>
      </c>
      <c r="Q220" s="54"/>
      <c r="R220" s="110" t="s">
        <v>1497</v>
      </c>
    </row>
    <row r="221" spans="2:18" ht="15.6" x14ac:dyDescent="0.3">
      <c r="B221" s="207" t="s">
        <v>1498</v>
      </c>
      <c r="C221" s="54" t="s">
        <v>321</v>
      </c>
      <c r="D221" s="54">
        <v>2</v>
      </c>
      <c r="E221" s="54">
        <f t="shared" si="38"/>
        <v>1</v>
      </c>
      <c r="F221" s="54">
        <v>0</v>
      </c>
      <c r="G221" s="54">
        <v>65535</v>
      </c>
      <c r="H221" s="54">
        <v>1</v>
      </c>
      <c r="I221" s="54">
        <v>1</v>
      </c>
      <c r="J221" s="54" t="s">
        <v>418</v>
      </c>
      <c r="K221" s="54">
        <f t="shared" si="41"/>
        <v>45459</v>
      </c>
      <c r="L221" s="10">
        <f t="shared" si="39"/>
        <v>5459</v>
      </c>
      <c r="M221" s="10">
        <f t="shared" si="40"/>
        <v>5458</v>
      </c>
      <c r="N221" s="54" t="s">
        <v>419</v>
      </c>
      <c r="O221" s="54" t="s">
        <v>327</v>
      </c>
      <c r="P221" s="54">
        <v>0</v>
      </c>
      <c r="Q221" s="54"/>
      <c r="R221" s="112"/>
    </row>
    <row r="222" spans="2:18" ht="15.6" x14ac:dyDescent="0.3">
      <c r="B222" s="207" t="s">
        <v>1499</v>
      </c>
      <c r="C222" s="54" t="s">
        <v>321</v>
      </c>
      <c r="D222" s="54">
        <v>2</v>
      </c>
      <c r="E222" s="54">
        <f t="shared" si="38"/>
        <v>1</v>
      </c>
      <c r="F222" s="10">
        <v>0</v>
      </c>
      <c r="G222" s="10">
        <v>9249</v>
      </c>
      <c r="H222" s="54">
        <v>1</v>
      </c>
      <c r="I222" s="54">
        <v>1</v>
      </c>
      <c r="J222" s="54" t="s">
        <v>418</v>
      </c>
      <c r="K222" s="54">
        <f t="shared" si="41"/>
        <v>45460</v>
      </c>
      <c r="L222" s="10">
        <f t="shared" si="39"/>
        <v>5460</v>
      </c>
      <c r="M222" s="10">
        <f t="shared" si="40"/>
        <v>5459</v>
      </c>
      <c r="N222" s="54" t="s">
        <v>419</v>
      </c>
      <c r="O222" s="54" t="s">
        <v>327</v>
      </c>
      <c r="P222" s="54">
        <v>0</v>
      </c>
      <c r="Q222" s="54"/>
      <c r="R222" s="112"/>
    </row>
    <row r="223" spans="2:18" ht="28.8" x14ac:dyDescent="0.3">
      <c r="B223" s="207" t="s">
        <v>1500</v>
      </c>
      <c r="C223" s="54" t="s">
        <v>321</v>
      </c>
      <c r="D223" s="54">
        <v>2</v>
      </c>
      <c r="E223" s="54">
        <f t="shared" si="38"/>
        <v>1</v>
      </c>
      <c r="F223" s="54">
        <v>0</v>
      </c>
      <c r="G223" s="54">
        <v>1</v>
      </c>
      <c r="H223" s="54">
        <v>1</v>
      </c>
      <c r="I223" s="54">
        <v>1</v>
      </c>
      <c r="J223" s="54" t="s">
        <v>418</v>
      </c>
      <c r="K223" s="54">
        <f t="shared" si="41"/>
        <v>45461</v>
      </c>
      <c r="L223" s="10">
        <f t="shared" si="39"/>
        <v>5461</v>
      </c>
      <c r="M223" s="10">
        <f t="shared" si="40"/>
        <v>5460</v>
      </c>
      <c r="N223" s="54" t="s">
        <v>419</v>
      </c>
      <c r="O223" s="54" t="s">
        <v>327</v>
      </c>
      <c r="P223" s="54">
        <v>0</v>
      </c>
      <c r="Q223" s="54"/>
      <c r="R223" s="79" t="s">
        <v>1493</v>
      </c>
    </row>
    <row r="224" spans="2:18" ht="15.6" x14ac:dyDescent="0.3">
      <c r="B224" s="207" t="s">
        <v>1501</v>
      </c>
      <c r="C224" s="54" t="s">
        <v>321</v>
      </c>
      <c r="D224" s="54">
        <v>2</v>
      </c>
      <c r="E224" s="54">
        <f t="shared" si="38"/>
        <v>1</v>
      </c>
      <c r="F224" s="54">
        <v>0</v>
      </c>
      <c r="G224" s="54">
        <v>60000</v>
      </c>
      <c r="H224" s="54">
        <v>1</v>
      </c>
      <c r="I224" s="208" t="s">
        <v>386</v>
      </c>
      <c r="J224" s="54" t="s">
        <v>418</v>
      </c>
      <c r="K224" s="54">
        <f t="shared" ref="K224" si="42">E223+K223</f>
        <v>45462</v>
      </c>
      <c r="L224" s="10">
        <f t="shared" ref="L224" si="43">K224-40000</f>
        <v>5462</v>
      </c>
      <c r="M224" s="10">
        <f t="shared" ref="M224" si="44">L224-1</f>
        <v>5461</v>
      </c>
      <c r="N224" s="54" t="s">
        <v>419</v>
      </c>
      <c r="O224" s="54" t="s">
        <v>327</v>
      </c>
      <c r="P224" s="10">
        <v>0</v>
      </c>
      <c r="Q224" s="10" t="s">
        <v>329</v>
      </c>
      <c r="R224" s="112"/>
    </row>
    <row r="225" spans="2:18" ht="15.6" x14ac:dyDescent="0.3">
      <c r="B225" s="207" t="s">
        <v>1502</v>
      </c>
      <c r="C225" s="54" t="s">
        <v>321</v>
      </c>
      <c r="D225" s="54">
        <v>2</v>
      </c>
      <c r="E225" s="54">
        <f t="shared" si="38"/>
        <v>1</v>
      </c>
      <c r="F225" s="54">
        <v>0</v>
      </c>
      <c r="G225" s="54">
        <v>65535</v>
      </c>
      <c r="H225" s="54">
        <v>1</v>
      </c>
      <c r="I225" s="54">
        <v>1</v>
      </c>
      <c r="J225" s="54" t="s">
        <v>418</v>
      </c>
      <c r="K225" s="54">
        <f t="shared" si="41"/>
        <v>45463</v>
      </c>
      <c r="L225" s="10">
        <f t="shared" si="39"/>
        <v>5463</v>
      </c>
      <c r="M225" s="10">
        <f t="shared" si="40"/>
        <v>5462</v>
      </c>
      <c r="N225" s="54" t="s">
        <v>419</v>
      </c>
      <c r="O225" s="54" t="s">
        <v>327</v>
      </c>
      <c r="P225" s="54">
        <v>0</v>
      </c>
      <c r="Q225" s="54"/>
      <c r="R225" s="112"/>
    </row>
    <row r="226" spans="2:18" ht="46.8" x14ac:dyDescent="0.3">
      <c r="B226" s="207" t="s">
        <v>1503</v>
      </c>
      <c r="C226" s="54" t="s">
        <v>321</v>
      </c>
      <c r="D226" s="54">
        <v>2</v>
      </c>
      <c r="E226" s="54">
        <f t="shared" si="38"/>
        <v>1</v>
      </c>
      <c r="F226" s="54">
        <v>0</v>
      </c>
      <c r="G226" s="54">
        <v>7</v>
      </c>
      <c r="H226" s="54">
        <v>1</v>
      </c>
      <c r="I226" s="54">
        <v>1</v>
      </c>
      <c r="J226" s="54" t="s">
        <v>418</v>
      </c>
      <c r="K226" s="54">
        <f t="shared" ref="K226" si="45">E225+K225</f>
        <v>45464</v>
      </c>
      <c r="L226" s="10">
        <f t="shared" ref="L226" si="46">K226-40000</f>
        <v>5464</v>
      </c>
      <c r="M226" s="10">
        <f t="shared" ref="M226" si="47">L226-1</f>
        <v>5463</v>
      </c>
      <c r="N226" s="54" t="s">
        <v>419</v>
      </c>
      <c r="O226" s="54" t="s">
        <v>327</v>
      </c>
      <c r="P226" s="54">
        <v>0</v>
      </c>
      <c r="Q226" s="54"/>
      <c r="R226" s="110" t="s">
        <v>1497</v>
      </c>
    </row>
    <row r="227" spans="2:18" ht="15.6" x14ac:dyDescent="0.3">
      <c r="B227" s="207" t="s">
        <v>1504</v>
      </c>
      <c r="C227" s="54" t="s">
        <v>321</v>
      </c>
      <c r="D227" s="54">
        <v>2</v>
      </c>
      <c r="E227" s="54">
        <f t="shared" si="38"/>
        <v>1</v>
      </c>
      <c r="F227" s="54">
        <v>0</v>
      </c>
      <c r="G227" s="54">
        <v>65535</v>
      </c>
      <c r="H227" s="54">
        <v>1</v>
      </c>
      <c r="I227" s="54">
        <v>1</v>
      </c>
      <c r="J227" s="54" t="s">
        <v>418</v>
      </c>
      <c r="K227" s="54">
        <f t="shared" si="41"/>
        <v>45465</v>
      </c>
      <c r="L227" s="10">
        <f t="shared" si="39"/>
        <v>5465</v>
      </c>
      <c r="M227" s="10">
        <f t="shared" si="40"/>
        <v>5464</v>
      </c>
      <c r="N227" s="54" t="s">
        <v>419</v>
      </c>
      <c r="O227" s="54" t="s">
        <v>327</v>
      </c>
      <c r="P227" s="54">
        <v>0</v>
      </c>
      <c r="Q227" s="54"/>
      <c r="R227" s="112"/>
    </row>
    <row r="228" spans="2:18" ht="15.6" x14ac:dyDescent="0.3">
      <c r="B228" s="207" t="s">
        <v>1505</v>
      </c>
      <c r="C228" s="54" t="s">
        <v>321</v>
      </c>
      <c r="D228" s="54">
        <v>2</v>
      </c>
      <c r="E228" s="54">
        <f t="shared" si="38"/>
        <v>1</v>
      </c>
      <c r="F228" s="10">
        <v>0</v>
      </c>
      <c r="G228" s="10">
        <v>9249</v>
      </c>
      <c r="H228" s="54">
        <v>1</v>
      </c>
      <c r="I228" s="54">
        <v>1</v>
      </c>
      <c r="J228" s="54" t="s">
        <v>418</v>
      </c>
      <c r="K228" s="54">
        <f t="shared" si="41"/>
        <v>45466</v>
      </c>
      <c r="L228" s="10">
        <f t="shared" si="39"/>
        <v>5466</v>
      </c>
      <c r="M228" s="10">
        <f t="shared" si="40"/>
        <v>5465</v>
      </c>
      <c r="N228" s="54" t="s">
        <v>419</v>
      </c>
      <c r="O228" s="54" t="s">
        <v>327</v>
      </c>
      <c r="P228" s="54">
        <v>0</v>
      </c>
      <c r="Q228" s="54"/>
      <c r="R228" s="112"/>
    </row>
    <row r="229" spans="2:18" ht="28.8" x14ac:dyDescent="0.3">
      <c r="B229" s="207" t="s">
        <v>1506</v>
      </c>
      <c r="C229" s="54" t="s">
        <v>321</v>
      </c>
      <c r="D229" s="54">
        <v>2</v>
      </c>
      <c r="E229" s="54">
        <f t="shared" si="38"/>
        <v>1</v>
      </c>
      <c r="F229" s="54">
        <v>0</v>
      </c>
      <c r="G229" s="54">
        <v>1</v>
      </c>
      <c r="H229" s="54">
        <v>1</v>
      </c>
      <c r="I229" s="54">
        <v>1</v>
      </c>
      <c r="J229" s="54" t="s">
        <v>418</v>
      </c>
      <c r="K229" s="54">
        <f t="shared" si="41"/>
        <v>45467</v>
      </c>
      <c r="L229" s="10">
        <f t="shared" si="39"/>
        <v>5467</v>
      </c>
      <c r="M229" s="10">
        <f t="shared" si="40"/>
        <v>5466</v>
      </c>
      <c r="N229" s="54" t="s">
        <v>419</v>
      </c>
      <c r="O229" s="54" t="s">
        <v>327</v>
      </c>
      <c r="P229" s="54">
        <v>0</v>
      </c>
      <c r="Q229" s="54"/>
      <c r="R229" s="79" t="s">
        <v>1493</v>
      </c>
    </row>
    <row r="230" spans="2:18" ht="15.6" x14ac:dyDescent="0.3">
      <c r="B230" s="207" t="s">
        <v>1507</v>
      </c>
      <c r="C230" s="54" t="s">
        <v>321</v>
      </c>
      <c r="D230" s="54">
        <v>2</v>
      </c>
      <c r="E230" s="54">
        <f t="shared" si="38"/>
        <v>1</v>
      </c>
      <c r="F230" s="54">
        <v>0</v>
      </c>
      <c r="G230" s="54">
        <v>60000</v>
      </c>
      <c r="H230" s="54">
        <v>1</v>
      </c>
      <c r="I230" s="208" t="s">
        <v>386</v>
      </c>
      <c r="J230" s="54" t="s">
        <v>418</v>
      </c>
      <c r="K230" s="54">
        <f t="shared" ref="K230" si="48">E229+K229</f>
        <v>45468</v>
      </c>
      <c r="L230" s="10">
        <f t="shared" ref="L230" si="49">K230-40000</f>
        <v>5468</v>
      </c>
      <c r="M230" s="10">
        <f t="shared" ref="M230" si="50">L230-1</f>
        <v>5467</v>
      </c>
      <c r="N230" s="54" t="s">
        <v>419</v>
      </c>
      <c r="O230" s="54" t="s">
        <v>327</v>
      </c>
      <c r="P230" s="10">
        <v>0</v>
      </c>
      <c r="Q230" s="10" t="s">
        <v>329</v>
      </c>
      <c r="R230" s="112"/>
    </row>
    <row r="231" spans="2:18" ht="15.6" x14ac:dyDescent="0.3">
      <c r="B231" s="207" t="s">
        <v>1508</v>
      </c>
      <c r="C231" s="54" t="s">
        <v>321</v>
      </c>
      <c r="D231" s="54">
        <v>2</v>
      </c>
      <c r="E231" s="54">
        <f t="shared" si="38"/>
        <v>1</v>
      </c>
      <c r="F231" s="54">
        <v>0</v>
      </c>
      <c r="G231" s="54">
        <v>65535</v>
      </c>
      <c r="H231" s="54">
        <v>1</v>
      </c>
      <c r="I231" s="54">
        <v>1</v>
      </c>
      <c r="J231" s="54" t="s">
        <v>418</v>
      </c>
      <c r="K231" s="54">
        <f t="shared" si="41"/>
        <v>45469</v>
      </c>
      <c r="L231" s="10">
        <f t="shared" si="39"/>
        <v>5469</v>
      </c>
      <c r="M231" s="10">
        <f t="shared" si="40"/>
        <v>5468</v>
      </c>
      <c r="N231" s="54" t="s">
        <v>419</v>
      </c>
      <c r="O231" s="54" t="s">
        <v>327</v>
      </c>
      <c r="P231" s="54">
        <v>0</v>
      </c>
      <c r="Q231" s="54"/>
      <c r="R231" s="112"/>
    </row>
    <row r="232" spans="2:18" ht="46.8" x14ac:dyDescent="0.3">
      <c r="B232" s="207" t="s">
        <v>1509</v>
      </c>
      <c r="C232" s="54" t="s">
        <v>321</v>
      </c>
      <c r="D232" s="54">
        <v>2</v>
      </c>
      <c r="E232" s="54">
        <f t="shared" si="38"/>
        <v>1</v>
      </c>
      <c r="F232" s="54">
        <v>0</v>
      </c>
      <c r="G232" s="54">
        <v>7</v>
      </c>
      <c r="H232" s="54">
        <v>1</v>
      </c>
      <c r="I232" s="54">
        <v>1</v>
      </c>
      <c r="J232" s="54" t="s">
        <v>418</v>
      </c>
      <c r="K232" s="54">
        <f t="shared" ref="K232" si="51">E231+K231</f>
        <v>45470</v>
      </c>
      <c r="L232" s="10">
        <f t="shared" ref="L232" si="52">K232-40000</f>
        <v>5470</v>
      </c>
      <c r="M232" s="10">
        <f t="shared" ref="M232" si="53">L232-1</f>
        <v>5469</v>
      </c>
      <c r="N232" s="54" t="s">
        <v>419</v>
      </c>
      <c r="O232" s="54" t="s">
        <v>327</v>
      </c>
      <c r="P232" s="54">
        <v>0</v>
      </c>
      <c r="Q232" s="54"/>
      <c r="R232" s="110" t="s">
        <v>1497</v>
      </c>
    </row>
    <row r="233" spans="2:18" ht="15.6" x14ac:dyDescent="0.3">
      <c r="B233" s="207" t="s">
        <v>1510</v>
      </c>
      <c r="C233" s="54" t="s">
        <v>321</v>
      </c>
      <c r="D233" s="54">
        <v>2</v>
      </c>
      <c r="E233" s="54">
        <f t="shared" si="38"/>
        <v>1</v>
      </c>
      <c r="F233" s="54">
        <v>0</v>
      </c>
      <c r="G233" s="54">
        <v>65535</v>
      </c>
      <c r="H233" s="54">
        <v>1</v>
      </c>
      <c r="I233" s="54">
        <v>1</v>
      </c>
      <c r="J233" s="54" t="s">
        <v>418</v>
      </c>
      <c r="K233" s="54">
        <f t="shared" si="41"/>
        <v>45471</v>
      </c>
      <c r="L233" s="10">
        <f t="shared" si="39"/>
        <v>5471</v>
      </c>
      <c r="M233" s="10">
        <f t="shared" si="40"/>
        <v>5470</v>
      </c>
      <c r="N233" s="54" t="s">
        <v>419</v>
      </c>
      <c r="O233" s="54" t="s">
        <v>327</v>
      </c>
      <c r="P233" s="54">
        <v>0</v>
      </c>
      <c r="Q233" s="54"/>
      <c r="R233" s="112"/>
    </row>
    <row r="234" spans="2:18" ht="15.6" x14ac:dyDescent="0.3">
      <c r="B234" s="207" t="s">
        <v>1511</v>
      </c>
      <c r="C234" s="54" t="s">
        <v>321</v>
      </c>
      <c r="D234" s="54">
        <v>2</v>
      </c>
      <c r="E234" s="54">
        <f t="shared" si="38"/>
        <v>1</v>
      </c>
      <c r="F234" s="10">
        <v>0</v>
      </c>
      <c r="G234" s="10">
        <v>9249</v>
      </c>
      <c r="H234" s="54">
        <v>1</v>
      </c>
      <c r="I234" s="54">
        <v>1</v>
      </c>
      <c r="J234" s="54" t="s">
        <v>418</v>
      </c>
      <c r="K234" s="54">
        <f t="shared" si="41"/>
        <v>45472</v>
      </c>
      <c r="L234" s="10">
        <f t="shared" si="39"/>
        <v>5472</v>
      </c>
      <c r="M234" s="10">
        <f t="shared" si="40"/>
        <v>5471</v>
      </c>
      <c r="N234" s="54" t="s">
        <v>419</v>
      </c>
      <c r="O234" s="54" t="s">
        <v>327</v>
      </c>
      <c r="P234" s="54">
        <v>0</v>
      </c>
      <c r="Q234" s="54"/>
      <c r="R234" s="112"/>
    </row>
    <row r="235" spans="2:18" ht="28.8" x14ac:dyDescent="0.3">
      <c r="B235" s="207" t="s">
        <v>1512</v>
      </c>
      <c r="C235" s="54" t="s">
        <v>321</v>
      </c>
      <c r="D235" s="54">
        <v>2</v>
      </c>
      <c r="E235" s="54">
        <f t="shared" si="38"/>
        <v>1</v>
      </c>
      <c r="F235" s="54">
        <v>0</v>
      </c>
      <c r="G235" s="54">
        <v>1</v>
      </c>
      <c r="H235" s="54">
        <v>1</v>
      </c>
      <c r="I235" s="54">
        <v>1</v>
      </c>
      <c r="J235" s="54" t="s">
        <v>418</v>
      </c>
      <c r="K235" s="54">
        <f t="shared" si="41"/>
        <v>45473</v>
      </c>
      <c r="L235" s="10">
        <f t="shared" si="39"/>
        <v>5473</v>
      </c>
      <c r="M235" s="10">
        <f t="shared" si="40"/>
        <v>5472</v>
      </c>
      <c r="N235" s="54" t="s">
        <v>419</v>
      </c>
      <c r="O235" s="54" t="s">
        <v>327</v>
      </c>
      <c r="P235" s="54">
        <v>0</v>
      </c>
      <c r="Q235" s="54"/>
      <c r="R235" s="79" t="s">
        <v>1493</v>
      </c>
    </row>
    <row r="236" spans="2:18" ht="15.6" x14ac:dyDescent="0.3">
      <c r="B236" s="207" t="s">
        <v>1513</v>
      </c>
      <c r="C236" s="54" t="s">
        <v>321</v>
      </c>
      <c r="D236" s="54">
        <v>2</v>
      </c>
      <c r="E236" s="54">
        <f t="shared" si="38"/>
        <v>1</v>
      </c>
      <c r="F236" s="54">
        <v>0</v>
      </c>
      <c r="G236" s="54">
        <v>60000</v>
      </c>
      <c r="H236" s="54">
        <v>1</v>
      </c>
      <c r="I236" s="208" t="s">
        <v>386</v>
      </c>
      <c r="J236" s="54" t="s">
        <v>418</v>
      </c>
      <c r="K236" s="54">
        <f t="shared" ref="K236" si="54">E235+K235</f>
        <v>45474</v>
      </c>
      <c r="L236" s="10">
        <f t="shared" ref="L236" si="55">K236-40000</f>
        <v>5474</v>
      </c>
      <c r="M236" s="10">
        <f t="shared" ref="M236" si="56">L236-1</f>
        <v>5473</v>
      </c>
      <c r="N236" s="54" t="s">
        <v>419</v>
      </c>
      <c r="O236" s="54" t="s">
        <v>327</v>
      </c>
      <c r="P236" s="10">
        <v>0</v>
      </c>
      <c r="Q236" s="10" t="s">
        <v>329</v>
      </c>
      <c r="R236" s="112"/>
    </row>
    <row r="237" spans="2:18" ht="15.6" x14ac:dyDescent="0.3">
      <c r="B237" s="207" t="s">
        <v>1514</v>
      </c>
      <c r="C237" s="54" t="s">
        <v>321</v>
      </c>
      <c r="D237" s="54">
        <v>2</v>
      </c>
      <c r="E237" s="54">
        <f t="shared" si="38"/>
        <v>1</v>
      </c>
      <c r="F237" s="54">
        <v>0</v>
      </c>
      <c r="G237" s="54">
        <v>65535</v>
      </c>
      <c r="H237" s="54">
        <v>1</v>
      </c>
      <c r="I237" s="54">
        <v>1</v>
      </c>
      <c r="J237" s="54" t="s">
        <v>418</v>
      </c>
      <c r="K237" s="54">
        <f t="shared" si="41"/>
        <v>45475</v>
      </c>
      <c r="L237" s="10">
        <f t="shared" si="39"/>
        <v>5475</v>
      </c>
      <c r="M237" s="10">
        <f t="shared" si="40"/>
        <v>5474</v>
      </c>
      <c r="N237" s="54" t="s">
        <v>419</v>
      </c>
      <c r="O237" s="54" t="s">
        <v>327</v>
      </c>
      <c r="P237" s="54">
        <v>0</v>
      </c>
      <c r="Q237" s="54"/>
      <c r="R237" s="112"/>
    </row>
    <row r="238" spans="2:18" ht="46.8" x14ac:dyDescent="0.3">
      <c r="B238" s="207" t="s">
        <v>1515</v>
      </c>
      <c r="C238" s="54" t="s">
        <v>321</v>
      </c>
      <c r="D238" s="54">
        <v>2</v>
      </c>
      <c r="E238" s="54">
        <f t="shared" si="38"/>
        <v>1</v>
      </c>
      <c r="F238" s="54">
        <v>0</v>
      </c>
      <c r="G238" s="54">
        <v>7</v>
      </c>
      <c r="H238" s="54">
        <v>1</v>
      </c>
      <c r="I238" s="54">
        <v>1</v>
      </c>
      <c r="J238" s="54" t="s">
        <v>418</v>
      </c>
      <c r="K238" s="54">
        <f t="shared" ref="K238" si="57">E237+K237</f>
        <v>45476</v>
      </c>
      <c r="L238" s="10">
        <f t="shared" ref="L238" si="58">K238-40000</f>
        <v>5476</v>
      </c>
      <c r="M238" s="10">
        <f t="shared" ref="M238" si="59">L238-1</f>
        <v>5475</v>
      </c>
      <c r="N238" s="54" t="s">
        <v>419</v>
      </c>
      <c r="O238" s="54" t="s">
        <v>327</v>
      </c>
      <c r="P238" s="54">
        <v>0</v>
      </c>
      <c r="Q238" s="54"/>
      <c r="R238" s="110" t="s">
        <v>1497</v>
      </c>
    </row>
    <row r="239" spans="2:18" ht="15.6" x14ac:dyDescent="0.3">
      <c r="B239" s="207" t="s">
        <v>1516</v>
      </c>
      <c r="C239" s="54" t="s">
        <v>321</v>
      </c>
      <c r="D239" s="54">
        <v>2</v>
      </c>
      <c r="E239" s="54">
        <f t="shared" si="38"/>
        <v>1</v>
      </c>
      <c r="F239" s="54">
        <v>0</v>
      </c>
      <c r="G239" s="54">
        <v>65535</v>
      </c>
      <c r="H239" s="54">
        <v>1</v>
      </c>
      <c r="I239" s="54">
        <v>1</v>
      </c>
      <c r="J239" s="54" t="s">
        <v>418</v>
      </c>
      <c r="K239" s="54">
        <f t="shared" si="41"/>
        <v>45477</v>
      </c>
      <c r="L239" s="10">
        <f t="shared" si="39"/>
        <v>5477</v>
      </c>
      <c r="M239" s="10">
        <f t="shared" si="40"/>
        <v>5476</v>
      </c>
      <c r="N239" s="54" t="s">
        <v>419</v>
      </c>
      <c r="O239" s="54" t="s">
        <v>327</v>
      </c>
      <c r="P239" s="54">
        <v>0</v>
      </c>
      <c r="Q239" s="54"/>
      <c r="R239" s="112"/>
    </row>
    <row r="365" spans="5:5" ht="15.6" x14ac:dyDescent="0.3">
      <c r="E365" s="108"/>
    </row>
  </sheetData>
  <mergeCells count="13">
    <mergeCell ref="B215:R215"/>
    <mergeCell ref="B200:R200"/>
    <mergeCell ref="B194:R194"/>
    <mergeCell ref="D4:Q4"/>
    <mergeCell ref="B173:R173"/>
    <mergeCell ref="B190:R190"/>
    <mergeCell ref="B5:R5"/>
    <mergeCell ref="B12:R12"/>
    <mergeCell ref="B45:R45"/>
    <mergeCell ref="B130:R130"/>
    <mergeCell ref="B147:R147"/>
    <mergeCell ref="B160:R160"/>
    <mergeCell ref="B60:R60"/>
  </mergeCells>
  <phoneticPr fontId="30" type="noConversion"/>
  <conditionalFormatting sqref="A6:A13">
    <cfRule type="cellIs" dxfId="1234" priority="229" stopIfTrue="1" operator="notEqual">
      <formula>INDIRECT("Dummy_for_Comparison8!"&amp;ADDRESS(ROW(),COLUMN()))</formula>
    </cfRule>
  </conditionalFormatting>
  <conditionalFormatting sqref="A1:R1 A2 A3:R3 A4:D4 R4">
    <cfRule type="cellIs" dxfId="1233" priority="235" stopIfTrue="1" operator="notEqual">
      <formula>INDIRECT("Dummy_for_Comparison8!"&amp;ADDRESS(ROW(),COLUMN()))</formula>
    </cfRule>
  </conditionalFormatting>
  <conditionalFormatting sqref="A45:R45">
    <cfRule type="cellIs" dxfId="1232" priority="219" stopIfTrue="1" operator="notEqual">
      <formula>INDIRECT("Dummy_for_Comparison8!"&amp;ADDRESS(ROW(),COLUMN()))</formula>
    </cfRule>
  </conditionalFormatting>
  <conditionalFormatting sqref="B2:M2">
    <cfRule type="cellIs" dxfId="1231" priority="78" stopIfTrue="1" operator="notEqual">
      <formula>INDIRECT("Dummy_for_Comparison2!"&amp;ADDRESS(ROW(),COLUMN()))</formula>
    </cfRule>
  </conditionalFormatting>
  <conditionalFormatting sqref="B12:R12">
    <cfRule type="cellIs" dxfId="1230" priority="228" stopIfTrue="1" operator="notEqual">
      <formula>INDIRECT("Dummy_for_Comparison8!"&amp;ADDRESS(ROW(),COLUMN()))</formula>
    </cfRule>
  </conditionalFormatting>
  <conditionalFormatting sqref="B60:R60">
    <cfRule type="cellIs" dxfId="1229" priority="148" stopIfTrue="1" operator="notEqual">
      <formula>INDIRECT("Dummy_for_Comparison8!"&amp;ADDRESS(ROW(),COLUMN()))</formula>
    </cfRule>
  </conditionalFormatting>
  <conditionalFormatting sqref="B130:R130">
    <cfRule type="cellIs" dxfId="1228" priority="201" stopIfTrue="1" operator="notEqual">
      <formula>INDIRECT("Dummy_for_Comparison8!"&amp;ADDRESS(ROW(),COLUMN()))</formula>
    </cfRule>
  </conditionalFormatting>
  <conditionalFormatting sqref="B147:R147">
    <cfRule type="cellIs" dxfId="1227" priority="200" stopIfTrue="1" operator="notEqual">
      <formula>INDIRECT("Dummy_for_Comparison8!"&amp;ADDRESS(ROW(),COLUMN()))</formula>
    </cfRule>
  </conditionalFormatting>
  <conditionalFormatting sqref="B160:R160">
    <cfRule type="cellIs" dxfId="1226" priority="183" stopIfTrue="1" operator="notEqual">
      <formula>INDIRECT("Dummy_for_Comparison8!"&amp;ADDRESS(ROW(),COLUMN()))</formula>
    </cfRule>
  </conditionalFormatting>
  <conditionalFormatting sqref="B173:R173">
    <cfRule type="cellIs" dxfId="1225" priority="199" stopIfTrue="1" operator="notEqual">
      <formula>INDIRECT("Dummy_for_Comparison8!"&amp;ADDRESS(ROW(),COLUMN()))</formula>
    </cfRule>
  </conditionalFormatting>
  <conditionalFormatting sqref="B190:R190">
    <cfRule type="cellIs" dxfId="1224" priority="182" stopIfTrue="1" operator="notEqual">
      <formula>INDIRECT("Dummy_for_Comparison8!"&amp;ADDRESS(ROW(),COLUMN()))</formula>
    </cfRule>
  </conditionalFormatting>
  <conditionalFormatting sqref="B194:R194">
    <cfRule type="cellIs" dxfId="1223" priority="67" stopIfTrue="1" operator="notEqual">
      <formula>INDIRECT("Dummy_for_Comparison8!"&amp;ADDRESS(ROW(),COLUMN()))</formula>
    </cfRule>
  </conditionalFormatting>
  <conditionalFormatting sqref="B200:R200">
    <cfRule type="cellIs" dxfId="1222" priority="51" stopIfTrue="1" operator="notEqual">
      <formula>INDIRECT("Dummy_for_Comparison8!"&amp;ADDRESS(ROW(),COLUMN()))</formula>
    </cfRule>
  </conditionalFormatting>
  <conditionalFormatting sqref="B215:R215">
    <cfRule type="cellIs" dxfId="1221" priority="29" stopIfTrue="1" operator="notEqual">
      <formula>INDIRECT("Dummy_for_Comparison8!"&amp;ADDRESS(ROW(),COLUMN()))</formula>
    </cfRule>
  </conditionalFormatting>
  <conditionalFormatting sqref="C131:C146">
    <cfRule type="cellIs" dxfId="1220" priority="109" stopIfTrue="1" operator="notEqual">
      <formula>INDIRECT("Dummy_for_Comparison2!"&amp;ADDRESS(ROW(),COLUMN()))</formula>
    </cfRule>
  </conditionalFormatting>
  <conditionalFormatting sqref="C148:C159">
    <cfRule type="cellIs" dxfId="1219" priority="106" stopIfTrue="1" operator="notEqual">
      <formula>INDIRECT("Dummy_for_Comparison2!"&amp;ADDRESS(ROW(),COLUMN()))</formula>
    </cfRule>
  </conditionalFormatting>
  <conditionalFormatting sqref="C161:C172">
    <cfRule type="cellIs" dxfId="1218" priority="103" stopIfTrue="1" operator="notEqual">
      <formula>INDIRECT("Dummy_for_Comparison2!"&amp;ADDRESS(ROW(),COLUMN()))</formula>
    </cfRule>
  </conditionalFormatting>
  <conditionalFormatting sqref="C174:C189">
    <cfRule type="cellIs" dxfId="1217" priority="100" stopIfTrue="1" operator="notEqual">
      <formula>INDIRECT("Dummy_for_Comparison2!"&amp;ADDRESS(ROW(),COLUMN()))</formula>
    </cfRule>
  </conditionalFormatting>
  <conditionalFormatting sqref="C191:C193">
    <cfRule type="cellIs" dxfId="1216" priority="97" stopIfTrue="1" operator="notEqual">
      <formula>INDIRECT("Dummy_for_Comparison2!"&amp;ADDRESS(ROW(),COLUMN()))</formula>
    </cfRule>
  </conditionalFormatting>
  <conditionalFormatting sqref="C195:C199">
    <cfRule type="cellIs" dxfId="1215" priority="94" stopIfTrue="1" operator="notEqual">
      <formula>INDIRECT("Dummy_for_Comparison2!"&amp;ADDRESS(ROW(),COLUMN()))</formula>
    </cfRule>
  </conditionalFormatting>
  <conditionalFormatting sqref="C201:C214">
    <cfRule type="cellIs" dxfId="1214" priority="40" stopIfTrue="1" operator="notEqual">
      <formula>INDIRECT("Dummy_for_Comparison2!"&amp;ADDRESS(ROW(),COLUMN()))</formula>
    </cfRule>
  </conditionalFormatting>
  <conditionalFormatting sqref="C13:P44">
    <cfRule type="cellIs" dxfId="1213" priority="76" stopIfTrue="1" operator="notEqual">
      <formula>INDIRECT("Dummy_for_Comparison2!"&amp;ADDRESS(ROW(),COLUMN()))</formula>
    </cfRule>
  </conditionalFormatting>
  <conditionalFormatting sqref="C46:P59">
    <cfRule type="cellIs" dxfId="1212" priority="75" stopIfTrue="1" operator="notEqual">
      <formula>INDIRECT("Dummy_for_Comparison2!"&amp;ADDRESS(ROW(),COLUMN()))</formula>
    </cfRule>
  </conditionalFormatting>
  <conditionalFormatting sqref="C61:P129">
    <cfRule type="cellIs" dxfId="1211" priority="74" stopIfTrue="1" operator="notEqual">
      <formula>INDIRECT("Dummy_for_Comparison2!"&amp;ADDRESS(ROW(),COLUMN()))</formula>
    </cfRule>
  </conditionalFormatting>
  <conditionalFormatting sqref="C6:R11">
    <cfRule type="cellIs" dxfId="1210" priority="77" stopIfTrue="1" operator="notEqual">
      <formula>INDIRECT("Dummy_for_Comparison2!"&amp;ADDRESS(ROW(),COLUMN()))</formula>
    </cfRule>
  </conditionalFormatting>
  <conditionalFormatting sqref="F131:F146">
    <cfRule type="cellIs" dxfId="1209" priority="198" stopIfTrue="1" operator="notEqual">
      <formula>INDIRECT("Dummy_for_Comparison2!"&amp;ADDRESS(ROW(),COLUMN()))</formula>
    </cfRule>
  </conditionalFormatting>
  <conditionalFormatting sqref="F148:F159 H148:J159 F208:F209">
    <cfRule type="cellIs" dxfId="1208" priority="231" stopIfTrue="1" operator="notEqual">
      <formula>INDIRECT("Dummy_for_Comparison2!"&amp;ADDRESS(ROW(),COLUMN()))</formula>
    </cfRule>
  </conditionalFormatting>
  <conditionalFormatting sqref="F161:F172 H161:J172">
    <cfRule type="cellIs" dxfId="1207" priority="184" stopIfTrue="1" operator="notEqual">
      <formula>INDIRECT("Dummy_for_Comparison2!"&amp;ADDRESS(ROW(),COLUMN()))</formula>
    </cfRule>
  </conditionalFormatting>
  <conditionalFormatting sqref="F174:F189">
    <cfRule type="cellIs" dxfId="1206" priority="197" stopIfTrue="1" operator="notEqual">
      <formula>INDIRECT("Dummy_for_Comparison2!"&amp;ADDRESS(ROW(),COLUMN()))</formula>
    </cfRule>
  </conditionalFormatting>
  <conditionalFormatting sqref="F191:F193">
    <cfRule type="cellIs" dxfId="1205" priority="181" stopIfTrue="1" operator="notEqual">
      <formula>INDIRECT("Dummy_for_Comparison2!"&amp;ADDRESS(ROW(),COLUMN()))</formula>
    </cfRule>
  </conditionalFormatting>
  <conditionalFormatting sqref="F195:F199">
    <cfRule type="cellIs" dxfId="1204" priority="136" stopIfTrue="1" operator="notEqual">
      <formula>INDIRECT("Dummy_for_Comparison2!"&amp;ADDRESS(ROW(),COLUMN()))</formula>
    </cfRule>
  </conditionalFormatting>
  <conditionalFormatting sqref="F203">
    <cfRule type="cellIs" dxfId="1203" priority="62" stopIfTrue="1" operator="notEqual">
      <formula>INDIRECT("Dummy_for_Comparison2!"&amp;ADDRESS(ROW(),COLUMN()))</formula>
    </cfRule>
  </conditionalFormatting>
  <conditionalFormatting sqref="F213:F214">
    <cfRule type="cellIs" dxfId="1202" priority="60" stopIfTrue="1" operator="notEqual">
      <formula>INDIRECT("Dummy_for_Comparison2!"&amp;ADDRESS(ROW(),COLUMN()))</formula>
    </cfRule>
  </conditionalFormatting>
  <conditionalFormatting sqref="F201:G202">
    <cfRule type="cellIs" dxfId="1201" priority="38" stopIfTrue="1" operator="notEqual">
      <formula>INDIRECT("Dummy_for_Comparison2!"&amp;ADDRESS(ROW(),COLUMN()))</formula>
    </cfRule>
  </conditionalFormatting>
  <conditionalFormatting sqref="F204:G207">
    <cfRule type="cellIs" dxfId="1200" priority="34" stopIfTrue="1" operator="notEqual">
      <formula>INDIRECT("Dummy_for_Comparison2!"&amp;ADDRESS(ROW(),COLUMN()))</formula>
    </cfRule>
  </conditionalFormatting>
  <conditionalFormatting sqref="F210:G212">
    <cfRule type="cellIs" dxfId="1199" priority="35" stopIfTrue="1" operator="notEqual">
      <formula>INDIRECT("Dummy_for_Comparison2!"&amp;ADDRESS(ROW(),COLUMN()))</formula>
    </cfRule>
  </conditionalFormatting>
  <conditionalFormatting sqref="F216:G216">
    <cfRule type="cellIs" dxfId="1198" priority="27" stopIfTrue="1" operator="notEqual">
      <formula>INDIRECT("Dummy_for_Comparison2!"&amp;ADDRESS(ROW(),COLUMN()))</formula>
    </cfRule>
  </conditionalFormatting>
  <conditionalFormatting sqref="F222:G222">
    <cfRule type="cellIs" dxfId="1197" priority="25" stopIfTrue="1" operator="notEqual">
      <formula>INDIRECT("Dummy_for_Comparison2!"&amp;ADDRESS(ROW(),COLUMN()))</formula>
    </cfRule>
  </conditionalFormatting>
  <conditionalFormatting sqref="F228:G228">
    <cfRule type="cellIs" dxfId="1196" priority="23" stopIfTrue="1" operator="notEqual">
      <formula>INDIRECT("Dummy_for_Comparison2!"&amp;ADDRESS(ROW(),COLUMN()))</formula>
    </cfRule>
  </conditionalFormatting>
  <conditionalFormatting sqref="F234:G234">
    <cfRule type="cellIs" dxfId="1195" priority="21" stopIfTrue="1" operator="notEqual">
      <formula>INDIRECT("Dummy_for_Comparison2!"&amp;ADDRESS(ROW(),COLUMN()))</formula>
    </cfRule>
  </conditionalFormatting>
  <conditionalFormatting sqref="H16 J16 A5:R5 A16 Q16:R16">
    <cfRule type="cellIs" dxfId="1194" priority="234" stopIfTrue="1" operator="notEqual">
      <formula>INDIRECT("Dummy_for_Comparison8!"&amp;ADDRESS(ROW(),COLUMN()))</formula>
    </cfRule>
  </conditionalFormatting>
  <conditionalFormatting sqref="H131:J146">
    <cfRule type="cellIs" dxfId="1193" priority="165" stopIfTrue="1" operator="notEqual">
      <formula>INDIRECT("Dummy_for_Comparison2!"&amp;ADDRESS(ROW(),COLUMN()))</formula>
    </cfRule>
  </conditionalFormatting>
  <conditionalFormatting sqref="H174:J189">
    <cfRule type="cellIs" dxfId="1192" priority="195" stopIfTrue="1" operator="notEqual">
      <formula>INDIRECT("Dummy_for_Comparison2!"&amp;ADDRESS(ROW(),COLUMN()))</formula>
    </cfRule>
  </conditionalFormatting>
  <conditionalFormatting sqref="H191:J193">
    <cfRule type="cellIs" dxfId="1191" priority="180" stopIfTrue="1" operator="notEqual">
      <formula>INDIRECT("Dummy_for_Comparison2!"&amp;ADDRESS(ROW(),COLUMN()))</formula>
    </cfRule>
  </conditionalFormatting>
  <conditionalFormatting sqref="H195:J199">
    <cfRule type="cellIs" dxfId="1190" priority="135" stopIfTrue="1" operator="notEqual">
      <formula>INDIRECT("Dummy_for_Comparison2!"&amp;ADDRESS(ROW(),COLUMN()))</formula>
    </cfRule>
  </conditionalFormatting>
  <conditionalFormatting sqref="H201:J214">
    <cfRule type="cellIs" dxfId="1189" priority="45" stopIfTrue="1" operator="notEqual">
      <formula>INDIRECT("Dummy_for_Comparison2!"&amp;ADDRESS(ROW(),COLUMN()))</formula>
    </cfRule>
  </conditionalFormatting>
  <conditionalFormatting sqref="L216:M239">
    <cfRule type="cellIs" dxfId="1188" priority="2" stopIfTrue="1" operator="notEqual">
      <formula>INDIRECT("Dummy_for_Comparison2!"&amp;ADDRESS(ROW(),COLUMN()))</formula>
    </cfRule>
  </conditionalFormatting>
  <conditionalFormatting sqref="L131:P146">
    <cfRule type="cellIs" dxfId="1187" priority="73" stopIfTrue="1" operator="notEqual">
      <formula>INDIRECT("Dummy_for_Comparison2!"&amp;ADDRESS(ROW(),COLUMN()))</formula>
    </cfRule>
  </conditionalFormatting>
  <conditionalFormatting sqref="L148:P159">
    <cfRule type="cellIs" dxfId="1186" priority="72" stopIfTrue="1" operator="notEqual">
      <formula>INDIRECT("Dummy_for_Comparison2!"&amp;ADDRESS(ROW(),COLUMN()))</formula>
    </cfRule>
  </conditionalFormatting>
  <conditionalFormatting sqref="L161:P172">
    <cfRule type="cellIs" dxfId="1185" priority="71" stopIfTrue="1" operator="notEqual">
      <formula>INDIRECT("Dummy_for_Comparison2!"&amp;ADDRESS(ROW(),COLUMN()))</formula>
    </cfRule>
  </conditionalFormatting>
  <conditionalFormatting sqref="L174:P189">
    <cfRule type="cellIs" dxfId="1184" priority="70" stopIfTrue="1" operator="notEqual">
      <formula>INDIRECT("Dummy_for_Comparison2!"&amp;ADDRESS(ROW(),COLUMN()))</formula>
    </cfRule>
  </conditionalFormatting>
  <conditionalFormatting sqref="L191:P193">
    <cfRule type="cellIs" dxfId="1183" priority="69" stopIfTrue="1" operator="notEqual">
      <formula>INDIRECT("Dummy_for_Comparison2!"&amp;ADDRESS(ROW(),COLUMN()))</formula>
    </cfRule>
  </conditionalFormatting>
  <conditionalFormatting sqref="L195:P199">
    <cfRule type="cellIs" dxfId="1182" priority="68" stopIfTrue="1" operator="notEqual">
      <formula>INDIRECT("Dummy_for_Comparison2!"&amp;ADDRESS(ROW(),COLUMN()))</formula>
    </cfRule>
  </conditionalFormatting>
  <conditionalFormatting sqref="L201:P214">
    <cfRule type="cellIs" dxfId="1181" priority="41" stopIfTrue="1" operator="notEqual">
      <formula>INDIRECT("Dummy_for_Comparison2!"&amp;ADDRESS(ROW(),COLUMN()))</formula>
    </cfRule>
  </conditionalFormatting>
  <conditionalFormatting sqref="N2:O2">
    <cfRule type="cellIs" dxfId="1180" priority="193" stopIfTrue="1" operator="notEqual">
      <formula>INDIRECT("Dummy_for_Comparison6!"&amp;ADDRESS(ROW(),COLUMN()))</formula>
    </cfRule>
  </conditionalFormatting>
  <conditionalFormatting sqref="P218:Q218">
    <cfRule type="cellIs" dxfId="1179" priority="16" stopIfTrue="1" operator="notEqual">
      <formula>INDIRECT("Dummy_for_Comparison2!"&amp;ADDRESS(ROW(),COLUMN()))</formula>
    </cfRule>
  </conditionalFormatting>
  <conditionalFormatting sqref="P224:Q224">
    <cfRule type="cellIs" dxfId="1178" priority="14" stopIfTrue="1" operator="notEqual">
      <formula>INDIRECT("Dummy_for_Comparison2!"&amp;ADDRESS(ROW(),COLUMN()))</formula>
    </cfRule>
  </conditionalFormatting>
  <conditionalFormatting sqref="P230:Q230">
    <cfRule type="cellIs" dxfId="1177" priority="12" stopIfTrue="1" operator="notEqual">
      <formula>INDIRECT("Dummy_for_Comparison2!"&amp;ADDRESS(ROW(),COLUMN()))</formula>
    </cfRule>
  </conditionalFormatting>
  <conditionalFormatting sqref="P236:Q236">
    <cfRule type="cellIs" dxfId="1176" priority="10" stopIfTrue="1" operator="notEqual">
      <formula>INDIRECT("Dummy_for_Comparison2!"&amp;ADDRESS(ROW(),COLUMN()))</formula>
    </cfRule>
  </conditionalFormatting>
  <conditionalFormatting sqref="P2:R2">
    <cfRule type="cellIs" dxfId="1175" priority="194" stopIfTrue="1" operator="notEqual">
      <formula>INDIRECT("Dummy_for_Comparison2!"&amp;ADDRESS(ROW(),COLUMN()))</formula>
    </cfRule>
  </conditionalFormatting>
  <conditionalFormatting sqref="Q13:R15">
    <cfRule type="cellIs" dxfId="1174" priority="230" stopIfTrue="1" operator="notEqual">
      <formula>INDIRECT("Dummy_for_Comparison2!"&amp;ADDRESS(ROW(),COLUMN()))</formula>
    </cfRule>
  </conditionalFormatting>
  <conditionalFormatting sqref="R220">
    <cfRule type="cellIs" dxfId="1173" priority="17" stopIfTrue="1" operator="notEqual">
      <formula>INDIRECT("Dummy_for_Comparison2!"&amp;ADDRESS(ROW(),COLUMN()))</formula>
    </cfRule>
  </conditionalFormatting>
  <conditionalFormatting sqref="R226">
    <cfRule type="cellIs" dxfId="1172" priority="5" stopIfTrue="1" operator="notEqual">
      <formula>INDIRECT("Dummy_for_Comparison2!"&amp;ADDRESS(ROW(),COLUMN()))</formula>
    </cfRule>
  </conditionalFormatting>
  <conditionalFormatting sqref="R232">
    <cfRule type="cellIs" dxfId="1171" priority="3" stopIfTrue="1" operator="notEqual">
      <formula>INDIRECT("Dummy_for_Comparison2!"&amp;ADDRESS(ROW(),COLUMN()))</formula>
    </cfRule>
  </conditionalFormatting>
  <conditionalFormatting sqref="R238">
    <cfRule type="cellIs" dxfId="1170" priority="1" stopIfTrue="1" operator="notEqual">
      <formula>INDIRECT("Dummy_for_Comparison2!"&amp;ADDRESS(ROW(),COLUMN()))</formula>
    </cfRule>
  </conditionalFormatting>
  <pageMargins left="0.7" right="0.7" top="0.75" bottom="0.75" header="0.3" footer="0.3"/>
  <pageSetup paperSize="9" orientation="portrait" verticalDpi="0" r:id="rId1"/>
  <headerFooter>
    <oddFooter>&amp;C_x000D_&amp;1#&amp;"Calibri"&amp;6&amp;K626469 General</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44B4-50B3-4DC2-AB70-E40BBE5A5D05}">
  <sheetPr codeName="Sheet8"/>
  <dimension ref="C2:F717"/>
  <sheetViews>
    <sheetView topLeftCell="A327" workbookViewId="0">
      <selection activeCell="D337" sqref="D337"/>
    </sheetView>
  </sheetViews>
  <sheetFormatPr defaultColWidth="8.77734375" defaultRowHeight="14.4" x14ac:dyDescent="0.3"/>
  <cols>
    <col min="3" max="3" width="10.5546875" bestFit="1" customWidth="1"/>
    <col min="4" max="4" width="52.21875" style="150" bestFit="1" customWidth="1"/>
    <col min="5" max="5" width="14.77734375" bestFit="1" customWidth="1"/>
    <col min="6" max="6" width="46.21875" style="118" customWidth="1"/>
  </cols>
  <sheetData>
    <row r="2" spans="3:6" ht="21" customHeight="1" x14ac:dyDescent="0.3">
      <c r="C2" s="494" t="s">
        <v>1517</v>
      </c>
      <c r="D2" s="494"/>
      <c r="E2" s="494"/>
      <c r="F2" s="494"/>
    </row>
    <row r="3" spans="3:6" ht="18" x14ac:dyDescent="0.35">
      <c r="C3" s="179" t="s">
        <v>1518</v>
      </c>
      <c r="D3" s="179" t="s">
        <v>1519</v>
      </c>
      <c r="E3" s="179" t="s">
        <v>1520</v>
      </c>
      <c r="F3" s="180" t="s">
        <v>318</v>
      </c>
    </row>
    <row r="4" spans="3:6" x14ac:dyDescent="0.3">
      <c r="C4" s="185">
        <v>0</v>
      </c>
      <c r="D4" s="149" t="s">
        <v>1296</v>
      </c>
      <c r="E4" s="70"/>
      <c r="F4" s="133"/>
    </row>
    <row r="5" spans="3:6" x14ac:dyDescent="0.3">
      <c r="C5" s="70">
        <v>1</v>
      </c>
      <c r="D5" s="187" t="s">
        <v>1521</v>
      </c>
      <c r="E5" s="70"/>
      <c r="F5" s="133"/>
    </row>
    <row r="6" spans="3:6" x14ac:dyDescent="0.3">
      <c r="C6" s="70">
        <v>2</v>
      </c>
      <c r="D6" s="187" t="s">
        <v>1522</v>
      </c>
      <c r="E6" s="70"/>
      <c r="F6" s="133"/>
    </row>
    <row r="7" spans="3:6" x14ac:dyDescent="0.3">
      <c r="C7" s="70">
        <v>3</v>
      </c>
      <c r="D7" s="149" t="s">
        <v>320</v>
      </c>
      <c r="E7" s="70"/>
      <c r="F7" s="133"/>
    </row>
    <row r="8" spans="3:6" x14ac:dyDescent="0.3">
      <c r="C8" s="70">
        <v>4</v>
      </c>
      <c r="D8" s="149" t="s">
        <v>320</v>
      </c>
      <c r="E8" s="70"/>
      <c r="F8" s="133"/>
    </row>
    <row r="9" spans="3:6" x14ac:dyDescent="0.3">
      <c r="C9" s="70">
        <v>5</v>
      </c>
      <c r="D9" s="149" t="s">
        <v>320</v>
      </c>
      <c r="E9" s="70"/>
      <c r="F9" s="133"/>
    </row>
    <row r="10" spans="3:6" x14ac:dyDescent="0.3">
      <c r="C10" s="70">
        <v>6</v>
      </c>
      <c r="D10" s="149" t="s">
        <v>320</v>
      </c>
      <c r="E10" s="70"/>
      <c r="F10" s="133"/>
    </row>
    <row r="11" spans="3:6" x14ac:dyDescent="0.3">
      <c r="C11" s="70">
        <v>7</v>
      </c>
      <c r="D11" s="187" t="s">
        <v>1523</v>
      </c>
      <c r="E11" s="70"/>
      <c r="F11" s="133"/>
    </row>
    <row r="12" spans="3:6" x14ac:dyDescent="0.3">
      <c r="C12" s="185">
        <v>8</v>
      </c>
      <c r="D12" s="187" t="s">
        <v>841</v>
      </c>
      <c r="E12" s="70"/>
      <c r="F12" s="133"/>
    </row>
    <row r="13" spans="3:6" x14ac:dyDescent="0.3">
      <c r="C13" s="70">
        <v>9</v>
      </c>
      <c r="D13" s="187" t="s">
        <v>842</v>
      </c>
      <c r="E13" s="70"/>
      <c r="F13" s="133"/>
    </row>
    <row r="14" spans="3:6" x14ac:dyDescent="0.3">
      <c r="C14" s="70">
        <v>10</v>
      </c>
      <c r="D14" s="187" t="s">
        <v>843</v>
      </c>
      <c r="E14" s="70"/>
      <c r="F14" s="133"/>
    </row>
    <row r="15" spans="3:6" x14ac:dyDescent="0.3">
      <c r="C15" s="70">
        <v>11</v>
      </c>
      <c r="D15" s="187" t="s">
        <v>844</v>
      </c>
      <c r="E15" s="70"/>
      <c r="F15" s="133"/>
    </row>
    <row r="16" spans="3:6" x14ac:dyDescent="0.3">
      <c r="C16" s="70">
        <v>12</v>
      </c>
      <c r="D16" s="187" t="s">
        <v>845</v>
      </c>
      <c r="E16" s="70"/>
      <c r="F16" s="133"/>
    </row>
    <row r="17" spans="3:6" x14ac:dyDescent="0.3">
      <c r="C17" s="70">
        <v>13</v>
      </c>
      <c r="D17" s="187" t="s">
        <v>846</v>
      </c>
      <c r="E17" s="70"/>
      <c r="F17" s="133"/>
    </row>
    <row r="18" spans="3:6" x14ac:dyDescent="0.3">
      <c r="C18" s="70">
        <v>14</v>
      </c>
      <c r="D18" s="187" t="s">
        <v>847</v>
      </c>
      <c r="E18" s="70"/>
      <c r="F18" s="133"/>
    </row>
    <row r="19" spans="3:6" x14ac:dyDescent="0.3">
      <c r="C19" s="70">
        <v>15</v>
      </c>
      <c r="D19" s="187" t="s">
        <v>848</v>
      </c>
      <c r="E19" s="70"/>
      <c r="F19" s="133"/>
    </row>
    <row r="20" spans="3:6" x14ac:dyDescent="0.3">
      <c r="C20" s="185">
        <v>16</v>
      </c>
      <c r="D20" s="187" t="s">
        <v>849</v>
      </c>
      <c r="E20" s="70"/>
      <c r="F20" s="133"/>
    </row>
    <row r="21" spans="3:6" x14ac:dyDescent="0.3">
      <c r="C21" s="70">
        <v>17</v>
      </c>
      <c r="D21" s="187" t="s">
        <v>850</v>
      </c>
      <c r="E21" s="70"/>
      <c r="F21" s="133"/>
    </row>
    <row r="22" spans="3:6" x14ac:dyDescent="0.3">
      <c r="C22" s="70">
        <v>18</v>
      </c>
      <c r="D22" s="187" t="s">
        <v>851</v>
      </c>
      <c r="E22" s="70"/>
      <c r="F22" s="133"/>
    </row>
    <row r="23" spans="3:6" x14ac:dyDescent="0.3">
      <c r="C23" s="70">
        <v>19</v>
      </c>
      <c r="D23" s="187" t="s">
        <v>852</v>
      </c>
      <c r="E23" s="70"/>
      <c r="F23" s="133"/>
    </row>
    <row r="24" spans="3:6" x14ac:dyDescent="0.3">
      <c r="C24" s="70">
        <v>20</v>
      </c>
      <c r="D24" s="187" t="s">
        <v>1524</v>
      </c>
      <c r="E24" s="70"/>
      <c r="F24" s="133"/>
    </row>
    <row r="25" spans="3:6" x14ac:dyDescent="0.3">
      <c r="C25" s="70">
        <v>21</v>
      </c>
      <c r="D25" s="187" t="s">
        <v>1525</v>
      </c>
      <c r="E25" s="70"/>
      <c r="F25" s="133"/>
    </row>
    <row r="26" spans="3:6" x14ac:dyDescent="0.3">
      <c r="C26" s="70">
        <v>22</v>
      </c>
      <c r="D26" s="187" t="s">
        <v>1526</v>
      </c>
      <c r="E26" s="70"/>
      <c r="F26" s="133"/>
    </row>
    <row r="27" spans="3:6" x14ac:dyDescent="0.3">
      <c r="C27" s="70">
        <v>23</v>
      </c>
      <c r="D27" s="187" t="s">
        <v>1527</v>
      </c>
      <c r="E27" s="70"/>
      <c r="F27" s="133"/>
    </row>
    <row r="28" spans="3:6" x14ac:dyDescent="0.3">
      <c r="C28" s="185">
        <v>24</v>
      </c>
      <c r="D28" s="187" t="s">
        <v>1528</v>
      </c>
      <c r="E28" s="70"/>
      <c r="F28" s="133"/>
    </row>
    <row r="29" spans="3:6" x14ac:dyDescent="0.3">
      <c r="C29" s="70">
        <v>25</v>
      </c>
      <c r="D29" s="187" t="s">
        <v>1529</v>
      </c>
      <c r="E29" s="70"/>
      <c r="F29" s="133"/>
    </row>
    <row r="30" spans="3:6" x14ac:dyDescent="0.3">
      <c r="C30" s="70">
        <v>26</v>
      </c>
      <c r="D30" s="187" t="s">
        <v>1530</v>
      </c>
      <c r="E30" s="70"/>
      <c r="F30" s="133"/>
    </row>
    <row r="31" spans="3:6" x14ac:dyDescent="0.3">
      <c r="C31" s="70">
        <v>27</v>
      </c>
      <c r="D31" s="187" t="s">
        <v>1531</v>
      </c>
      <c r="E31" s="70"/>
      <c r="F31" s="133"/>
    </row>
    <row r="32" spans="3:6" x14ac:dyDescent="0.3">
      <c r="C32" s="70">
        <v>28</v>
      </c>
      <c r="D32" s="187" t="s">
        <v>1532</v>
      </c>
      <c r="E32" s="70"/>
      <c r="F32" s="133"/>
    </row>
    <row r="33" spans="3:6" x14ac:dyDescent="0.3">
      <c r="C33" s="70">
        <v>29</v>
      </c>
      <c r="D33" s="187" t="s">
        <v>1533</v>
      </c>
      <c r="E33" s="70"/>
      <c r="F33" s="133"/>
    </row>
    <row r="34" spans="3:6" x14ac:dyDescent="0.3">
      <c r="C34" s="70">
        <v>30</v>
      </c>
      <c r="D34" s="187" t="s">
        <v>1534</v>
      </c>
      <c r="E34" s="70"/>
      <c r="F34" s="133"/>
    </row>
    <row r="35" spans="3:6" x14ac:dyDescent="0.3">
      <c r="C35" s="70">
        <v>31</v>
      </c>
      <c r="D35" s="187" t="s">
        <v>1535</v>
      </c>
      <c r="E35" s="70"/>
      <c r="F35" s="133"/>
    </row>
    <row r="36" spans="3:6" x14ac:dyDescent="0.3">
      <c r="C36" s="185">
        <v>32</v>
      </c>
      <c r="D36" s="187" t="s">
        <v>1536</v>
      </c>
      <c r="E36" s="70"/>
      <c r="F36" s="133"/>
    </row>
    <row r="37" spans="3:6" x14ac:dyDescent="0.3">
      <c r="C37" s="70">
        <v>33</v>
      </c>
      <c r="D37" s="187" t="s">
        <v>1537</v>
      </c>
      <c r="E37" s="70"/>
      <c r="F37" s="133"/>
    </row>
    <row r="38" spans="3:6" x14ac:dyDescent="0.3">
      <c r="C38" s="70">
        <v>34</v>
      </c>
      <c r="D38" s="187" t="s">
        <v>1538</v>
      </c>
      <c r="E38" s="70"/>
      <c r="F38" s="133"/>
    </row>
    <row r="39" spans="3:6" x14ac:dyDescent="0.3">
      <c r="C39" s="70">
        <v>35</v>
      </c>
      <c r="D39" s="187" t="s">
        <v>1539</v>
      </c>
      <c r="E39" s="70"/>
      <c r="F39" s="133"/>
    </row>
    <row r="40" spans="3:6" x14ac:dyDescent="0.3">
      <c r="C40" s="70">
        <v>36</v>
      </c>
      <c r="D40" s="187" t="s">
        <v>1540</v>
      </c>
      <c r="E40" s="70"/>
      <c r="F40" s="133"/>
    </row>
    <row r="41" spans="3:6" x14ac:dyDescent="0.3">
      <c r="C41" s="70">
        <v>37</v>
      </c>
      <c r="D41" s="187" t="s">
        <v>1541</v>
      </c>
      <c r="E41" s="70"/>
      <c r="F41" s="133"/>
    </row>
    <row r="42" spans="3:6" x14ac:dyDescent="0.3">
      <c r="C42" s="70">
        <v>38</v>
      </c>
      <c r="D42" s="187" t="s">
        <v>1542</v>
      </c>
      <c r="E42" s="70"/>
      <c r="F42" s="133"/>
    </row>
    <row r="43" spans="3:6" x14ac:dyDescent="0.3">
      <c r="C43" s="70">
        <v>39</v>
      </c>
      <c r="D43" s="187" t="s">
        <v>1543</v>
      </c>
      <c r="E43" s="70"/>
      <c r="F43" s="133"/>
    </row>
    <row r="44" spans="3:6" x14ac:dyDescent="0.3">
      <c r="C44" s="185">
        <v>40</v>
      </c>
      <c r="D44" s="187" t="s">
        <v>1544</v>
      </c>
      <c r="E44" s="70"/>
      <c r="F44" s="133"/>
    </row>
    <row r="45" spans="3:6" x14ac:dyDescent="0.3">
      <c r="C45" s="70">
        <v>41</v>
      </c>
      <c r="D45" s="187" t="s">
        <v>1545</v>
      </c>
      <c r="E45" s="70"/>
      <c r="F45" s="133"/>
    </row>
    <row r="46" spans="3:6" x14ac:dyDescent="0.3">
      <c r="C46" s="70">
        <v>42</v>
      </c>
      <c r="D46" s="187" t="s">
        <v>1546</v>
      </c>
      <c r="E46" s="70"/>
      <c r="F46" s="133"/>
    </row>
    <row r="47" spans="3:6" x14ac:dyDescent="0.3">
      <c r="C47" s="70">
        <v>43</v>
      </c>
      <c r="D47" s="187" t="s">
        <v>1547</v>
      </c>
      <c r="E47" s="70"/>
      <c r="F47" s="133"/>
    </row>
    <row r="48" spans="3:6" x14ac:dyDescent="0.3">
      <c r="C48" s="70">
        <v>44</v>
      </c>
      <c r="D48" s="187" t="s">
        <v>1548</v>
      </c>
      <c r="E48" s="70"/>
      <c r="F48" s="133"/>
    </row>
    <row r="49" spans="3:6" x14ac:dyDescent="0.3">
      <c r="C49" s="70">
        <v>45</v>
      </c>
      <c r="D49" s="187" t="s">
        <v>1549</v>
      </c>
      <c r="E49" s="70"/>
      <c r="F49" s="133"/>
    </row>
    <row r="50" spans="3:6" x14ac:dyDescent="0.3">
      <c r="C50" s="70">
        <v>46</v>
      </c>
      <c r="D50" s="187" t="s">
        <v>1550</v>
      </c>
      <c r="E50" s="70"/>
      <c r="F50" s="133"/>
    </row>
    <row r="51" spans="3:6" x14ac:dyDescent="0.3">
      <c r="C51" s="70">
        <v>47</v>
      </c>
      <c r="D51" s="187" t="s">
        <v>1551</v>
      </c>
      <c r="E51" s="70"/>
      <c r="F51" s="133"/>
    </row>
    <row r="52" spans="3:6" x14ac:dyDescent="0.3">
      <c r="C52" s="185">
        <v>48</v>
      </c>
      <c r="D52" s="187" t="s">
        <v>1552</v>
      </c>
      <c r="E52" s="70"/>
      <c r="F52" s="133"/>
    </row>
    <row r="53" spans="3:6" x14ac:dyDescent="0.3">
      <c r="C53" s="70">
        <v>49</v>
      </c>
      <c r="D53" s="187" t="s">
        <v>1553</v>
      </c>
      <c r="E53" s="70"/>
      <c r="F53" s="133"/>
    </row>
    <row r="54" spans="3:6" x14ac:dyDescent="0.3">
      <c r="C54" s="70">
        <v>50</v>
      </c>
      <c r="D54" s="187" t="s">
        <v>1554</v>
      </c>
      <c r="E54" s="70"/>
      <c r="F54" s="133"/>
    </row>
    <row r="55" spans="3:6" x14ac:dyDescent="0.3">
      <c r="C55" s="70">
        <v>51</v>
      </c>
      <c r="D55" s="187" t="s">
        <v>1555</v>
      </c>
      <c r="E55" s="70"/>
      <c r="F55" s="133"/>
    </row>
    <row r="56" spans="3:6" x14ac:dyDescent="0.3">
      <c r="C56" s="70">
        <v>52</v>
      </c>
      <c r="D56" s="187" t="s">
        <v>1556</v>
      </c>
      <c r="E56" s="70"/>
      <c r="F56" s="133"/>
    </row>
    <row r="57" spans="3:6" x14ac:dyDescent="0.3">
      <c r="C57" s="70">
        <v>53</v>
      </c>
      <c r="D57" s="149" t="s">
        <v>320</v>
      </c>
      <c r="E57" s="70"/>
      <c r="F57" s="133"/>
    </row>
    <row r="58" spans="3:6" x14ac:dyDescent="0.3">
      <c r="C58" s="70">
        <v>54</v>
      </c>
      <c r="D58" s="149" t="s">
        <v>320</v>
      </c>
      <c r="E58" s="70"/>
      <c r="F58" s="133"/>
    </row>
    <row r="59" spans="3:6" x14ac:dyDescent="0.3">
      <c r="C59" s="70">
        <v>55</v>
      </c>
      <c r="D59" s="149" t="s">
        <v>320</v>
      </c>
      <c r="E59" s="70"/>
      <c r="F59" s="133"/>
    </row>
    <row r="60" spans="3:6" x14ac:dyDescent="0.3">
      <c r="C60" s="185">
        <v>56</v>
      </c>
      <c r="D60" s="149" t="s">
        <v>320</v>
      </c>
      <c r="E60" s="70"/>
      <c r="F60" s="133"/>
    </row>
    <row r="61" spans="3:6" x14ac:dyDescent="0.3">
      <c r="C61" s="70">
        <v>57</v>
      </c>
      <c r="D61" s="149" t="s">
        <v>320</v>
      </c>
      <c r="E61" s="70"/>
      <c r="F61" s="133"/>
    </row>
    <row r="62" spans="3:6" x14ac:dyDescent="0.3">
      <c r="C62" s="70">
        <v>58</v>
      </c>
      <c r="D62" s="149" t="s">
        <v>320</v>
      </c>
      <c r="E62" s="70"/>
      <c r="F62" s="133"/>
    </row>
    <row r="63" spans="3:6" x14ac:dyDescent="0.3">
      <c r="C63" s="70">
        <v>59</v>
      </c>
      <c r="D63" s="149" t="s">
        <v>320</v>
      </c>
      <c r="E63" s="70"/>
      <c r="F63" s="133"/>
    </row>
    <row r="64" spans="3:6" x14ac:dyDescent="0.3">
      <c r="C64" s="70">
        <v>60</v>
      </c>
      <c r="D64" s="149" t="s">
        <v>320</v>
      </c>
      <c r="E64" s="70"/>
      <c r="F64" s="133"/>
    </row>
    <row r="65" spans="3:6" x14ac:dyDescent="0.3">
      <c r="C65" s="70">
        <v>61</v>
      </c>
      <c r="D65" s="149" t="s">
        <v>320</v>
      </c>
      <c r="E65" s="70"/>
      <c r="F65" s="133"/>
    </row>
    <row r="66" spans="3:6" x14ac:dyDescent="0.3">
      <c r="C66" s="70">
        <v>62</v>
      </c>
      <c r="D66" s="149" t="s">
        <v>320</v>
      </c>
      <c r="E66" s="70"/>
      <c r="F66" s="133"/>
    </row>
    <row r="67" spans="3:6" x14ac:dyDescent="0.3">
      <c r="C67" s="70">
        <v>63</v>
      </c>
      <c r="D67" s="149" t="s">
        <v>320</v>
      </c>
      <c r="E67" s="70"/>
      <c r="F67" s="133"/>
    </row>
    <row r="68" spans="3:6" ht="15.6" x14ac:dyDescent="0.3">
      <c r="C68" s="185">
        <v>64</v>
      </c>
      <c r="D68" s="149" t="s">
        <v>320</v>
      </c>
      <c r="E68" s="10"/>
      <c r="F68" s="133"/>
    </row>
    <row r="69" spans="3:6" ht="15.6" x14ac:dyDescent="0.3">
      <c r="C69" s="70">
        <v>65</v>
      </c>
      <c r="D69" s="149" t="s">
        <v>320</v>
      </c>
      <c r="E69" s="10"/>
      <c r="F69" s="133"/>
    </row>
    <row r="70" spans="3:6" ht="15.6" x14ac:dyDescent="0.3">
      <c r="C70" s="70">
        <v>66</v>
      </c>
      <c r="D70" s="149" t="s">
        <v>320</v>
      </c>
      <c r="E70" s="10"/>
      <c r="F70" s="133"/>
    </row>
    <row r="71" spans="3:6" ht="15.6" x14ac:dyDescent="0.3">
      <c r="C71" s="70">
        <v>67</v>
      </c>
      <c r="D71" s="149" t="s">
        <v>320</v>
      </c>
      <c r="E71" s="10"/>
      <c r="F71" s="133"/>
    </row>
    <row r="72" spans="3:6" ht="15.6" x14ac:dyDescent="0.3">
      <c r="C72" s="70">
        <v>68</v>
      </c>
      <c r="D72" s="149" t="s">
        <v>320</v>
      </c>
      <c r="E72" s="10"/>
      <c r="F72" s="133"/>
    </row>
    <row r="73" spans="3:6" ht="15.6" x14ac:dyDescent="0.3">
      <c r="C73" s="70">
        <v>69</v>
      </c>
      <c r="D73" s="149" t="s">
        <v>320</v>
      </c>
      <c r="E73" s="10"/>
      <c r="F73" s="133"/>
    </row>
    <row r="74" spans="3:6" ht="15.6" x14ac:dyDescent="0.3">
      <c r="C74" s="70">
        <v>70</v>
      </c>
      <c r="D74" s="149" t="s">
        <v>320</v>
      </c>
      <c r="E74" s="10"/>
      <c r="F74" s="133"/>
    </row>
    <row r="75" spans="3:6" ht="15.6" x14ac:dyDescent="0.3">
      <c r="C75" s="70">
        <v>71</v>
      </c>
      <c r="D75" s="149" t="s">
        <v>320</v>
      </c>
      <c r="E75" s="10"/>
      <c r="F75" s="133"/>
    </row>
    <row r="76" spans="3:6" ht="15.6" x14ac:dyDescent="0.3">
      <c r="C76" s="185">
        <v>72</v>
      </c>
      <c r="D76" s="149" t="s">
        <v>320</v>
      </c>
      <c r="E76" s="69"/>
      <c r="F76" s="133"/>
    </row>
    <row r="77" spans="3:6" ht="15.6" x14ac:dyDescent="0.3">
      <c r="C77" s="70">
        <v>73</v>
      </c>
      <c r="D77" s="149" t="s">
        <v>320</v>
      </c>
      <c r="E77" s="69"/>
      <c r="F77" s="133"/>
    </row>
    <row r="78" spans="3:6" ht="15.6" x14ac:dyDescent="0.3">
      <c r="C78" s="70">
        <v>74</v>
      </c>
      <c r="D78" s="149" t="s">
        <v>320</v>
      </c>
      <c r="E78" s="69"/>
      <c r="F78" s="133"/>
    </row>
    <row r="79" spans="3:6" ht="15.6" x14ac:dyDescent="0.3">
      <c r="C79" s="70">
        <v>75</v>
      </c>
      <c r="D79" s="149" t="s">
        <v>320</v>
      </c>
      <c r="E79" s="69"/>
      <c r="F79" s="133"/>
    </row>
    <row r="80" spans="3:6" ht="15.6" x14ac:dyDescent="0.3">
      <c r="C80" s="70">
        <v>76</v>
      </c>
      <c r="D80" s="111" t="s">
        <v>320</v>
      </c>
      <c r="E80" s="10"/>
      <c r="F80" s="133"/>
    </row>
    <row r="81" spans="3:6" ht="15.6" x14ac:dyDescent="0.3">
      <c r="C81" s="70">
        <v>77</v>
      </c>
      <c r="D81" s="111" t="s">
        <v>320</v>
      </c>
      <c r="E81" s="10"/>
      <c r="F81" s="133"/>
    </row>
    <row r="82" spans="3:6" ht="15.6" x14ac:dyDescent="0.3">
      <c r="C82" s="70">
        <v>78</v>
      </c>
      <c r="D82" s="111" t="s">
        <v>320</v>
      </c>
      <c r="E82" s="10"/>
      <c r="F82" s="133"/>
    </row>
    <row r="83" spans="3:6" ht="15.6" x14ac:dyDescent="0.3">
      <c r="C83" s="70">
        <v>79</v>
      </c>
      <c r="D83" s="111" t="s">
        <v>320</v>
      </c>
      <c r="E83" s="10"/>
      <c r="F83" s="133"/>
    </row>
    <row r="84" spans="3:6" ht="15.6" x14ac:dyDescent="0.3">
      <c r="C84" s="185">
        <v>80</v>
      </c>
      <c r="D84" s="111" t="s">
        <v>320</v>
      </c>
      <c r="E84" s="10"/>
      <c r="F84" s="133"/>
    </row>
    <row r="85" spans="3:6" ht="15.6" x14ac:dyDescent="0.3">
      <c r="C85" s="70">
        <v>81</v>
      </c>
      <c r="D85" s="111" t="s">
        <v>320</v>
      </c>
      <c r="E85" s="10"/>
      <c r="F85" s="133"/>
    </row>
    <row r="86" spans="3:6" ht="15.6" x14ac:dyDescent="0.3">
      <c r="C86" s="70">
        <v>82</v>
      </c>
      <c r="D86" s="111" t="s">
        <v>320</v>
      </c>
      <c r="E86" s="10"/>
      <c r="F86" s="133"/>
    </row>
    <row r="87" spans="3:6" ht="15.6" x14ac:dyDescent="0.3">
      <c r="C87" s="70">
        <v>83</v>
      </c>
      <c r="D87" s="111" t="s">
        <v>320</v>
      </c>
      <c r="E87" s="10"/>
      <c r="F87" s="133"/>
    </row>
    <row r="88" spans="3:6" ht="15.6" x14ac:dyDescent="0.3">
      <c r="C88" s="70">
        <v>84</v>
      </c>
      <c r="D88" s="111" t="s">
        <v>320</v>
      </c>
      <c r="E88" s="10"/>
      <c r="F88" s="133"/>
    </row>
    <row r="89" spans="3:6" ht="15.6" x14ac:dyDescent="0.3">
      <c r="C89" s="70">
        <v>85</v>
      </c>
      <c r="D89" s="111" t="s">
        <v>320</v>
      </c>
      <c r="E89" s="10"/>
      <c r="F89" s="133"/>
    </row>
    <row r="90" spans="3:6" ht="15.6" x14ac:dyDescent="0.3">
      <c r="C90" s="70">
        <v>86</v>
      </c>
      <c r="D90" s="111" t="s">
        <v>320</v>
      </c>
      <c r="E90" s="10"/>
      <c r="F90" s="133"/>
    </row>
    <row r="91" spans="3:6" ht="15.6" x14ac:dyDescent="0.3">
      <c r="C91" s="70">
        <v>87</v>
      </c>
      <c r="D91" s="111" t="s">
        <v>320</v>
      </c>
      <c r="E91" s="10"/>
      <c r="F91" s="133"/>
    </row>
    <row r="92" spans="3:6" ht="15.6" x14ac:dyDescent="0.3">
      <c r="C92" s="185">
        <v>88</v>
      </c>
      <c r="D92" s="111" t="s">
        <v>320</v>
      </c>
      <c r="E92" s="10"/>
      <c r="F92" s="133"/>
    </row>
    <row r="93" spans="3:6" ht="15.6" x14ac:dyDescent="0.3">
      <c r="C93" s="70">
        <v>89</v>
      </c>
      <c r="D93" s="111" t="s">
        <v>320</v>
      </c>
      <c r="E93" s="10"/>
      <c r="F93" s="133"/>
    </row>
    <row r="94" spans="3:6" ht="15.6" x14ac:dyDescent="0.3">
      <c r="C94" s="70">
        <v>90</v>
      </c>
      <c r="D94" s="111" t="s">
        <v>320</v>
      </c>
      <c r="E94" s="10"/>
      <c r="F94" s="133"/>
    </row>
    <row r="95" spans="3:6" ht="15.6" x14ac:dyDescent="0.3">
      <c r="C95" s="70">
        <v>91</v>
      </c>
      <c r="D95" s="111" t="s">
        <v>320</v>
      </c>
      <c r="E95" s="10"/>
      <c r="F95" s="133"/>
    </row>
    <row r="96" spans="3:6" ht="15.6" x14ac:dyDescent="0.3">
      <c r="C96" s="70">
        <v>92</v>
      </c>
      <c r="D96" s="111" t="s">
        <v>320</v>
      </c>
      <c r="E96" s="10"/>
      <c r="F96" s="133"/>
    </row>
    <row r="97" spans="3:6" ht="15.6" x14ac:dyDescent="0.3">
      <c r="C97" s="70">
        <v>93</v>
      </c>
      <c r="D97" s="111" t="s">
        <v>320</v>
      </c>
      <c r="E97" s="10"/>
      <c r="F97" s="133"/>
    </row>
    <row r="98" spans="3:6" ht="15.6" x14ac:dyDescent="0.3">
      <c r="C98" s="70">
        <v>94</v>
      </c>
      <c r="D98" s="111" t="s">
        <v>320</v>
      </c>
      <c r="E98" s="10"/>
      <c r="F98" s="133"/>
    </row>
    <row r="99" spans="3:6" ht="15.6" x14ac:dyDescent="0.3">
      <c r="C99" s="70">
        <v>95</v>
      </c>
      <c r="D99" s="111" t="s">
        <v>320</v>
      </c>
      <c r="E99" s="10"/>
      <c r="F99" s="133"/>
    </row>
    <row r="100" spans="3:6" ht="15.6" x14ac:dyDescent="0.3">
      <c r="C100" s="185">
        <v>96</v>
      </c>
      <c r="D100" s="111" t="s">
        <v>320</v>
      </c>
      <c r="E100" s="55"/>
      <c r="F100" s="133"/>
    </row>
    <row r="101" spans="3:6" ht="15.6" x14ac:dyDescent="0.3">
      <c r="C101" s="70">
        <v>97</v>
      </c>
      <c r="D101" s="111" t="s">
        <v>320</v>
      </c>
      <c r="E101" s="55"/>
      <c r="F101" s="133"/>
    </row>
    <row r="102" spans="3:6" ht="15.6" x14ac:dyDescent="0.3">
      <c r="C102" s="70">
        <v>98</v>
      </c>
      <c r="D102" s="111" t="s">
        <v>320</v>
      </c>
      <c r="E102" s="55"/>
      <c r="F102" s="133"/>
    </row>
    <row r="103" spans="3:6" ht="15.6" x14ac:dyDescent="0.3">
      <c r="C103" s="70">
        <v>99</v>
      </c>
      <c r="D103" s="111" t="s">
        <v>320</v>
      </c>
      <c r="E103" s="55"/>
      <c r="F103" s="133"/>
    </row>
    <row r="104" spans="3:6" ht="15.6" x14ac:dyDescent="0.3">
      <c r="C104" s="70">
        <v>100</v>
      </c>
      <c r="D104" s="111" t="s">
        <v>320</v>
      </c>
      <c r="E104" s="55"/>
      <c r="F104" s="133"/>
    </row>
    <row r="105" spans="3:6" ht="15.6" x14ac:dyDescent="0.3">
      <c r="C105" s="70">
        <v>101</v>
      </c>
      <c r="D105" s="111" t="s">
        <v>320</v>
      </c>
      <c r="E105" s="55"/>
      <c r="F105" s="133"/>
    </row>
    <row r="106" spans="3:6" ht="15.6" x14ac:dyDescent="0.3">
      <c r="C106" s="70">
        <v>102</v>
      </c>
      <c r="D106" s="111" t="s">
        <v>320</v>
      </c>
      <c r="E106" s="55"/>
      <c r="F106" s="133"/>
    </row>
    <row r="107" spans="3:6" ht="15.6" x14ac:dyDescent="0.3">
      <c r="C107" s="70">
        <v>103</v>
      </c>
      <c r="D107" s="111" t="s">
        <v>320</v>
      </c>
      <c r="E107" s="55"/>
      <c r="F107" s="133"/>
    </row>
    <row r="108" spans="3:6" ht="15.6" x14ac:dyDescent="0.3">
      <c r="C108" s="185">
        <v>104</v>
      </c>
      <c r="D108" s="157" t="s">
        <v>1557</v>
      </c>
      <c r="E108" s="55"/>
      <c r="F108" s="133"/>
    </row>
    <row r="109" spans="3:6" ht="15.6" x14ac:dyDescent="0.3">
      <c r="C109" s="70">
        <v>105</v>
      </c>
      <c r="D109" s="157" t="s">
        <v>1558</v>
      </c>
      <c r="E109" s="55"/>
      <c r="F109" s="133"/>
    </row>
    <row r="110" spans="3:6" ht="15.6" x14ac:dyDescent="0.3">
      <c r="C110" s="70">
        <v>106</v>
      </c>
      <c r="D110" s="111" t="s">
        <v>320</v>
      </c>
      <c r="E110" s="55"/>
      <c r="F110" s="133"/>
    </row>
    <row r="111" spans="3:6" ht="15.6" x14ac:dyDescent="0.3">
      <c r="C111" s="70">
        <v>107</v>
      </c>
      <c r="D111" s="111" t="s">
        <v>320</v>
      </c>
      <c r="E111" s="55"/>
      <c r="F111" s="133"/>
    </row>
    <row r="112" spans="3:6" ht="15.6" x14ac:dyDescent="0.3">
      <c r="C112" s="70">
        <v>108</v>
      </c>
      <c r="D112" s="111" t="s">
        <v>320</v>
      </c>
      <c r="E112" s="55"/>
      <c r="F112" s="133"/>
    </row>
    <row r="113" spans="3:6" ht="15.6" x14ac:dyDescent="0.3">
      <c r="C113" s="70">
        <v>109</v>
      </c>
      <c r="D113" s="111" t="s">
        <v>320</v>
      </c>
      <c r="E113" s="55"/>
      <c r="F113" s="133"/>
    </row>
    <row r="114" spans="3:6" ht="15.6" x14ac:dyDescent="0.3">
      <c r="C114" s="70">
        <v>110</v>
      </c>
      <c r="D114" s="111" t="s">
        <v>320</v>
      </c>
      <c r="E114" s="55"/>
      <c r="F114" s="133"/>
    </row>
    <row r="115" spans="3:6" ht="15.6" x14ac:dyDescent="0.3">
      <c r="C115" s="70">
        <v>111</v>
      </c>
      <c r="D115" s="111" t="s">
        <v>320</v>
      </c>
      <c r="E115" s="55"/>
      <c r="F115" s="133"/>
    </row>
    <row r="116" spans="3:6" ht="15.6" x14ac:dyDescent="0.3">
      <c r="C116" s="185">
        <v>112</v>
      </c>
      <c r="D116" s="157" t="s">
        <v>1559</v>
      </c>
      <c r="E116" s="55"/>
      <c r="F116" s="133"/>
    </row>
    <row r="117" spans="3:6" ht="15.6" x14ac:dyDescent="0.3">
      <c r="C117" s="70">
        <v>113</v>
      </c>
      <c r="D117" s="157" t="s">
        <v>1560</v>
      </c>
      <c r="E117" s="55"/>
      <c r="F117" s="133"/>
    </row>
    <row r="118" spans="3:6" ht="15.6" x14ac:dyDescent="0.3">
      <c r="C118" s="70">
        <v>114</v>
      </c>
      <c r="D118" s="157" t="s">
        <v>1561</v>
      </c>
      <c r="E118" s="55"/>
      <c r="F118" s="133"/>
    </row>
    <row r="119" spans="3:6" ht="15.6" x14ac:dyDescent="0.3">
      <c r="C119" s="70">
        <v>115</v>
      </c>
      <c r="D119" s="157" t="s">
        <v>1562</v>
      </c>
      <c r="E119" s="55"/>
      <c r="F119" s="133"/>
    </row>
    <row r="120" spans="3:6" ht="15.6" x14ac:dyDescent="0.3">
      <c r="C120" s="70">
        <v>116</v>
      </c>
      <c r="D120" s="157" t="s">
        <v>1563</v>
      </c>
      <c r="E120" s="55"/>
      <c r="F120" s="133"/>
    </row>
    <row r="121" spans="3:6" ht="15.6" x14ac:dyDescent="0.3">
      <c r="C121" s="70">
        <v>117</v>
      </c>
      <c r="D121" s="157" t="s">
        <v>1564</v>
      </c>
      <c r="E121" s="55"/>
      <c r="F121" s="133"/>
    </row>
    <row r="122" spans="3:6" ht="15.6" x14ac:dyDescent="0.3">
      <c r="C122" s="70">
        <v>118</v>
      </c>
      <c r="D122" s="157" t="s">
        <v>1565</v>
      </c>
      <c r="E122" s="55"/>
      <c r="F122" s="133"/>
    </row>
    <row r="123" spans="3:6" ht="15.6" x14ac:dyDescent="0.3">
      <c r="C123" s="70">
        <v>119</v>
      </c>
      <c r="D123" s="157" t="s">
        <v>1566</v>
      </c>
      <c r="E123" s="70"/>
      <c r="F123" s="133"/>
    </row>
    <row r="124" spans="3:6" ht="15.6" x14ac:dyDescent="0.3">
      <c r="C124" s="185">
        <v>120</v>
      </c>
      <c r="D124" s="157" t="s">
        <v>1567</v>
      </c>
      <c r="E124" s="70"/>
      <c r="F124" s="133"/>
    </row>
    <row r="125" spans="3:6" ht="15.6" x14ac:dyDescent="0.3">
      <c r="C125" s="70">
        <v>121</v>
      </c>
      <c r="D125" s="157" t="s">
        <v>1568</v>
      </c>
      <c r="E125" s="70"/>
      <c r="F125" s="133"/>
    </row>
    <row r="126" spans="3:6" ht="15.6" x14ac:dyDescent="0.3">
      <c r="C126" s="70">
        <v>122</v>
      </c>
      <c r="D126" s="210" t="s">
        <v>1569</v>
      </c>
      <c r="E126" s="70"/>
      <c r="F126" s="133"/>
    </row>
    <row r="127" spans="3:6" ht="15.6" x14ac:dyDescent="0.3">
      <c r="C127" s="70">
        <v>123</v>
      </c>
      <c r="D127" s="210" t="s">
        <v>1570</v>
      </c>
      <c r="E127" s="70"/>
      <c r="F127" s="133"/>
    </row>
    <row r="128" spans="3:6" ht="15.6" x14ac:dyDescent="0.3">
      <c r="C128" s="70">
        <v>124</v>
      </c>
      <c r="D128" s="111" t="s">
        <v>320</v>
      </c>
      <c r="E128" s="70"/>
      <c r="F128" s="133"/>
    </row>
    <row r="129" spans="3:6" ht="15.6" x14ac:dyDescent="0.3">
      <c r="C129" s="70">
        <v>125</v>
      </c>
      <c r="D129" s="111" t="s">
        <v>320</v>
      </c>
      <c r="E129" s="70"/>
      <c r="F129" s="133"/>
    </row>
    <row r="130" spans="3:6" ht="15.6" x14ac:dyDescent="0.3">
      <c r="C130" s="70">
        <v>126</v>
      </c>
      <c r="D130" s="111" t="s">
        <v>320</v>
      </c>
      <c r="E130" s="70"/>
      <c r="F130" s="133"/>
    </row>
    <row r="131" spans="3:6" ht="15.6" x14ac:dyDescent="0.3">
      <c r="C131" s="70">
        <v>127</v>
      </c>
      <c r="D131" s="111" t="s">
        <v>320</v>
      </c>
      <c r="E131" s="70"/>
      <c r="F131" s="133"/>
    </row>
    <row r="132" spans="3:6" ht="15.6" x14ac:dyDescent="0.3">
      <c r="C132" s="185">
        <v>128</v>
      </c>
      <c r="D132" s="157" t="s">
        <v>1571</v>
      </c>
      <c r="E132" s="70"/>
      <c r="F132" s="133"/>
    </row>
    <row r="133" spans="3:6" ht="15.6" x14ac:dyDescent="0.3">
      <c r="C133" s="70">
        <v>129</v>
      </c>
      <c r="D133" s="157" t="s">
        <v>1572</v>
      </c>
      <c r="E133" s="70"/>
      <c r="F133" s="133"/>
    </row>
    <row r="134" spans="3:6" ht="15.6" x14ac:dyDescent="0.3">
      <c r="C134" s="70">
        <v>130</v>
      </c>
      <c r="D134" s="157" t="s">
        <v>1573</v>
      </c>
      <c r="E134" s="70"/>
      <c r="F134" s="133"/>
    </row>
    <row r="135" spans="3:6" ht="15.6" x14ac:dyDescent="0.3">
      <c r="C135" s="70">
        <v>131</v>
      </c>
      <c r="D135" s="157" t="s">
        <v>1574</v>
      </c>
      <c r="E135" s="70"/>
      <c r="F135" s="133"/>
    </row>
    <row r="136" spans="3:6" ht="15.6" x14ac:dyDescent="0.3">
      <c r="C136" s="70">
        <v>132</v>
      </c>
      <c r="D136" s="157" t="s">
        <v>1575</v>
      </c>
      <c r="E136" s="70"/>
      <c r="F136" s="133"/>
    </row>
    <row r="137" spans="3:6" ht="15.6" x14ac:dyDescent="0.3">
      <c r="C137" s="70">
        <v>133</v>
      </c>
      <c r="D137" s="157" t="s">
        <v>1576</v>
      </c>
      <c r="E137" s="70"/>
      <c r="F137" s="133"/>
    </row>
    <row r="138" spans="3:6" ht="15.6" x14ac:dyDescent="0.3">
      <c r="C138" s="70">
        <v>134</v>
      </c>
      <c r="D138" s="157" t="s">
        <v>1577</v>
      </c>
      <c r="E138" s="70"/>
      <c r="F138" s="133"/>
    </row>
    <row r="139" spans="3:6" ht="15.6" x14ac:dyDescent="0.3">
      <c r="C139" s="70">
        <v>135</v>
      </c>
      <c r="D139" s="157" t="s">
        <v>1578</v>
      </c>
      <c r="E139" s="70"/>
      <c r="F139" s="133"/>
    </row>
    <row r="140" spans="3:6" ht="15.6" x14ac:dyDescent="0.3">
      <c r="C140" s="185">
        <v>136</v>
      </c>
      <c r="D140" s="111" t="s">
        <v>1579</v>
      </c>
      <c r="E140" s="70"/>
      <c r="F140" s="133"/>
    </row>
    <row r="141" spans="3:6" ht="15.6" x14ac:dyDescent="0.3">
      <c r="C141" s="70">
        <v>137</v>
      </c>
      <c r="D141" s="111" t="s">
        <v>1580</v>
      </c>
      <c r="E141" s="70"/>
      <c r="F141" s="133"/>
    </row>
    <row r="142" spans="3:6" ht="15.6" x14ac:dyDescent="0.3">
      <c r="C142" s="70">
        <v>138</v>
      </c>
      <c r="D142" s="111" t="s">
        <v>1581</v>
      </c>
      <c r="E142" s="70"/>
      <c r="F142" s="133"/>
    </row>
    <row r="143" spans="3:6" ht="15.6" x14ac:dyDescent="0.3">
      <c r="C143" s="70">
        <v>139</v>
      </c>
      <c r="D143" s="111" t="s">
        <v>1582</v>
      </c>
      <c r="E143" s="70"/>
      <c r="F143" s="133"/>
    </row>
    <row r="144" spans="3:6" ht="15.6" x14ac:dyDescent="0.3">
      <c r="C144" s="70">
        <v>140</v>
      </c>
      <c r="D144" s="111" t="s">
        <v>320</v>
      </c>
      <c r="E144" s="70"/>
      <c r="F144" s="133"/>
    </row>
    <row r="145" spans="3:6" ht="15.6" x14ac:dyDescent="0.3">
      <c r="C145" s="70">
        <v>141</v>
      </c>
      <c r="D145" s="111" t="s">
        <v>320</v>
      </c>
      <c r="E145" s="70"/>
      <c r="F145" s="133"/>
    </row>
    <row r="146" spans="3:6" ht="15.6" x14ac:dyDescent="0.3">
      <c r="C146" s="70">
        <v>142</v>
      </c>
      <c r="D146" s="111" t="s">
        <v>320</v>
      </c>
      <c r="E146" s="70"/>
      <c r="F146" s="133"/>
    </row>
    <row r="147" spans="3:6" ht="15.6" x14ac:dyDescent="0.3">
      <c r="C147" s="70">
        <v>143</v>
      </c>
      <c r="D147" s="111" t="s">
        <v>320</v>
      </c>
      <c r="E147" s="70"/>
      <c r="F147" s="133"/>
    </row>
    <row r="148" spans="3:6" ht="15.6" x14ac:dyDescent="0.3">
      <c r="C148" s="185">
        <v>144</v>
      </c>
      <c r="D148" s="111" t="s">
        <v>320</v>
      </c>
      <c r="E148" s="70"/>
      <c r="F148" s="133"/>
    </row>
    <row r="149" spans="3:6" ht="15.6" x14ac:dyDescent="0.3">
      <c r="C149" s="70">
        <v>145</v>
      </c>
      <c r="D149" s="111" t="s">
        <v>320</v>
      </c>
      <c r="E149" s="70"/>
      <c r="F149" s="133"/>
    </row>
    <row r="150" spans="3:6" ht="15.6" x14ac:dyDescent="0.3">
      <c r="C150" s="70">
        <v>146</v>
      </c>
      <c r="D150" s="111" t="s">
        <v>320</v>
      </c>
      <c r="E150" s="70"/>
      <c r="F150" s="133"/>
    </row>
    <row r="151" spans="3:6" ht="15.6" x14ac:dyDescent="0.3">
      <c r="C151" s="70">
        <v>147</v>
      </c>
      <c r="D151" s="111" t="s">
        <v>320</v>
      </c>
      <c r="E151" s="70"/>
      <c r="F151" s="133"/>
    </row>
    <row r="152" spans="3:6" ht="15.6" x14ac:dyDescent="0.3">
      <c r="C152" s="70">
        <v>148</v>
      </c>
      <c r="D152" s="111" t="s">
        <v>320</v>
      </c>
      <c r="E152" s="70"/>
      <c r="F152" s="133"/>
    </row>
    <row r="153" spans="3:6" ht="15.6" x14ac:dyDescent="0.3">
      <c r="C153" s="70">
        <v>149</v>
      </c>
      <c r="D153" s="111" t="s">
        <v>320</v>
      </c>
      <c r="E153" s="70"/>
      <c r="F153" s="133"/>
    </row>
    <row r="154" spans="3:6" ht="15.6" x14ac:dyDescent="0.3">
      <c r="C154" s="70">
        <v>150</v>
      </c>
      <c r="D154" s="111" t="s">
        <v>320</v>
      </c>
      <c r="E154" s="70"/>
      <c r="F154" s="133"/>
    </row>
    <row r="155" spans="3:6" ht="15.6" x14ac:dyDescent="0.3">
      <c r="C155" s="70">
        <v>151</v>
      </c>
      <c r="D155" s="111" t="s">
        <v>320</v>
      </c>
      <c r="E155" s="70"/>
      <c r="F155" s="133"/>
    </row>
    <row r="156" spans="3:6" ht="15.6" x14ac:dyDescent="0.3">
      <c r="C156" s="185">
        <v>152</v>
      </c>
      <c r="D156" s="111" t="s">
        <v>1583</v>
      </c>
      <c r="E156" s="70"/>
      <c r="F156" s="133"/>
    </row>
    <row r="157" spans="3:6" ht="15.6" x14ac:dyDescent="0.3">
      <c r="C157" s="70">
        <v>153</v>
      </c>
      <c r="D157" s="111" t="s">
        <v>1584</v>
      </c>
      <c r="E157" s="70"/>
      <c r="F157" s="133"/>
    </row>
    <row r="158" spans="3:6" ht="15.6" x14ac:dyDescent="0.3">
      <c r="C158" s="70">
        <v>154</v>
      </c>
      <c r="D158" s="111" t="s">
        <v>1585</v>
      </c>
      <c r="E158" s="70"/>
      <c r="F158" s="133"/>
    </row>
    <row r="159" spans="3:6" ht="15.6" x14ac:dyDescent="0.3">
      <c r="C159" s="70">
        <v>155</v>
      </c>
      <c r="D159" s="111" t="s">
        <v>1586</v>
      </c>
      <c r="E159" s="70"/>
      <c r="F159" s="133"/>
    </row>
    <row r="160" spans="3:6" ht="15.6" x14ac:dyDescent="0.3">
      <c r="C160" s="70">
        <v>156</v>
      </c>
      <c r="D160" s="111" t="s">
        <v>320</v>
      </c>
      <c r="E160" s="70"/>
      <c r="F160" s="133"/>
    </row>
    <row r="161" spans="3:6" ht="15.6" x14ac:dyDescent="0.3">
      <c r="C161" s="70">
        <v>157</v>
      </c>
      <c r="D161" s="111" t="s">
        <v>320</v>
      </c>
      <c r="E161" s="70"/>
      <c r="F161" s="133"/>
    </row>
    <row r="162" spans="3:6" ht="15.6" x14ac:dyDescent="0.3">
      <c r="C162" s="70">
        <v>158</v>
      </c>
      <c r="D162" s="111" t="s">
        <v>320</v>
      </c>
      <c r="E162" s="70"/>
      <c r="F162" s="133"/>
    </row>
    <row r="163" spans="3:6" ht="15.6" x14ac:dyDescent="0.3">
      <c r="C163" s="70">
        <v>159</v>
      </c>
      <c r="D163" s="111" t="s">
        <v>320</v>
      </c>
      <c r="E163" s="70"/>
      <c r="F163" s="133"/>
    </row>
    <row r="164" spans="3:6" ht="15.6" x14ac:dyDescent="0.3">
      <c r="C164" s="185">
        <v>160</v>
      </c>
      <c r="D164" s="111" t="s">
        <v>320</v>
      </c>
      <c r="E164" s="70"/>
      <c r="F164" s="133"/>
    </row>
    <row r="165" spans="3:6" ht="15.6" x14ac:dyDescent="0.3">
      <c r="C165" s="70">
        <v>161</v>
      </c>
      <c r="D165" s="111" t="s">
        <v>320</v>
      </c>
      <c r="E165" s="70"/>
      <c r="F165" s="133"/>
    </row>
    <row r="166" spans="3:6" ht="15.6" x14ac:dyDescent="0.3">
      <c r="C166" s="70">
        <v>162</v>
      </c>
      <c r="D166" s="111" t="s">
        <v>320</v>
      </c>
      <c r="E166" s="70"/>
      <c r="F166" s="133"/>
    </row>
    <row r="167" spans="3:6" ht="15.6" x14ac:dyDescent="0.3">
      <c r="C167" s="70">
        <v>163</v>
      </c>
      <c r="D167" s="111" t="s">
        <v>320</v>
      </c>
      <c r="E167" s="70"/>
      <c r="F167" s="133"/>
    </row>
    <row r="168" spans="3:6" ht="15.6" x14ac:dyDescent="0.3">
      <c r="C168" s="70">
        <v>164</v>
      </c>
      <c r="D168" s="111" t="s">
        <v>320</v>
      </c>
      <c r="E168" s="70"/>
      <c r="F168" s="133"/>
    </row>
    <row r="169" spans="3:6" ht="15.6" x14ac:dyDescent="0.3">
      <c r="C169" s="70">
        <v>165</v>
      </c>
      <c r="D169" s="111" t="s">
        <v>320</v>
      </c>
      <c r="E169" s="70"/>
      <c r="F169" s="133"/>
    </row>
    <row r="170" spans="3:6" ht="15.6" x14ac:dyDescent="0.3">
      <c r="C170" s="70">
        <v>166</v>
      </c>
      <c r="D170" s="111" t="s">
        <v>320</v>
      </c>
      <c r="E170" s="70"/>
      <c r="F170" s="133"/>
    </row>
    <row r="171" spans="3:6" ht="15.6" x14ac:dyDescent="0.3">
      <c r="C171" s="70">
        <v>167</v>
      </c>
      <c r="D171" s="111" t="s">
        <v>320</v>
      </c>
      <c r="E171" s="70"/>
      <c r="F171" s="133"/>
    </row>
    <row r="172" spans="3:6" ht="15.6" x14ac:dyDescent="0.3">
      <c r="C172" s="185">
        <v>168</v>
      </c>
      <c r="D172" s="111" t="s">
        <v>1587</v>
      </c>
      <c r="E172" s="70"/>
      <c r="F172" s="133"/>
    </row>
    <row r="173" spans="3:6" ht="15.6" x14ac:dyDescent="0.3">
      <c r="C173" s="70">
        <v>169</v>
      </c>
      <c r="D173" s="111" t="s">
        <v>1588</v>
      </c>
      <c r="E173" s="70"/>
      <c r="F173" s="133"/>
    </row>
    <row r="174" spans="3:6" ht="15.6" x14ac:dyDescent="0.3">
      <c r="C174" s="70">
        <v>170</v>
      </c>
      <c r="D174" s="111" t="s">
        <v>1589</v>
      </c>
      <c r="E174" s="70"/>
      <c r="F174" s="133"/>
    </row>
    <row r="175" spans="3:6" ht="15.6" x14ac:dyDescent="0.3">
      <c r="C175" s="70">
        <v>171</v>
      </c>
      <c r="D175" s="111" t="s">
        <v>1590</v>
      </c>
      <c r="E175" s="70"/>
      <c r="F175" s="133"/>
    </row>
    <row r="176" spans="3:6" ht="15.6" x14ac:dyDescent="0.3">
      <c r="C176" s="70">
        <v>172</v>
      </c>
      <c r="D176" s="111" t="s">
        <v>320</v>
      </c>
      <c r="E176" s="70"/>
      <c r="F176" s="133"/>
    </row>
    <row r="177" spans="3:6" ht="15.6" x14ac:dyDescent="0.3">
      <c r="C177" s="70">
        <v>173</v>
      </c>
      <c r="D177" s="111" t="s">
        <v>320</v>
      </c>
      <c r="E177" s="70"/>
      <c r="F177" s="133"/>
    </row>
    <row r="178" spans="3:6" ht="15.6" x14ac:dyDescent="0.3">
      <c r="C178" s="70">
        <v>174</v>
      </c>
      <c r="D178" s="111" t="s">
        <v>320</v>
      </c>
      <c r="E178" s="70"/>
      <c r="F178" s="133"/>
    </row>
    <row r="179" spans="3:6" ht="15.6" x14ac:dyDescent="0.3">
      <c r="C179" s="70">
        <v>175</v>
      </c>
      <c r="D179" s="111" t="s">
        <v>320</v>
      </c>
      <c r="E179" s="70"/>
      <c r="F179" s="133"/>
    </row>
    <row r="180" spans="3:6" ht="15.6" x14ac:dyDescent="0.3">
      <c r="C180" s="185">
        <v>176</v>
      </c>
      <c r="D180" s="111" t="s">
        <v>320</v>
      </c>
      <c r="E180" s="70"/>
      <c r="F180" s="133"/>
    </row>
    <row r="181" spans="3:6" ht="15.6" x14ac:dyDescent="0.3">
      <c r="C181" s="70">
        <v>177</v>
      </c>
      <c r="D181" s="111" t="s">
        <v>320</v>
      </c>
      <c r="E181" s="70"/>
      <c r="F181" s="133"/>
    </row>
    <row r="182" spans="3:6" ht="15.6" x14ac:dyDescent="0.3">
      <c r="C182" s="70">
        <v>178</v>
      </c>
      <c r="D182" s="111" t="s">
        <v>320</v>
      </c>
      <c r="E182" s="70"/>
      <c r="F182" s="133"/>
    </row>
    <row r="183" spans="3:6" ht="15.6" x14ac:dyDescent="0.3">
      <c r="C183" s="70">
        <v>179</v>
      </c>
      <c r="D183" s="111" t="s">
        <v>320</v>
      </c>
      <c r="E183" s="70"/>
      <c r="F183" s="133"/>
    </row>
    <row r="184" spans="3:6" ht="15.6" x14ac:dyDescent="0.3">
      <c r="C184" s="70">
        <v>180</v>
      </c>
      <c r="D184" s="111" t="s">
        <v>320</v>
      </c>
      <c r="E184" s="70"/>
      <c r="F184" s="133"/>
    </row>
    <row r="185" spans="3:6" ht="15.6" x14ac:dyDescent="0.3">
      <c r="C185" s="70">
        <v>181</v>
      </c>
      <c r="D185" s="111" t="s">
        <v>320</v>
      </c>
      <c r="E185" s="70"/>
      <c r="F185" s="133"/>
    </row>
    <row r="186" spans="3:6" ht="15.6" x14ac:dyDescent="0.3">
      <c r="C186" s="70">
        <v>182</v>
      </c>
      <c r="D186" s="111" t="s">
        <v>320</v>
      </c>
      <c r="E186" s="70"/>
      <c r="F186" s="133"/>
    </row>
    <row r="187" spans="3:6" ht="15.6" x14ac:dyDescent="0.3">
      <c r="C187" s="70">
        <v>183</v>
      </c>
      <c r="D187" s="111" t="s">
        <v>320</v>
      </c>
      <c r="E187" s="70"/>
      <c r="F187" s="133"/>
    </row>
    <row r="188" spans="3:6" ht="15.6" x14ac:dyDescent="0.3">
      <c r="C188" s="185">
        <v>184</v>
      </c>
      <c r="D188" s="111" t="s">
        <v>1591</v>
      </c>
      <c r="E188" s="70"/>
      <c r="F188" s="133"/>
    </row>
    <row r="189" spans="3:6" ht="15.6" x14ac:dyDescent="0.3">
      <c r="C189" s="70">
        <v>185</v>
      </c>
      <c r="D189" s="111" t="s">
        <v>1592</v>
      </c>
      <c r="E189" s="70"/>
      <c r="F189" s="133"/>
    </row>
    <row r="190" spans="3:6" ht="15.6" x14ac:dyDescent="0.3">
      <c r="C190" s="70">
        <v>186</v>
      </c>
      <c r="D190" s="111" t="s">
        <v>1593</v>
      </c>
      <c r="E190" s="70"/>
      <c r="F190" s="133"/>
    </row>
    <row r="191" spans="3:6" ht="15.6" x14ac:dyDescent="0.3">
      <c r="C191" s="70">
        <v>187</v>
      </c>
      <c r="D191" s="111" t="s">
        <v>1594</v>
      </c>
      <c r="E191" s="70"/>
      <c r="F191" s="133"/>
    </row>
    <row r="192" spans="3:6" ht="15.6" x14ac:dyDescent="0.3">
      <c r="C192" s="70">
        <v>188</v>
      </c>
      <c r="D192" s="111" t="s">
        <v>320</v>
      </c>
      <c r="E192" s="70"/>
      <c r="F192" s="133"/>
    </row>
    <row r="193" spans="3:6" ht="15.6" x14ac:dyDescent="0.3">
      <c r="C193" s="70">
        <v>189</v>
      </c>
      <c r="D193" s="111" t="s">
        <v>320</v>
      </c>
      <c r="E193" s="70"/>
      <c r="F193" s="133"/>
    </row>
    <row r="194" spans="3:6" ht="15.6" x14ac:dyDescent="0.3">
      <c r="C194" s="70">
        <v>190</v>
      </c>
      <c r="D194" s="111" t="s">
        <v>320</v>
      </c>
      <c r="E194" s="70"/>
      <c r="F194" s="133"/>
    </row>
    <row r="195" spans="3:6" ht="15.6" x14ac:dyDescent="0.3">
      <c r="C195" s="70">
        <v>191</v>
      </c>
      <c r="D195" s="111" t="s">
        <v>320</v>
      </c>
      <c r="E195" s="70"/>
      <c r="F195" s="133"/>
    </row>
    <row r="196" spans="3:6" ht="15.6" x14ac:dyDescent="0.3">
      <c r="C196" s="185">
        <v>192</v>
      </c>
      <c r="D196" s="111" t="s">
        <v>320</v>
      </c>
      <c r="E196" s="70"/>
      <c r="F196" s="133"/>
    </row>
    <row r="197" spans="3:6" ht="15.6" x14ac:dyDescent="0.3">
      <c r="C197" s="70">
        <v>193</v>
      </c>
      <c r="D197" s="111" t="s">
        <v>320</v>
      </c>
      <c r="E197" s="70"/>
      <c r="F197" s="133"/>
    </row>
    <row r="198" spans="3:6" ht="15.6" x14ac:dyDescent="0.3">
      <c r="C198" s="70">
        <v>194</v>
      </c>
      <c r="D198" s="111" t="s">
        <v>320</v>
      </c>
      <c r="E198" s="55"/>
      <c r="F198" s="133"/>
    </row>
    <row r="199" spans="3:6" ht="15.6" x14ac:dyDescent="0.3">
      <c r="C199" s="70">
        <v>195</v>
      </c>
      <c r="D199" s="111" t="s">
        <v>320</v>
      </c>
      <c r="E199" s="55"/>
      <c r="F199" s="133"/>
    </row>
    <row r="200" spans="3:6" ht="15.6" x14ac:dyDescent="0.3">
      <c r="C200" s="70">
        <v>196</v>
      </c>
      <c r="D200" s="111" t="s">
        <v>320</v>
      </c>
      <c r="E200" s="55"/>
      <c r="F200" s="133"/>
    </row>
    <row r="201" spans="3:6" ht="15.6" x14ac:dyDescent="0.3">
      <c r="C201" s="70">
        <v>197</v>
      </c>
      <c r="D201" s="111" t="s">
        <v>320</v>
      </c>
      <c r="E201" s="55"/>
      <c r="F201" s="133"/>
    </row>
    <row r="202" spans="3:6" ht="15.6" x14ac:dyDescent="0.3">
      <c r="C202" s="70">
        <v>198</v>
      </c>
      <c r="D202" s="111" t="s">
        <v>320</v>
      </c>
      <c r="E202" s="55"/>
      <c r="F202" s="133"/>
    </row>
    <row r="203" spans="3:6" ht="15.6" x14ac:dyDescent="0.3">
      <c r="C203" s="70">
        <v>199</v>
      </c>
      <c r="D203" s="111" t="s">
        <v>320</v>
      </c>
      <c r="E203" s="55"/>
      <c r="F203" s="133"/>
    </row>
    <row r="204" spans="3:6" ht="15.6" x14ac:dyDescent="0.3">
      <c r="C204" s="185">
        <v>200</v>
      </c>
      <c r="D204" s="205" t="s">
        <v>1595</v>
      </c>
      <c r="E204" s="55"/>
      <c r="F204" s="133"/>
    </row>
    <row r="205" spans="3:6" ht="15.6" x14ac:dyDescent="0.3">
      <c r="C205" s="70">
        <v>201</v>
      </c>
      <c r="D205" s="205" t="s">
        <v>1596</v>
      </c>
      <c r="E205" s="55"/>
      <c r="F205" s="133"/>
    </row>
    <row r="206" spans="3:6" ht="15.6" x14ac:dyDescent="0.3">
      <c r="C206" s="70">
        <v>202</v>
      </c>
      <c r="D206" s="205" t="s">
        <v>1597</v>
      </c>
      <c r="E206" s="55"/>
      <c r="F206" s="133"/>
    </row>
    <row r="207" spans="3:6" ht="15.6" x14ac:dyDescent="0.3">
      <c r="C207" s="70">
        <v>203</v>
      </c>
      <c r="D207" s="205" t="s">
        <v>1598</v>
      </c>
      <c r="E207" s="55"/>
      <c r="F207" s="133"/>
    </row>
    <row r="208" spans="3:6" ht="15.6" x14ac:dyDescent="0.3">
      <c r="C208" s="70">
        <v>204</v>
      </c>
      <c r="D208" s="111" t="s">
        <v>320</v>
      </c>
      <c r="E208" s="55"/>
      <c r="F208" s="133"/>
    </row>
    <row r="209" spans="3:6" ht="15.6" x14ac:dyDescent="0.3">
      <c r="C209" s="70">
        <v>205</v>
      </c>
      <c r="D209" s="111" t="s">
        <v>320</v>
      </c>
      <c r="E209" s="55"/>
      <c r="F209" s="133"/>
    </row>
    <row r="210" spans="3:6" ht="15.6" x14ac:dyDescent="0.3">
      <c r="C210" s="70">
        <v>206</v>
      </c>
      <c r="D210" s="111" t="s">
        <v>320</v>
      </c>
      <c r="E210" s="55"/>
      <c r="F210" s="133"/>
    </row>
    <row r="211" spans="3:6" ht="15.6" x14ac:dyDescent="0.3">
      <c r="C211" s="70">
        <v>207</v>
      </c>
      <c r="D211" s="111" t="s">
        <v>320</v>
      </c>
      <c r="E211" s="55"/>
      <c r="F211" s="133"/>
    </row>
    <row r="212" spans="3:6" ht="15.6" x14ac:dyDescent="0.3">
      <c r="C212" s="185">
        <v>208</v>
      </c>
      <c r="D212" s="111" t="s">
        <v>320</v>
      </c>
      <c r="E212" s="55"/>
      <c r="F212" s="133"/>
    </row>
    <row r="213" spans="3:6" ht="15.6" x14ac:dyDescent="0.3">
      <c r="C213" s="70">
        <v>209</v>
      </c>
      <c r="D213" s="111" t="s">
        <v>320</v>
      </c>
      <c r="E213" s="55"/>
      <c r="F213" s="133"/>
    </row>
    <row r="214" spans="3:6" ht="15.6" x14ac:dyDescent="0.3">
      <c r="C214" s="70">
        <v>210</v>
      </c>
      <c r="D214" s="111" t="s">
        <v>320</v>
      </c>
      <c r="E214" s="55"/>
      <c r="F214" s="133"/>
    </row>
    <row r="215" spans="3:6" ht="15.6" x14ac:dyDescent="0.3">
      <c r="C215" s="70">
        <v>211</v>
      </c>
      <c r="D215" s="111" t="s">
        <v>320</v>
      </c>
      <c r="E215" s="55"/>
      <c r="F215" s="133"/>
    </row>
    <row r="216" spans="3:6" ht="15.6" x14ac:dyDescent="0.3">
      <c r="C216" s="70">
        <v>212</v>
      </c>
      <c r="D216" s="111" t="s">
        <v>320</v>
      </c>
      <c r="E216" s="55"/>
      <c r="F216" s="133"/>
    </row>
    <row r="217" spans="3:6" ht="15.6" x14ac:dyDescent="0.3">
      <c r="C217" s="70">
        <v>213</v>
      </c>
      <c r="D217" s="111" t="s">
        <v>320</v>
      </c>
      <c r="E217" s="55"/>
      <c r="F217" s="133"/>
    </row>
    <row r="218" spans="3:6" ht="15.6" x14ac:dyDescent="0.3">
      <c r="C218" s="70">
        <v>214</v>
      </c>
      <c r="D218" s="111" t="s">
        <v>320</v>
      </c>
      <c r="E218" s="55"/>
      <c r="F218" s="133"/>
    </row>
    <row r="219" spans="3:6" ht="15.6" x14ac:dyDescent="0.3">
      <c r="C219" s="70">
        <v>215</v>
      </c>
      <c r="D219" s="111" t="s">
        <v>320</v>
      </c>
      <c r="E219" s="55"/>
      <c r="F219" s="133"/>
    </row>
    <row r="220" spans="3:6" ht="15.6" x14ac:dyDescent="0.3">
      <c r="C220" s="185">
        <v>216</v>
      </c>
      <c r="D220" s="111" t="s">
        <v>320</v>
      </c>
      <c r="E220" s="55"/>
      <c r="F220" s="133"/>
    </row>
    <row r="221" spans="3:6" ht="15.6" x14ac:dyDescent="0.3">
      <c r="C221" s="70">
        <v>217</v>
      </c>
      <c r="D221" s="111" t="s">
        <v>320</v>
      </c>
      <c r="E221" s="55"/>
      <c r="F221" s="133"/>
    </row>
    <row r="222" spans="3:6" ht="15.6" x14ac:dyDescent="0.3">
      <c r="C222" s="70">
        <v>218</v>
      </c>
      <c r="D222" s="111" t="s">
        <v>320</v>
      </c>
      <c r="E222" s="55"/>
      <c r="F222" s="133"/>
    </row>
    <row r="223" spans="3:6" ht="15.6" x14ac:dyDescent="0.3">
      <c r="C223" s="70">
        <v>219</v>
      </c>
      <c r="D223" s="111" t="s">
        <v>320</v>
      </c>
      <c r="E223" s="55"/>
      <c r="F223" s="133"/>
    </row>
    <row r="224" spans="3:6" ht="15.6" x14ac:dyDescent="0.3">
      <c r="C224" s="70">
        <v>220</v>
      </c>
      <c r="D224" s="111" t="s">
        <v>320</v>
      </c>
      <c r="E224" s="55"/>
      <c r="F224" s="133"/>
    </row>
    <row r="225" spans="3:6" ht="15.6" x14ac:dyDescent="0.3">
      <c r="C225" s="70">
        <v>221</v>
      </c>
      <c r="D225" s="111" t="s">
        <v>320</v>
      </c>
      <c r="E225" s="55"/>
      <c r="F225" s="133"/>
    </row>
    <row r="226" spans="3:6" ht="15.6" x14ac:dyDescent="0.3">
      <c r="C226" s="70">
        <v>222</v>
      </c>
      <c r="D226" s="111" t="s">
        <v>320</v>
      </c>
      <c r="E226" s="55"/>
      <c r="F226" s="133"/>
    </row>
    <row r="227" spans="3:6" ht="15.6" x14ac:dyDescent="0.3">
      <c r="C227" s="70">
        <v>223</v>
      </c>
      <c r="D227" s="111" t="s">
        <v>320</v>
      </c>
      <c r="E227" s="55"/>
      <c r="F227" s="133"/>
    </row>
    <row r="228" spans="3:6" ht="15.6" x14ac:dyDescent="0.3">
      <c r="C228" s="185">
        <v>224</v>
      </c>
      <c r="D228" s="111" t="s">
        <v>320</v>
      </c>
      <c r="E228" s="55"/>
      <c r="F228" s="133"/>
    </row>
    <row r="229" spans="3:6" ht="15.6" x14ac:dyDescent="0.3">
      <c r="C229" s="70">
        <v>225</v>
      </c>
      <c r="D229" s="111" t="s">
        <v>320</v>
      </c>
      <c r="E229" s="55"/>
      <c r="F229" s="133"/>
    </row>
    <row r="230" spans="3:6" ht="15.6" x14ac:dyDescent="0.3">
      <c r="C230" s="70">
        <v>226</v>
      </c>
      <c r="D230" s="111" t="s">
        <v>320</v>
      </c>
      <c r="E230" s="55"/>
      <c r="F230" s="133"/>
    </row>
    <row r="231" spans="3:6" ht="15.6" x14ac:dyDescent="0.3">
      <c r="C231" s="70">
        <v>227</v>
      </c>
      <c r="D231" s="111" t="s">
        <v>320</v>
      </c>
      <c r="E231" s="55"/>
      <c r="F231" s="133"/>
    </row>
    <row r="232" spans="3:6" ht="15.6" x14ac:dyDescent="0.3">
      <c r="C232" s="70">
        <v>228</v>
      </c>
      <c r="D232" s="111" t="s">
        <v>320</v>
      </c>
      <c r="E232" s="55"/>
      <c r="F232" s="133"/>
    </row>
    <row r="233" spans="3:6" ht="15.6" x14ac:dyDescent="0.3">
      <c r="C233" s="70">
        <v>229</v>
      </c>
      <c r="D233" s="111" t="s">
        <v>320</v>
      </c>
      <c r="E233" s="55"/>
      <c r="F233" s="133"/>
    </row>
    <row r="234" spans="3:6" ht="15.6" x14ac:dyDescent="0.3">
      <c r="C234" s="70">
        <v>230</v>
      </c>
      <c r="D234" s="111" t="s">
        <v>320</v>
      </c>
      <c r="E234" s="55"/>
      <c r="F234" s="133"/>
    </row>
    <row r="235" spans="3:6" ht="15.6" x14ac:dyDescent="0.3">
      <c r="C235" s="70">
        <v>231</v>
      </c>
      <c r="D235" s="111" t="s">
        <v>320</v>
      </c>
      <c r="E235" s="55"/>
      <c r="F235" s="133"/>
    </row>
    <row r="236" spans="3:6" ht="15.6" x14ac:dyDescent="0.3">
      <c r="C236" s="185">
        <v>232</v>
      </c>
      <c r="D236" s="188" t="s">
        <v>1599</v>
      </c>
      <c r="E236" s="55"/>
      <c r="F236" s="133"/>
    </row>
    <row r="237" spans="3:6" ht="15.6" x14ac:dyDescent="0.3">
      <c r="C237" s="70">
        <v>233</v>
      </c>
      <c r="D237" s="188" t="s">
        <v>1600</v>
      </c>
      <c r="E237" s="55"/>
      <c r="F237" s="133"/>
    </row>
    <row r="238" spans="3:6" ht="15.6" x14ac:dyDescent="0.3">
      <c r="C238" s="70">
        <v>234</v>
      </c>
      <c r="D238" s="188" t="s">
        <v>1601</v>
      </c>
      <c r="E238" s="55"/>
      <c r="F238" s="133"/>
    </row>
    <row r="239" spans="3:6" ht="15.6" x14ac:dyDescent="0.3">
      <c r="C239" s="70">
        <v>235</v>
      </c>
      <c r="D239" s="188" t="s">
        <v>820</v>
      </c>
      <c r="E239" s="55"/>
      <c r="F239" s="133"/>
    </row>
    <row r="240" spans="3:6" ht="15.6" x14ac:dyDescent="0.3">
      <c r="C240" s="70">
        <v>236</v>
      </c>
      <c r="D240" s="205" t="s">
        <v>320</v>
      </c>
      <c r="E240" s="55"/>
      <c r="F240" s="133"/>
    </row>
    <row r="241" spans="3:6" ht="15.6" x14ac:dyDescent="0.3">
      <c r="C241" s="70">
        <v>237</v>
      </c>
      <c r="D241" s="188" t="s">
        <v>836</v>
      </c>
      <c r="E241" s="55"/>
      <c r="F241" s="133"/>
    </row>
    <row r="242" spans="3:6" ht="15.6" x14ac:dyDescent="0.3">
      <c r="C242" s="70">
        <v>238</v>
      </c>
      <c r="D242" s="111" t="s">
        <v>320</v>
      </c>
      <c r="E242" s="55"/>
      <c r="F242" s="133"/>
    </row>
    <row r="243" spans="3:6" ht="15.6" x14ac:dyDescent="0.3">
      <c r="C243" s="70">
        <v>239</v>
      </c>
      <c r="D243" s="111" t="s">
        <v>320</v>
      </c>
      <c r="E243" s="55"/>
      <c r="F243" s="133"/>
    </row>
    <row r="244" spans="3:6" ht="15.6" x14ac:dyDescent="0.3">
      <c r="C244" s="185">
        <v>240</v>
      </c>
      <c r="D244" s="111" t="s">
        <v>320</v>
      </c>
      <c r="E244" s="55"/>
      <c r="F244" s="133"/>
    </row>
    <row r="245" spans="3:6" ht="15.6" x14ac:dyDescent="0.3">
      <c r="C245" s="70">
        <v>241</v>
      </c>
      <c r="D245" s="111" t="s">
        <v>320</v>
      </c>
      <c r="E245" s="55"/>
      <c r="F245" s="133"/>
    </row>
    <row r="246" spans="3:6" ht="15.6" x14ac:dyDescent="0.3">
      <c r="C246" s="70">
        <v>242</v>
      </c>
      <c r="D246" s="111" t="s">
        <v>320</v>
      </c>
      <c r="E246" s="55"/>
      <c r="F246" s="133"/>
    </row>
    <row r="247" spans="3:6" ht="15.6" x14ac:dyDescent="0.3">
      <c r="C247" s="70">
        <v>243</v>
      </c>
      <c r="D247" s="111" t="s">
        <v>320</v>
      </c>
      <c r="E247" s="55"/>
      <c r="F247" s="133"/>
    </row>
    <row r="248" spans="3:6" ht="15.6" x14ac:dyDescent="0.3">
      <c r="C248" s="70">
        <v>244</v>
      </c>
      <c r="D248" s="111" t="s">
        <v>320</v>
      </c>
      <c r="E248" s="55"/>
      <c r="F248" s="133"/>
    </row>
    <row r="249" spans="3:6" ht="15.6" x14ac:dyDescent="0.3">
      <c r="C249" s="70">
        <v>245</v>
      </c>
      <c r="D249" s="111" t="s">
        <v>320</v>
      </c>
      <c r="E249" s="55"/>
      <c r="F249" s="133"/>
    </row>
    <row r="250" spans="3:6" ht="15.6" x14ac:dyDescent="0.3">
      <c r="C250" s="70">
        <v>246</v>
      </c>
      <c r="D250" s="111" t="s">
        <v>320</v>
      </c>
      <c r="E250" s="55"/>
      <c r="F250" s="133"/>
    </row>
    <row r="251" spans="3:6" ht="15.6" x14ac:dyDescent="0.3">
      <c r="C251" s="70">
        <v>247</v>
      </c>
      <c r="D251" s="111" t="s">
        <v>320</v>
      </c>
      <c r="E251" s="55"/>
      <c r="F251" s="133"/>
    </row>
    <row r="252" spans="3:6" ht="15.6" x14ac:dyDescent="0.3">
      <c r="C252" s="185">
        <v>248</v>
      </c>
      <c r="D252" s="188" t="s">
        <v>1602</v>
      </c>
      <c r="E252" s="55"/>
      <c r="F252" s="133"/>
    </row>
    <row r="253" spans="3:6" ht="15.6" x14ac:dyDescent="0.3">
      <c r="C253" s="70">
        <v>249</v>
      </c>
      <c r="D253" s="188" t="s">
        <v>1603</v>
      </c>
      <c r="E253" s="55"/>
      <c r="F253" s="133"/>
    </row>
    <row r="254" spans="3:6" ht="15.6" x14ac:dyDescent="0.3">
      <c r="C254" s="70">
        <v>250</v>
      </c>
      <c r="D254" s="188" t="s">
        <v>1604</v>
      </c>
      <c r="E254" s="55"/>
      <c r="F254" s="133"/>
    </row>
    <row r="255" spans="3:6" ht="15.6" x14ac:dyDescent="0.3">
      <c r="C255" s="70">
        <v>251</v>
      </c>
      <c r="D255" s="188" t="s">
        <v>1605</v>
      </c>
      <c r="E255" s="55"/>
      <c r="F255" s="133"/>
    </row>
    <row r="256" spans="3:6" ht="15.6" x14ac:dyDescent="0.3">
      <c r="C256" s="70">
        <v>252</v>
      </c>
      <c r="D256" s="111" t="s">
        <v>320</v>
      </c>
      <c r="E256" s="55"/>
      <c r="F256" s="133"/>
    </row>
    <row r="257" spans="3:6" ht="15.6" x14ac:dyDescent="0.3">
      <c r="C257" s="70">
        <v>253</v>
      </c>
      <c r="D257" s="111" t="s">
        <v>320</v>
      </c>
      <c r="E257" s="55"/>
      <c r="F257" s="133"/>
    </row>
    <row r="258" spans="3:6" ht="15.6" x14ac:dyDescent="0.3">
      <c r="C258" s="70">
        <v>254</v>
      </c>
      <c r="D258" s="111" t="s">
        <v>320</v>
      </c>
      <c r="E258" s="55"/>
      <c r="F258" s="133"/>
    </row>
    <row r="259" spans="3:6" ht="15.6" x14ac:dyDescent="0.3">
      <c r="C259" s="70">
        <v>255</v>
      </c>
      <c r="D259" s="111" t="s">
        <v>320</v>
      </c>
      <c r="E259" s="55"/>
      <c r="F259" s="133"/>
    </row>
    <row r="260" spans="3:6" ht="15.6" x14ac:dyDescent="0.3">
      <c r="C260" s="185">
        <v>256</v>
      </c>
      <c r="D260" s="111" t="s">
        <v>320</v>
      </c>
      <c r="E260" s="55"/>
      <c r="F260" s="133"/>
    </row>
    <row r="261" spans="3:6" ht="15.6" x14ac:dyDescent="0.3">
      <c r="C261" s="70">
        <v>257</v>
      </c>
      <c r="D261" s="111" t="s">
        <v>320</v>
      </c>
      <c r="E261" s="55"/>
      <c r="F261" s="133"/>
    </row>
    <row r="262" spans="3:6" ht="15.6" x14ac:dyDescent="0.3">
      <c r="C262" s="70">
        <v>258</v>
      </c>
      <c r="D262" s="111" t="s">
        <v>320</v>
      </c>
      <c r="E262" s="55"/>
      <c r="F262" s="133"/>
    </row>
    <row r="263" spans="3:6" ht="15.6" x14ac:dyDescent="0.3">
      <c r="C263" s="70">
        <v>259</v>
      </c>
      <c r="D263" s="111" t="s">
        <v>320</v>
      </c>
      <c r="E263" s="55"/>
      <c r="F263" s="133"/>
    </row>
    <row r="264" spans="3:6" ht="15.6" x14ac:dyDescent="0.3">
      <c r="C264" s="70">
        <v>260</v>
      </c>
      <c r="D264" s="111" t="s">
        <v>320</v>
      </c>
      <c r="E264" s="55"/>
      <c r="F264" s="133"/>
    </row>
    <row r="265" spans="3:6" ht="15.6" x14ac:dyDescent="0.3">
      <c r="C265" s="70">
        <v>261</v>
      </c>
      <c r="D265" s="111" t="s">
        <v>320</v>
      </c>
      <c r="E265" s="55"/>
      <c r="F265" s="133"/>
    </row>
    <row r="266" spans="3:6" ht="15.6" x14ac:dyDescent="0.3">
      <c r="C266" s="70">
        <v>262</v>
      </c>
      <c r="D266" s="111" t="s">
        <v>320</v>
      </c>
      <c r="E266" s="55"/>
      <c r="F266" s="133"/>
    </row>
    <row r="267" spans="3:6" ht="15.6" x14ac:dyDescent="0.3">
      <c r="C267" s="70">
        <v>263</v>
      </c>
      <c r="D267" s="111" t="s">
        <v>320</v>
      </c>
      <c r="E267" s="55"/>
      <c r="F267" s="133"/>
    </row>
    <row r="268" spans="3:6" ht="15.6" x14ac:dyDescent="0.3">
      <c r="C268" s="185">
        <v>264</v>
      </c>
      <c r="D268" s="188" t="s">
        <v>1606</v>
      </c>
      <c r="E268" s="55"/>
      <c r="F268" s="133"/>
    </row>
    <row r="269" spans="3:6" ht="15.6" x14ac:dyDescent="0.3">
      <c r="C269" s="70">
        <v>265</v>
      </c>
      <c r="D269" s="188" t="s">
        <v>1607</v>
      </c>
      <c r="E269" s="55"/>
      <c r="F269" s="133"/>
    </row>
    <row r="270" spans="3:6" ht="15.6" x14ac:dyDescent="0.3">
      <c r="C270" s="70">
        <v>266</v>
      </c>
      <c r="D270" s="188" t="s">
        <v>1608</v>
      </c>
      <c r="E270" s="55"/>
      <c r="F270" s="133"/>
    </row>
    <row r="271" spans="3:6" ht="15.6" x14ac:dyDescent="0.3">
      <c r="C271" s="70">
        <v>267</v>
      </c>
      <c r="D271" s="188" t="s">
        <v>1609</v>
      </c>
      <c r="E271" s="55"/>
      <c r="F271" s="133"/>
    </row>
    <row r="272" spans="3:6" ht="15.6" x14ac:dyDescent="0.3">
      <c r="C272" s="70">
        <v>268</v>
      </c>
      <c r="D272" s="188" t="s">
        <v>1610</v>
      </c>
      <c r="E272" s="55"/>
      <c r="F272" s="133"/>
    </row>
    <row r="273" spans="3:6" ht="15.6" x14ac:dyDescent="0.3">
      <c r="C273" s="70">
        <v>269</v>
      </c>
      <c r="D273" s="188" t="s">
        <v>1611</v>
      </c>
      <c r="E273" s="55"/>
      <c r="F273" s="133"/>
    </row>
    <row r="274" spans="3:6" ht="15.6" x14ac:dyDescent="0.3">
      <c r="C274" s="70">
        <v>270</v>
      </c>
      <c r="D274" s="188" t="s">
        <v>1612</v>
      </c>
      <c r="E274" s="55"/>
      <c r="F274" s="133"/>
    </row>
    <row r="275" spans="3:6" ht="15.6" x14ac:dyDescent="0.3">
      <c r="C275" s="70">
        <v>271</v>
      </c>
      <c r="D275" s="188" t="s">
        <v>1613</v>
      </c>
      <c r="E275" s="55"/>
      <c r="F275" s="133"/>
    </row>
    <row r="276" spans="3:6" ht="15.6" x14ac:dyDescent="0.3">
      <c r="C276" s="185">
        <v>272</v>
      </c>
      <c r="D276" s="188" t="s">
        <v>1614</v>
      </c>
      <c r="E276" s="55"/>
      <c r="F276" s="133"/>
    </row>
    <row r="277" spans="3:6" ht="15.6" x14ac:dyDescent="0.3">
      <c r="C277" s="70">
        <v>273</v>
      </c>
      <c r="D277" s="188" t="s">
        <v>1615</v>
      </c>
      <c r="E277" s="55"/>
      <c r="F277" s="133"/>
    </row>
    <row r="278" spans="3:6" ht="15.6" x14ac:dyDescent="0.3">
      <c r="C278" s="70">
        <v>274</v>
      </c>
      <c r="D278" s="188" t="s">
        <v>1616</v>
      </c>
      <c r="E278" s="55"/>
      <c r="F278" s="133"/>
    </row>
    <row r="279" spans="3:6" ht="15.6" x14ac:dyDescent="0.3">
      <c r="C279" s="70">
        <v>275</v>
      </c>
      <c r="D279" s="188" t="s">
        <v>1617</v>
      </c>
      <c r="E279" s="55"/>
      <c r="F279" s="133"/>
    </row>
    <row r="280" spans="3:6" ht="15.6" x14ac:dyDescent="0.3">
      <c r="C280" s="70">
        <v>276</v>
      </c>
      <c r="D280" s="188" t="s">
        <v>1618</v>
      </c>
      <c r="E280" s="55"/>
      <c r="F280" s="133"/>
    </row>
    <row r="281" spans="3:6" ht="15.6" x14ac:dyDescent="0.3">
      <c r="C281" s="70">
        <v>277</v>
      </c>
      <c r="D281" s="188" t="s">
        <v>1619</v>
      </c>
      <c r="E281" s="55"/>
      <c r="F281" s="133"/>
    </row>
    <row r="282" spans="3:6" ht="15.6" x14ac:dyDescent="0.3">
      <c r="C282" s="70">
        <v>278</v>
      </c>
      <c r="D282" s="188" t="s">
        <v>1620</v>
      </c>
      <c r="E282" s="55"/>
      <c r="F282" s="133"/>
    </row>
    <row r="283" spans="3:6" ht="15.6" x14ac:dyDescent="0.3">
      <c r="C283" s="70">
        <v>279</v>
      </c>
      <c r="D283" s="188" t="s">
        <v>1621</v>
      </c>
      <c r="E283" s="55"/>
      <c r="F283" s="133"/>
    </row>
    <row r="284" spans="3:6" ht="15.6" x14ac:dyDescent="0.3">
      <c r="C284" s="185">
        <v>280</v>
      </c>
      <c r="D284" s="188" t="s">
        <v>1622</v>
      </c>
      <c r="E284" s="55"/>
      <c r="F284" s="133"/>
    </row>
    <row r="285" spans="3:6" ht="15.6" x14ac:dyDescent="0.3">
      <c r="C285" s="70">
        <v>281</v>
      </c>
      <c r="D285" s="188" t="s">
        <v>1623</v>
      </c>
      <c r="E285" s="55"/>
      <c r="F285" s="133"/>
    </row>
    <row r="286" spans="3:6" ht="15.6" x14ac:dyDescent="0.3">
      <c r="C286" s="70">
        <v>282</v>
      </c>
      <c r="D286" s="188" t="s">
        <v>1624</v>
      </c>
      <c r="E286" s="55"/>
      <c r="F286" s="133"/>
    </row>
    <row r="287" spans="3:6" ht="15.6" x14ac:dyDescent="0.3">
      <c r="C287" s="70">
        <v>283</v>
      </c>
      <c r="D287" s="188" t="s">
        <v>320</v>
      </c>
      <c r="E287" s="55"/>
      <c r="F287" s="133"/>
    </row>
    <row r="288" spans="3:6" ht="15.6" x14ac:dyDescent="0.3">
      <c r="C288" s="70">
        <v>284</v>
      </c>
      <c r="D288" s="188" t="s">
        <v>1625</v>
      </c>
      <c r="E288" s="55"/>
      <c r="F288" s="133"/>
    </row>
    <row r="289" spans="3:6" ht="15.6" x14ac:dyDescent="0.3">
      <c r="C289" s="70">
        <v>285</v>
      </c>
      <c r="D289" s="188" t="s">
        <v>1626</v>
      </c>
      <c r="E289" s="55"/>
      <c r="F289" s="133"/>
    </row>
    <row r="290" spans="3:6" ht="15.6" x14ac:dyDescent="0.3">
      <c r="C290" s="70">
        <v>286</v>
      </c>
      <c r="D290" s="188" t="s">
        <v>1627</v>
      </c>
      <c r="E290" s="55"/>
      <c r="F290" s="133"/>
    </row>
    <row r="291" spans="3:6" ht="15.6" x14ac:dyDescent="0.3">
      <c r="C291" s="70">
        <v>287</v>
      </c>
      <c r="D291" s="188" t="s">
        <v>1628</v>
      </c>
      <c r="E291" s="55"/>
      <c r="F291" s="133"/>
    </row>
    <row r="292" spans="3:6" ht="15.6" x14ac:dyDescent="0.3">
      <c r="C292" s="70">
        <v>288</v>
      </c>
      <c r="D292" s="188" t="s">
        <v>1629</v>
      </c>
      <c r="E292" s="55"/>
      <c r="F292" s="133"/>
    </row>
    <row r="293" spans="3:6" ht="15.6" x14ac:dyDescent="0.3">
      <c r="C293" s="70">
        <v>289</v>
      </c>
      <c r="D293" s="111" t="s">
        <v>320</v>
      </c>
      <c r="E293" s="55"/>
      <c r="F293" s="133"/>
    </row>
    <row r="294" spans="3:6" ht="15.6" x14ac:dyDescent="0.3">
      <c r="C294" s="70">
        <v>290</v>
      </c>
      <c r="D294" s="111" t="s">
        <v>320</v>
      </c>
      <c r="E294" s="55"/>
      <c r="F294" s="133"/>
    </row>
    <row r="295" spans="3:6" ht="15.6" x14ac:dyDescent="0.3">
      <c r="C295" s="70">
        <v>291</v>
      </c>
      <c r="D295" s="205" t="s">
        <v>1630</v>
      </c>
      <c r="E295" s="55"/>
      <c r="F295" s="133"/>
    </row>
    <row r="296" spans="3:6" ht="15.6" x14ac:dyDescent="0.3">
      <c r="C296" s="70">
        <v>292</v>
      </c>
      <c r="D296" s="111" t="s">
        <v>320</v>
      </c>
      <c r="E296" s="55"/>
      <c r="F296" s="133"/>
    </row>
    <row r="297" spans="3:6" ht="15.6" x14ac:dyDescent="0.3">
      <c r="C297" s="70">
        <v>293</v>
      </c>
      <c r="D297" s="111" t="s">
        <v>320</v>
      </c>
      <c r="E297" s="55"/>
      <c r="F297" s="133"/>
    </row>
    <row r="298" spans="3:6" ht="15.6" x14ac:dyDescent="0.3">
      <c r="C298" s="70">
        <v>294</v>
      </c>
      <c r="D298" s="111" t="s">
        <v>320</v>
      </c>
      <c r="E298" s="55"/>
      <c r="F298" s="133"/>
    </row>
    <row r="299" spans="3:6" ht="15.6" x14ac:dyDescent="0.3">
      <c r="C299" s="70">
        <v>295</v>
      </c>
      <c r="D299" s="111" t="s">
        <v>320</v>
      </c>
      <c r="E299" s="70"/>
      <c r="F299" s="133"/>
    </row>
    <row r="300" spans="3:6" ht="15.6" x14ac:dyDescent="0.3">
      <c r="C300" s="70">
        <v>296</v>
      </c>
      <c r="D300" s="188" t="s">
        <v>1631</v>
      </c>
      <c r="E300" s="70"/>
      <c r="F300" s="133"/>
    </row>
    <row r="301" spans="3:6" ht="15.6" x14ac:dyDescent="0.3">
      <c r="C301" s="70">
        <v>297</v>
      </c>
      <c r="D301" s="188" t="s">
        <v>1632</v>
      </c>
      <c r="E301" s="70"/>
      <c r="F301" s="133"/>
    </row>
    <row r="302" spans="3:6" ht="15.6" x14ac:dyDescent="0.3">
      <c r="C302" s="70">
        <v>298</v>
      </c>
      <c r="D302" s="188" t="s">
        <v>1633</v>
      </c>
      <c r="E302" s="70"/>
      <c r="F302" s="133"/>
    </row>
    <row r="303" spans="3:6" ht="15.6" x14ac:dyDescent="0.3">
      <c r="C303" s="70">
        <v>299</v>
      </c>
      <c r="D303" s="188" t="s">
        <v>1634</v>
      </c>
      <c r="E303" s="70"/>
      <c r="F303" s="133"/>
    </row>
    <row r="304" spans="3:6" ht="15.6" x14ac:dyDescent="0.3">
      <c r="C304" s="70">
        <v>300</v>
      </c>
      <c r="D304" s="188" t="s">
        <v>1635</v>
      </c>
      <c r="E304" s="70"/>
      <c r="F304" s="133"/>
    </row>
    <row r="305" spans="3:6" ht="15.6" x14ac:dyDescent="0.3">
      <c r="C305" s="70">
        <v>301</v>
      </c>
      <c r="D305" s="188" t="s">
        <v>1636</v>
      </c>
      <c r="E305" s="70"/>
      <c r="F305" s="133"/>
    </row>
    <row r="306" spans="3:6" ht="15.6" x14ac:dyDescent="0.3">
      <c r="C306" s="70">
        <v>302</v>
      </c>
      <c r="D306" s="188" t="s">
        <v>1637</v>
      </c>
      <c r="E306" s="70"/>
      <c r="F306" s="133"/>
    </row>
    <row r="307" spans="3:6" ht="15.6" x14ac:dyDescent="0.3">
      <c r="C307" s="70">
        <v>303</v>
      </c>
      <c r="D307" s="188" t="s">
        <v>1638</v>
      </c>
      <c r="E307" s="70"/>
      <c r="F307" s="133"/>
    </row>
    <row r="308" spans="3:6" ht="15.6" x14ac:dyDescent="0.3">
      <c r="C308" s="70">
        <v>304</v>
      </c>
      <c r="D308" s="188" t="s">
        <v>1639</v>
      </c>
      <c r="E308" s="70"/>
      <c r="F308" s="133"/>
    </row>
    <row r="309" spans="3:6" ht="15.6" x14ac:dyDescent="0.3">
      <c r="C309" s="70">
        <v>305</v>
      </c>
      <c r="D309" s="188" t="s">
        <v>1640</v>
      </c>
      <c r="E309" s="70"/>
      <c r="F309" s="133"/>
    </row>
    <row r="310" spans="3:6" ht="15.6" x14ac:dyDescent="0.3">
      <c r="C310" s="70">
        <v>306</v>
      </c>
      <c r="D310" s="188" t="s">
        <v>1641</v>
      </c>
      <c r="E310" s="70"/>
      <c r="F310" s="133"/>
    </row>
    <row r="311" spans="3:6" ht="15.6" x14ac:dyDescent="0.3">
      <c r="C311" s="70">
        <v>307</v>
      </c>
      <c r="D311" s="188" t="s">
        <v>1642</v>
      </c>
      <c r="E311" s="70"/>
      <c r="F311" s="133"/>
    </row>
    <row r="312" spans="3:6" ht="15.6" x14ac:dyDescent="0.3">
      <c r="C312" s="70">
        <v>308</v>
      </c>
      <c r="D312" s="188" t="s">
        <v>1643</v>
      </c>
      <c r="E312" s="70"/>
      <c r="F312" s="133"/>
    </row>
    <row r="313" spans="3:6" ht="15.6" x14ac:dyDescent="0.3">
      <c r="C313" s="70">
        <v>309</v>
      </c>
      <c r="D313" s="188" t="s">
        <v>1644</v>
      </c>
      <c r="E313" s="70"/>
      <c r="F313" s="133"/>
    </row>
    <row r="314" spans="3:6" ht="15.6" x14ac:dyDescent="0.3">
      <c r="C314" s="70">
        <v>310</v>
      </c>
      <c r="D314" s="188" t="s">
        <v>1645</v>
      </c>
      <c r="E314" s="70"/>
      <c r="F314" s="133"/>
    </row>
    <row r="315" spans="3:6" ht="15.6" x14ac:dyDescent="0.3">
      <c r="C315" s="70">
        <v>311</v>
      </c>
      <c r="D315" s="188" t="s">
        <v>1646</v>
      </c>
      <c r="E315" s="70"/>
      <c r="F315" s="133"/>
    </row>
    <row r="316" spans="3:6" ht="15.6" x14ac:dyDescent="0.3">
      <c r="C316" s="70">
        <v>312</v>
      </c>
      <c r="D316" s="188" t="s">
        <v>1647</v>
      </c>
      <c r="E316" s="70"/>
      <c r="F316" s="133"/>
    </row>
    <row r="317" spans="3:6" ht="15.6" x14ac:dyDescent="0.3">
      <c r="C317" s="70">
        <v>313</v>
      </c>
      <c r="D317" s="188" t="s">
        <v>1648</v>
      </c>
      <c r="E317" s="70"/>
      <c r="F317" s="133"/>
    </row>
    <row r="318" spans="3:6" ht="15.6" x14ac:dyDescent="0.3">
      <c r="C318" s="70">
        <v>314</v>
      </c>
      <c r="D318" s="188" t="s">
        <v>1649</v>
      </c>
      <c r="E318" s="70"/>
      <c r="F318" s="133"/>
    </row>
    <row r="319" spans="3:6" ht="15.6" x14ac:dyDescent="0.3">
      <c r="C319" s="70">
        <v>315</v>
      </c>
      <c r="D319" s="406" t="s">
        <v>320</v>
      </c>
      <c r="E319" s="70"/>
      <c r="F319" s="133" t="s">
        <v>3845</v>
      </c>
    </row>
    <row r="320" spans="3:6" ht="15.6" x14ac:dyDescent="0.3">
      <c r="C320" s="70">
        <v>316</v>
      </c>
      <c r="D320" s="188" t="s">
        <v>1650</v>
      </c>
      <c r="E320" s="70"/>
      <c r="F320" s="133"/>
    </row>
    <row r="321" spans="3:6" ht="15.6" x14ac:dyDescent="0.3">
      <c r="C321" s="70">
        <v>317</v>
      </c>
      <c r="D321" s="188" t="s">
        <v>1651</v>
      </c>
      <c r="E321" s="70"/>
      <c r="F321" s="133"/>
    </row>
    <row r="322" spans="3:6" ht="15.6" x14ac:dyDescent="0.3">
      <c r="C322" s="70">
        <v>318</v>
      </c>
      <c r="D322" s="188" t="s">
        <v>1652</v>
      </c>
      <c r="E322" s="70"/>
      <c r="F322" s="133"/>
    </row>
    <row r="323" spans="3:6" ht="15.6" x14ac:dyDescent="0.3">
      <c r="C323" s="70">
        <v>319</v>
      </c>
      <c r="D323" s="188" t="s">
        <v>1653</v>
      </c>
      <c r="E323" s="70"/>
      <c r="F323" s="133"/>
    </row>
    <row r="324" spans="3:6" ht="15.6" x14ac:dyDescent="0.3">
      <c r="C324" s="70">
        <v>320</v>
      </c>
      <c r="D324" s="188" t="s">
        <v>1654</v>
      </c>
      <c r="E324" s="70"/>
      <c r="F324" s="133"/>
    </row>
    <row r="325" spans="3:6" ht="15.6" x14ac:dyDescent="0.3">
      <c r="C325" s="70">
        <v>321</v>
      </c>
      <c r="D325" s="111" t="s">
        <v>320</v>
      </c>
      <c r="E325" s="70"/>
      <c r="F325" s="133"/>
    </row>
    <row r="326" spans="3:6" ht="15.6" x14ac:dyDescent="0.3">
      <c r="C326" s="70">
        <v>322</v>
      </c>
      <c r="D326" s="111" t="s">
        <v>320</v>
      </c>
      <c r="E326" s="223"/>
      <c r="F326" s="133"/>
    </row>
    <row r="327" spans="3:6" ht="15.6" x14ac:dyDescent="0.3">
      <c r="C327" s="70">
        <v>323</v>
      </c>
      <c r="D327" s="205" t="s">
        <v>1655</v>
      </c>
      <c r="E327" s="70"/>
      <c r="F327" s="133"/>
    </row>
    <row r="328" spans="3:6" ht="15.6" x14ac:dyDescent="0.3">
      <c r="C328" s="70">
        <v>324</v>
      </c>
      <c r="D328" s="111" t="s">
        <v>320</v>
      </c>
      <c r="E328" s="70"/>
      <c r="F328" s="133"/>
    </row>
    <row r="329" spans="3:6" ht="15.6" x14ac:dyDescent="0.3">
      <c r="C329" s="70">
        <v>325</v>
      </c>
      <c r="D329" s="111" t="s">
        <v>320</v>
      </c>
      <c r="E329" s="70"/>
      <c r="F329" s="133"/>
    </row>
    <row r="330" spans="3:6" ht="15.6" x14ac:dyDescent="0.3">
      <c r="C330" s="70">
        <v>326</v>
      </c>
      <c r="D330" s="111" t="s">
        <v>320</v>
      </c>
      <c r="E330" s="70"/>
      <c r="F330" s="133"/>
    </row>
    <row r="331" spans="3:6" ht="15.6" x14ac:dyDescent="0.3">
      <c r="C331" s="70">
        <v>327</v>
      </c>
      <c r="D331" s="111" t="s">
        <v>320</v>
      </c>
      <c r="E331" s="70"/>
      <c r="F331" s="133"/>
    </row>
    <row r="332" spans="3:6" ht="15.6" x14ac:dyDescent="0.3">
      <c r="C332" s="70">
        <v>328</v>
      </c>
      <c r="D332" s="188" t="s">
        <v>1656</v>
      </c>
      <c r="E332" s="70"/>
      <c r="F332" s="133"/>
    </row>
    <row r="333" spans="3:6" ht="15.6" x14ac:dyDescent="0.3">
      <c r="C333" s="70">
        <v>329</v>
      </c>
      <c r="D333" s="188" t="s">
        <v>1657</v>
      </c>
      <c r="E333" s="70"/>
      <c r="F333" s="133"/>
    </row>
    <row r="334" spans="3:6" ht="15.6" x14ac:dyDescent="0.3">
      <c r="C334" s="70">
        <v>330</v>
      </c>
      <c r="D334" s="188" t="s">
        <v>1658</v>
      </c>
      <c r="E334" s="70"/>
      <c r="F334" s="133"/>
    </row>
    <row r="335" spans="3:6" ht="15.6" x14ac:dyDescent="0.3">
      <c r="C335" s="70">
        <v>331</v>
      </c>
      <c r="D335" s="188" t="s">
        <v>1659</v>
      </c>
      <c r="E335" s="70"/>
      <c r="F335" s="133"/>
    </row>
    <row r="336" spans="3:6" ht="15.6" x14ac:dyDescent="0.3">
      <c r="C336" s="70">
        <v>332</v>
      </c>
      <c r="D336" s="188" t="s">
        <v>1660</v>
      </c>
      <c r="E336" s="70"/>
      <c r="F336" s="133"/>
    </row>
    <row r="337" spans="3:6" ht="15.6" x14ac:dyDescent="0.3">
      <c r="C337" s="70">
        <v>333</v>
      </c>
      <c r="D337" s="188" t="s">
        <v>1661</v>
      </c>
      <c r="E337" s="70"/>
      <c r="F337" s="133"/>
    </row>
    <row r="338" spans="3:6" ht="15.6" x14ac:dyDescent="0.3">
      <c r="C338" s="70">
        <v>334</v>
      </c>
      <c r="D338" s="188" t="s">
        <v>1662</v>
      </c>
      <c r="E338" s="70"/>
      <c r="F338" s="133"/>
    </row>
    <row r="339" spans="3:6" ht="15.6" x14ac:dyDescent="0.3">
      <c r="C339" s="70">
        <v>335</v>
      </c>
      <c r="D339" s="188" t="s">
        <v>1663</v>
      </c>
      <c r="E339" s="70"/>
      <c r="F339" s="133"/>
    </row>
    <row r="340" spans="3:6" ht="15.6" x14ac:dyDescent="0.3">
      <c r="C340" s="70">
        <v>336</v>
      </c>
      <c r="D340" s="188" t="s">
        <v>1664</v>
      </c>
      <c r="E340" s="70"/>
      <c r="F340" s="133"/>
    </row>
    <row r="341" spans="3:6" ht="15.6" x14ac:dyDescent="0.3">
      <c r="C341" s="70">
        <v>337</v>
      </c>
      <c r="D341" s="188" t="s">
        <v>1665</v>
      </c>
      <c r="E341" s="70"/>
      <c r="F341" s="133"/>
    </row>
    <row r="342" spans="3:6" ht="15.6" x14ac:dyDescent="0.3">
      <c r="C342" s="70">
        <v>338</v>
      </c>
      <c r="D342" s="188" t="s">
        <v>1666</v>
      </c>
      <c r="E342" s="70"/>
      <c r="F342" s="133"/>
    </row>
    <row r="343" spans="3:6" ht="15.6" x14ac:dyDescent="0.3">
      <c r="C343" s="70">
        <v>339</v>
      </c>
      <c r="D343" s="188" t="s">
        <v>1667</v>
      </c>
      <c r="E343" s="70"/>
      <c r="F343" s="133"/>
    </row>
    <row r="344" spans="3:6" ht="15.6" x14ac:dyDescent="0.3">
      <c r="C344" s="70">
        <v>340</v>
      </c>
      <c r="D344" s="188" t="s">
        <v>1668</v>
      </c>
      <c r="E344" s="70"/>
      <c r="F344" s="133"/>
    </row>
    <row r="345" spans="3:6" ht="15.6" x14ac:dyDescent="0.3">
      <c r="C345" s="70">
        <v>341</v>
      </c>
      <c r="D345" s="188" t="s">
        <v>1669</v>
      </c>
      <c r="E345" s="70"/>
      <c r="F345" s="133"/>
    </row>
    <row r="346" spans="3:6" ht="15.6" x14ac:dyDescent="0.3">
      <c r="C346" s="70">
        <v>342</v>
      </c>
      <c r="D346" s="188" t="s">
        <v>1670</v>
      </c>
      <c r="E346" s="70"/>
      <c r="F346" s="133"/>
    </row>
    <row r="347" spans="3:6" ht="15.6" x14ac:dyDescent="0.3">
      <c r="C347" s="70">
        <v>343</v>
      </c>
      <c r="D347" s="188" t="s">
        <v>1671</v>
      </c>
      <c r="E347" s="70"/>
      <c r="F347" s="133"/>
    </row>
    <row r="348" spans="3:6" ht="15.6" x14ac:dyDescent="0.3">
      <c r="C348" s="70">
        <v>344</v>
      </c>
      <c r="D348" s="188" t="s">
        <v>1672</v>
      </c>
      <c r="E348" s="70"/>
      <c r="F348" s="133"/>
    </row>
    <row r="349" spans="3:6" ht="15.6" x14ac:dyDescent="0.3">
      <c r="C349" s="70">
        <v>345</v>
      </c>
      <c r="D349" s="188" t="s">
        <v>1673</v>
      </c>
      <c r="E349" s="70"/>
      <c r="F349" s="133"/>
    </row>
    <row r="350" spans="3:6" ht="15.6" x14ac:dyDescent="0.3">
      <c r="C350" s="70">
        <v>346</v>
      </c>
      <c r="D350" s="188" t="s">
        <v>1674</v>
      </c>
      <c r="E350" s="70"/>
      <c r="F350" s="133"/>
    </row>
    <row r="351" spans="3:6" ht="15.6" x14ac:dyDescent="0.3">
      <c r="C351" s="70">
        <v>347</v>
      </c>
      <c r="D351" s="406" t="s">
        <v>320</v>
      </c>
      <c r="E351" s="70"/>
      <c r="F351" s="133" t="s">
        <v>3846</v>
      </c>
    </row>
    <row r="352" spans="3:6" ht="15.6" x14ac:dyDescent="0.3">
      <c r="C352" s="70">
        <v>348</v>
      </c>
      <c r="D352" s="188" t="s">
        <v>1675</v>
      </c>
      <c r="E352" s="70"/>
      <c r="F352" s="133"/>
    </row>
    <row r="353" spans="3:6" ht="15.6" x14ac:dyDescent="0.3">
      <c r="C353" s="70">
        <v>349</v>
      </c>
      <c r="D353" s="188" t="s">
        <v>1676</v>
      </c>
      <c r="E353" s="70"/>
      <c r="F353" s="133"/>
    </row>
    <row r="354" spans="3:6" ht="15.6" x14ac:dyDescent="0.3">
      <c r="C354" s="70">
        <v>350</v>
      </c>
      <c r="D354" s="188" t="s">
        <v>1677</v>
      </c>
      <c r="E354" s="70"/>
      <c r="F354" s="133"/>
    </row>
    <row r="355" spans="3:6" ht="15.6" x14ac:dyDescent="0.3">
      <c r="C355" s="70">
        <v>351</v>
      </c>
      <c r="D355" s="188" t="s">
        <v>1678</v>
      </c>
      <c r="E355" s="70"/>
      <c r="F355" s="133"/>
    </row>
    <row r="356" spans="3:6" ht="15.6" x14ac:dyDescent="0.3">
      <c r="C356" s="70">
        <v>352</v>
      </c>
      <c r="D356" s="188" t="s">
        <v>1679</v>
      </c>
      <c r="E356" s="70"/>
      <c r="F356" s="133"/>
    </row>
    <row r="357" spans="3:6" ht="15.6" x14ac:dyDescent="0.3">
      <c r="C357" s="70">
        <v>353</v>
      </c>
      <c r="D357" s="111" t="s">
        <v>320</v>
      </c>
      <c r="E357" s="70"/>
      <c r="F357" s="133"/>
    </row>
    <row r="358" spans="3:6" ht="15.6" x14ac:dyDescent="0.3">
      <c r="C358" s="70">
        <v>354</v>
      </c>
      <c r="D358" s="111" t="s">
        <v>320</v>
      </c>
      <c r="E358" s="223"/>
      <c r="F358" s="133"/>
    </row>
    <row r="359" spans="3:6" ht="15.6" x14ac:dyDescent="0.3">
      <c r="C359" s="70">
        <v>355</v>
      </c>
      <c r="D359" s="205" t="s">
        <v>1680</v>
      </c>
      <c r="E359" s="70"/>
      <c r="F359" s="133"/>
    </row>
    <row r="360" spans="3:6" ht="15.6" x14ac:dyDescent="0.3">
      <c r="C360" s="70">
        <v>356</v>
      </c>
      <c r="D360" s="111" t="s">
        <v>320</v>
      </c>
      <c r="E360" s="70"/>
      <c r="F360" s="133"/>
    </row>
    <row r="361" spans="3:6" ht="15.6" x14ac:dyDescent="0.3">
      <c r="C361" s="70">
        <v>357</v>
      </c>
      <c r="D361" s="111" t="s">
        <v>320</v>
      </c>
      <c r="E361" s="70"/>
      <c r="F361" s="133"/>
    </row>
    <row r="362" spans="3:6" ht="15.6" x14ac:dyDescent="0.3">
      <c r="C362" s="70">
        <v>358</v>
      </c>
      <c r="D362" s="111" t="s">
        <v>320</v>
      </c>
      <c r="E362" s="70"/>
      <c r="F362" s="133"/>
    </row>
    <row r="363" spans="3:6" ht="15.6" x14ac:dyDescent="0.3">
      <c r="C363" s="70">
        <v>359</v>
      </c>
      <c r="D363" s="111" t="s">
        <v>320</v>
      </c>
      <c r="E363" s="70"/>
      <c r="F363" s="133"/>
    </row>
    <row r="364" spans="3:6" ht="15.6" x14ac:dyDescent="0.3">
      <c r="C364" s="70">
        <v>360</v>
      </c>
      <c r="D364" s="188" t="s">
        <v>1681</v>
      </c>
      <c r="E364" s="70"/>
      <c r="F364" s="133"/>
    </row>
    <row r="365" spans="3:6" ht="15.6" x14ac:dyDescent="0.3">
      <c r="C365" s="70">
        <v>361</v>
      </c>
      <c r="D365" s="188" t="s">
        <v>1682</v>
      </c>
      <c r="E365" s="70"/>
      <c r="F365" s="133"/>
    </row>
    <row r="366" spans="3:6" ht="15.6" x14ac:dyDescent="0.3">
      <c r="C366" s="70">
        <v>362</v>
      </c>
      <c r="D366" s="188" t="s">
        <v>1683</v>
      </c>
      <c r="E366" s="70"/>
      <c r="F366" s="133"/>
    </row>
    <row r="367" spans="3:6" ht="15.6" x14ac:dyDescent="0.3">
      <c r="C367" s="70">
        <v>363</v>
      </c>
      <c r="D367" s="188" t="s">
        <v>1684</v>
      </c>
      <c r="E367" s="70"/>
      <c r="F367" s="133"/>
    </row>
    <row r="368" spans="3:6" ht="15.6" x14ac:dyDescent="0.3">
      <c r="C368" s="70">
        <v>364</v>
      </c>
      <c r="D368" s="188" t="s">
        <v>1685</v>
      </c>
      <c r="E368" s="70"/>
      <c r="F368" s="133"/>
    </row>
    <row r="369" spans="3:6" ht="15.6" x14ac:dyDescent="0.3">
      <c r="C369" s="70">
        <v>365</v>
      </c>
      <c r="D369" s="188" t="s">
        <v>1686</v>
      </c>
      <c r="E369" s="70"/>
      <c r="F369" s="133"/>
    </row>
    <row r="370" spans="3:6" ht="15.6" x14ac:dyDescent="0.3">
      <c r="C370" s="70">
        <v>366</v>
      </c>
      <c r="D370" s="188" t="s">
        <v>1687</v>
      </c>
      <c r="E370" s="70"/>
      <c r="F370" s="133"/>
    </row>
    <row r="371" spans="3:6" ht="15.6" x14ac:dyDescent="0.3">
      <c r="C371" s="70">
        <v>367</v>
      </c>
      <c r="D371" s="188" t="s">
        <v>1688</v>
      </c>
      <c r="E371" s="70"/>
      <c r="F371" s="133"/>
    </row>
    <row r="372" spans="3:6" ht="15.6" x14ac:dyDescent="0.3">
      <c r="C372" s="70">
        <v>368</v>
      </c>
      <c r="D372" s="188" t="s">
        <v>1689</v>
      </c>
      <c r="E372" s="70"/>
      <c r="F372" s="133"/>
    </row>
    <row r="373" spans="3:6" ht="15.6" x14ac:dyDescent="0.3">
      <c r="C373" s="70">
        <v>369</v>
      </c>
      <c r="D373" s="188" t="s">
        <v>1690</v>
      </c>
      <c r="E373" s="70"/>
      <c r="F373" s="133"/>
    </row>
    <row r="374" spans="3:6" ht="15.6" x14ac:dyDescent="0.3">
      <c r="C374" s="70">
        <v>370</v>
      </c>
      <c r="D374" s="188" t="s">
        <v>1691</v>
      </c>
      <c r="E374" s="70"/>
      <c r="F374" s="133"/>
    </row>
    <row r="375" spans="3:6" ht="15.6" x14ac:dyDescent="0.3">
      <c r="C375" s="70">
        <v>371</v>
      </c>
      <c r="D375" s="188" t="s">
        <v>1692</v>
      </c>
      <c r="E375" s="70"/>
      <c r="F375" s="133"/>
    </row>
    <row r="376" spans="3:6" ht="15.6" x14ac:dyDescent="0.3">
      <c r="C376" s="70">
        <v>372</v>
      </c>
      <c r="D376" s="111" t="s">
        <v>320</v>
      </c>
      <c r="E376" s="70"/>
      <c r="F376" s="133"/>
    </row>
    <row r="377" spans="3:6" ht="15.6" x14ac:dyDescent="0.3">
      <c r="C377" s="70">
        <v>373</v>
      </c>
      <c r="D377" s="111" t="s">
        <v>320</v>
      </c>
      <c r="E377" s="70"/>
      <c r="F377" s="133"/>
    </row>
    <row r="378" spans="3:6" ht="15.6" x14ac:dyDescent="0.3">
      <c r="C378" s="70">
        <v>374</v>
      </c>
      <c r="D378" s="111" t="s">
        <v>320</v>
      </c>
      <c r="E378" s="70"/>
      <c r="F378" s="133"/>
    </row>
    <row r="379" spans="3:6" ht="15.6" x14ac:dyDescent="0.3">
      <c r="C379" s="70">
        <v>375</v>
      </c>
      <c r="D379" s="111" t="s">
        <v>320</v>
      </c>
      <c r="E379" s="70"/>
      <c r="F379" s="133"/>
    </row>
    <row r="380" spans="3:6" ht="15.6" x14ac:dyDescent="0.3">
      <c r="C380" s="70">
        <v>376</v>
      </c>
      <c r="D380" s="188" t="s">
        <v>1693</v>
      </c>
      <c r="E380" s="70"/>
      <c r="F380" s="133"/>
    </row>
    <row r="381" spans="3:6" ht="15.6" x14ac:dyDescent="0.3">
      <c r="C381" s="70">
        <v>377</v>
      </c>
      <c r="D381" s="188" t="s">
        <v>1694</v>
      </c>
      <c r="E381" s="70"/>
      <c r="F381" s="133"/>
    </row>
    <row r="382" spans="3:6" ht="15.6" x14ac:dyDescent="0.3">
      <c r="C382" s="70">
        <v>378</v>
      </c>
      <c r="D382" s="188" t="s">
        <v>1695</v>
      </c>
      <c r="E382" s="70"/>
      <c r="F382" s="133"/>
    </row>
    <row r="383" spans="3:6" ht="15.6" x14ac:dyDescent="0.3">
      <c r="C383" s="70">
        <v>379</v>
      </c>
      <c r="D383" s="188" t="s">
        <v>1696</v>
      </c>
      <c r="E383" s="70"/>
      <c r="F383" s="133"/>
    </row>
    <row r="384" spans="3:6" ht="15.6" x14ac:dyDescent="0.3">
      <c r="C384" s="70">
        <v>380</v>
      </c>
      <c r="D384" s="188" t="s">
        <v>1697</v>
      </c>
      <c r="E384" s="70"/>
      <c r="F384" s="133"/>
    </row>
    <row r="385" spans="3:6" ht="15.6" x14ac:dyDescent="0.3">
      <c r="C385" s="70">
        <v>381</v>
      </c>
      <c r="D385" s="188" t="s">
        <v>1698</v>
      </c>
      <c r="E385" s="70"/>
      <c r="F385" s="133"/>
    </row>
    <row r="386" spans="3:6" ht="15.6" x14ac:dyDescent="0.3">
      <c r="C386" s="70">
        <v>382</v>
      </c>
      <c r="D386" s="188" t="s">
        <v>1699</v>
      </c>
      <c r="E386" s="70"/>
      <c r="F386" s="133"/>
    </row>
    <row r="387" spans="3:6" ht="15.6" x14ac:dyDescent="0.3">
      <c r="C387" s="70">
        <v>383</v>
      </c>
      <c r="D387" s="188" t="s">
        <v>1700</v>
      </c>
      <c r="E387" s="70"/>
      <c r="F387" s="133"/>
    </row>
    <row r="388" spans="3:6" ht="15.6" x14ac:dyDescent="0.3">
      <c r="C388" s="70">
        <v>384</v>
      </c>
      <c r="D388" s="188" t="s">
        <v>1701</v>
      </c>
      <c r="E388" s="70"/>
      <c r="F388" s="133"/>
    </row>
    <row r="389" spans="3:6" ht="15.6" x14ac:dyDescent="0.3">
      <c r="C389" s="70">
        <v>385</v>
      </c>
      <c r="D389" s="188" t="s">
        <v>1702</v>
      </c>
      <c r="E389" s="70"/>
      <c r="F389" s="133"/>
    </row>
    <row r="390" spans="3:6" ht="15.6" x14ac:dyDescent="0.3">
      <c r="C390" s="70">
        <v>386</v>
      </c>
      <c r="D390" s="188" t="s">
        <v>1703</v>
      </c>
      <c r="E390" s="70"/>
      <c r="F390" s="133"/>
    </row>
    <row r="391" spans="3:6" ht="15.6" x14ac:dyDescent="0.3">
      <c r="C391" s="70">
        <v>387</v>
      </c>
      <c r="D391" s="188" t="s">
        <v>1704</v>
      </c>
      <c r="E391" s="70"/>
      <c r="F391" s="133"/>
    </row>
    <row r="392" spans="3:6" ht="15.6" x14ac:dyDescent="0.3">
      <c r="C392" s="70">
        <v>388</v>
      </c>
      <c r="D392" s="111" t="s">
        <v>320</v>
      </c>
      <c r="E392" s="70"/>
      <c r="F392" s="133"/>
    </row>
    <row r="393" spans="3:6" ht="15.6" x14ac:dyDescent="0.3">
      <c r="C393" s="70">
        <v>389</v>
      </c>
      <c r="D393" s="111" t="s">
        <v>320</v>
      </c>
      <c r="E393" s="70"/>
      <c r="F393" s="133"/>
    </row>
    <row r="394" spans="3:6" ht="15.6" x14ac:dyDescent="0.3">
      <c r="C394" s="70">
        <v>390</v>
      </c>
      <c r="D394" s="111" t="s">
        <v>320</v>
      </c>
      <c r="E394" s="70"/>
      <c r="F394" s="133"/>
    </row>
    <row r="395" spans="3:6" ht="15.6" x14ac:dyDescent="0.3">
      <c r="C395" s="70">
        <v>391</v>
      </c>
      <c r="D395" s="111" t="s">
        <v>320</v>
      </c>
      <c r="E395" s="70"/>
      <c r="F395" s="133"/>
    </row>
    <row r="396" spans="3:6" ht="15.6" x14ac:dyDescent="0.3">
      <c r="C396" s="70">
        <v>392</v>
      </c>
      <c r="D396" s="188" t="s">
        <v>1705</v>
      </c>
      <c r="E396" s="70"/>
      <c r="F396" s="133"/>
    </row>
    <row r="397" spans="3:6" ht="15.6" x14ac:dyDescent="0.3">
      <c r="C397" s="70">
        <v>393</v>
      </c>
      <c r="D397" s="188" t="s">
        <v>1706</v>
      </c>
      <c r="E397" s="70"/>
      <c r="F397" s="133"/>
    </row>
    <row r="398" spans="3:6" ht="15.6" x14ac:dyDescent="0.3">
      <c r="C398" s="70">
        <v>394</v>
      </c>
      <c r="D398" s="188" t="s">
        <v>1707</v>
      </c>
      <c r="E398" s="70"/>
      <c r="F398" s="133"/>
    </row>
    <row r="399" spans="3:6" ht="15.6" x14ac:dyDescent="0.3">
      <c r="C399" s="70">
        <v>395</v>
      </c>
      <c r="D399" s="188" t="s">
        <v>1708</v>
      </c>
      <c r="E399" s="70"/>
      <c r="F399" s="133"/>
    </row>
    <row r="400" spans="3:6" ht="15.6" x14ac:dyDescent="0.3">
      <c r="C400" s="70">
        <v>396</v>
      </c>
      <c r="D400" s="188" t="s">
        <v>1709</v>
      </c>
      <c r="E400" s="70"/>
      <c r="F400" s="133"/>
    </row>
    <row r="401" spans="3:6" ht="15.6" x14ac:dyDescent="0.3">
      <c r="C401" s="70">
        <v>397</v>
      </c>
      <c r="D401" s="188" t="s">
        <v>1710</v>
      </c>
      <c r="E401" s="70"/>
      <c r="F401" s="133"/>
    </row>
    <row r="402" spans="3:6" ht="15.6" x14ac:dyDescent="0.3">
      <c r="C402" s="70">
        <v>398</v>
      </c>
      <c r="D402" s="188" t="s">
        <v>1711</v>
      </c>
      <c r="E402" s="70"/>
      <c r="F402" s="133"/>
    </row>
    <row r="403" spans="3:6" ht="15.6" x14ac:dyDescent="0.3">
      <c r="C403" s="70">
        <v>399</v>
      </c>
      <c r="D403" s="188" t="s">
        <v>1712</v>
      </c>
      <c r="E403" s="70"/>
      <c r="F403" s="133"/>
    </row>
    <row r="404" spans="3:6" ht="15.6" x14ac:dyDescent="0.3">
      <c r="C404" s="70">
        <v>400</v>
      </c>
      <c r="D404" s="188" t="s">
        <v>1713</v>
      </c>
      <c r="E404" s="70"/>
      <c r="F404" s="133"/>
    </row>
    <row r="405" spans="3:6" ht="15.6" x14ac:dyDescent="0.3">
      <c r="C405" s="70">
        <v>401</v>
      </c>
      <c r="D405" s="188" t="s">
        <v>1714</v>
      </c>
      <c r="E405" s="70"/>
      <c r="F405" s="133"/>
    </row>
    <row r="406" spans="3:6" ht="15.6" x14ac:dyDescent="0.3">
      <c r="C406" s="70">
        <v>402</v>
      </c>
      <c r="D406" s="188" t="s">
        <v>1715</v>
      </c>
      <c r="E406" s="70"/>
      <c r="F406" s="133"/>
    </row>
    <row r="407" spans="3:6" ht="15.6" x14ac:dyDescent="0.3">
      <c r="C407" s="70">
        <v>403</v>
      </c>
      <c r="D407" s="188" t="s">
        <v>1716</v>
      </c>
      <c r="E407" s="70"/>
      <c r="F407" s="133"/>
    </row>
    <row r="408" spans="3:6" ht="15.6" x14ac:dyDescent="0.3">
      <c r="C408" s="70">
        <v>404</v>
      </c>
      <c r="D408" s="111" t="s">
        <v>320</v>
      </c>
      <c r="E408" s="70"/>
      <c r="F408" s="133"/>
    </row>
    <row r="409" spans="3:6" ht="15.6" x14ac:dyDescent="0.3">
      <c r="C409" s="70">
        <v>405</v>
      </c>
      <c r="D409" s="111" t="s">
        <v>320</v>
      </c>
      <c r="E409" s="70"/>
      <c r="F409" s="133"/>
    </row>
    <row r="410" spans="3:6" ht="15.6" x14ac:dyDescent="0.3">
      <c r="C410" s="70">
        <v>406</v>
      </c>
      <c r="D410" s="111" t="s">
        <v>320</v>
      </c>
      <c r="E410" s="70"/>
      <c r="F410" s="133"/>
    </row>
    <row r="411" spans="3:6" ht="15.6" x14ac:dyDescent="0.3">
      <c r="C411" s="70">
        <v>407</v>
      </c>
      <c r="D411" s="111" t="s">
        <v>320</v>
      </c>
      <c r="E411" s="70"/>
      <c r="F411" s="133"/>
    </row>
    <row r="412" spans="3:6" ht="15.6" x14ac:dyDescent="0.3">
      <c r="C412" s="70">
        <v>408</v>
      </c>
      <c r="D412" s="188" t="s">
        <v>1717</v>
      </c>
      <c r="E412" s="70"/>
      <c r="F412" s="133"/>
    </row>
    <row r="413" spans="3:6" ht="15.6" x14ac:dyDescent="0.3">
      <c r="C413" s="70">
        <v>409</v>
      </c>
      <c r="D413" s="188" t="s">
        <v>1718</v>
      </c>
      <c r="E413" s="70"/>
      <c r="F413" s="133"/>
    </row>
    <row r="414" spans="3:6" ht="15.6" x14ac:dyDescent="0.3">
      <c r="C414" s="70">
        <v>410</v>
      </c>
      <c r="D414" s="188" t="s">
        <v>1719</v>
      </c>
      <c r="E414" s="70"/>
      <c r="F414" s="133"/>
    </row>
    <row r="415" spans="3:6" ht="15.6" x14ac:dyDescent="0.3">
      <c r="C415" s="70">
        <v>411</v>
      </c>
      <c r="D415" s="188" t="s">
        <v>1720</v>
      </c>
      <c r="E415" s="70"/>
      <c r="F415" s="133"/>
    </row>
    <row r="416" spans="3:6" ht="15.6" x14ac:dyDescent="0.3">
      <c r="C416" s="70">
        <v>412</v>
      </c>
      <c r="D416" s="111" t="s">
        <v>320</v>
      </c>
      <c r="E416" s="70"/>
      <c r="F416" s="133"/>
    </row>
    <row r="417" spans="3:6" ht="15.6" x14ac:dyDescent="0.3">
      <c r="C417" s="70">
        <v>413</v>
      </c>
      <c r="D417" s="111" t="s">
        <v>320</v>
      </c>
      <c r="E417" s="70"/>
      <c r="F417" s="133"/>
    </row>
    <row r="418" spans="3:6" ht="15.6" x14ac:dyDescent="0.3">
      <c r="C418" s="70">
        <v>414</v>
      </c>
      <c r="D418" s="111" t="s">
        <v>320</v>
      </c>
      <c r="E418" s="70"/>
      <c r="F418" s="133"/>
    </row>
    <row r="419" spans="3:6" ht="15.6" x14ac:dyDescent="0.3">
      <c r="C419" s="70">
        <v>415</v>
      </c>
      <c r="D419" s="111" t="s">
        <v>320</v>
      </c>
      <c r="E419" s="70"/>
      <c r="F419" s="133"/>
    </row>
    <row r="420" spans="3:6" ht="15.6" x14ac:dyDescent="0.3">
      <c r="C420" s="70">
        <v>416</v>
      </c>
      <c r="D420" s="111" t="s">
        <v>320</v>
      </c>
      <c r="E420" s="70"/>
      <c r="F420" s="133"/>
    </row>
    <row r="421" spans="3:6" ht="15.6" x14ac:dyDescent="0.3">
      <c r="C421" s="70">
        <v>417</v>
      </c>
      <c r="D421" s="111" t="s">
        <v>320</v>
      </c>
      <c r="E421" s="70"/>
      <c r="F421" s="133"/>
    </row>
    <row r="422" spans="3:6" ht="15.6" x14ac:dyDescent="0.3">
      <c r="C422" s="70">
        <v>418</v>
      </c>
      <c r="D422" s="111" t="s">
        <v>320</v>
      </c>
      <c r="E422" s="70"/>
      <c r="F422" s="133"/>
    </row>
    <row r="423" spans="3:6" ht="15.6" x14ac:dyDescent="0.3">
      <c r="C423" s="70">
        <v>419</v>
      </c>
      <c r="D423" s="111" t="s">
        <v>320</v>
      </c>
      <c r="E423" s="70"/>
      <c r="F423" s="133"/>
    </row>
    <row r="424" spans="3:6" ht="15.6" x14ac:dyDescent="0.3">
      <c r="C424" s="70">
        <v>420</v>
      </c>
      <c r="D424" s="111" t="s">
        <v>320</v>
      </c>
      <c r="E424" s="70"/>
      <c r="F424" s="133"/>
    </row>
    <row r="425" spans="3:6" ht="15.6" x14ac:dyDescent="0.3">
      <c r="C425" s="70">
        <v>421</v>
      </c>
      <c r="D425" s="111" t="s">
        <v>320</v>
      </c>
      <c r="E425" s="70"/>
      <c r="F425" s="133"/>
    </row>
    <row r="426" spans="3:6" ht="15.6" x14ac:dyDescent="0.3">
      <c r="C426" s="70">
        <v>422</v>
      </c>
      <c r="D426" s="111" t="s">
        <v>320</v>
      </c>
      <c r="E426" s="70"/>
      <c r="F426" s="133"/>
    </row>
    <row r="427" spans="3:6" ht="15.6" x14ac:dyDescent="0.3">
      <c r="C427" s="70">
        <v>423</v>
      </c>
      <c r="D427" s="111" t="s">
        <v>320</v>
      </c>
      <c r="E427" s="70"/>
      <c r="F427" s="133"/>
    </row>
    <row r="428" spans="3:6" ht="15.6" x14ac:dyDescent="0.3">
      <c r="C428" s="70">
        <v>424</v>
      </c>
      <c r="D428" s="188" t="s">
        <v>1721</v>
      </c>
      <c r="E428" s="70"/>
      <c r="F428" s="133"/>
    </row>
    <row r="429" spans="3:6" ht="15.6" x14ac:dyDescent="0.3">
      <c r="C429" s="70">
        <v>425</v>
      </c>
      <c r="D429" s="188" t="s">
        <v>1722</v>
      </c>
      <c r="E429" s="70"/>
      <c r="F429" s="133"/>
    </row>
    <row r="430" spans="3:6" ht="15.6" x14ac:dyDescent="0.3">
      <c r="C430" s="70">
        <v>426</v>
      </c>
      <c r="D430" s="188" t="s">
        <v>1723</v>
      </c>
      <c r="E430" s="70"/>
      <c r="F430" s="133"/>
    </row>
    <row r="431" spans="3:6" ht="15.6" x14ac:dyDescent="0.3">
      <c r="C431" s="70">
        <v>427</v>
      </c>
      <c r="D431" s="188" t="s">
        <v>1724</v>
      </c>
      <c r="E431" s="70"/>
      <c r="F431" s="133"/>
    </row>
    <row r="432" spans="3:6" ht="15.6" x14ac:dyDescent="0.3">
      <c r="C432" s="70">
        <v>428</v>
      </c>
      <c r="D432" s="111" t="s">
        <v>320</v>
      </c>
      <c r="E432" s="70"/>
      <c r="F432" s="133"/>
    </row>
    <row r="433" spans="3:6" ht="15.6" x14ac:dyDescent="0.3">
      <c r="C433" s="70">
        <v>429</v>
      </c>
      <c r="D433" s="111" t="s">
        <v>320</v>
      </c>
      <c r="E433" s="70"/>
      <c r="F433" s="133"/>
    </row>
    <row r="434" spans="3:6" ht="15.6" x14ac:dyDescent="0.3">
      <c r="C434" s="70">
        <v>430</v>
      </c>
      <c r="D434" s="111" t="s">
        <v>320</v>
      </c>
      <c r="E434" s="70"/>
      <c r="F434" s="133"/>
    </row>
    <row r="435" spans="3:6" ht="15.6" x14ac:dyDescent="0.3">
      <c r="C435" s="70">
        <v>431</v>
      </c>
      <c r="D435" s="111" t="s">
        <v>320</v>
      </c>
      <c r="E435" s="70"/>
      <c r="F435" s="133"/>
    </row>
    <row r="436" spans="3:6" ht="15.6" x14ac:dyDescent="0.3">
      <c r="C436" s="70">
        <v>432</v>
      </c>
      <c r="D436" s="111" t="s">
        <v>320</v>
      </c>
      <c r="E436" s="70"/>
      <c r="F436" s="133"/>
    </row>
    <row r="437" spans="3:6" ht="15.6" x14ac:dyDescent="0.3">
      <c r="C437" s="70">
        <v>433</v>
      </c>
      <c r="D437" s="111" t="s">
        <v>320</v>
      </c>
      <c r="E437" s="70"/>
      <c r="F437" s="133"/>
    </row>
    <row r="438" spans="3:6" ht="15.6" x14ac:dyDescent="0.3">
      <c r="C438" s="70">
        <v>434</v>
      </c>
      <c r="D438" s="111" t="s">
        <v>320</v>
      </c>
      <c r="E438" s="70"/>
      <c r="F438" s="133"/>
    </row>
    <row r="439" spans="3:6" ht="15.6" x14ac:dyDescent="0.3">
      <c r="C439" s="70">
        <v>435</v>
      </c>
      <c r="D439" s="111" t="s">
        <v>320</v>
      </c>
      <c r="E439" s="70"/>
      <c r="F439" s="133"/>
    </row>
    <row r="440" spans="3:6" ht="15.6" x14ac:dyDescent="0.3">
      <c r="C440" s="70">
        <v>436</v>
      </c>
      <c r="D440" s="111" t="s">
        <v>320</v>
      </c>
      <c r="E440" s="70"/>
      <c r="F440" s="133"/>
    </row>
    <row r="441" spans="3:6" ht="15.6" x14ac:dyDescent="0.3">
      <c r="C441" s="70">
        <v>437</v>
      </c>
      <c r="D441" s="111" t="s">
        <v>320</v>
      </c>
      <c r="E441" s="70"/>
      <c r="F441" s="133"/>
    </row>
    <row r="442" spans="3:6" ht="15.6" x14ac:dyDescent="0.3">
      <c r="C442" s="70">
        <v>438</v>
      </c>
      <c r="D442" s="111" t="s">
        <v>320</v>
      </c>
      <c r="E442" s="70"/>
      <c r="F442" s="133"/>
    </row>
    <row r="443" spans="3:6" ht="15.6" x14ac:dyDescent="0.3">
      <c r="C443" s="70">
        <v>439</v>
      </c>
      <c r="D443" s="111" t="s">
        <v>320</v>
      </c>
      <c r="E443" s="70"/>
      <c r="F443" s="133"/>
    </row>
    <row r="444" spans="3:6" ht="15.6" x14ac:dyDescent="0.3">
      <c r="C444" s="70">
        <v>440</v>
      </c>
      <c r="D444" s="188" t="s">
        <v>1725</v>
      </c>
      <c r="E444" s="70"/>
      <c r="F444" s="133"/>
    </row>
    <row r="445" spans="3:6" ht="15.6" x14ac:dyDescent="0.3">
      <c r="C445" s="70">
        <v>441</v>
      </c>
      <c r="D445" s="188" t="s">
        <v>1726</v>
      </c>
      <c r="E445" s="70"/>
      <c r="F445" s="133"/>
    </row>
    <row r="446" spans="3:6" ht="15.6" x14ac:dyDescent="0.3">
      <c r="C446" s="70">
        <v>442</v>
      </c>
      <c r="D446" s="188" t="s">
        <v>1727</v>
      </c>
      <c r="E446" s="70"/>
      <c r="F446" s="133"/>
    </row>
    <row r="447" spans="3:6" ht="15.6" x14ac:dyDescent="0.3">
      <c r="C447" s="70">
        <v>443</v>
      </c>
      <c r="D447" s="188" t="s">
        <v>1728</v>
      </c>
      <c r="E447" s="70"/>
      <c r="F447" s="133"/>
    </row>
    <row r="448" spans="3:6" ht="15.6" x14ac:dyDescent="0.3">
      <c r="C448" s="70">
        <v>444</v>
      </c>
      <c r="D448" s="111" t="s">
        <v>320</v>
      </c>
      <c r="E448" s="70"/>
      <c r="F448" s="133"/>
    </row>
    <row r="449" spans="3:6" ht="15.6" x14ac:dyDescent="0.3">
      <c r="C449" s="70">
        <v>445</v>
      </c>
      <c r="D449" s="111" t="s">
        <v>320</v>
      </c>
      <c r="E449" s="70"/>
      <c r="F449" s="133"/>
    </row>
    <row r="450" spans="3:6" ht="15.6" x14ac:dyDescent="0.3">
      <c r="C450" s="70">
        <v>446</v>
      </c>
      <c r="D450" s="111" t="s">
        <v>320</v>
      </c>
      <c r="E450" s="70"/>
      <c r="F450" s="133"/>
    </row>
    <row r="451" spans="3:6" ht="15.6" x14ac:dyDescent="0.3">
      <c r="C451" s="70">
        <v>447</v>
      </c>
      <c r="D451" s="111" t="s">
        <v>320</v>
      </c>
      <c r="E451" s="70"/>
      <c r="F451" s="133"/>
    </row>
    <row r="452" spans="3:6" ht="15.6" x14ac:dyDescent="0.3">
      <c r="C452" s="70">
        <v>448</v>
      </c>
      <c r="D452" s="111" t="s">
        <v>320</v>
      </c>
      <c r="E452" s="70"/>
      <c r="F452" s="133"/>
    </row>
    <row r="453" spans="3:6" ht="15.6" x14ac:dyDescent="0.3">
      <c r="C453" s="70">
        <v>449</v>
      </c>
      <c r="D453" s="111" t="s">
        <v>320</v>
      </c>
      <c r="E453" s="70"/>
      <c r="F453" s="133"/>
    </row>
    <row r="454" spans="3:6" ht="15.6" x14ac:dyDescent="0.3">
      <c r="C454" s="70">
        <v>450</v>
      </c>
      <c r="D454" s="111" t="s">
        <v>320</v>
      </c>
      <c r="E454" s="70"/>
      <c r="F454" s="133"/>
    </row>
    <row r="455" spans="3:6" ht="15.6" x14ac:dyDescent="0.3">
      <c r="C455" s="70">
        <v>451</v>
      </c>
      <c r="D455" s="111" t="s">
        <v>320</v>
      </c>
      <c r="E455" s="70"/>
      <c r="F455" s="133"/>
    </row>
    <row r="456" spans="3:6" ht="15.6" x14ac:dyDescent="0.3">
      <c r="C456" s="70">
        <v>452</v>
      </c>
      <c r="D456" s="111" t="s">
        <v>320</v>
      </c>
      <c r="E456" s="70"/>
      <c r="F456" s="133"/>
    </row>
    <row r="457" spans="3:6" ht="15.6" x14ac:dyDescent="0.3">
      <c r="C457" s="70">
        <v>453</v>
      </c>
      <c r="D457" s="111" t="s">
        <v>320</v>
      </c>
      <c r="E457" s="70"/>
      <c r="F457" s="133"/>
    </row>
    <row r="458" spans="3:6" ht="15.6" x14ac:dyDescent="0.3">
      <c r="C458" s="70">
        <v>454</v>
      </c>
      <c r="D458" s="111" t="s">
        <v>320</v>
      </c>
      <c r="E458" s="70"/>
      <c r="F458" s="133"/>
    </row>
    <row r="459" spans="3:6" ht="15.6" x14ac:dyDescent="0.3">
      <c r="C459" s="70">
        <v>455</v>
      </c>
      <c r="D459" s="111" t="s">
        <v>320</v>
      </c>
      <c r="E459" s="70"/>
      <c r="F459" s="133"/>
    </row>
    <row r="460" spans="3:6" ht="15.6" x14ac:dyDescent="0.3">
      <c r="C460" s="70">
        <v>456</v>
      </c>
      <c r="D460" s="188" t="s">
        <v>1729</v>
      </c>
      <c r="E460" s="70"/>
      <c r="F460" s="133"/>
    </row>
    <row r="461" spans="3:6" ht="15.6" x14ac:dyDescent="0.3">
      <c r="C461" s="70">
        <v>457</v>
      </c>
      <c r="D461" s="188" t="s">
        <v>1730</v>
      </c>
      <c r="E461" s="70"/>
      <c r="F461" s="133"/>
    </row>
    <row r="462" spans="3:6" ht="15.6" x14ac:dyDescent="0.3">
      <c r="C462" s="70">
        <v>458</v>
      </c>
      <c r="D462" s="188" t="s">
        <v>1731</v>
      </c>
      <c r="E462" s="70"/>
      <c r="F462" s="133"/>
    </row>
    <row r="463" spans="3:6" ht="15.6" x14ac:dyDescent="0.3">
      <c r="C463" s="70">
        <v>459</v>
      </c>
      <c r="D463" s="188" t="s">
        <v>1732</v>
      </c>
      <c r="E463" s="70"/>
      <c r="F463" s="133"/>
    </row>
    <row r="464" spans="3:6" ht="15.6" x14ac:dyDescent="0.3">
      <c r="C464" s="70">
        <v>460</v>
      </c>
      <c r="D464" s="188" t="s">
        <v>1733</v>
      </c>
      <c r="E464" s="70"/>
      <c r="F464" s="133"/>
    </row>
    <row r="465" spans="3:6" ht="15.6" x14ac:dyDescent="0.3">
      <c r="C465" s="70">
        <v>461</v>
      </c>
      <c r="D465" s="188" t="s">
        <v>1734</v>
      </c>
      <c r="E465" s="70"/>
      <c r="F465" s="133"/>
    </row>
    <row r="466" spans="3:6" ht="15.6" x14ac:dyDescent="0.3">
      <c r="C466" s="70">
        <v>462</v>
      </c>
      <c r="D466" s="188" t="s">
        <v>1735</v>
      </c>
      <c r="E466" s="70"/>
      <c r="F466" s="133"/>
    </row>
    <row r="467" spans="3:6" ht="15.6" x14ac:dyDescent="0.3">
      <c r="C467" s="70">
        <v>463</v>
      </c>
      <c r="D467" s="188" t="s">
        <v>1736</v>
      </c>
      <c r="E467" s="70"/>
      <c r="F467" s="133"/>
    </row>
    <row r="468" spans="3:6" ht="15.6" x14ac:dyDescent="0.3">
      <c r="C468" s="70">
        <v>464</v>
      </c>
      <c r="D468" s="188" t="s">
        <v>1737</v>
      </c>
      <c r="E468" s="70"/>
      <c r="F468" s="133"/>
    </row>
    <row r="469" spans="3:6" ht="15.6" x14ac:dyDescent="0.3">
      <c r="C469" s="70">
        <v>465</v>
      </c>
      <c r="D469" s="188" t="s">
        <v>1738</v>
      </c>
      <c r="E469" s="70"/>
      <c r="F469" s="133"/>
    </row>
    <row r="470" spans="3:6" ht="15.6" x14ac:dyDescent="0.3">
      <c r="C470" s="70">
        <v>466</v>
      </c>
      <c r="D470" s="188" t="s">
        <v>1739</v>
      </c>
      <c r="E470" s="70"/>
      <c r="F470" s="133"/>
    </row>
    <row r="471" spans="3:6" ht="15.6" x14ac:dyDescent="0.3">
      <c r="C471" s="70">
        <v>467</v>
      </c>
      <c r="D471" s="188" t="s">
        <v>1740</v>
      </c>
      <c r="E471" s="70"/>
      <c r="F471" s="133"/>
    </row>
    <row r="472" spans="3:6" ht="15.6" x14ac:dyDescent="0.3">
      <c r="C472" s="70">
        <v>468</v>
      </c>
      <c r="D472" s="188" t="s">
        <v>1741</v>
      </c>
      <c r="E472" s="70"/>
      <c r="F472" s="133"/>
    </row>
    <row r="473" spans="3:6" ht="15.6" x14ac:dyDescent="0.3">
      <c r="C473" s="70">
        <v>469</v>
      </c>
      <c r="D473" s="188" t="s">
        <v>1742</v>
      </c>
      <c r="E473" s="70"/>
      <c r="F473" s="133"/>
    </row>
    <row r="474" spans="3:6" ht="15.6" x14ac:dyDescent="0.3">
      <c r="C474" s="70">
        <v>470</v>
      </c>
      <c r="D474" s="188" t="s">
        <v>1743</v>
      </c>
      <c r="E474" s="70"/>
      <c r="F474" s="133"/>
    </row>
    <row r="475" spans="3:6" ht="15.6" x14ac:dyDescent="0.3">
      <c r="C475" s="70">
        <v>471</v>
      </c>
      <c r="D475" s="111" t="s">
        <v>320</v>
      </c>
      <c r="E475" s="70"/>
      <c r="F475" s="133"/>
    </row>
    <row r="476" spans="3:6" ht="15.6" x14ac:dyDescent="0.3">
      <c r="C476" s="70">
        <v>472</v>
      </c>
      <c r="D476" s="188" t="s">
        <v>1744</v>
      </c>
      <c r="E476" s="70"/>
      <c r="F476" s="133"/>
    </row>
    <row r="477" spans="3:6" ht="15.6" x14ac:dyDescent="0.3">
      <c r="C477" s="70">
        <v>473</v>
      </c>
      <c r="D477" s="188" t="s">
        <v>1745</v>
      </c>
      <c r="E477" s="70"/>
      <c r="F477" s="133"/>
    </row>
    <row r="478" spans="3:6" ht="15.6" x14ac:dyDescent="0.3">
      <c r="C478" s="70">
        <v>474</v>
      </c>
      <c r="D478" s="188" t="s">
        <v>1746</v>
      </c>
      <c r="E478" s="70"/>
      <c r="F478" s="133"/>
    </row>
    <row r="479" spans="3:6" ht="15.6" x14ac:dyDescent="0.3">
      <c r="C479" s="70">
        <v>475</v>
      </c>
      <c r="D479" s="188" t="s">
        <v>1747</v>
      </c>
      <c r="E479" s="70"/>
      <c r="F479" s="133"/>
    </row>
    <row r="480" spans="3:6" ht="15.6" x14ac:dyDescent="0.3">
      <c r="C480" s="70">
        <v>476</v>
      </c>
      <c r="D480" s="188" t="s">
        <v>1748</v>
      </c>
      <c r="E480" s="70"/>
      <c r="F480" s="133"/>
    </row>
    <row r="481" spans="3:6" ht="15.6" x14ac:dyDescent="0.3">
      <c r="C481" s="70">
        <v>477</v>
      </c>
      <c r="D481" s="188" t="s">
        <v>1749</v>
      </c>
      <c r="E481" s="70"/>
      <c r="F481" s="133"/>
    </row>
    <row r="482" spans="3:6" ht="15.6" x14ac:dyDescent="0.3">
      <c r="C482" s="70">
        <v>478</v>
      </c>
      <c r="D482" s="188" t="s">
        <v>1750</v>
      </c>
      <c r="E482" s="70"/>
      <c r="F482" s="133"/>
    </row>
    <row r="483" spans="3:6" ht="15.6" x14ac:dyDescent="0.3">
      <c r="C483" s="70">
        <v>479</v>
      </c>
      <c r="D483" s="188" t="s">
        <v>1751</v>
      </c>
      <c r="E483" s="70"/>
      <c r="F483" s="133"/>
    </row>
    <row r="484" spans="3:6" ht="15.6" x14ac:dyDescent="0.3">
      <c r="C484" s="70">
        <v>480</v>
      </c>
      <c r="D484" s="188" t="s">
        <v>1752</v>
      </c>
      <c r="E484" s="70"/>
      <c r="F484" s="133"/>
    </row>
    <row r="485" spans="3:6" ht="15.6" x14ac:dyDescent="0.3">
      <c r="C485" s="70">
        <v>481</v>
      </c>
      <c r="D485" s="188" t="s">
        <v>1753</v>
      </c>
      <c r="E485" s="70"/>
      <c r="F485" s="133"/>
    </row>
    <row r="486" spans="3:6" ht="15.6" x14ac:dyDescent="0.3">
      <c r="C486" s="70">
        <v>482</v>
      </c>
      <c r="D486" s="188" t="s">
        <v>1754</v>
      </c>
      <c r="E486" s="70"/>
      <c r="F486" s="133"/>
    </row>
    <row r="487" spans="3:6" ht="15.6" x14ac:dyDescent="0.3">
      <c r="C487" s="70">
        <v>483</v>
      </c>
      <c r="D487" s="188" t="s">
        <v>1755</v>
      </c>
      <c r="E487" s="70"/>
      <c r="F487" s="133"/>
    </row>
    <row r="488" spans="3:6" ht="15.6" x14ac:dyDescent="0.3">
      <c r="C488" s="70">
        <v>484</v>
      </c>
      <c r="D488" s="188" t="s">
        <v>1756</v>
      </c>
      <c r="E488" s="70"/>
      <c r="F488" s="133"/>
    </row>
    <row r="489" spans="3:6" ht="15.6" x14ac:dyDescent="0.3">
      <c r="C489" s="70">
        <v>485</v>
      </c>
      <c r="D489" s="188" t="s">
        <v>1757</v>
      </c>
      <c r="E489" s="70"/>
      <c r="F489" s="133"/>
    </row>
    <row r="490" spans="3:6" ht="15.6" x14ac:dyDescent="0.3">
      <c r="C490" s="70">
        <v>486</v>
      </c>
      <c r="D490" s="188" t="s">
        <v>1758</v>
      </c>
      <c r="E490" s="70"/>
      <c r="F490" s="133"/>
    </row>
    <row r="491" spans="3:6" ht="15.6" x14ac:dyDescent="0.3">
      <c r="C491" s="70">
        <v>487</v>
      </c>
      <c r="D491" s="111" t="s">
        <v>320</v>
      </c>
      <c r="E491" s="70"/>
      <c r="F491" s="133"/>
    </row>
    <row r="492" spans="3:6" ht="15.6" x14ac:dyDescent="0.3">
      <c r="C492" s="70">
        <v>488</v>
      </c>
      <c r="D492" s="188" t="s">
        <v>1759</v>
      </c>
      <c r="E492" s="70"/>
      <c r="F492" s="133"/>
    </row>
    <row r="493" spans="3:6" ht="15.6" x14ac:dyDescent="0.3">
      <c r="C493" s="70">
        <v>489</v>
      </c>
      <c r="D493" s="188" t="s">
        <v>1760</v>
      </c>
      <c r="E493" s="70"/>
      <c r="F493" s="133"/>
    </row>
    <row r="494" spans="3:6" ht="15.6" x14ac:dyDescent="0.3">
      <c r="C494" s="70">
        <v>490</v>
      </c>
      <c r="D494" s="188" t="s">
        <v>1761</v>
      </c>
      <c r="E494" s="70"/>
      <c r="F494" s="133"/>
    </row>
    <row r="495" spans="3:6" ht="15.6" x14ac:dyDescent="0.3">
      <c r="C495" s="70">
        <v>491</v>
      </c>
      <c r="D495" s="188" t="s">
        <v>1762</v>
      </c>
      <c r="E495" s="70"/>
      <c r="F495" s="133"/>
    </row>
    <row r="496" spans="3:6" ht="15.6" x14ac:dyDescent="0.3">
      <c r="C496" s="70">
        <v>492</v>
      </c>
      <c r="D496" s="188" t="s">
        <v>1763</v>
      </c>
      <c r="E496" s="70"/>
      <c r="F496" s="133"/>
    </row>
    <row r="497" spans="3:6" ht="15.6" x14ac:dyDescent="0.3">
      <c r="C497" s="70">
        <v>493</v>
      </c>
      <c r="D497" s="188" t="s">
        <v>1764</v>
      </c>
      <c r="E497" s="70"/>
      <c r="F497" s="133"/>
    </row>
    <row r="498" spans="3:6" ht="15.6" x14ac:dyDescent="0.3">
      <c r="C498" s="70">
        <v>494</v>
      </c>
      <c r="D498" s="188" t="s">
        <v>1765</v>
      </c>
      <c r="E498" s="70"/>
      <c r="F498" s="133"/>
    </row>
    <row r="499" spans="3:6" ht="15.6" x14ac:dyDescent="0.3">
      <c r="C499" s="70">
        <v>495</v>
      </c>
      <c r="D499" s="188" t="s">
        <v>1766</v>
      </c>
      <c r="E499" s="70"/>
      <c r="F499" s="133"/>
    </row>
    <row r="500" spans="3:6" ht="15.6" x14ac:dyDescent="0.3">
      <c r="C500" s="70">
        <v>496</v>
      </c>
      <c r="D500" s="188" t="s">
        <v>1767</v>
      </c>
      <c r="E500" s="70"/>
      <c r="F500" s="133"/>
    </row>
    <row r="501" spans="3:6" ht="15.6" x14ac:dyDescent="0.3">
      <c r="C501" s="70">
        <v>497</v>
      </c>
      <c r="D501" s="188" t="s">
        <v>1768</v>
      </c>
      <c r="E501" s="70"/>
      <c r="F501" s="133"/>
    </row>
    <row r="502" spans="3:6" ht="15.6" x14ac:dyDescent="0.3">
      <c r="C502" s="70">
        <v>498</v>
      </c>
      <c r="D502" s="188" t="s">
        <v>1769</v>
      </c>
      <c r="E502" s="70"/>
      <c r="F502" s="133"/>
    </row>
    <row r="503" spans="3:6" ht="15.6" x14ac:dyDescent="0.3">
      <c r="C503" s="70">
        <v>499</v>
      </c>
      <c r="D503" s="188" t="s">
        <v>1770</v>
      </c>
      <c r="E503" s="70"/>
      <c r="F503" s="133"/>
    </row>
    <row r="504" spans="3:6" ht="15.6" x14ac:dyDescent="0.3">
      <c r="C504" s="70">
        <v>500</v>
      </c>
      <c r="D504" s="188" t="s">
        <v>1771</v>
      </c>
      <c r="E504" s="70"/>
      <c r="F504" s="133"/>
    </row>
    <row r="505" spans="3:6" ht="15.6" x14ac:dyDescent="0.3">
      <c r="C505" s="70">
        <v>501</v>
      </c>
      <c r="D505" s="188" t="s">
        <v>1772</v>
      </c>
      <c r="E505" s="70"/>
      <c r="F505" s="133"/>
    </row>
    <row r="506" spans="3:6" ht="15.6" x14ac:dyDescent="0.3">
      <c r="C506" s="70">
        <v>502</v>
      </c>
      <c r="D506" s="188" t="s">
        <v>1773</v>
      </c>
      <c r="E506" s="70"/>
      <c r="F506" s="133"/>
    </row>
    <row r="507" spans="3:6" ht="15.6" x14ac:dyDescent="0.3">
      <c r="C507" s="70">
        <v>503</v>
      </c>
      <c r="D507" s="111" t="s">
        <v>320</v>
      </c>
      <c r="E507" s="70"/>
      <c r="F507" s="133"/>
    </row>
    <row r="508" spans="3:6" ht="15.6" x14ac:dyDescent="0.3">
      <c r="C508" s="70">
        <v>504</v>
      </c>
      <c r="D508" s="188" t="s">
        <v>1774</v>
      </c>
      <c r="E508" s="70"/>
      <c r="F508" s="133"/>
    </row>
    <row r="509" spans="3:6" ht="15.6" x14ac:dyDescent="0.3">
      <c r="C509" s="70">
        <v>505</v>
      </c>
      <c r="D509" s="188" t="s">
        <v>1775</v>
      </c>
      <c r="E509" s="70"/>
      <c r="F509" s="133"/>
    </row>
    <row r="510" spans="3:6" ht="15.6" x14ac:dyDescent="0.3">
      <c r="C510" s="70">
        <v>506</v>
      </c>
      <c r="D510" s="188" t="s">
        <v>1776</v>
      </c>
      <c r="E510" s="70"/>
      <c r="F510" s="133"/>
    </row>
    <row r="511" spans="3:6" ht="15.6" x14ac:dyDescent="0.3">
      <c r="C511" s="70">
        <v>507</v>
      </c>
      <c r="D511" s="188" t="s">
        <v>1777</v>
      </c>
      <c r="E511" s="70"/>
      <c r="F511" s="133"/>
    </row>
    <row r="512" spans="3:6" ht="15.6" x14ac:dyDescent="0.3">
      <c r="C512" s="70">
        <v>508</v>
      </c>
      <c r="D512" s="188" t="s">
        <v>1778</v>
      </c>
      <c r="E512" s="70"/>
      <c r="F512" s="133"/>
    </row>
    <row r="513" spans="3:6" ht="15.6" x14ac:dyDescent="0.3">
      <c r="C513" s="70">
        <v>509</v>
      </c>
      <c r="D513" s="111" t="s">
        <v>320</v>
      </c>
      <c r="E513" s="70"/>
      <c r="F513" s="133"/>
    </row>
    <row r="514" spans="3:6" ht="15.6" x14ac:dyDescent="0.3">
      <c r="C514" s="70">
        <v>510</v>
      </c>
      <c r="D514" s="111" t="s">
        <v>320</v>
      </c>
      <c r="E514" s="70"/>
      <c r="F514" s="133"/>
    </row>
    <row r="515" spans="3:6" ht="15.6" x14ac:dyDescent="0.3">
      <c r="C515" s="70">
        <v>511</v>
      </c>
      <c r="D515" s="111" t="s">
        <v>320</v>
      </c>
      <c r="E515" s="70"/>
      <c r="F515" s="133"/>
    </row>
    <row r="516" spans="3:6" ht="15.6" x14ac:dyDescent="0.3">
      <c r="C516" s="70">
        <v>512</v>
      </c>
      <c r="D516" s="111" t="s">
        <v>320</v>
      </c>
      <c r="E516" s="70"/>
      <c r="F516" s="133"/>
    </row>
    <row r="517" spans="3:6" ht="15.6" x14ac:dyDescent="0.3">
      <c r="C517" s="70">
        <v>513</v>
      </c>
      <c r="D517" s="111" t="s">
        <v>320</v>
      </c>
      <c r="E517" s="70"/>
      <c r="F517" s="133"/>
    </row>
    <row r="518" spans="3:6" ht="15.6" x14ac:dyDescent="0.3">
      <c r="C518" s="70">
        <v>514</v>
      </c>
      <c r="D518" s="111" t="s">
        <v>320</v>
      </c>
      <c r="E518" s="70"/>
      <c r="F518" s="133"/>
    </row>
    <row r="519" spans="3:6" ht="15.6" x14ac:dyDescent="0.3">
      <c r="C519" s="70">
        <v>515</v>
      </c>
      <c r="D519" s="111" t="s">
        <v>320</v>
      </c>
      <c r="E519" s="70"/>
      <c r="F519" s="133"/>
    </row>
    <row r="520" spans="3:6" ht="15.6" x14ac:dyDescent="0.3">
      <c r="C520" s="70">
        <v>516</v>
      </c>
      <c r="D520" s="111" t="s">
        <v>320</v>
      </c>
      <c r="E520" s="70"/>
      <c r="F520" s="133"/>
    </row>
    <row r="521" spans="3:6" ht="15.6" x14ac:dyDescent="0.3">
      <c r="C521" s="70">
        <v>517</v>
      </c>
      <c r="D521" s="111" t="s">
        <v>320</v>
      </c>
      <c r="E521" s="70"/>
      <c r="F521" s="133"/>
    </row>
    <row r="522" spans="3:6" ht="15.6" x14ac:dyDescent="0.3">
      <c r="C522" s="70">
        <v>518</v>
      </c>
      <c r="D522" s="111" t="s">
        <v>320</v>
      </c>
      <c r="E522" s="70"/>
      <c r="F522" s="133"/>
    </row>
    <row r="523" spans="3:6" ht="15.6" x14ac:dyDescent="0.3">
      <c r="C523" s="70">
        <v>519</v>
      </c>
      <c r="D523" s="111" t="s">
        <v>320</v>
      </c>
      <c r="E523" s="70"/>
      <c r="F523" s="133"/>
    </row>
    <row r="524" spans="3:6" ht="15.6" x14ac:dyDescent="0.3">
      <c r="C524" s="70">
        <v>520</v>
      </c>
      <c r="D524" s="111" t="s">
        <v>320</v>
      </c>
      <c r="E524" s="70"/>
      <c r="F524" s="133"/>
    </row>
    <row r="525" spans="3:6" ht="15.6" x14ac:dyDescent="0.3">
      <c r="C525" s="70">
        <v>521</v>
      </c>
      <c r="D525" s="111" t="s">
        <v>320</v>
      </c>
      <c r="E525" s="70"/>
      <c r="F525" s="133"/>
    </row>
    <row r="526" spans="3:6" ht="15.6" x14ac:dyDescent="0.3">
      <c r="C526" s="70">
        <v>522</v>
      </c>
      <c r="D526" s="111" t="s">
        <v>320</v>
      </c>
      <c r="E526" s="70"/>
      <c r="F526" s="133"/>
    </row>
    <row r="527" spans="3:6" ht="15.6" x14ac:dyDescent="0.3">
      <c r="C527" s="70">
        <v>523</v>
      </c>
      <c r="D527" s="111" t="s">
        <v>320</v>
      </c>
      <c r="E527" s="70"/>
      <c r="F527" s="133"/>
    </row>
    <row r="528" spans="3:6" ht="15.6" x14ac:dyDescent="0.3">
      <c r="C528" s="70">
        <v>524</v>
      </c>
      <c r="D528" s="111" t="s">
        <v>320</v>
      </c>
      <c r="E528" s="70"/>
      <c r="F528" s="133"/>
    </row>
    <row r="529" spans="3:6" ht="15.6" x14ac:dyDescent="0.3">
      <c r="C529" s="70">
        <v>525</v>
      </c>
      <c r="D529" s="111" t="s">
        <v>320</v>
      </c>
      <c r="E529" s="70"/>
      <c r="F529" s="133"/>
    </row>
    <row r="530" spans="3:6" ht="15.6" x14ac:dyDescent="0.3">
      <c r="C530" s="70">
        <v>526</v>
      </c>
      <c r="D530" s="111" t="s">
        <v>320</v>
      </c>
      <c r="E530" s="70"/>
      <c r="F530" s="133"/>
    </row>
    <row r="531" spans="3:6" ht="15.6" x14ac:dyDescent="0.3">
      <c r="C531" s="70">
        <v>527</v>
      </c>
      <c r="D531" s="111" t="s">
        <v>320</v>
      </c>
      <c r="E531" s="70"/>
      <c r="F531" s="133"/>
    </row>
    <row r="532" spans="3:6" ht="15.6" x14ac:dyDescent="0.3">
      <c r="C532" s="70">
        <v>528</v>
      </c>
      <c r="D532" s="111" t="s">
        <v>320</v>
      </c>
      <c r="E532" s="70"/>
      <c r="F532" s="133"/>
    </row>
    <row r="533" spans="3:6" ht="15.6" x14ac:dyDescent="0.3">
      <c r="C533" s="70">
        <v>529</v>
      </c>
      <c r="D533" s="111" t="s">
        <v>320</v>
      </c>
      <c r="E533" s="70"/>
      <c r="F533" s="133"/>
    </row>
    <row r="534" spans="3:6" ht="15.6" x14ac:dyDescent="0.3">
      <c r="C534" s="70">
        <v>530</v>
      </c>
      <c r="D534" s="111" t="s">
        <v>320</v>
      </c>
      <c r="E534" s="70"/>
      <c r="F534" s="133"/>
    </row>
    <row r="535" spans="3:6" ht="15.6" x14ac:dyDescent="0.3">
      <c r="C535" s="70">
        <v>531</v>
      </c>
      <c r="D535" s="111" t="s">
        <v>320</v>
      </c>
      <c r="E535" s="70"/>
      <c r="F535" s="133"/>
    </row>
    <row r="536" spans="3:6" ht="15.6" x14ac:dyDescent="0.3">
      <c r="C536" s="70">
        <v>532</v>
      </c>
      <c r="D536" s="111" t="s">
        <v>320</v>
      </c>
      <c r="E536" s="70"/>
      <c r="F536" s="133"/>
    </row>
    <row r="537" spans="3:6" ht="15.6" x14ac:dyDescent="0.3">
      <c r="C537" s="70">
        <v>533</v>
      </c>
      <c r="D537" s="111" t="s">
        <v>320</v>
      </c>
      <c r="E537" s="70"/>
      <c r="F537" s="133"/>
    </row>
    <row r="538" spans="3:6" ht="15.6" x14ac:dyDescent="0.3">
      <c r="C538" s="70">
        <v>534</v>
      </c>
      <c r="D538" s="111" t="s">
        <v>320</v>
      </c>
      <c r="E538" s="70"/>
      <c r="F538" s="133"/>
    </row>
    <row r="539" spans="3:6" ht="15.6" x14ac:dyDescent="0.3">
      <c r="C539" s="70">
        <v>535</v>
      </c>
      <c r="D539" s="224" t="s">
        <v>1779</v>
      </c>
      <c r="E539" s="70"/>
      <c r="F539" s="133"/>
    </row>
    <row r="540" spans="3:6" ht="15.6" x14ac:dyDescent="0.3">
      <c r="C540" s="70">
        <v>536</v>
      </c>
      <c r="D540" s="224" t="s">
        <v>1780</v>
      </c>
      <c r="E540" s="70"/>
      <c r="F540" s="133"/>
    </row>
    <row r="541" spans="3:6" ht="15.6" x14ac:dyDescent="0.3">
      <c r="C541" s="70">
        <v>537</v>
      </c>
      <c r="D541" s="224" t="s">
        <v>1781</v>
      </c>
      <c r="E541" s="70"/>
      <c r="F541" s="133"/>
    </row>
    <row r="542" spans="3:6" ht="15.6" x14ac:dyDescent="0.3">
      <c r="C542" s="70">
        <v>538</v>
      </c>
      <c r="D542" s="224" t="s">
        <v>1782</v>
      </c>
      <c r="E542" s="70"/>
      <c r="F542" s="133"/>
    </row>
    <row r="543" spans="3:6" ht="15.6" x14ac:dyDescent="0.3">
      <c r="C543" s="70">
        <v>539</v>
      </c>
      <c r="D543" s="224" t="s">
        <v>1783</v>
      </c>
      <c r="E543" s="70"/>
      <c r="F543" s="133"/>
    </row>
    <row r="544" spans="3:6" ht="15.6" x14ac:dyDescent="0.3">
      <c r="C544" s="70">
        <v>540</v>
      </c>
      <c r="D544" s="224" t="s">
        <v>1784</v>
      </c>
      <c r="E544" s="70"/>
      <c r="F544" s="133"/>
    </row>
    <row r="545" spans="3:6" ht="15.6" x14ac:dyDescent="0.3">
      <c r="C545" s="70">
        <v>541</v>
      </c>
      <c r="D545" s="224" t="s">
        <v>1785</v>
      </c>
      <c r="E545" s="70"/>
      <c r="F545" s="133"/>
    </row>
    <row r="546" spans="3:6" ht="15.6" x14ac:dyDescent="0.3">
      <c r="C546" s="70">
        <v>542</v>
      </c>
      <c r="D546" s="224" t="s">
        <v>1786</v>
      </c>
      <c r="E546" s="70"/>
      <c r="F546" s="133"/>
    </row>
    <row r="547" spans="3:6" ht="15.6" x14ac:dyDescent="0.3">
      <c r="C547" s="70">
        <v>543</v>
      </c>
      <c r="D547" s="224" t="s">
        <v>1787</v>
      </c>
      <c r="E547" s="70"/>
      <c r="F547" s="133"/>
    </row>
    <row r="548" spans="3:6" ht="15.6" x14ac:dyDescent="0.3">
      <c r="C548" s="70">
        <v>544</v>
      </c>
      <c r="D548" s="224" t="s">
        <v>1788</v>
      </c>
      <c r="E548" s="70"/>
      <c r="F548" s="133"/>
    </row>
    <row r="549" spans="3:6" ht="15.6" x14ac:dyDescent="0.3">
      <c r="C549" s="70">
        <v>545</v>
      </c>
      <c r="D549" s="224" t="s">
        <v>1789</v>
      </c>
      <c r="E549" s="70"/>
      <c r="F549" s="133"/>
    </row>
    <row r="550" spans="3:6" ht="15.6" x14ac:dyDescent="0.3">
      <c r="C550" s="70">
        <v>546</v>
      </c>
      <c r="D550" s="224" t="s">
        <v>1790</v>
      </c>
      <c r="E550" s="70"/>
      <c r="F550" s="133"/>
    </row>
    <row r="551" spans="3:6" ht="15.6" x14ac:dyDescent="0.3">
      <c r="C551" s="70">
        <v>547</v>
      </c>
      <c r="D551" s="111" t="s">
        <v>320</v>
      </c>
      <c r="E551" s="70"/>
      <c r="F551" s="133"/>
    </row>
    <row r="552" spans="3:6" ht="15.6" x14ac:dyDescent="0.3">
      <c r="C552" s="70">
        <v>548</v>
      </c>
      <c r="D552" s="111" t="s">
        <v>320</v>
      </c>
      <c r="E552" s="70"/>
      <c r="F552" s="133"/>
    </row>
    <row r="553" spans="3:6" ht="15.6" x14ac:dyDescent="0.3">
      <c r="C553" s="70">
        <v>549</v>
      </c>
      <c r="D553" s="111" t="s">
        <v>320</v>
      </c>
      <c r="E553" s="70"/>
      <c r="F553" s="133"/>
    </row>
    <row r="554" spans="3:6" ht="15.6" x14ac:dyDescent="0.3">
      <c r="C554" s="70">
        <v>550</v>
      </c>
      <c r="D554" s="111" t="s">
        <v>320</v>
      </c>
      <c r="E554" s="70"/>
      <c r="F554" s="133"/>
    </row>
    <row r="555" spans="3:6" ht="15.6" x14ac:dyDescent="0.3">
      <c r="C555" s="70">
        <v>551</v>
      </c>
      <c r="D555" s="111" t="s">
        <v>320</v>
      </c>
      <c r="E555" s="70"/>
      <c r="F555" s="133"/>
    </row>
    <row r="556" spans="3:6" ht="15.6" x14ac:dyDescent="0.3">
      <c r="C556" s="70">
        <v>552</v>
      </c>
      <c r="D556" s="188" t="s">
        <v>1791</v>
      </c>
      <c r="E556" s="70"/>
      <c r="F556" s="133"/>
    </row>
    <row r="557" spans="3:6" ht="15.6" x14ac:dyDescent="0.3">
      <c r="C557" s="70">
        <v>553</v>
      </c>
      <c r="D557" s="188" t="s">
        <v>1792</v>
      </c>
      <c r="E557" s="70"/>
      <c r="F557" s="133"/>
    </row>
    <row r="558" spans="3:6" ht="15.6" x14ac:dyDescent="0.3">
      <c r="C558" s="70">
        <v>554</v>
      </c>
      <c r="D558" s="188" t="s">
        <v>1793</v>
      </c>
      <c r="E558" s="70"/>
      <c r="F558" s="133"/>
    </row>
    <row r="559" spans="3:6" ht="15.6" x14ac:dyDescent="0.3">
      <c r="C559" s="70">
        <v>555</v>
      </c>
      <c r="D559" s="188" t="s">
        <v>1794</v>
      </c>
      <c r="E559" s="70"/>
      <c r="F559" s="133"/>
    </row>
    <row r="560" spans="3:6" ht="15.6" x14ac:dyDescent="0.3">
      <c r="C560" s="70">
        <v>556</v>
      </c>
      <c r="D560" s="188" t="s">
        <v>1795</v>
      </c>
      <c r="E560" s="70"/>
      <c r="F560" s="133"/>
    </row>
    <row r="561" spans="3:6" ht="15.6" x14ac:dyDescent="0.3">
      <c r="C561" s="70">
        <v>557</v>
      </c>
      <c r="D561" s="188" t="s">
        <v>1796</v>
      </c>
      <c r="E561" s="70"/>
      <c r="F561" s="133"/>
    </row>
    <row r="562" spans="3:6" ht="15.6" x14ac:dyDescent="0.3">
      <c r="C562" s="70">
        <v>558</v>
      </c>
      <c r="D562" s="188" t="s">
        <v>1797</v>
      </c>
      <c r="E562" s="70"/>
      <c r="F562" s="133"/>
    </row>
    <row r="563" spans="3:6" ht="15.6" x14ac:dyDescent="0.3">
      <c r="C563" s="70">
        <v>559</v>
      </c>
      <c r="D563" s="188" t="s">
        <v>1798</v>
      </c>
      <c r="E563" s="70"/>
      <c r="F563" s="133"/>
    </row>
    <row r="564" spans="3:6" ht="15.6" x14ac:dyDescent="0.3">
      <c r="C564" s="70">
        <v>560</v>
      </c>
      <c r="D564" s="111" t="s">
        <v>320</v>
      </c>
      <c r="E564" s="70"/>
      <c r="F564" s="133"/>
    </row>
    <row r="565" spans="3:6" ht="15.6" x14ac:dyDescent="0.3">
      <c r="C565" s="70">
        <v>561</v>
      </c>
      <c r="D565" s="111" t="s">
        <v>320</v>
      </c>
      <c r="E565" s="70"/>
      <c r="F565" s="133"/>
    </row>
    <row r="566" spans="3:6" ht="15.6" x14ac:dyDescent="0.3">
      <c r="C566" s="70">
        <v>562</v>
      </c>
      <c r="D566" s="111" t="s">
        <v>320</v>
      </c>
      <c r="E566" s="70"/>
      <c r="F566" s="133"/>
    </row>
    <row r="567" spans="3:6" ht="15.6" x14ac:dyDescent="0.3">
      <c r="C567" s="70">
        <v>563</v>
      </c>
      <c r="D567" s="111" t="s">
        <v>320</v>
      </c>
      <c r="E567" s="70"/>
      <c r="F567" s="133"/>
    </row>
    <row r="568" spans="3:6" ht="15.6" x14ac:dyDescent="0.3">
      <c r="C568" s="70">
        <v>564</v>
      </c>
      <c r="D568" s="111" t="s">
        <v>320</v>
      </c>
      <c r="E568" s="70"/>
      <c r="F568" s="133"/>
    </row>
    <row r="569" spans="3:6" ht="15.6" x14ac:dyDescent="0.3">
      <c r="C569" s="70">
        <v>565</v>
      </c>
      <c r="D569" s="111" t="s">
        <v>320</v>
      </c>
      <c r="E569" s="70"/>
      <c r="F569" s="133"/>
    </row>
    <row r="570" spans="3:6" ht="15.6" x14ac:dyDescent="0.3">
      <c r="C570" s="70">
        <v>566</v>
      </c>
      <c r="D570" s="111" t="s">
        <v>320</v>
      </c>
      <c r="E570" s="70"/>
      <c r="F570" s="133"/>
    </row>
    <row r="571" spans="3:6" ht="15.6" x14ac:dyDescent="0.3">
      <c r="C571" s="70">
        <v>567</v>
      </c>
      <c r="D571" s="111" t="s">
        <v>320</v>
      </c>
      <c r="E571" s="70"/>
      <c r="F571" s="133"/>
    </row>
    <row r="572" spans="3:6" ht="15.6" x14ac:dyDescent="0.3">
      <c r="C572" s="70">
        <v>568</v>
      </c>
      <c r="D572" s="111" t="s">
        <v>320</v>
      </c>
      <c r="E572" s="70"/>
      <c r="F572" s="133"/>
    </row>
    <row r="573" spans="3:6" ht="15.6" x14ac:dyDescent="0.3">
      <c r="C573" s="70">
        <v>569</v>
      </c>
      <c r="D573" s="111" t="s">
        <v>320</v>
      </c>
      <c r="E573" s="70"/>
      <c r="F573" s="133"/>
    </row>
    <row r="574" spans="3:6" ht="15.6" x14ac:dyDescent="0.3">
      <c r="C574" s="70">
        <v>570</v>
      </c>
      <c r="D574" s="111" t="s">
        <v>320</v>
      </c>
      <c r="E574" s="70"/>
      <c r="F574" s="133"/>
    </row>
    <row r="575" spans="3:6" ht="15.6" x14ac:dyDescent="0.3">
      <c r="C575" s="70">
        <v>571</v>
      </c>
      <c r="D575" s="111" t="s">
        <v>320</v>
      </c>
      <c r="E575" s="70"/>
      <c r="F575" s="133"/>
    </row>
    <row r="576" spans="3:6" ht="15.6" x14ac:dyDescent="0.3">
      <c r="C576" s="70">
        <v>572</v>
      </c>
      <c r="D576" s="111" t="s">
        <v>320</v>
      </c>
      <c r="E576" s="70"/>
      <c r="F576" s="133"/>
    </row>
    <row r="577" spans="3:6" ht="15.6" x14ac:dyDescent="0.3">
      <c r="C577" s="70">
        <v>573</v>
      </c>
      <c r="D577" s="111" t="s">
        <v>320</v>
      </c>
      <c r="E577" s="70"/>
      <c r="F577" s="133"/>
    </row>
    <row r="578" spans="3:6" ht="15.6" x14ac:dyDescent="0.3">
      <c r="C578" s="70">
        <v>574</v>
      </c>
      <c r="D578" s="111" t="s">
        <v>320</v>
      </c>
      <c r="E578" s="70"/>
      <c r="F578" s="133"/>
    </row>
    <row r="579" spans="3:6" ht="15.6" x14ac:dyDescent="0.3">
      <c r="C579" s="70">
        <v>575</v>
      </c>
      <c r="D579" s="111" t="s">
        <v>320</v>
      </c>
      <c r="E579" s="70"/>
      <c r="F579" s="133"/>
    </row>
    <row r="580" spans="3:6" ht="15.6" x14ac:dyDescent="0.3">
      <c r="C580" s="70">
        <v>576</v>
      </c>
      <c r="D580" s="111" t="s">
        <v>320</v>
      </c>
      <c r="E580" s="70"/>
      <c r="F580" s="133"/>
    </row>
    <row r="581" spans="3:6" ht="15.6" x14ac:dyDescent="0.3">
      <c r="C581" s="70">
        <v>577</v>
      </c>
      <c r="D581" s="111" t="s">
        <v>320</v>
      </c>
      <c r="E581" s="70"/>
      <c r="F581" s="133"/>
    </row>
    <row r="582" spans="3:6" ht="15.6" x14ac:dyDescent="0.3">
      <c r="C582" s="70">
        <v>578</v>
      </c>
      <c r="D582" s="111" t="s">
        <v>320</v>
      </c>
      <c r="E582" s="70"/>
      <c r="F582" s="133"/>
    </row>
    <row r="583" spans="3:6" ht="15.6" x14ac:dyDescent="0.3">
      <c r="C583" s="70">
        <v>579</v>
      </c>
      <c r="D583" s="111" t="s">
        <v>320</v>
      </c>
      <c r="E583" s="70"/>
      <c r="F583" s="133"/>
    </row>
    <row r="584" spans="3:6" ht="15.6" x14ac:dyDescent="0.3">
      <c r="C584" s="70">
        <v>580</v>
      </c>
      <c r="D584" s="111" t="s">
        <v>320</v>
      </c>
      <c r="E584" s="70"/>
      <c r="F584" s="133"/>
    </row>
    <row r="585" spans="3:6" ht="15.6" x14ac:dyDescent="0.3">
      <c r="C585" s="70">
        <v>581</v>
      </c>
      <c r="D585" s="111" t="s">
        <v>320</v>
      </c>
      <c r="E585" s="70"/>
      <c r="F585" s="133"/>
    </row>
    <row r="586" spans="3:6" ht="15.6" x14ac:dyDescent="0.3">
      <c r="C586" s="70">
        <v>582</v>
      </c>
      <c r="D586" s="111" t="s">
        <v>320</v>
      </c>
      <c r="E586" s="70"/>
      <c r="F586" s="133"/>
    </row>
    <row r="587" spans="3:6" ht="15.6" x14ac:dyDescent="0.3">
      <c r="C587" s="70">
        <v>583</v>
      </c>
      <c r="D587" s="111" t="s">
        <v>320</v>
      </c>
      <c r="E587" s="70"/>
      <c r="F587" s="133"/>
    </row>
    <row r="588" spans="3:6" ht="15.6" x14ac:dyDescent="0.3">
      <c r="C588" s="70">
        <v>584</v>
      </c>
      <c r="D588" s="188" t="s">
        <v>1799</v>
      </c>
      <c r="E588" s="70"/>
      <c r="F588" s="133"/>
    </row>
    <row r="589" spans="3:6" ht="15.6" x14ac:dyDescent="0.3">
      <c r="C589" s="70">
        <v>585</v>
      </c>
      <c r="D589" s="188" t="s">
        <v>1800</v>
      </c>
      <c r="E589" s="70"/>
      <c r="F589" s="133"/>
    </row>
    <row r="590" spans="3:6" ht="15.6" x14ac:dyDescent="0.3">
      <c r="C590" s="70">
        <v>586</v>
      </c>
      <c r="D590" s="188" t="s">
        <v>1801</v>
      </c>
      <c r="E590" s="70"/>
      <c r="F590" s="133"/>
    </row>
    <row r="591" spans="3:6" ht="15.6" x14ac:dyDescent="0.3">
      <c r="C591" s="70">
        <v>587</v>
      </c>
      <c r="D591" s="188" t="s">
        <v>1802</v>
      </c>
      <c r="E591" s="70"/>
      <c r="F591" s="133"/>
    </row>
    <row r="592" spans="3:6" ht="15.6" x14ac:dyDescent="0.3">
      <c r="C592" s="70">
        <v>588</v>
      </c>
      <c r="D592" s="188" t="s">
        <v>1803</v>
      </c>
      <c r="E592" s="70"/>
      <c r="F592" s="133"/>
    </row>
    <row r="593" spans="3:6" ht="15.6" x14ac:dyDescent="0.3">
      <c r="C593" s="70">
        <v>589</v>
      </c>
      <c r="D593" s="188" t="s">
        <v>1804</v>
      </c>
      <c r="E593" s="70"/>
      <c r="F593" s="133"/>
    </row>
    <row r="594" spans="3:6" ht="15.6" x14ac:dyDescent="0.3">
      <c r="C594" s="70">
        <v>590</v>
      </c>
      <c r="D594" s="188" t="s">
        <v>1805</v>
      </c>
      <c r="E594" s="70"/>
      <c r="F594" s="133"/>
    </row>
    <row r="595" spans="3:6" ht="15.6" x14ac:dyDescent="0.3">
      <c r="C595" s="70">
        <v>591</v>
      </c>
      <c r="D595" s="188" t="s">
        <v>1806</v>
      </c>
      <c r="E595" s="70"/>
      <c r="F595" s="133"/>
    </row>
    <row r="596" spans="3:6" ht="15.6" x14ac:dyDescent="0.3">
      <c r="C596" s="70">
        <v>592</v>
      </c>
      <c r="D596" s="188" t="s">
        <v>1807</v>
      </c>
      <c r="E596" s="70"/>
      <c r="F596" s="133"/>
    </row>
    <row r="597" spans="3:6" ht="15.6" x14ac:dyDescent="0.3">
      <c r="C597" s="70">
        <v>593</v>
      </c>
      <c r="D597" s="188" t="s">
        <v>1808</v>
      </c>
      <c r="E597" s="70"/>
      <c r="F597" s="133"/>
    </row>
    <row r="598" spans="3:6" ht="15.6" x14ac:dyDescent="0.3">
      <c r="C598" s="70">
        <v>594</v>
      </c>
      <c r="D598" s="188" t="s">
        <v>1809</v>
      </c>
      <c r="E598" s="70"/>
      <c r="F598" s="133"/>
    </row>
    <row r="599" spans="3:6" ht="15.6" x14ac:dyDescent="0.3">
      <c r="C599" s="70">
        <v>595</v>
      </c>
      <c r="D599" s="188" t="s">
        <v>1810</v>
      </c>
      <c r="E599" s="70"/>
      <c r="F599" s="133"/>
    </row>
    <row r="600" spans="3:6" ht="15.6" x14ac:dyDescent="0.3">
      <c r="C600" s="70">
        <v>596</v>
      </c>
      <c r="D600" s="188" t="s">
        <v>1811</v>
      </c>
      <c r="E600" s="70"/>
      <c r="F600" s="133"/>
    </row>
    <row r="601" spans="3:6" ht="15.6" x14ac:dyDescent="0.3">
      <c r="C601" s="70">
        <v>597</v>
      </c>
      <c r="D601" s="188" t="s">
        <v>1812</v>
      </c>
      <c r="E601" s="70"/>
      <c r="F601" s="133"/>
    </row>
    <row r="602" spans="3:6" ht="15.6" x14ac:dyDescent="0.3">
      <c r="C602" s="70">
        <v>598</v>
      </c>
      <c r="D602" s="188" t="s">
        <v>1813</v>
      </c>
      <c r="E602" s="70"/>
      <c r="F602" s="133"/>
    </row>
    <row r="603" spans="3:6" ht="15.6" x14ac:dyDescent="0.3">
      <c r="C603" s="70">
        <v>599</v>
      </c>
      <c r="D603" s="188" t="s">
        <v>1814</v>
      </c>
      <c r="E603" s="70"/>
      <c r="F603" s="133"/>
    </row>
    <row r="604" spans="3:6" ht="15.6" x14ac:dyDescent="0.3">
      <c r="C604" s="70">
        <v>600</v>
      </c>
      <c r="D604" s="188" t="s">
        <v>1815</v>
      </c>
      <c r="E604" s="70"/>
      <c r="F604" s="133"/>
    </row>
    <row r="605" spans="3:6" ht="15.6" x14ac:dyDescent="0.3">
      <c r="C605" s="70">
        <v>601</v>
      </c>
      <c r="D605" s="188" t="s">
        <v>1816</v>
      </c>
      <c r="E605" s="70"/>
      <c r="F605" s="133"/>
    </row>
    <row r="606" spans="3:6" ht="15.6" x14ac:dyDescent="0.3">
      <c r="C606" s="70">
        <v>602</v>
      </c>
      <c r="D606" s="188" t="s">
        <v>1817</v>
      </c>
      <c r="E606" s="70"/>
      <c r="F606" s="133"/>
    </row>
    <row r="607" spans="3:6" ht="15.6" x14ac:dyDescent="0.3">
      <c r="C607" s="70">
        <v>603</v>
      </c>
      <c r="D607" s="188" t="s">
        <v>1818</v>
      </c>
      <c r="E607" s="70"/>
      <c r="F607" s="133"/>
    </row>
    <row r="608" spans="3:6" ht="15.6" x14ac:dyDescent="0.3">
      <c r="C608" s="70">
        <v>604</v>
      </c>
      <c r="D608" s="188" t="s">
        <v>1819</v>
      </c>
      <c r="E608" s="70"/>
      <c r="F608" s="133"/>
    </row>
    <row r="609" spans="3:6" ht="15.6" x14ac:dyDescent="0.3">
      <c r="C609" s="70">
        <v>605</v>
      </c>
      <c r="D609" s="188" t="s">
        <v>1820</v>
      </c>
      <c r="E609" s="70"/>
      <c r="F609" s="133"/>
    </row>
    <row r="610" spans="3:6" ht="15.6" x14ac:dyDescent="0.3">
      <c r="C610" s="70">
        <v>606</v>
      </c>
      <c r="D610" s="186" t="s">
        <v>320</v>
      </c>
      <c r="E610" s="70"/>
      <c r="F610" s="133"/>
    </row>
    <row r="611" spans="3:6" ht="15.6" x14ac:dyDescent="0.3">
      <c r="C611" s="70">
        <v>607</v>
      </c>
      <c r="D611" s="188" t="s">
        <v>1821</v>
      </c>
      <c r="E611" s="70"/>
      <c r="F611" s="133"/>
    </row>
    <row r="612" spans="3:6" ht="15.6" x14ac:dyDescent="0.3">
      <c r="C612" s="70">
        <v>608</v>
      </c>
      <c r="D612" s="188" t="s">
        <v>1822</v>
      </c>
      <c r="E612" s="70"/>
      <c r="F612" s="133"/>
    </row>
    <row r="613" spans="3:6" ht="15.6" x14ac:dyDescent="0.3">
      <c r="C613" s="70">
        <v>609</v>
      </c>
      <c r="D613" s="188" t="s">
        <v>1823</v>
      </c>
      <c r="E613" s="70"/>
      <c r="F613" s="133"/>
    </row>
    <row r="614" spans="3:6" ht="15.6" x14ac:dyDescent="0.3">
      <c r="C614" s="70">
        <v>610</v>
      </c>
      <c r="D614" s="111" t="s">
        <v>320</v>
      </c>
      <c r="E614" s="70"/>
      <c r="F614" s="133"/>
    </row>
    <row r="615" spans="3:6" ht="15.6" x14ac:dyDescent="0.3">
      <c r="C615" s="70">
        <v>611</v>
      </c>
      <c r="D615" s="111" t="s">
        <v>320</v>
      </c>
      <c r="E615" s="70"/>
      <c r="F615" s="133"/>
    </row>
    <row r="616" spans="3:6" ht="15.6" x14ac:dyDescent="0.3">
      <c r="C616" s="70">
        <v>612</v>
      </c>
      <c r="D616" s="111" t="s">
        <v>320</v>
      </c>
      <c r="E616" s="70"/>
      <c r="F616" s="133"/>
    </row>
    <row r="617" spans="3:6" ht="15.6" x14ac:dyDescent="0.3">
      <c r="C617" s="70">
        <v>613</v>
      </c>
      <c r="D617" s="111" t="s">
        <v>320</v>
      </c>
      <c r="E617" s="70"/>
      <c r="F617" s="133"/>
    </row>
    <row r="618" spans="3:6" ht="15.6" x14ac:dyDescent="0.3">
      <c r="C618" s="70">
        <v>614</v>
      </c>
      <c r="D618" s="111" t="s">
        <v>320</v>
      </c>
      <c r="E618" s="70"/>
      <c r="F618" s="133"/>
    </row>
    <row r="619" spans="3:6" ht="15.6" x14ac:dyDescent="0.3">
      <c r="C619" s="70">
        <v>615</v>
      </c>
      <c r="D619" s="111" t="s">
        <v>320</v>
      </c>
      <c r="E619" s="70"/>
      <c r="F619" s="133"/>
    </row>
    <row r="620" spans="3:6" ht="15.6" x14ac:dyDescent="0.3">
      <c r="C620" s="70">
        <v>616</v>
      </c>
      <c r="D620" s="188" t="s">
        <v>1824</v>
      </c>
      <c r="E620" s="70"/>
      <c r="F620" s="133"/>
    </row>
    <row r="621" spans="3:6" ht="15.6" x14ac:dyDescent="0.3">
      <c r="C621" s="70">
        <v>617</v>
      </c>
      <c r="D621" s="188" t="s">
        <v>1825</v>
      </c>
      <c r="E621" s="70"/>
      <c r="F621" s="133"/>
    </row>
    <row r="622" spans="3:6" ht="15.6" x14ac:dyDescent="0.3">
      <c r="C622" s="70">
        <v>618</v>
      </c>
      <c r="D622" s="406" t="s">
        <v>320</v>
      </c>
      <c r="E622" s="70"/>
      <c r="F622" s="133" t="s">
        <v>3847</v>
      </c>
    </row>
    <row r="623" spans="3:6" ht="15.6" x14ac:dyDescent="0.3">
      <c r="C623" s="70">
        <v>619</v>
      </c>
      <c r="D623" s="188" t="s">
        <v>1826</v>
      </c>
      <c r="E623" s="70"/>
      <c r="F623" s="133"/>
    </row>
    <row r="624" spans="3:6" ht="15.6" x14ac:dyDescent="0.3">
      <c r="C624" s="70">
        <v>620</v>
      </c>
      <c r="D624" s="188" t="s">
        <v>1827</v>
      </c>
      <c r="E624" s="70"/>
      <c r="F624" s="133"/>
    </row>
    <row r="625" spans="3:6" ht="15.6" x14ac:dyDescent="0.3">
      <c r="C625" s="70">
        <v>621</v>
      </c>
      <c r="D625" s="188" t="s">
        <v>1828</v>
      </c>
      <c r="E625" s="70"/>
      <c r="F625" s="133"/>
    </row>
    <row r="626" spans="3:6" ht="15.6" x14ac:dyDescent="0.3">
      <c r="C626" s="70">
        <v>622</v>
      </c>
      <c r="D626" s="280" t="s">
        <v>320</v>
      </c>
      <c r="E626" s="70"/>
      <c r="F626" s="133"/>
    </row>
    <row r="627" spans="3:6" ht="15.6" x14ac:dyDescent="0.3">
      <c r="C627" s="70">
        <v>623</v>
      </c>
      <c r="D627" s="280" t="s">
        <v>743</v>
      </c>
      <c r="E627" s="70"/>
      <c r="F627" s="133"/>
    </row>
    <row r="628" spans="3:6" ht="15.6" x14ac:dyDescent="0.3">
      <c r="C628" s="70">
        <v>624</v>
      </c>
      <c r="D628" s="188" t="s">
        <v>1829</v>
      </c>
      <c r="E628" s="70"/>
      <c r="F628" s="133"/>
    </row>
    <row r="629" spans="3:6" ht="15.6" x14ac:dyDescent="0.3">
      <c r="C629" s="70">
        <v>625</v>
      </c>
      <c r="D629" s="280" t="s">
        <v>743</v>
      </c>
      <c r="E629" s="70"/>
      <c r="F629" s="133"/>
    </row>
    <row r="630" spans="3:6" ht="15.6" x14ac:dyDescent="0.3">
      <c r="C630" s="70">
        <v>626</v>
      </c>
      <c r="D630" s="281" t="s">
        <v>320</v>
      </c>
      <c r="E630" s="70"/>
      <c r="F630" s="133"/>
    </row>
    <row r="631" spans="3:6" ht="15.6" x14ac:dyDescent="0.3">
      <c r="C631" s="70">
        <v>627</v>
      </c>
      <c r="D631" s="281" t="s">
        <v>320</v>
      </c>
      <c r="E631" s="70"/>
      <c r="F631" s="133"/>
    </row>
    <row r="632" spans="3:6" ht="15.6" x14ac:dyDescent="0.3">
      <c r="C632" s="70">
        <v>628</v>
      </c>
      <c r="D632" s="189" t="s">
        <v>1830</v>
      </c>
      <c r="E632" s="70"/>
      <c r="F632" s="133"/>
    </row>
    <row r="633" spans="3:6" ht="15.6" x14ac:dyDescent="0.3">
      <c r="C633" s="70">
        <v>629</v>
      </c>
      <c r="D633" s="188" t="s">
        <v>1831</v>
      </c>
      <c r="E633" s="70"/>
      <c r="F633" s="133"/>
    </row>
    <row r="634" spans="3:6" ht="15.6" x14ac:dyDescent="0.3">
      <c r="C634" s="70">
        <v>630</v>
      </c>
      <c r="D634" s="281" t="s">
        <v>743</v>
      </c>
      <c r="E634" s="70"/>
      <c r="F634" s="133"/>
    </row>
    <row r="635" spans="3:6" ht="15.6" x14ac:dyDescent="0.3">
      <c r="C635" s="70">
        <v>631</v>
      </c>
      <c r="D635" s="281" t="s">
        <v>320</v>
      </c>
      <c r="E635" s="70"/>
      <c r="F635" s="133"/>
    </row>
    <row r="636" spans="3:6" ht="15.6" x14ac:dyDescent="0.3">
      <c r="C636" s="70">
        <v>632</v>
      </c>
      <c r="D636" s="157" t="s">
        <v>320</v>
      </c>
      <c r="E636" s="70"/>
      <c r="F636" s="133"/>
    </row>
    <row r="637" spans="3:6" ht="15.6" x14ac:dyDescent="0.3">
      <c r="C637" s="70">
        <v>633</v>
      </c>
      <c r="D637" s="157" t="s">
        <v>320</v>
      </c>
      <c r="E637" s="70"/>
      <c r="F637" s="133"/>
    </row>
    <row r="638" spans="3:6" ht="15.6" x14ac:dyDescent="0.3">
      <c r="C638" s="70">
        <v>634</v>
      </c>
      <c r="D638" s="157" t="s">
        <v>320</v>
      </c>
      <c r="E638" s="70"/>
      <c r="F638" s="133"/>
    </row>
    <row r="639" spans="3:6" ht="15.6" x14ac:dyDescent="0.3">
      <c r="C639" s="70">
        <v>635</v>
      </c>
      <c r="D639" s="157" t="s">
        <v>320</v>
      </c>
      <c r="E639" s="70"/>
      <c r="F639" s="133"/>
    </row>
    <row r="640" spans="3:6" ht="15.6" x14ac:dyDescent="0.3">
      <c r="C640" s="70">
        <v>636</v>
      </c>
      <c r="D640" s="157" t="s">
        <v>320</v>
      </c>
      <c r="E640" s="70"/>
      <c r="F640" s="133"/>
    </row>
    <row r="641" spans="3:6" ht="15.6" x14ac:dyDescent="0.3">
      <c r="C641" s="70">
        <v>637</v>
      </c>
      <c r="D641" s="157" t="s">
        <v>320</v>
      </c>
      <c r="E641" s="70"/>
      <c r="F641" s="133"/>
    </row>
    <row r="642" spans="3:6" ht="15.6" x14ac:dyDescent="0.3">
      <c r="C642" s="70">
        <v>638</v>
      </c>
      <c r="D642" s="157" t="s">
        <v>320</v>
      </c>
      <c r="E642" s="70"/>
      <c r="F642" s="133"/>
    </row>
    <row r="643" spans="3:6" ht="15.6" x14ac:dyDescent="0.3">
      <c r="C643" s="70">
        <v>639</v>
      </c>
      <c r="D643" s="157" t="s">
        <v>320</v>
      </c>
      <c r="E643" s="70"/>
      <c r="F643" s="133"/>
    </row>
    <row r="644" spans="3:6" ht="15.6" x14ac:dyDescent="0.3">
      <c r="C644" s="70">
        <v>640</v>
      </c>
      <c r="D644" s="157" t="s">
        <v>320</v>
      </c>
      <c r="E644" s="70"/>
      <c r="F644" s="133"/>
    </row>
    <row r="645" spans="3:6" ht="15.6" x14ac:dyDescent="0.3">
      <c r="C645" s="70">
        <v>641</v>
      </c>
      <c r="D645" s="157" t="s">
        <v>320</v>
      </c>
      <c r="E645" s="70"/>
      <c r="F645" s="133"/>
    </row>
    <row r="646" spans="3:6" ht="15.6" x14ac:dyDescent="0.3">
      <c r="C646" s="70">
        <v>642</v>
      </c>
      <c r="D646" s="157" t="s">
        <v>320</v>
      </c>
      <c r="E646" s="70"/>
      <c r="F646" s="133"/>
    </row>
    <row r="647" spans="3:6" ht="15.6" x14ac:dyDescent="0.3">
      <c r="C647" s="70">
        <v>643</v>
      </c>
      <c r="D647" s="157" t="s">
        <v>320</v>
      </c>
      <c r="E647" s="70"/>
      <c r="F647" s="133"/>
    </row>
    <row r="648" spans="3:6" ht="15.6" x14ac:dyDescent="0.3">
      <c r="C648" s="70">
        <v>644</v>
      </c>
      <c r="D648" s="157" t="s">
        <v>320</v>
      </c>
      <c r="E648" s="70"/>
      <c r="F648" s="133"/>
    </row>
    <row r="649" spans="3:6" ht="15.6" x14ac:dyDescent="0.3">
      <c r="C649" s="70">
        <v>645</v>
      </c>
      <c r="D649" s="157" t="s">
        <v>320</v>
      </c>
      <c r="E649" s="70"/>
      <c r="F649" s="133"/>
    </row>
    <row r="650" spans="3:6" ht="15.6" x14ac:dyDescent="0.3">
      <c r="C650" s="70">
        <v>646</v>
      </c>
      <c r="D650" s="157" t="s">
        <v>320</v>
      </c>
      <c r="E650" s="70"/>
      <c r="F650" s="133"/>
    </row>
    <row r="651" spans="3:6" ht="15.6" x14ac:dyDescent="0.3">
      <c r="C651" s="70">
        <v>647</v>
      </c>
      <c r="D651" s="157" t="s">
        <v>320</v>
      </c>
      <c r="E651" s="70"/>
      <c r="F651" s="133"/>
    </row>
    <row r="652" spans="3:6" ht="15.6" x14ac:dyDescent="0.3">
      <c r="C652" s="70">
        <v>648</v>
      </c>
      <c r="D652" s="224" t="s">
        <v>1832</v>
      </c>
      <c r="E652" s="70"/>
      <c r="F652" s="133"/>
    </row>
    <row r="653" spans="3:6" ht="15.6" x14ac:dyDescent="0.3">
      <c r="C653" s="70">
        <v>649</v>
      </c>
      <c r="D653" s="188" t="s">
        <v>1833</v>
      </c>
      <c r="E653" s="70"/>
      <c r="F653" s="133"/>
    </row>
    <row r="654" spans="3:6" ht="15.6" x14ac:dyDescent="0.3">
      <c r="C654" s="70">
        <v>650</v>
      </c>
      <c r="D654" s="188" t="s">
        <v>1834</v>
      </c>
      <c r="E654" s="70"/>
      <c r="F654" s="133"/>
    </row>
    <row r="655" spans="3:6" ht="15.6" x14ac:dyDescent="0.3">
      <c r="C655" s="70">
        <v>651</v>
      </c>
      <c r="D655" s="224" t="s">
        <v>320</v>
      </c>
      <c r="E655" s="70"/>
      <c r="F655" s="133"/>
    </row>
    <row r="656" spans="3:6" ht="15.6" x14ac:dyDescent="0.3">
      <c r="C656" s="70">
        <v>652</v>
      </c>
      <c r="D656" s="188" t="s">
        <v>1835</v>
      </c>
      <c r="E656" s="70"/>
      <c r="F656" s="133"/>
    </row>
    <row r="657" spans="3:6" ht="15.6" x14ac:dyDescent="0.3">
      <c r="C657" s="70">
        <v>653</v>
      </c>
      <c r="D657" s="188" t="s">
        <v>320</v>
      </c>
      <c r="E657" s="70"/>
      <c r="F657" s="133"/>
    </row>
    <row r="658" spans="3:6" ht="15.6" x14ac:dyDescent="0.3">
      <c r="C658" s="70">
        <v>654</v>
      </c>
      <c r="D658" s="188" t="s">
        <v>1836</v>
      </c>
      <c r="E658" s="70"/>
      <c r="F658" s="133"/>
    </row>
    <row r="659" spans="3:6" ht="15.6" x14ac:dyDescent="0.3">
      <c r="C659" s="70">
        <v>655</v>
      </c>
      <c r="D659" s="188" t="s">
        <v>1837</v>
      </c>
      <c r="E659" s="70"/>
      <c r="F659" s="133"/>
    </row>
    <row r="660" spans="3:6" ht="15.6" x14ac:dyDescent="0.3">
      <c r="C660" s="70">
        <v>656</v>
      </c>
      <c r="D660" s="188" t="s">
        <v>1838</v>
      </c>
      <c r="E660" s="70"/>
      <c r="F660" s="133"/>
    </row>
    <row r="661" spans="3:6" ht="15.6" x14ac:dyDescent="0.3">
      <c r="C661" s="70">
        <v>657</v>
      </c>
      <c r="D661" s="188" t="s">
        <v>1839</v>
      </c>
      <c r="E661" s="70"/>
      <c r="F661" s="133"/>
    </row>
    <row r="662" spans="3:6" ht="15.6" x14ac:dyDescent="0.3">
      <c r="C662" s="70">
        <v>658</v>
      </c>
      <c r="D662" s="188" t="s">
        <v>1840</v>
      </c>
      <c r="E662" s="70"/>
      <c r="F662" s="133"/>
    </row>
    <row r="663" spans="3:6" ht="15.6" x14ac:dyDescent="0.3">
      <c r="C663" s="70">
        <v>659</v>
      </c>
      <c r="D663" s="188" t="s">
        <v>1841</v>
      </c>
      <c r="E663" s="70"/>
      <c r="F663" s="133"/>
    </row>
    <row r="664" spans="3:6" ht="15.6" x14ac:dyDescent="0.3">
      <c r="C664" s="70">
        <v>660</v>
      </c>
      <c r="D664" s="188" t="s">
        <v>1842</v>
      </c>
      <c r="E664" s="70"/>
      <c r="F664" s="133"/>
    </row>
    <row r="665" spans="3:6" ht="15.6" x14ac:dyDescent="0.3">
      <c r="C665" s="70">
        <v>661</v>
      </c>
      <c r="D665" s="188" t="s">
        <v>1843</v>
      </c>
      <c r="E665" s="70"/>
      <c r="F665" s="133"/>
    </row>
    <row r="666" spans="3:6" ht="15.6" x14ac:dyDescent="0.3">
      <c r="C666" s="70">
        <v>662</v>
      </c>
      <c r="D666" s="188" t="s">
        <v>1844</v>
      </c>
      <c r="E666" s="70"/>
      <c r="F666" s="133"/>
    </row>
    <row r="667" spans="3:6" ht="15.6" x14ac:dyDescent="0.3">
      <c r="C667" s="70">
        <v>663</v>
      </c>
      <c r="D667" s="188" t="s">
        <v>1845</v>
      </c>
      <c r="E667" s="70"/>
      <c r="F667" s="133"/>
    </row>
    <row r="668" spans="3:6" ht="15.6" x14ac:dyDescent="0.3">
      <c r="C668" s="70">
        <v>664</v>
      </c>
      <c r="D668" s="186" t="s">
        <v>320</v>
      </c>
      <c r="E668" s="70"/>
      <c r="F668" s="133"/>
    </row>
    <row r="669" spans="3:6" ht="15.6" x14ac:dyDescent="0.3">
      <c r="C669" s="70">
        <v>665</v>
      </c>
      <c r="D669" s="186" t="s">
        <v>320</v>
      </c>
      <c r="E669" s="70"/>
      <c r="F669" s="133"/>
    </row>
    <row r="670" spans="3:6" ht="15.6" x14ac:dyDescent="0.3">
      <c r="C670" s="70">
        <v>666</v>
      </c>
      <c r="D670" s="186" t="s">
        <v>320</v>
      </c>
      <c r="E670" s="70"/>
      <c r="F670" s="133"/>
    </row>
    <row r="671" spans="3:6" ht="15.6" x14ac:dyDescent="0.3">
      <c r="C671" s="70">
        <v>667</v>
      </c>
      <c r="D671" s="186" t="s">
        <v>320</v>
      </c>
      <c r="E671" s="70"/>
      <c r="F671" s="133"/>
    </row>
    <row r="672" spans="3:6" ht="15.6" x14ac:dyDescent="0.3">
      <c r="C672" s="70">
        <v>668</v>
      </c>
      <c r="D672" s="157" t="s">
        <v>320</v>
      </c>
      <c r="E672" s="70"/>
      <c r="F672" s="133"/>
    </row>
    <row r="673" spans="3:6" ht="15.6" x14ac:dyDescent="0.3">
      <c r="C673" s="70">
        <v>669</v>
      </c>
      <c r="D673" s="157" t="s">
        <v>320</v>
      </c>
      <c r="E673" s="70"/>
      <c r="F673" s="133"/>
    </row>
    <row r="674" spans="3:6" ht="15.6" x14ac:dyDescent="0.3">
      <c r="C674" s="70">
        <v>670</v>
      </c>
      <c r="D674" s="157" t="s">
        <v>320</v>
      </c>
      <c r="E674" s="70"/>
      <c r="F674" s="133"/>
    </row>
    <row r="675" spans="3:6" ht="15.6" x14ac:dyDescent="0.3">
      <c r="C675" s="70">
        <v>671</v>
      </c>
      <c r="D675" s="157" t="s">
        <v>320</v>
      </c>
      <c r="E675" s="70"/>
      <c r="F675" s="133"/>
    </row>
    <row r="676" spans="3:6" ht="15.6" x14ac:dyDescent="0.3">
      <c r="C676" s="70">
        <v>672</v>
      </c>
      <c r="D676" s="157" t="s">
        <v>320</v>
      </c>
      <c r="E676" s="70"/>
      <c r="F676" s="133"/>
    </row>
    <row r="677" spans="3:6" ht="15.6" x14ac:dyDescent="0.3">
      <c r="C677" s="70">
        <v>673</v>
      </c>
      <c r="D677" s="157" t="s">
        <v>320</v>
      </c>
      <c r="E677" s="70"/>
      <c r="F677" s="133"/>
    </row>
    <row r="678" spans="3:6" ht="15.6" x14ac:dyDescent="0.3">
      <c r="C678" s="70">
        <v>674</v>
      </c>
      <c r="D678" s="157" t="s">
        <v>320</v>
      </c>
      <c r="E678" s="70"/>
      <c r="F678" s="133"/>
    </row>
    <row r="679" spans="3:6" ht="15.6" x14ac:dyDescent="0.3">
      <c r="C679" s="70">
        <v>675</v>
      </c>
      <c r="D679" s="157" t="s">
        <v>320</v>
      </c>
      <c r="E679" s="70"/>
      <c r="F679" s="133"/>
    </row>
    <row r="680" spans="3:6" ht="15.6" x14ac:dyDescent="0.3">
      <c r="C680" s="70">
        <v>676</v>
      </c>
      <c r="D680" s="157" t="s">
        <v>320</v>
      </c>
      <c r="E680" s="70"/>
      <c r="F680" s="133"/>
    </row>
    <row r="681" spans="3:6" ht="15.6" x14ac:dyDescent="0.3">
      <c r="C681" s="70">
        <v>677</v>
      </c>
      <c r="D681" s="157" t="s">
        <v>320</v>
      </c>
      <c r="E681" s="70"/>
      <c r="F681" s="133"/>
    </row>
    <row r="682" spans="3:6" ht="15.6" x14ac:dyDescent="0.3">
      <c r="C682" s="70">
        <v>678</v>
      </c>
      <c r="D682" s="157" t="s">
        <v>320</v>
      </c>
      <c r="E682" s="70"/>
      <c r="F682" s="133"/>
    </row>
    <row r="683" spans="3:6" ht="15.6" x14ac:dyDescent="0.3">
      <c r="C683" s="70">
        <v>679</v>
      </c>
      <c r="D683" s="157" t="s">
        <v>320</v>
      </c>
      <c r="E683" s="70"/>
      <c r="F683" s="133"/>
    </row>
    <row r="684" spans="3:6" ht="15.6" x14ac:dyDescent="0.3">
      <c r="C684" s="70">
        <v>680</v>
      </c>
      <c r="D684" s="191" t="s">
        <v>320</v>
      </c>
      <c r="E684" s="55"/>
      <c r="F684" s="133"/>
    </row>
    <row r="685" spans="3:6" ht="15.6" x14ac:dyDescent="0.3">
      <c r="C685" s="70">
        <v>681</v>
      </c>
      <c r="D685" s="191" t="s">
        <v>320</v>
      </c>
      <c r="E685" s="55"/>
      <c r="F685" s="133"/>
    </row>
    <row r="686" spans="3:6" ht="15.6" x14ac:dyDescent="0.3">
      <c r="C686" s="70">
        <v>682</v>
      </c>
      <c r="D686" s="157" t="s">
        <v>320</v>
      </c>
      <c r="E686" s="55"/>
      <c r="F686" s="133"/>
    </row>
    <row r="687" spans="3:6" ht="15.6" x14ac:dyDescent="0.3">
      <c r="C687" s="70">
        <v>683</v>
      </c>
      <c r="D687" s="157" t="s">
        <v>320</v>
      </c>
      <c r="E687" s="55"/>
      <c r="F687" s="133"/>
    </row>
    <row r="688" spans="3:6" ht="15.6" x14ac:dyDescent="0.3">
      <c r="C688" s="70">
        <v>684</v>
      </c>
      <c r="D688" s="157" t="s">
        <v>320</v>
      </c>
      <c r="E688" s="55"/>
      <c r="F688" s="133"/>
    </row>
    <row r="689" spans="3:6" ht="15.6" x14ac:dyDescent="0.3">
      <c r="C689" s="70">
        <v>685</v>
      </c>
      <c r="D689" s="157" t="s">
        <v>320</v>
      </c>
      <c r="E689" s="55"/>
      <c r="F689" s="133"/>
    </row>
    <row r="690" spans="3:6" ht="15.6" x14ac:dyDescent="0.3">
      <c r="C690" s="70">
        <v>686</v>
      </c>
      <c r="D690" s="157" t="s">
        <v>320</v>
      </c>
      <c r="E690" s="55"/>
      <c r="F690" s="133"/>
    </row>
    <row r="691" spans="3:6" ht="15.6" x14ac:dyDescent="0.3">
      <c r="C691" s="70">
        <v>687</v>
      </c>
      <c r="D691" s="157" t="s">
        <v>320</v>
      </c>
      <c r="E691" s="55"/>
      <c r="F691" s="133"/>
    </row>
    <row r="692" spans="3:6" ht="15.6" x14ac:dyDescent="0.3">
      <c r="C692" s="70">
        <v>688</v>
      </c>
      <c r="D692" s="157" t="s">
        <v>320</v>
      </c>
      <c r="E692" s="55"/>
      <c r="F692" s="133"/>
    </row>
    <row r="693" spans="3:6" ht="15.6" x14ac:dyDescent="0.3">
      <c r="C693" s="70">
        <v>689</v>
      </c>
      <c r="D693" s="157" t="s">
        <v>320</v>
      </c>
      <c r="E693" s="55"/>
      <c r="F693" s="133"/>
    </row>
    <row r="694" spans="3:6" ht="15.6" x14ac:dyDescent="0.3">
      <c r="C694" s="70">
        <v>690</v>
      </c>
      <c r="D694" s="157" t="s">
        <v>320</v>
      </c>
      <c r="E694" s="55"/>
      <c r="F694" s="133"/>
    </row>
    <row r="695" spans="3:6" ht="15.6" x14ac:dyDescent="0.3">
      <c r="C695" s="70">
        <v>691</v>
      </c>
      <c r="D695" s="157" t="s">
        <v>320</v>
      </c>
      <c r="E695" s="55"/>
      <c r="F695" s="133"/>
    </row>
    <row r="696" spans="3:6" ht="15.6" x14ac:dyDescent="0.3">
      <c r="C696" s="70">
        <v>692</v>
      </c>
      <c r="D696" s="157" t="s">
        <v>320</v>
      </c>
      <c r="E696" s="55"/>
      <c r="F696" s="133"/>
    </row>
    <row r="697" spans="3:6" ht="15.6" x14ac:dyDescent="0.3">
      <c r="C697" s="70">
        <v>693</v>
      </c>
      <c r="D697" s="157" t="s">
        <v>320</v>
      </c>
      <c r="E697" s="55"/>
      <c r="F697" s="133"/>
    </row>
    <row r="698" spans="3:6" ht="15.6" x14ac:dyDescent="0.3">
      <c r="C698" s="70">
        <v>694</v>
      </c>
      <c r="D698" s="157" t="s">
        <v>320</v>
      </c>
      <c r="E698" s="55"/>
      <c r="F698" s="133"/>
    </row>
    <row r="699" spans="3:6" ht="15.6" x14ac:dyDescent="0.3">
      <c r="C699" s="70">
        <v>695</v>
      </c>
      <c r="D699" s="157" t="s">
        <v>320</v>
      </c>
      <c r="E699" s="55"/>
      <c r="F699" s="133"/>
    </row>
    <row r="700" spans="3:6" ht="15.6" x14ac:dyDescent="0.3">
      <c r="C700" s="70">
        <v>696</v>
      </c>
      <c r="D700" s="157" t="s">
        <v>320</v>
      </c>
      <c r="E700" s="55"/>
      <c r="F700" s="133"/>
    </row>
    <row r="701" spans="3:6" ht="15.6" x14ac:dyDescent="0.3">
      <c r="C701" s="70">
        <v>697</v>
      </c>
      <c r="D701" s="157" t="s">
        <v>320</v>
      </c>
      <c r="E701" s="55"/>
      <c r="F701" s="133"/>
    </row>
    <row r="702" spans="3:6" ht="15.6" x14ac:dyDescent="0.3">
      <c r="C702" s="70">
        <v>698</v>
      </c>
      <c r="D702" s="157" t="s">
        <v>320</v>
      </c>
      <c r="E702" s="55"/>
      <c r="F702" s="133"/>
    </row>
    <row r="703" spans="3:6" ht="15.6" x14ac:dyDescent="0.3">
      <c r="C703" s="70">
        <v>699</v>
      </c>
      <c r="D703" s="157" t="s">
        <v>320</v>
      </c>
      <c r="E703" s="55"/>
      <c r="F703" s="133"/>
    </row>
    <row r="704" spans="3:6" ht="15.6" x14ac:dyDescent="0.3">
      <c r="C704" s="70">
        <v>700</v>
      </c>
      <c r="D704" s="157" t="s">
        <v>320</v>
      </c>
      <c r="E704" s="55"/>
      <c r="F704" s="133"/>
    </row>
    <row r="705" spans="3:6" ht="15.6" x14ac:dyDescent="0.3">
      <c r="C705" s="70">
        <v>701</v>
      </c>
      <c r="D705" s="157" t="s">
        <v>320</v>
      </c>
      <c r="E705" s="55"/>
      <c r="F705" s="133"/>
    </row>
    <row r="706" spans="3:6" ht="15.6" x14ac:dyDescent="0.3">
      <c r="C706" s="70">
        <v>702</v>
      </c>
      <c r="D706" s="157" t="s">
        <v>320</v>
      </c>
      <c r="E706" s="55"/>
      <c r="F706" s="133"/>
    </row>
    <row r="707" spans="3:6" ht="15.6" x14ac:dyDescent="0.3">
      <c r="C707" s="70">
        <v>703</v>
      </c>
      <c r="D707" s="157" t="s">
        <v>320</v>
      </c>
      <c r="E707" s="55"/>
      <c r="F707" s="133"/>
    </row>
    <row r="708" spans="3:6" ht="15.6" x14ac:dyDescent="0.3">
      <c r="C708" s="70">
        <v>704</v>
      </c>
      <c r="D708" s="157" t="s">
        <v>320</v>
      </c>
      <c r="E708" s="55"/>
      <c r="F708" s="133"/>
    </row>
    <row r="709" spans="3:6" ht="15.6" x14ac:dyDescent="0.3">
      <c r="C709" s="70">
        <v>705</v>
      </c>
      <c r="D709" s="157" t="s">
        <v>320</v>
      </c>
      <c r="E709" s="55"/>
      <c r="F709" s="133"/>
    </row>
    <row r="710" spans="3:6" ht="15.6" x14ac:dyDescent="0.3">
      <c r="C710" s="70">
        <v>706</v>
      </c>
      <c r="D710" s="157" t="s">
        <v>320</v>
      </c>
      <c r="E710" s="55"/>
      <c r="F710" s="133"/>
    </row>
    <row r="711" spans="3:6" ht="15.6" x14ac:dyDescent="0.3">
      <c r="C711" s="70">
        <v>707</v>
      </c>
      <c r="D711" s="157" t="s">
        <v>320</v>
      </c>
      <c r="E711" s="55"/>
      <c r="F711" s="133"/>
    </row>
    <row r="712" spans="3:6" ht="15.6" x14ac:dyDescent="0.3">
      <c r="C712" s="70">
        <v>708</v>
      </c>
      <c r="D712" s="157" t="s">
        <v>320</v>
      </c>
      <c r="E712" s="55"/>
      <c r="F712" s="133"/>
    </row>
    <row r="713" spans="3:6" ht="15.6" x14ac:dyDescent="0.3">
      <c r="C713" s="70">
        <v>709</v>
      </c>
      <c r="D713" s="157" t="s">
        <v>320</v>
      </c>
      <c r="E713" s="55"/>
      <c r="F713" s="133"/>
    </row>
    <row r="714" spans="3:6" ht="15.6" x14ac:dyDescent="0.3">
      <c r="C714" s="70">
        <v>710</v>
      </c>
      <c r="D714" s="157" t="s">
        <v>320</v>
      </c>
      <c r="E714" s="55"/>
      <c r="F714" s="133"/>
    </row>
    <row r="715" spans="3:6" ht="15.6" x14ac:dyDescent="0.3">
      <c r="C715" s="70">
        <v>711</v>
      </c>
      <c r="D715" s="157" t="s">
        <v>320</v>
      </c>
      <c r="E715" s="55"/>
      <c r="F715" s="133"/>
    </row>
    <row r="716" spans="3:6" ht="15.6" x14ac:dyDescent="0.3">
      <c r="C716" s="117" t="s">
        <v>1846</v>
      </c>
      <c r="D716" s="186" t="s">
        <v>320</v>
      </c>
      <c r="E716" s="117"/>
      <c r="F716" s="183"/>
    </row>
    <row r="717" spans="3:6" ht="31.2" x14ac:dyDescent="0.3">
      <c r="C717" s="117">
        <v>65535</v>
      </c>
      <c r="D717" s="188" t="s">
        <v>1205</v>
      </c>
      <c r="E717" s="117"/>
      <c r="F717" s="184" t="s">
        <v>1847</v>
      </c>
    </row>
  </sheetData>
  <mergeCells count="1">
    <mergeCell ref="C2:F2"/>
  </mergeCells>
  <conditionalFormatting sqref="C716:E717">
    <cfRule type="cellIs" dxfId="1169" priority="30" stopIfTrue="1" operator="notEqual">
      <formula>INDIRECT("Dummy_for_Comparison2!"&amp;ADDRESS(ROW(),COLUMN()))</formula>
    </cfRule>
  </conditionalFormatting>
  <conditionalFormatting sqref="D80:D107">
    <cfRule type="cellIs" dxfId="1168" priority="86" stopIfTrue="1" operator="notEqual">
      <formula>INDIRECT("Dummy_for_Comparison2!"&amp;ADDRESS(ROW(),COLUMN()))</formula>
    </cfRule>
  </conditionalFormatting>
  <conditionalFormatting sqref="D110:D115">
    <cfRule type="cellIs" dxfId="1167" priority="85" stopIfTrue="1" operator="notEqual">
      <formula>INDIRECT("Dummy_for_Comparison2!"&amp;ADDRESS(ROW(),COLUMN()))</formula>
    </cfRule>
  </conditionalFormatting>
  <conditionalFormatting sqref="D128:D131">
    <cfRule type="cellIs" dxfId="1166" priority="42" stopIfTrue="1" operator="notEqual">
      <formula>INDIRECT("Dummy_for_Comparison2!"&amp;ADDRESS(ROW(),COLUMN()))</formula>
    </cfRule>
  </conditionalFormatting>
  <conditionalFormatting sqref="D140:D318 D320:D350 D352:D621 D623:D629">
    <cfRule type="cellIs" dxfId="1165" priority="1" stopIfTrue="1" operator="notEqual">
      <formula>INDIRECT("Dummy_for_Comparison2!"&amp;ADDRESS(ROW(),COLUMN()))</formula>
    </cfRule>
  </conditionalFormatting>
  <conditionalFormatting sqref="D633">
    <cfRule type="cellIs" dxfId="1164" priority="19" stopIfTrue="1" operator="notEqual">
      <formula>INDIRECT("Dummy_for_Comparison2!"&amp;ADDRESS(ROW(),COLUMN()))</formula>
    </cfRule>
  </conditionalFormatting>
  <conditionalFormatting sqref="D652:D671">
    <cfRule type="cellIs" dxfId="1163" priority="15" stopIfTrue="1" operator="notEqual">
      <formula>INDIRECT("Dummy_for_Comparison2!"&amp;ADDRESS(ROW(),COLUMN()))</formula>
    </cfRule>
  </conditionalFormatting>
  <conditionalFormatting sqref="E68:E75">
    <cfRule type="cellIs" dxfId="1162" priority="88" stopIfTrue="1" operator="notEqual">
      <formula>INDIRECT("Dummy_for_Comparison2!"&amp;ADDRESS(ROW(),COLUMN()))</formula>
    </cfRule>
  </conditionalFormatting>
  <conditionalFormatting sqref="E80:E99">
    <cfRule type="cellIs" dxfId="1161" priority="87" stopIfTrue="1" operator="notEqual">
      <formula>INDIRECT("Dummy_for_Comparison2!"&amp;ADDRESS(ROW(),COLUMN()))</formula>
    </cfRule>
  </conditionalFormatting>
  <conditionalFormatting sqref="F717">
    <cfRule type="cellIs" dxfId="1160" priority="29" stopIfTrue="1" operator="notEqual">
      <formula>INDIRECT("Dummy_for_Comparison2!"&amp;ADDRESS(ROW(),COLUMN()))</formula>
    </cfRule>
  </conditionalFormatting>
  <pageMargins left="0.7" right="0.7" top="0.75" bottom="0.75" header="0.3" footer="0.3"/>
  <pageSetup paperSize="9" orientation="portrait" verticalDpi="0" r:id="rId1"/>
  <headerFooter>
    <oddFooter>&amp;C_x000D_&amp;1#&amp;"Calibri"&amp;6&amp;K626469 General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D237"/>
  <sheetViews>
    <sheetView zoomScale="53" zoomScaleNormal="100" workbookViewId="0">
      <selection activeCell="M56" sqref="M56"/>
    </sheetView>
  </sheetViews>
  <sheetFormatPr defaultColWidth="9.44140625" defaultRowHeight="14.4" x14ac:dyDescent="0.3"/>
  <cols>
    <col min="1" max="1" width="6.5546875" customWidth="1"/>
    <col min="2" max="2" width="63.5546875" customWidth="1"/>
    <col min="3" max="3" width="15.5546875" customWidth="1"/>
    <col min="4" max="4" width="11.44140625" style="56" customWidth="1"/>
    <col min="5" max="5" width="11.5546875" style="56" customWidth="1"/>
    <col min="6" max="6" width="13.5546875" style="56" customWidth="1"/>
    <col min="7" max="7" width="28.44140625" style="56" customWidth="1"/>
    <col min="8" max="8" width="9.44140625" style="56"/>
    <col min="9" max="9" width="12.5546875" style="56" customWidth="1"/>
    <col min="10" max="13" width="15.5546875" style="56" customWidth="1"/>
    <col min="14" max="14" width="13.44140625" style="56" customWidth="1"/>
    <col min="15" max="15" width="9.44140625" style="56" customWidth="1"/>
    <col min="16" max="16" width="9.44140625" style="56"/>
    <col min="17" max="17" width="16.5546875" customWidth="1"/>
    <col min="18" max="18" width="35.5546875" bestFit="1" customWidth="1"/>
    <col min="19" max="19" width="19.88671875" customWidth="1"/>
    <col min="20" max="20" width="11.5546875" bestFit="1" customWidth="1"/>
    <col min="21" max="21" width="9.44140625" customWidth="1"/>
    <col min="22" max="22" width="11.44140625" customWidth="1"/>
    <col min="24" max="26" width="0" hidden="1" customWidth="1"/>
    <col min="27" max="28" width="11.5546875" hidden="1" customWidth="1"/>
    <col min="29" max="30" width="0" hidden="1" customWidth="1"/>
  </cols>
  <sheetData>
    <row r="1" spans="1:30" ht="15" thickBot="1" x14ac:dyDescent="0.35"/>
    <row r="2" spans="1:30" ht="33" thickBot="1" x14ac:dyDescent="0.35">
      <c r="A2" s="57"/>
      <c r="B2" s="195" t="s">
        <v>303</v>
      </c>
      <c r="C2" s="194" t="s">
        <v>304</v>
      </c>
      <c r="D2" s="65" t="s">
        <v>305</v>
      </c>
      <c r="E2" s="65" t="s">
        <v>306</v>
      </c>
      <c r="F2" s="65" t="s">
        <v>307</v>
      </c>
      <c r="G2" s="65" t="s">
        <v>308</v>
      </c>
      <c r="H2" s="65" t="s">
        <v>309</v>
      </c>
      <c r="I2" s="65" t="s">
        <v>310</v>
      </c>
      <c r="J2" s="65" t="s">
        <v>311</v>
      </c>
      <c r="K2" s="65" t="s">
        <v>745</v>
      </c>
      <c r="L2" s="65" t="s">
        <v>312</v>
      </c>
      <c r="M2" s="65" t="s">
        <v>313</v>
      </c>
      <c r="N2" s="71" t="s">
        <v>314</v>
      </c>
      <c r="O2" s="71" t="s">
        <v>315</v>
      </c>
      <c r="P2" s="65" t="s">
        <v>316</v>
      </c>
      <c r="Q2" s="65" t="s">
        <v>317</v>
      </c>
      <c r="R2" s="66" t="s">
        <v>318</v>
      </c>
      <c r="S2" s="66" t="s">
        <v>3831</v>
      </c>
    </row>
    <row r="3" spans="1:30" ht="15.6" x14ac:dyDescent="0.3">
      <c r="B3" s="495" t="s">
        <v>144</v>
      </c>
      <c r="C3" s="495"/>
      <c r="D3" s="495"/>
      <c r="E3" s="495"/>
      <c r="F3" s="495"/>
      <c r="G3" s="495"/>
      <c r="H3" s="495"/>
      <c r="I3" s="495"/>
      <c r="J3" s="495"/>
      <c r="K3" s="495"/>
      <c r="L3" s="495"/>
      <c r="M3" s="495"/>
      <c r="N3" s="495"/>
      <c r="O3" s="495"/>
      <c r="P3" s="495"/>
      <c r="Q3" s="495"/>
      <c r="R3" s="495"/>
      <c r="S3" s="392">
        <v>3.0006944444444446</v>
      </c>
      <c r="T3" s="54" t="s">
        <v>1848</v>
      </c>
      <c r="X3" t="s">
        <v>1849</v>
      </c>
      <c r="Y3" t="s">
        <v>1850</v>
      </c>
      <c r="Z3" t="s">
        <v>1851</v>
      </c>
      <c r="AA3" s="60" t="s">
        <v>1852</v>
      </c>
      <c r="AB3" s="60" t="s">
        <v>1853</v>
      </c>
      <c r="AC3" t="s">
        <v>1854</v>
      </c>
      <c r="AD3" t="s">
        <v>1855</v>
      </c>
    </row>
    <row r="4" spans="1:30" ht="15.6" x14ac:dyDescent="0.3">
      <c r="B4" s="10" t="s">
        <v>1856</v>
      </c>
      <c r="C4" s="10" t="s">
        <v>326</v>
      </c>
      <c r="D4" s="10">
        <v>4</v>
      </c>
      <c r="E4" s="10">
        <f t="shared" ref="E4:E36" si="0">D4/2</f>
        <v>2</v>
      </c>
      <c r="F4" s="10">
        <v>0</v>
      </c>
      <c r="G4" s="10">
        <v>50000000</v>
      </c>
      <c r="H4" s="10">
        <v>1</v>
      </c>
      <c r="I4" s="10" t="s">
        <v>417</v>
      </c>
      <c r="J4" s="10" t="s">
        <v>322</v>
      </c>
      <c r="K4" s="10">
        <v>45501</v>
      </c>
      <c r="L4" s="10">
        <f>K4-40000</f>
        <v>5501</v>
      </c>
      <c r="M4" s="10">
        <f t="shared" ref="M4:M67" si="1">L4-1</f>
        <v>5500</v>
      </c>
      <c r="N4" s="10" t="s">
        <v>323</v>
      </c>
      <c r="O4" s="10" t="s">
        <v>324</v>
      </c>
      <c r="P4" s="10" t="s">
        <v>412</v>
      </c>
      <c r="Q4" s="10"/>
      <c r="R4" s="87"/>
      <c r="S4" s="263">
        <v>1</v>
      </c>
      <c r="T4" s="54" t="str">
        <f>DEC2HEX(S4)</f>
        <v>1</v>
      </c>
      <c r="X4" s="56">
        <f t="shared" ref="X4:X29" si="2">IF($K4="","",($K4-30000))</f>
        <v>15501</v>
      </c>
      <c r="Y4" t="s">
        <v>1857</v>
      </c>
      <c r="Z4" s="56">
        <f t="shared" ref="Z4:Z29" si="3">IF($K4="","",($E4))</f>
        <v>2</v>
      </c>
      <c r="AA4" s="61">
        <f t="shared" ref="AA4:AA29" si="4">IF($K4="","",$F4)</f>
        <v>0</v>
      </c>
      <c r="AB4" s="61">
        <f t="shared" ref="AB4:AB29" si="5">IF($K4="","",($G4))</f>
        <v>50000000</v>
      </c>
      <c r="AC4" s="56">
        <f t="shared" ref="AC4:AC29" si="6">IF($K4="","",(0))</f>
        <v>0</v>
      </c>
      <c r="AD4" s="56">
        <f t="shared" ref="AD4:AD29" si="7">IF($K4="","",($H4))</f>
        <v>1</v>
      </c>
    </row>
    <row r="5" spans="1:30" ht="15.6" x14ac:dyDescent="0.3">
      <c r="B5" s="10" t="s">
        <v>1858</v>
      </c>
      <c r="C5" s="10" t="s">
        <v>326</v>
      </c>
      <c r="D5" s="10">
        <v>4</v>
      </c>
      <c r="E5" s="10">
        <f t="shared" si="0"/>
        <v>2</v>
      </c>
      <c r="F5" s="10">
        <v>0</v>
      </c>
      <c r="G5" s="10">
        <v>50000000</v>
      </c>
      <c r="H5" s="10">
        <v>1</v>
      </c>
      <c r="I5" s="10" t="s">
        <v>417</v>
      </c>
      <c r="J5" s="10" t="s">
        <v>322</v>
      </c>
      <c r="K5" s="10">
        <f t="shared" ref="K5:K36" si="8">K4+$E4</f>
        <v>45503</v>
      </c>
      <c r="L5" s="10">
        <f t="shared" ref="L5:L68" si="9">K5-40000</f>
        <v>5503</v>
      </c>
      <c r="M5" s="10">
        <f t="shared" si="1"/>
        <v>5502</v>
      </c>
      <c r="N5" s="10" t="s">
        <v>323</v>
      </c>
      <c r="O5" s="10" t="s">
        <v>324</v>
      </c>
      <c r="P5" s="10" t="s">
        <v>412</v>
      </c>
      <c r="Q5" s="10"/>
      <c r="R5" s="87"/>
      <c r="S5" s="263">
        <v>2</v>
      </c>
      <c r="T5" s="54" t="str">
        <f t="shared" ref="T5:T51" si="10">DEC2HEX(S5)</f>
        <v>2</v>
      </c>
      <c r="U5" s="62"/>
      <c r="X5" s="56">
        <f t="shared" si="2"/>
        <v>15503</v>
      </c>
      <c r="Y5" t="s">
        <v>1857</v>
      </c>
      <c r="Z5" s="56">
        <f t="shared" si="3"/>
        <v>2</v>
      </c>
      <c r="AA5" s="61">
        <f t="shared" si="4"/>
        <v>0</v>
      </c>
      <c r="AB5" s="61">
        <f t="shared" si="5"/>
        <v>50000000</v>
      </c>
      <c r="AC5" s="56">
        <f t="shared" si="6"/>
        <v>0</v>
      </c>
      <c r="AD5" s="56">
        <f t="shared" si="7"/>
        <v>1</v>
      </c>
    </row>
    <row r="6" spans="1:30" ht="15.6" x14ac:dyDescent="0.3">
      <c r="B6" s="10" t="s">
        <v>1859</v>
      </c>
      <c r="C6" s="10" t="s">
        <v>326</v>
      </c>
      <c r="D6" s="10">
        <v>4</v>
      </c>
      <c r="E6" s="10">
        <f t="shared" si="0"/>
        <v>2</v>
      </c>
      <c r="F6" s="10">
        <v>0</v>
      </c>
      <c r="G6" s="10">
        <v>50000000</v>
      </c>
      <c r="H6" s="10">
        <v>1</v>
      </c>
      <c r="I6" s="10" t="s">
        <v>417</v>
      </c>
      <c r="J6" s="10" t="s">
        <v>322</v>
      </c>
      <c r="K6" s="10">
        <f t="shared" si="8"/>
        <v>45505</v>
      </c>
      <c r="L6" s="10">
        <f t="shared" si="9"/>
        <v>5505</v>
      </c>
      <c r="M6" s="10">
        <f t="shared" si="1"/>
        <v>5504</v>
      </c>
      <c r="N6" s="10" t="s">
        <v>323</v>
      </c>
      <c r="O6" s="10" t="s">
        <v>324</v>
      </c>
      <c r="P6" s="10" t="s">
        <v>412</v>
      </c>
      <c r="Q6" s="10"/>
      <c r="R6" s="87"/>
      <c r="S6" s="263">
        <v>3</v>
      </c>
      <c r="T6" s="54" t="str">
        <f t="shared" si="10"/>
        <v>3</v>
      </c>
      <c r="X6" s="56">
        <f t="shared" si="2"/>
        <v>15505</v>
      </c>
      <c r="Y6" t="s">
        <v>1857</v>
      </c>
      <c r="Z6" s="56">
        <f t="shared" si="3"/>
        <v>2</v>
      </c>
      <c r="AA6" s="61">
        <f t="shared" si="4"/>
        <v>0</v>
      </c>
      <c r="AB6" s="61">
        <f t="shared" si="5"/>
        <v>50000000</v>
      </c>
      <c r="AC6" s="56">
        <f t="shared" si="6"/>
        <v>0</v>
      </c>
      <c r="AD6" s="56">
        <f t="shared" si="7"/>
        <v>1</v>
      </c>
    </row>
    <row r="7" spans="1:30" ht="15.6" x14ac:dyDescent="0.3">
      <c r="B7" s="10" t="s">
        <v>1860</v>
      </c>
      <c r="C7" s="10" t="s">
        <v>326</v>
      </c>
      <c r="D7" s="10">
        <v>4</v>
      </c>
      <c r="E7" s="10">
        <f t="shared" si="0"/>
        <v>2</v>
      </c>
      <c r="F7" s="10">
        <v>0</v>
      </c>
      <c r="G7" s="10">
        <v>50000000</v>
      </c>
      <c r="H7" s="10">
        <v>1</v>
      </c>
      <c r="I7" s="10" t="s">
        <v>417</v>
      </c>
      <c r="J7" s="10" t="s">
        <v>322</v>
      </c>
      <c r="K7" s="10">
        <f t="shared" si="8"/>
        <v>45507</v>
      </c>
      <c r="L7" s="10">
        <f t="shared" si="9"/>
        <v>5507</v>
      </c>
      <c r="M7" s="10">
        <f t="shared" si="1"/>
        <v>5506</v>
      </c>
      <c r="N7" s="10" t="s">
        <v>323</v>
      </c>
      <c r="O7" s="10" t="s">
        <v>324</v>
      </c>
      <c r="P7" s="10" t="s">
        <v>412</v>
      </c>
      <c r="Q7" s="10"/>
      <c r="R7" s="87"/>
      <c r="S7" s="263">
        <v>4</v>
      </c>
      <c r="T7" s="54" t="str">
        <f t="shared" si="10"/>
        <v>4</v>
      </c>
      <c r="X7" s="56">
        <f t="shared" si="2"/>
        <v>15507</v>
      </c>
      <c r="Y7" t="s">
        <v>1857</v>
      </c>
      <c r="Z7" s="56">
        <f t="shared" si="3"/>
        <v>2</v>
      </c>
      <c r="AA7" s="61">
        <f t="shared" si="4"/>
        <v>0</v>
      </c>
      <c r="AB7" s="61">
        <f t="shared" si="5"/>
        <v>50000000</v>
      </c>
      <c r="AC7" s="56">
        <f t="shared" si="6"/>
        <v>0</v>
      </c>
      <c r="AD7" s="56">
        <f t="shared" si="7"/>
        <v>1</v>
      </c>
    </row>
    <row r="8" spans="1:30" ht="15.6" x14ac:dyDescent="0.3">
      <c r="B8" s="10" t="s">
        <v>1861</v>
      </c>
      <c r="C8" s="10" t="s">
        <v>326</v>
      </c>
      <c r="D8" s="10">
        <v>4</v>
      </c>
      <c r="E8" s="10">
        <f t="shared" si="0"/>
        <v>2</v>
      </c>
      <c r="F8" s="10">
        <v>0</v>
      </c>
      <c r="G8" s="10">
        <v>50000000</v>
      </c>
      <c r="H8" s="10">
        <v>1</v>
      </c>
      <c r="I8" s="10" t="s">
        <v>417</v>
      </c>
      <c r="J8" s="10" t="s">
        <v>322</v>
      </c>
      <c r="K8" s="10">
        <f t="shared" si="8"/>
        <v>45509</v>
      </c>
      <c r="L8" s="10">
        <f t="shared" si="9"/>
        <v>5509</v>
      </c>
      <c r="M8" s="10">
        <f t="shared" si="1"/>
        <v>5508</v>
      </c>
      <c r="N8" s="10" t="s">
        <v>323</v>
      </c>
      <c r="O8" s="10" t="s">
        <v>324</v>
      </c>
      <c r="P8" s="10" t="s">
        <v>412</v>
      </c>
      <c r="Q8" s="10"/>
      <c r="R8" s="87"/>
      <c r="S8" s="263">
        <v>5</v>
      </c>
      <c r="T8" s="54" t="str">
        <f t="shared" si="10"/>
        <v>5</v>
      </c>
      <c r="X8" s="56">
        <f t="shared" si="2"/>
        <v>15509</v>
      </c>
      <c r="Y8" t="s">
        <v>1857</v>
      </c>
      <c r="Z8" s="56">
        <f t="shared" si="3"/>
        <v>2</v>
      </c>
      <c r="AA8" s="61">
        <f t="shared" si="4"/>
        <v>0</v>
      </c>
      <c r="AB8" s="61">
        <f t="shared" si="5"/>
        <v>50000000</v>
      </c>
      <c r="AC8" s="56">
        <f t="shared" si="6"/>
        <v>0</v>
      </c>
      <c r="AD8" s="56">
        <f t="shared" si="7"/>
        <v>1</v>
      </c>
    </row>
    <row r="9" spans="1:30" ht="15.6" x14ac:dyDescent="0.3">
      <c r="B9" s="10" t="s">
        <v>411</v>
      </c>
      <c r="C9" s="10" t="s">
        <v>326</v>
      </c>
      <c r="D9" s="10">
        <v>4</v>
      </c>
      <c r="E9" s="10">
        <f t="shared" si="0"/>
        <v>2</v>
      </c>
      <c r="F9" s="10">
        <v>0</v>
      </c>
      <c r="G9" s="10">
        <v>50000000</v>
      </c>
      <c r="H9" s="10">
        <v>1</v>
      </c>
      <c r="I9" s="10" t="s">
        <v>417</v>
      </c>
      <c r="J9" s="10" t="s">
        <v>322</v>
      </c>
      <c r="K9" s="10">
        <f t="shared" si="8"/>
        <v>45511</v>
      </c>
      <c r="L9" s="10">
        <f t="shared" si="9"/>
        <v>5511</v>
      </c>
      <c r="M9" s="10">
        <f t="shared" si="1"/>
        <v>5510</v>
      </c>
      <c r="N9" s="10" t="s">
        <v>323</v>
      </c>
      <c r="O9" s="10" t="s">
        <v>324</v>
      </c>
      <c r="P9" s="10" t="s">
        <v>412</v>
      </c>
      <c r="Q9" s="10"/>
      <c r="R9" s="87"/>
      <c r="S9" s="263">
        <v>6</v>
      </c>
      <c r="T9" s="54" t="str">
        <f t="shared" si="10"/>
        <v>6</v>
      </c>
      <c r="X9" s="56">
        <f t="shared" si="2"/>
        <v>15511</v>
      </c>
      <c r="Y9" t="s">
        <v>1857</v>
      </c>
      <c r="Z9" s="56">
        <f t="shared" si="3"/>
        <v>2</v>
      </c>
      <c r="AA9" s="61">
        <f t="shared" si="4"/>
        <v>0</v>
      </c>
      <c r="AB9" s="61">
        <f t="shared" si="5"/>
        <v>50000000</v>
      </c>
      <c r="AC9" s="56">
        <f t="shared" si="6"/>
        <v>0</v>
      </c>
      <c r="AD9" s="56">
        <f t="shared" si="7"/>
        <v>1</v>
      </c>
    </row>
    <row r="10" spans="1:30" ht="15.6" x14ac:dyDescent="0.3">
      <c r="B10" s="10" t="s">
        <v>1862</v>
      </c>
      <c r="C10" s="10" t="s">
        <v>321</v>
      </c>
      <c r="D10" s="10">
        <v>2</v>
      </c>
      <c r="E10" s="10">
        <f t="shared" si="0"/>
        <v>1</v>
      </c>
      <c r="F10" s="10">
        <v>0</v>
      </c>
      <c r="G10" s="10">
        <v>10000</v>
      </c>
      <c r="H10" s="10">
        <v>1</v>
      </c>
      <c r="I10" s="10" t="s">
        <v>403</v>
      </c>
      <c r="J10" s="10" t="s">
        <v>322</v>
      </c>
      <c r="K10" s="10">
        <f t="shared" si="8"/>
        <v>45513</v>
      </c>
      <c r="L10" s="10">
        <f t="shared" si="9"/>
        <v>5513</v>
      </c>
      <c r="M10" s="10">
        <f t="shared" si="1"/>
        <v>5512</v>
      </c>
      <c r="N10" s="10" t="s">
        <v>323</v>
      </c>
      <c r="O10" s="10" t="s">
        <v>324</v>
      </c>
      <c r="P10" s="10" t="s">
        <v>389</v>
      </c>
      <c r="Q10" s="10"/>
      <c r="R10" s="87"/>
      <c r="S10" s="263">
        <v>7</v>
      </c>
      <c r="T10" s="54" t="str">
        <f t="shared" si="10"/>
        <v>7</v>
      </c>
      <c r="X10" s="56">
        <f t="shared" si="2"/>
        <v>15513</v>
      </c>
      <c r="Y10" t="s">
        <v>1857</v>
      </c>
      <c r="Z10" s="56">
        <f t="shared" si="3"/>
        <v>1</v>
      </c>
      <c r="AA10" s="61">
        <f t="shared" si="4"/>
        <v>0</v>
      </c>
      <c r="AB10" s="61">
        <f t="shared" si="5"/>
        <v>10000</v>
      </c>
      <c r="AC10" s="56">
        <f t="shared" si="6"/>
        <v>0</v>
      </c>
      <c r="AD10" s="56">
        <f t="shared" si="7"/>
        <v>1</v>
      </c>
    </row>
    <row r="11" spans="1:30" ht="62.4" x14ac:dyDescent="0.3">
      <c r="B11" s="10" t="s">
        <v>1863</v>
      </c>
      <c r="C11" s="10" t="s">
        <v>321</v>
      </c>
      <c r="D11" s="10">
        <v>2</v>
      </c>
      <c r="E11" s="10">
        <f t="shared" si="0"/>
        <v>1</v>
      </c>
      <c r="F11" s="10">
        <v>0</v>
      </c>
      <c r="G11" s="10">
        <v>3</v>
      </c>
      <c r="H11" s="10">
        <v>1</v>
      </c>
      <c r="I11" s="10">
        <v>1</v>
      </c>
      <c r="J11" s="10" t="s">
        <v>322</v>
      </c>
      <c r="K11" s="10">
        <f t="shared" si="8"/>
        <v>45514</v>
      </c>
      <c r="L11" s="10">
        <f t="shared" si="9"/>
        <v>5514</v>
      </c>
      <c r="M11" s="10">
        <f t="shared" si="1"/>
        <v>5513</v>
      </c>
      <c r="N11" s="10" t="s">
        <v>323</v>
      </c>
      <c r="O11" s="10" t="s">
        <v>324</v>
      </c>
      <c r="P11" s="10" t="s">
        <v>1220</v>
      </c>
      <c r="Q11" s="10"/>
      <c r="R11" s="147" t="s">
        <v>1864</v>
      </c>
      <c r="S11" s="263">
        <v>8</v>
      </c>
      <c r="T11" s="54" t="str">
        <f t="shared" si="10"/>
        <v>8</v>
      </c>
      <c r="X11" s="56">
        <f t="shared" si="2"/>
        <v>15514</v>
      </c>
      <c r="Y11" t="s">
        <v>1857</v>
      </c>
      <c r="Z11" s="56">
        <f t="shared" si="3"/>
        <v>1</v>
      </c>
      <c r="AA11" s="61">
        <f t="shared" si="4"/>
        <v>0</v>
      </c>
      <c r="AB11" s="61">
        <f t="shared" si="5"/>
        <v>3</v>
      </c>
      <c r="AC11" s="56">
        <f t="shared" si="6"/>
        <v>0</v>
      </c>
      <c r="AD11" s="56">
        <f t="shared" si="7"/>
        <v>1</v>
      </c>
    </row>
    <row r="12" spans="1:30" ht="15.6" x14ac:dyDescent="0.3">
      <c r="B12" s="117" t="s">
        <v>1865</v>
      </c>
      <c r="C12" s="10" t="s">
        <v>326</v>
      </c>
      <c r="D12" s="10">
        <v>4</v>
      </c>
      <c r="E12" s="10">
        <f t="shared" si="0"/>
        <v>2</v>
      </c>
      <c r="F12" s="10">
        <v>0</v>
      </c>
      <c r="G12" s="10">
        <v>14300</v>
      </c>
      <c r="H12" s="10">
        <v>1</v>
      </c>
      <c r="I12" s="75" t="s">
        <v>386</v>
      </c>
      <c r="J12" s="10" t="s">
        <v>322</v>
      </c>
      <c r="K12" s="10">
        <f t="shared" si="8"/>
        <v>45515</v>
      </c>
      <c r="L12" s="10">
        <f t="shared" si="9"/>
        <v>5515</v>
      </c>
      <c r="M12" s="10">
        <f t="shared" si="1"/>
        <v>5514</v>
      </c>
      <c r="N12" s="10" t="s">
        <v>323</v>
      </c>
      <c r="O12" s="10" t="s">
        <v>324</v>
      </c>
      <c r="P12" s="10" t="s">
        <v>397</v>
      </c>
      <c r="Q12" s="10"/>
      <c r="R12" s="87"/>
      <c r="S12" s="263">
        <v>9</v>
      </c>
      <c r="T12" s="54" t="str">
        <f t="shared" si="10"/>
        <v>9</v>
      </c>
      <c r="X12" s="56">
        <f t="shared" si="2"/>
        <v>15515</v>
      </c>
      <c r="Y12" t="s">
        <v>1857</v>
      </c>
      <c r="Z12" s="56">
        <f t="shared" si="3"/>
        <v>2</v>
      </c>
      <c r="AA12" s="61">
        <f t="shared" si="4"/>
        <v>0</v>
      </c>
      <c r="AB12" s="61">
        <f t="shared" si="5"/>
        <v>14300</v>
      </c>
      <c r="AC12" s="56">
        <f t="shared" si="6"/>
        <v>0</v>
      </c>
      <c r="AD12" s="56">
        <f t="shared" si="7"/>
        <v>1</v>
      </c>
    </row>
    <row r="13" spans="1:30" ht="15.6" x14ac:dyDescent="0.3">
      <c r="B13" s="10" t="s">
        <v>1866</v>
      </c>
      <c r="C13" s="10" t="s">
        <v>326</v>
      </c>
      <c r="D13" s="10">
        <v>4</v>
      </c>
      <c r="E13" s="10">
        <f t="shared" si="0"/>
        <v>2</v>
      </c>
      <c r="F13" s="10">
        <v>0</v>
      </c>
      <c r="G13" s="10">
        <v>14300</v>
      </c>
      <c r="H13" s="10">
        <v>1</v>
      </c>
      <c r="I13" s="75" t="s">
        <v>386</v>
      </c>
      <c r="J13" s="10" t="s">
        <v>322</v>
      </c>
      <c r="K13" s="10">
        <f t="shared" si="8"/>
        <v>45517</v>
      </c>
      <c r="L13" s="10">
        <f t="shared" si="9"/>
        <v>5517</v>
      </c>
      <c r="M13" s="10">
        <f t="shared" si="1"/>
        <v>5516</v>
      </c>
      <c r="N13" s="10" t="s">
        <v>323</v>
      </c>
      <c r="O13" s="10" t="s">
        <v>324</v>
      </c>
      <c r="P13" s="10" t="s">
        <v>397</v>
      </c>
      <c r="Q13" s="10"/>
      <c r="R13" s="87"/>
      <c r="S13" s="263">
        <v>10</v>
      </c>
      <c r="T13" s="54" t="str">
        <f t="shared" si="10"/>
        <v>A</v>
      </c>
      <c r="X13" s="56">
        <f t="shared" si="2"/>
        <v>15517</v>
      </c>
      <c r="Y13" t="s">
        <v>1857</v>
      </c>
      <c r="Z13" s="56">
        <f t="shared" si="3"/>
        <v>2</v>
      </c>
      <c r="AA13" s="61">
        <f t="shared" si="4"/>
        <v>0</v>
      </c>
      <c r="AB13" s="61">
        <f t="shared" si="5"/>
        <v>14300</v>
      </c>
      <c r="AC13" s="56">
        <f t="shared" si="6"/>
        <v>0</v>
      </c>
      <c r="AD13" s="56">
        <f t="shared" si="7"/>
        <v>1</v>
      </c>
    </row>
    <row r="14" spans="1:30" ht="15.6" x14ac:dyDescent="0.3">
      <c r="B14" s="10" t="s">
        <v>1867</v>
      </c>
      <c r="C14" s="10" t="s">
        <v>326</v>
      </c>
      <c r="D14" s="10">
        <v>4</v>
      </c>
      <c r="E14" s="10">
        <f t="shared" si="0"/>
        <v>2</v>
      </c>
      <c r="F14" s="10">
        <v>0</v>
      </c>
      <c r="G14" s="10">
        <v>14300</v>
      </c>
      <c r="H14" s="10">
        <v>1</v>
      </c>
      <c r="I14" s="75" t="s">
        <v>386</v>
      </c>
      <c r="J14" s="10" t="s">
        <v>322</v>
      </c>
      <c r="K14" s="10">
        <f t="shared" si="8"/>
        <v>45519</v>
      </c>
      <c r="L14" s="10">
        <f t="shared" si="9"/>
        <v>5519</v>
      </c>
      <c r="M14" s="10">
        <f t="shared" si="1"/>
        <v>5518</v>
      </c>
      <c r="N14" s="10" t="s">
        <v>323</v>
      </c>
      <c r="O14" s="10" t="s">
        <v>324</v>
      </c>
      <c r="P14" s="10" t="s">
        <v>397</v>
      </c>
      <c r="Q14" s="10"/>
      <c r="R14" s="87"/>
      <c r="S14" s="263">
        <v>11</v>
      </c>
      <c r="T14" s="54" t="str">
        <f t="shared" si="10"/>
        <v>B</v>
      </c>
      <c r="X14" s="56">
        <f t="shared" si="2"/>
        <v>15519</v>
      </c>
      <c r="Y14" t="s">
        <v>1857</v>
      </c>
      <c r="Z14" s="56">
        <f t="shared" si="3"/>
        <v>2</v>
      </c>
      <c r="AA14" s="61">
        <f t="shared" si="4"/>
        <v>0</v>
      </c>
      <c r="AB14" s="61">
        <f t="shared" si="5"/>
        <v>14300</v>
      </c>
      <c r="AC14" s="56">
        <f t="shared" si="6"/>
        <v>0</v>
      </c>
      <c r="AD14" s="56">
        <f t="shared" si="7"/>
        <v>1</v>
      </c>
    </row>
    <row r="15" spans="1:30" ht="15.6" x14ac:dyDescent="0.3">
      <c r="B15" s="10" t="s">
        <v>396</v>
      </c>
      <c r="C15" s="10" t="s">
        <v>326</v>
      </c>
      <c r="D15" s="10">
        <v>4</v>
      </c>
      <c r="E15" s="10">
        <f t="shared" si="0"/>
        <v>2</v>
      </c>
      <c r="F15" s="10">
        <v>0</v>
      </c>
      <c r="G15" s="10">
        <v>14300</v>
      </c>
      <c r="H15" s="10">
        <v>1</v>
      </c>
      <c r="I15" s="75" t="s">
        <v>386</v>
      </c>
      <c r="J15" s="10" t="s">
        <v>322</v>
      </c>
      <c r="K15" s="10">
        <f t="shared" si="8"/>
        <v>45521</v>
      </c>
      <c r="L15" s="10">
        <f t="shared" si="9"/>
        <v>5521</v>
      </c>
      <c r="M15" s="10">
        <f t="shared" si="1"/>
        <v>5520</v>
      </c>
      <c r="N15" s="10" t="s">
        <v>323</v>
      </c>
      <c r="O15" s="10" t="s">
        <v>324</v>
      </c>
      <c r="P15" s="10" t="s">
        <v>397</v>
      </c>
      <c r="Q15" s="10"/>
      <c r="R15" s="87"/>
      <c r="S15" s="263">
        <v>12</v>
      </c>
      <c r="T15" s="54" t="str">
        <f t="shared" si="10"/>
        <v>C</v>
      </c>
      <c r="X15" s="56">
        <f t="shared" si="2"/>
        <v>15521</v>
      </c>
      <c r="Y15" t="s">
        <v>1857</v>
      </c>
      <c r="Z15" s="56">
        <f t="shared" si="3"/>
        <v>2</v>
      </c>
      <c r="AA15" s="61">
        <f t="shared" si="4"/>
        <v>0</v>
      </c>
      <c r="AB15" s="61">
        <f t="shared" si="5"/>
        <v>14300</v>
      </c>
      <c r="AC15" s="56">
        <f t="shared" si="6"/>
        <v>0</v>
      </c>
      <c r="AD15" s="56">
        <f t="shared" si="7"/>
        <v>1</v>
      </c>
    </row>
    <row r="16" spans="1:30" ht="15.6" x14ac:dyDescent="0.3">
      <c r="B16" s="10" t="s">
        <v>1868</v>
      </c>
      <c r="C16" s="10" t="s">
        <v>321</v>
      </c>
      <c r="D16" s="10">
        <v>2</v>
      </c>
      <c r="E16" s="10">
        <f t="shared" si="0"/>
        <v>1</v>
      </c>
      <c r="F16" s="10">
        <v>0</v>
      </c>
      <c r="G16" s="10">
        <v>10000</v>
      </c>
      <c r="H16" s="10">
        <v>1</v>
      </c>
      <c r="I16" s="10" t="s">
        <v>403</v>
      </c>
      <c r="J16" s="10" t="s">
        <v>322</v>
      </c>
      <c r="K16" s="10">
        <f t="shared" si="8"/>
        <v>45523</v>
      </c>
      <c r="L16" s="10">
        <f t="shared" si="9"/>
        <v>5523</v>
      </c>
      <c r="M16" s="10">
        <f t="shared" si="1"/>
        <v>5522</v>
      </c>
      <c r="N16" s="10" t="s">
        <v>323</v>
      </c>
      <c r="O16" s="10" t="s">
        <v>324</v>
      </c>
      <c r="P16" s="10" t="s">
        <v>389</v>
      </c>
      <c r="Q16" s="10"/>
      <c r="R16" s="87"/>
      <c r="S16" s="263">
        <v>13</v>
      </c>
      <c r="T16" s="54" t="str">
        <f t="shared" si="10"/>
        <v>D</v>
      </c>
      <c r="X16" s="56">
        <f t="shared" si="2"/>
        <v>15523</v>
      </c>
      <c r="Y16" t="s">
        <v>1857</v>
      </c>
      <c r="Z16" s="56">
        <f t="shared" si="3"/>
        <v>1</v>
      </c>
      <c r="AA16" s="61">
        <f t="shared" si="4"/>
        <v>0</v>
      </c>
      <c r="AB16" s="61">
        <f t="shared" si="5"/>
        <v>10000</v>
      </c>
      <c r="AC16" s="56">
        <f t="shared" si="6"/>
        <v>0</v>
      </c>
      <c r="AD16" s="56">
        <f t="shared" si="7"/>
        <v>1</v>
      </c>
    </row>
    <row r="17" spans="2:30" ht="46.8" x14ac:dyDescent="0.3">
      <c r="B17" s="10" t="s">
        <v>1869</v>
      </c>
      <c r="C17" s="10" t="s">
        <v>321</v>
      </c>
      <c r="D17" s="10">
        <v>2</v>
      </c>
      <c r="E17" s="10">
        <f t="shared" si="0"/>
        <v>1</v>
      </c>
      <c r="F17" s="10">
        <v>0</v>
      </c>
      <c r="G17" s="10">
        <v>2</v>
      </c>
      <c r="H17" s="10">
        <v>1</v>
      </c>
      <c r="I17" s="10">
        <v>1</v>
      </c>
      <c r="J17" s="10" t="s">
        <v>322</v>
      </c>
      <c r="K17" s="10">
        <f t="shared" si="8"/>
        <v>45524</v>
      </c>
      <c r="L17" s="10">
        <f t="shared" si="9"/>
        <v>5524</v>
      </c>
      <c r="M17" s="10">
        <f t="shared" si="1"/>
        <v>5523</v>
      </c>
      <c r="N17" s="10" t="s">
        <v>323</v>
      </c>
      <c r="O17" s="10" t="s">
        <v>324</v>
      </c>
      <c r="P17" s="10" t="s">
        <v>1220</v>
      </c>
      <c r="Q17" s="10"/>
      <c r="R17" s="147" t="s">
        <v>1870</v>
      </c>
      <c r="S17" s="263">
        <v>14</v>
      </c>
      <c r="T17" s="54" t="str">
        <f t="shared" si="10"/>
        <v>E</v>
      </c>
      <c r="X17" s="56">
        <f t="shared" si="2"/>
        <v>15524</v>
      </c>
      <c r="Y17" t="s">
        <v>1857</v>
      </c>
      <c r="Z17" s="56">
        <f t="shared" si="3"/>
        <v>1</v>
      </c>
      <c r="AA17" s="61">
        <f t="shared" si="4"/>
        <v>0</v>
      </c>
      <c r="AB17" s="61">
        <f t="shared" si="5"/>
        <v>2</v>
      </c>
      <c r="AC17" s="56">
        <f t="shared" si="6"/>
        <v>0</v>
      </c>
      <c r="AD17" s="56">
        <f t="shared" si="7"/>
        <v>1</v>
      </c>
    </row>
    <row r="18" spans="2:30" ht="15.6" x14ac:dyDescent="0.3">
      <c r="B18" s="10" t="s">
        <v>1305</v>
      </c>
      <c r="C18" s="10" t="s">
        <v>321</v>
      </c>
      <c r="D18" s="10">
        <v>2</v>
      </c>
      <c r="E18" s="10">
        <f t="shared" si="0"/>
        <v>1</v>
      </c>
      <c r="F18" s="10">
        <v>0</v>
      </c>
      <c r="G18" s="10">
        <v>7000</v>
      </c>
      <c r="H18" s="10">
        <v>1</v>
      </c>
      <c r="I18" s="10" t="s">
        <v>403</v>
      </c>
      <c r="J18" s="10" t="s">
        <v>322</v>
      </c>
      <c r="K18" s="10">
        <f t="shared" si="8"/>
        <v>45525</v>
      </c>
      <c r="L18" s="10">
        <f t="shared" si="9"/>
        <v>5525</v>
      </c>
      <c r="M18" s="10">
        <f t="shared" si="1"/>
        <v>5524</v>
      </c>
      <c r="N18" s="10" t="s">
        <v>323</v>
      </c>
      <c r="O18" s="10" t="s">
        <v>324</v>
      </c>
      <c r="P18" s="10" t="s">
        <v>393</v>
      </c>
      <c r="Q18" s="10"/>
      <c r="R18" s="87"/>
      <c r="S18" s="263">
        <v>15</v>
      </c>
      <c r="T18" s="54" t="str">
        <f t="shared" si="10"/>
        <v>F</v>
      </c>
      <c r="X18" s="56">
        <f t="shared" si="2"/>
        <v>15525</v>
      </c>
      <c r="Y18" t="s">
        <v>1857</v>
      </c>
      <c r="Z18" s="56">
        <f t="shared" si="3"/>
        <v>1</v>
      </c>
      <c r="AA18" s="61">
        <f t="shared" si="4"/>
        <v>0</v>
      </c>
      <c r="AB18" s="61">
        <f t="shared" si="5"/>
        <v>7000</v>
      </c>
      <c r="AC18" s="56">
        <f t="shared" si="6"/>
        <v>0</v>
      </c>
      <c r="AD18" s="56">
        <f t="shared" si="7"/>
        <v>1</v>
      </c>
    </row>
    <row r="19" spans="2:30" ht="15.6" x14ac:dyDescent="0.3">
      <c r="B19" s="10" t="s">
        <v>1871</v>
      </c>
      <c r="C19" s="10" t="s">
        <v>321</v>
      </c>
      <c r="D19" s="10">
        <v>2</v>
      </c>
      <c r="E19" s="10">
        <f t="shared" si="0"/>
        <v>1</v>
      </c>
      <c r="F19" s="10">
        <v>0</v>
      </c>
      <c r="G19" s="10">
        <v>100</v>
      </c>
      <c r="H19" s="10">
        <v>1</v>
      </c>
      <c r="I19" s="10" t="s">
        <v>403</v>
      </c>
      <c r="J19" s="10" t="s">
        <v>322</v>
      </c>
      <c r="K19" s="10">
        <f t="shared" si="8"/>
        <v>45526</v>
      </c>
      <c r="L19" s="10">
        <f t="shared" si="9"/>
        <v>5526</v>
      </c>
      <c r="M19" s="10">
        <f t="shared" si="1"/>
        <v>5525</v>
      </c>
      <c r="N19" s="10" t="s">
        <v>323</v>
      </c>
      <c r="O19" s="10" t="s">
        <v>324</v>
      </c>
      <c r="P19" s="10" t="s">
        <v>1220</v>
      </c>
      <c r="Q19" s="10"/>
      <c r="R19" s="87"/>
      <c r="S19" s="263">
        <v>16</v>
      </c>
      <c r="T19" s="54" t="str">
        <f t="shared" si="10"/>
        <v>10</v>
      </c>
      <c r="X19" s="56">
        <f t="shared" si="2"/>
        <v>15526</v>
      </c>
      <c r="Y19" t="s">
        <v>1857</v>
      </c>
      <c r="Z19" s="56">
        <f t="shared" si="3"/>
        <v>1</v>
      </c>
      <c r="AA19" s="61">
        <f t="shared" si="4"/>
        <v>0</v>
      </c>
      <c r="AB19" s="61">
        <f t="shared" si="5"/>
        <v>100</v>
      </c>
      <c r="AC19" s="56">
        <f t="shared" si="6"/>
        <v>0</v>
      </c>
      <c r="AD19" s="56">
        <f t="shared" si="7"/>
        <v>1</v>
      </c>
    </row>
    <row r="20" spans="2:30" ht="15.6" x14ac:dyDescent="0.3">
      <c r="B20" s="10" t="s">
        <v>1307</v>
      </c>
      <c r="C20" s="10" t="s">
        <v>326</v>
      </c>
      <c r="D20" s="10">
        <v>4</v>
      </c>
      <c r="E20" s="10">
        <f t="shared" si="0"/>
        <v>2</v>
      </c>
      <c r="F20" s="10">
        <v>0</v>
      </c>
      <c r="G20" s="10">
        <v>4294967295</v>
      </c>
      <c r="H20" s="10">
        <v>1</v>
      </c>
      <c r="I20" s="10" t="s">
        <v>417</v>
      </c>
      <c r="J20" s="10" t="s">
        <v>322</v>
      </c>
      <c r="K20" s="10">
        <f t="shared" si="8"/>
        <v>45527</v>
      </c>
      <c r="L20" s="10">
        <f t="shared" si="9"/>
        <v>5527</v>
      </c>
      <c r="M20" s="10">
        <f t="shared" si="1"/>
        <v>5526</v>
      </c>
      <c r="N20" s="10" t="s">
        <v>323</v>
      </c>
      <c r="O20" s="10" t="s">
        <v>324</v>
      </c>
      <c r="P20" s="10" t="s">
        <v>1872</v>
      </c>
      <c r="Q20" s="10"/>
      <c r="R20" s="87"/>
      <c r="S20" s="263">
        <v>17</v>
      </c>
      <c r="T20" s="54" t="str">
        <f t="shared" si="10"/>
        <v>11</v>
      </c>
      <c r="X20" s="56">
        <f t="shared" si="2"/>
        <v>15527</v>
      </c>
      <c r="Y20" t="s">
        <v>1857</v>
      </c>
      <c r="Z20" s="56">
        <f t="shared" si="3"/>
        <v>2</v>
      </c>
      <c r="AA20" s="61">
        <f t="shared" si="4"/>
        <v>0</v>
      </c>
      <c r="AB20" s="61">
        <f t="shared" si="5"/>
        <v>4294967295</v>
      </c>
      <c r="AC20" s="56">
        <f t="shared" si="6"/>
        <v>0</v>
      </c>
      <c r="AD20" s="56">
        <f t="shared" si="7"/>
        <v>1</v>
      </c>
    </row>
    <row r="21" spans="2:30" ht="15.6" x14ac:dyDescent="0.3">
      <c r="B21" s="10" t="s">
        <v>1873</v>
      </c>
      <c r="C21" s="10" t="s">
        <v>326</v>
      </c>
      <c r="D21" s="10">
        <v>4</v>
      </c>
      <c r="E21" s="10">
        <f t="shared" si="0"/>
        <v>2</v>
      </c>
      <c r="F21" s="10">
        <v>0</v>
      </c>
      <c r="G21" s="10">
        <v>4294967295</v>
      </c>
      <c r="H21" s="10">
        <v>1</v>
      </c>
      <c r="I21" s="10" t="s">
        <v>417</v>
      </c>
      <c r="J21" s="10" t="s">
        <v>322</v>
      </c>
      <c r="K21" s="10">
        <f t="shared" si="8"/>
        <v>45529</v>
      </c>
      <c r="L21" s="10">
        <f t="shared" si="9"/>
        <v>5529</v>
      </c>
      <c r="M21" s="10">
        <f t="shared" si="1"/>
        <v>5528</v>
      </c>
      <c r="N21" s="10" t="s">
        <v>323</v>
      </c>
      <c r="O21" s="10" t="s">
        <v>324</v>
      </c>
      <c r="P21" s="10" t="s">
        <v>1874</v>
      </c>
      <c r="Q21" s="10"/>
      <c r="R21" s="87"/>
      <c r="S21" s="263">
        <v>18</v>
      </c>
      <c r="T21" s="54" t="str">
        <f t="shared" si="10"/>
        <v>12</v>
      </c>
      <c r="X21" s="56">
        <f t="shared" si="2"/>
        <v>15529</v>
      </c>
      <c r="Y21" t="s">
        <v>1857</v>
      </c>
      <c r="Z21" s="56">
        <f t="shared" si="3"/>
        <v>2</v>
      </c>
      <c r="AA21" s="61">
        <f t="shared" si="4"/>
        <v>0</v>
      </c>
      <c r="AB21" s="61">
        <f t="shared" si="5"/>
        <v>4294967295</v>
      </c>
      <c r="AC21" s="56">
        <f t="shared" si="6"/>
        <v>0</v>
      </c>
      <c r="AD21" s="56">
        <f t="shared" si="7"/>
        <v>1</v>
      </c>
    </row>
    <row r="22" spans="2:30" ht="15.6" x14ac:dyDescent="0.3">
      <c r="B22" s="10" t="s">
        <v>1309</v>
      </c>
      <c r="C22" s="10" t="s">
        <v>326</v>
      </c>
      <c r="D22" s="10">
        <v>4</v>
      </c>
      <c r="E22" s="10">
        <f t="shared" si="0"/>
        <v>2</v>
      </c>
      <c r="F22" s="10">
        <v>0</v>
      </c>
      <c r="G22" s="10">
        <v>4294967295</v>
      </c>
      <c r="H22" s="10">
        <v>1</v>
      </c>
      <c r="I22" s="10" t="s">
        <v>417</v>
      </c>
      <c r="J22" s="10" t="s">
        <v>322</v>
      </c>
      <c r="K22" s="10">
        <f t="shared" si="8"/>
        <v>45531</v>
      </c>
      <c r="L22" s="10">
        <f t="shared" si="9"/>
        <v>5531</v>
      </c>
      <c r="M22" s="10">
        <f t="shared" si="1"/>
        <v>5530</v>
      </c>
      <c r="N22" s="10" t="s">
        <v>323</v>
      </c>
      <c r="O22" s="10" t="s">
        <v>324</v>
      </c>
      <c r="P22" s="10" t="s">
        <v>1875</v>
      </c>
      <c r="Q22" s="10"/>
      <c r="R22" s="87"/>
      <c r="S22" s="263">
        <v>19</v>
      </c>
      <c r="T22" s="54" t="str">
        <f t="shared" si="10"/>
        <v>13</v>
      </c>
      <c r="X22" s="56">
        <f t="shared" si="2"/>
        <v>15531</v>
      </c>
      <c r="Y22" t="s">
        <v>1857</v>
      </c>
      <c r="Z22" s="56">
        <f t="shared" si="3"/>
        <v>2</v>
      </c>
      <c r="AA22" s="61">
        <f t="shared" si="4"/>
        <v>0</v>
      </c>
      <c r="AB22" s="61">
        <f t="shared" si="5"/>
        <v>4294967295</v>
      </c>
      <c r="AC22" s="56">
        <f t="shared" si="6"/>
        <v>0</v>
      </c>
      <c r="AD22" s="56">
        <f t="shared" si="7"/>
        <v>1</v>
      </c>
    </row>
    <row r="23" spans="2:30" ht="15.6" x14ac:dyDescent="0.3">
      <c r="B23" s="10" t="s">
        <v>1876</v>
      </c>
      <c r="C23" s="10" t="s">
        <v>1877</v>
      </c>
      <c r="D23" s="10">
        <v>8</v>
      </c>
      <c r="E23" s="10">
        <f t="shared" si="0"/>
        <v>4</v>
      </c>
      <c r="F23" s="10">
        <v>0</v>
      </c>
      <c r="G23" s="77">
        <v>9.2233720368547697E+18</v>
      </c>
      <c r="H23" s="10">
        <v>1</v>
      </c>
      <c r="I23" s="10" t="s">
        <v>417</v>
      </c>
      <c r="J23" s="10" t="s">
        <v>322</v>
      </c>
      <c r="K23" s="10">
        <f t="shared" si="8"/>
        <v>45533</v>
      </c>
      <c r="L23" s="10">
        <f t="shared" si="9"/>
        <v>5533</v>
      </c>
      <c r="M23" s="10">
        <f t="shared" si="1"/>
        <v>5532</v>
      </c>
      <c r="N23" s="10" t="s">
        <v>323</v>
      </c>
      <c r="O23" s="10" t="s">
        <v>327</v>
      </c>
      <c r="P23" s="10" t="s">
        <v>1878</v>
      </c>
      <c r="Q23" s="10"/>
      <c r="R23" s="87"/>
      <c r="S23" s="263">
        <v>20</v>
      </c>
      <c r="T23" s="54" t="str">
        <f t="shared" si="10"/>
        <v>14</v>
      </c>
      <c r="X23" s="56">
        <f t="shared" si="2"/>
        <v>15533</v>
      </c>
      <c r="Y23" t="s">
        <v>1857</v>
      </c>
      <c r="Z23" s="56">
        <f t="shared" si="3"/>
        <v>4</v>
      </c>
      <c r="AA23" s="61">
        <f t="shared" si="4"/>
        <v>0</v>
      </c>
      <c r="AB23" s="61">
        <f t="shared" si="5"/>
        <v>9.2233720368547697E+18</v>
      </c>
      <c r="AC23" s="56">
        <f t="shared" si="6"/>
        <v>0</v>
      </c>
      <c r="AD23" s="56">
        <f t="shared" si="7"/>
        <v>1</v>
      </c>
    </row>
    <row r="24" spans="2:30" ht="15.6" x14ac:dyDescent="0.3">
      <c r="B24" s="10" t="s">
        <v>1879</v>
      </c>
      <c r="C24" s="10" t="s">
        <v>1877</v>
      </c>
      <c r="D24" s="10">
        <v>8</v>
      </c>
      <c r="E24" s="10">
        <f t="shared" si="0"/>
        <v>4</v>
      </c>
      <c r="F24" s="10">
        <v>0</v>
      </c>
      <c r="G24" s="77">
        <v>9.2233720368547697E+18</v>
      </c>
      <c r="H24" s="10">
        <v>1</v>
      </c>
      <c r="I24" s="10" t="s">
        <v>417</v>
      </c>
      <c r="J24" s="10" t="s">
        <v>322</v>
      </c>
      <c r="K24" s="10">
        <f t="shared" si="8"/>
        <v>45537</v>
      </c>
      <c r="L24" s="10">
        <f t="shared" si="9"/>
        <v>5537</v>
      </c>
      <c r="M24" s="10">
        <f t="shared" si="1"/>
        <v>5536</v>
      </c>
      <c r="N24" s="10" t="s">
        <v>323</v>
      </c>
      <c r="O24" s="10" t="s">
        <v>327</v>
      </c>
      <c r="P24" s="10" t="s">
        <v>1880</v>
      </c>
      <c r="Q24" s="10"/>
      <c r="R24" s="87"/>
      <c r="S24" s="263">
        <v>21</v>
      </c>
      <c r="T24" s="54" t="str">
        <f t="shared" si="10"/>
        <v>15</v>
      </c>
      <c r="X24" s="56">
        <f t="shared" si="2"/>
        <v>15537</v>
      </c>
      <c r="Y24" t="s">
        <v>1857</v>
      </c>
      <c r="Z24" s="56">
        <f t="shared" si="3"/>
        <v>4</v>
      </c>
      <c r="AA24" s="61">
        <f t="shared" si="4"/>
        <v>0</v>
      </c>
      <c r="AB24" s="61">
        <f t="shared" si="5"/>
        <v>9.2233720368547697E+18</v>
      </c>
      <c r="AC24" s="56">
        <f t="shared" si="6"/>
        <v>0</v>
      </c>
      <c r="AD24" s="56">
        <f t="shared" si="7"/>
        <v>1</v>
      </c>
    </row>
    <row r="25" spans="2:30" ht="15.6" x14ac:dyDescent="0.3">
      <c r="B25" s="10" t="s">
        <v>1881</v>
      </c>
      <c r="C25" s="10" t="s">
        <v>1877</v>
      </c>
      <c r="D25" s="10">
        <v>8</v>
      </c>
      <c r="E25" s="10">
        <f t="shared" si="0"/>
        <v>4</v>
      </c>
      <c r="F25" s="10">
        <v>0</v>
      </c>
      <c r="G25" s="77">
        <v>9.2233720368547697E+18</v>
      </c>
      <c r="H25" s="10">
        <v>1</v>
      </c>
      <c r="I25" s="10" t="s">
        <v>417</v>
      </c>
      <c r="J25" s="10" t="s">
        <v>322</v>
      </c>
      <c r="K25" s="10">
        <f t="shared" si="8"/>
        <v>45541</v>
      </c>
      <c r="L25" s="10">
        <f t="shared" si="9"/>
        <v>5541</v>
      </c>
      <c r="M25" s="10">
        <f t="shared" si="1"/>
        <v>5540</v>
      </c>
      <c r="N25" s="10" t="s">
        <v>323</v>
      </c>
      <c r="O25" s="10" t="s">
        <v>327</v>
      </c>
      <c r="P25" s="10" t="s">
        <v>1882</v>
      </c>
      <c r="Q25" s="10"/>
      <c r="R25" s="87"/>
      <c r="S25" s="263">
        <v>22</v>
      </c>
      <c r="T25" s="54" t="str">
        <f t="shared" si="10"/>
        <v>16</v>
      </c>
      <c r="X25" s="56">
        <f t="shared" si="2"/>
        <v>15541</v>
      </c>
      <c r="Y25" t="s">
        <v>1857</v>
      </c>
      <c r="Z25" s="56">
        <f t="shared" si="3"/>
        <v>4</v>
      </c>
      <c r="AA25" s="61">
        <f t="shared" si="4"/>
        <v>0</v>
      </c>
      <c r="AB25" s="61">
        <f t="shared" si="5"/>
        <v>9.2233720368547697E+18</v>
      </c>
      <c r="AC25" s="56">
        <f t="shared" si="6"/>
        <v>0</v>
      </c>
      <c r="AD25" s="56">
        <f t="shared" si="7"/>
        <v>1</v>
      </c>
    </row>
    <row r="26" spans="2:30" ht="15.6" x14ac:dyDescent="0.3">
      <c r="B26" s="10" t="s">
        <v>1883</v>
      </c>
      <c r="C26" s="10" t="s">
        <v>321</v>
      </c>
      <c r="D26" s="10">
        <v>2</v>
      </c>
      <c r="E26" s="10">
        <f t="shared" si="0"/>
        <v>1</v>
      </c>
      <c r="F26" s="10">
        <v>0</v>
      </c>
      <c r="G26" s="10">
        <v>100</v>
      </c>
      <c r="H26" s="10">
        <v>1</v>
      </c>
      <c r="I26" s="10">
        <v>1</v>
      </c>
      <c r="J26" s="10" t="s">
        <v>322</v>
      </c>
      <c r="K26" s="10">
        <f t="shared" si="8"/>
        <v>45545</v>
      </c>
      <c r="L26" s="10">
        <f t="shared" si="9"/>
        <v>5545</v>
      </c>
      <c r="M26" s="10">
        <f t="shared" si="1"/>
        <v>5544</v>
      </c>
      <c r="N26" s="10" t="s">
        <v>323</v>
      </c>
      <c r="O26" s="10" t="s">
        <v>324</v>
      </c>
      <c r="P26" s="10" t="s">
        <v>389</v>
      </c>
      <c r="Q26" s="10"/>
      <c r="R26" s="87"/>
      <c r="S26" s="263">
        <v>23</v>
      </c>
      <c r="T26" s="54" t="str">
        <f t="shared" si="10"/>
        <v>17</v>
      </c>
      <c r="X26" s="56">
        <f t="shared" si="2"/>
        <v>15545</v>
      </c>
      <c r="Y26" t="s">
        <v>1857</v>
      </c>
      <c r="Z26" s="56">
        <f t="shared" si="3"/>
        <v>1</v>
      </c>
      <c r="AA26" s="61">
        <f t="shared" si="4"/>
        <v>0</v>
      </c>
      <c r="AB26" s="61">
        <f t="shared" si="5"/>
        <v>100</v>
      </c>
      <c r="AC26" s="56">
        <f t="shared" si="6"/>
        <v>0</v>
      </c>
      <c r="AD26" s="56">
        <f t="shared" si="7"/>
        <v>1</v>
      </c>
    </row>
    <row r="27" spans="2:30" ht="15.6" x14ac:dyDescent="0.3">
      <c r="B27" s="10" t="s">
        <v>1884</v>
      </c>
      <c r="C27" s="10" t="s">
        <v>321</v>
      </c>
      <c r="D27" s="10">
        <v>2</v>
      </c>
      <c r="E27" s="10">
        <f t="shared" si="0"/>
        <v>1</v>
      </c>
      <c r="F27" s="10">
        <v>0</v>
      </c>
      <c r="G27" s="10">
        <v>100</v>
      </c>
      <c r="H27" s="10">
        <v>1</v>
      </c>
      <c r="I27" s="10">
        <v>1</v>
      </c>
      <c r="J27" s="10" t="s">
        <v>322</v>
      </c>
      <c r="K27" s="10">
        <f t="shared" si="8"/>
        <v>45546</v>
      </c>
      <c r="L27" s="10">
        <f t="shared" si="9"/>
        <v>5546</v>
      </c>
      <c r="M27" s="10">
        <f t="shared" si="1"/>
        <v>5545</v>
      </c>
      <c r="N27" s="10" t="s">
        <v>323</v>
      </c>
      <c r="O27" s="10" t="s">
        <v>324</v>
      </c>
      <c r="P27" s="10" t="s">
        <v>389</v>
      </c>
      <c r="Q27" s="10"/>
      <c r="R27" s="87"/>
      <c r="S27" s="263">
        <v>24</v>
      </c>
      <c r="T27" s="54" t="str">
        <f t="shared" si="10"/>
        <v>18</v>
      </c>
      <c r="X27" s="56">
        <f t="shared" si="2"/>
        <v>15546</v>
      </c>
      <c r="Y27" t="s">
        <v>1857</v>
      </c>
      <c r="Z27" s="56">
        <f t="shared" si="3"/>
        <v>1</v>
      </c>
      <c r="AA27" s="61">
        <f t="shared" si="4"/>
        <v>0</v>
      </c>
      <c r="AB27" s="61">
        <f t="shared" si="5"/>
        <v>100</v>
      </c>
      <c r="AC27" s="56">
        <f t="shared" si="6"/>
        <v>0</v>
      </c>
      <c r="AD27" s="56">
        <f t="shared" si="7"/>
        <v>1</v>
      </c>
    </row>
    <row r="28" spans="2:30" ht="15.6" x14ac:dyDescent="0.3">
      <c r="B28" s="10" t="s">
        <v>1885</v>
      </c>
      <c r="C28" s="10" t="s">
        <v>321</v>
      </c>
      <c r="D28" s="10">
        <v>2</v>
      </c>
      <c r="E28" s="10">
        <f t="shared" si="0"/>
        <v>1</v>
      </c>
      <c r="F28" s="10">
        <v>0</v>
      </c>
      <c r="G28" s="10">
        <v>100</v>
      </c>
      <c r="H28" s="10">
        <v>1</v>
      </c>
      <c r="I28" s="10">
        <v>1</v>
      </c>
      <c r="J28" s="10" t="s">
        <v>322</v>
      </c>
      <c r="K28" s="10">
        <f t="shared" si="8"/>
        <v>45547</v>
      </c>
      <c r="L28" s="10">
        <f t="shared" si="9"/>
        <v>5547</v>
      </c>
      <c r="M28" s="10">
        <f t="shared" si="1"/>
        <v>5546</v>
      </c>
      <c r="N28" s="10" t="s">
        <v>323</v>
      </c>
      <c r="O28" s="10" t="s">
        <v>324</v>
      </c>
      <c r="P28" s="10" t="s">
        <v>389</v>
      </c>
      <c r="Q28" s="10"/>
      <c r="R28" s="87"/>
      <c r="S28" s="263">
        <v>25</v>
      </c>
      <c r="T28" s="54" t="str">
        <f t="shared" si="10"/>
        <v>19</v>
      </c>
      <c r="X28" s="56">
        <f t="shared" si="2"/>
        <v>15547</v>
      </c>
      <c r="Y28" t="s">
        <v>1857</v>
      </c>
      <c r="Z28" s="56">
        <f t="shared" si="3"/>
        <v>1</v>
      </c>
      <c r="AA28" s="61">
        <f t="shared" si="4"/>
        <v>0</v>
      </c>
      <c r="AB28" s="61">
        <f t="shared" si="5"/>
        <v>100</v>
      </c>
      <c r="AC28" s="56">
        <f t="shared" si="6"/>
        <v>0</v>
      </c>
      <c r="AD28" s="56">
        <f t="shared" si="7"/>
        <v>1</v>
      </c>
    </row>
    <row r="29" spans="2:30" ht="15.6" x14ac:dyDescent="0.3">
      <c r="B29" s="117" t="s">
        <v>1886</v>
      </c>
      <c r="C29" s="10" t="s">
        <v>321</v>
      </c>
      <c r="D29" s="10">
        <v>2</v>
      </c>
      <c r="E29" s="10">
        <f t="shared" si="0"/>
        <v>1</v>
      </c>
      <c r="F29" s="10">
        <v>0</v>
      </c>
      <c r="G29" s="10">
        <v>100</v>
      </c>
      <c r="H29" s="10">
        <v>1</v>
      </c>
      <c r="I29" s="10">
        <v>1</v>
      </c>
      <c r="J29" s="10" t="s">
        <v>322</v>
      </c>
      <c r="K29" s="10">
        <f t="shared" si="8"/>
        <v>45548</v>
      </c>
      <c r="L29" s="10">
        <f t="shared" si="9"/>
        <v>5548</v>
      </c>
      <c r="M29" s="10">
        <f t="shared" si="1"/>
        <v>5547</v>
      </c>
      <c r="N29" s="10" t="s">
        <v>323</v>
      </c>
      <c r="O29" s="10" t="s">
        <v>324</v>
      </c>
      <c r="P29" s="10" t="s">
        <v>389</v>
      </c>
      <c r="Q29" s="10"/>
      <c r="R29" s="87"/>
      <c r="S29" s="263">
        <v>26</v>
      </c>
      <c r="T29" s="54" t="str">
        <f t="shared" si="10"/>
        <v>1A</v>
      </c>
      <c r="X29" s="56">
        <f t="shared" si="2"/>
        <v>15548</v>
      </c>
      <c r="Y29" t="s">
        <v>1857</v>
      </c>
      <c r="Z29" s="56">
        <f t="shared" si="3"/>
        <v>1</v>
      </c>
      <c r="AA29" s="61">
        <f t="shared" si="4"/>
        <v>0</v>
      </c>
      <c r="AB29" s="61">
        <f t="shared" si="5"/>
        <v>100</v>
      </c>
      <c r="AC29" s="56">
        <f t="shared" si="6"/>
        <v>0</v>
      </c>
      <c r="AD29" s="56">
        <f t="shared" si="7"/>
        <v>1</v>
      </c>
    </row>
    <row r="30" spans="2:30" s="6" customFormat="1" ht="15.6" x14ac:dyDescent="0.3">
      <c r="B30" s="221" t="s">
        <v>1887</v>
      </c>
      <c r="C30" s="10" t="s">
        <v>321</v>
      </c>
      <c r="D30" s="10">
        <v>2</v>
      </c>
      <c r="E30" s="10">
        <f t="shared" si="0"/>
        <v>1</v>
      </c>
      <c r="F30" s="10">
        <v>0</v>
      </c>
      <c r="G30" s="10">
        <v>100</v>
      </c>
      <c r="H30" s="10">
        <v>1</v>
      </c>
      <c r="I30" s="10">
        <v>1</v>
      </c>
      <c r="J30" s="10" t="s">
        <v>322</v>
      </c>
      <c r="K30" s="10">
        <f t="shared" si="8"/>
        <v>45549</v>
      </c>
      <c r="L30" s="10">
        <f t="shared" si="9"/>
        <v>5549</v>
      </c>
      <c r="M30" s="10">
        <f t="shared" si="1"/>
        <v>5548</v>
      </c>
      <c r="N30" s="10" t="s">
        <v>323</v>
      </c>
      <c r="O30" s="10" t="s">
        <v>324</v>
      </c>
      <c r="P30" s="10" t="s">
        <v>389</v>
      </c>
      <c r="Q30" s="10"/>
      <c r="R30" s="87"/>
      <c r="S30" s="263">
        <v>27</v>
      </c>
      <c r="T30" s="54" t="str">
        <f t="shared" si="10"/>
        <v>1B</v>
      </c>
    </row>
    <row r="31" spans="2:30" s="6" customFormat="1" ht="16.2" x14ac:dyDescent="0.3">
      <c r="B31" s="221" t="s">
        <v>1888</v>
      </c>
      <c r="C31" s="10" t="s">
        <v>321</v>
      </c>
      <c r="D31" s="10">
        <v>2</v>
      </c>
      <c r="E31" s="10">
        <f t="shared" si="0"/>
        <v>1</v>
      </c>
      <c r="F31" s="10">
        <v>0</v>
      </c>
      <c r="G31" s="10">
        <v>100</v>
      </c>
      <c r="H31" s="10">
        <v>1</v>
      </c>
      <c r="I31" s="10">
        <v>1</v>
      </c>
      <c r="J31" s="10" t="s">
        <v>322</v>
      </c>
      <c r="K31" s="10">
        <f t="shared" si="8"/>
        <v>45550</v>
      </c>
      <c r="L31" s="10">
        <f t="shared" si="9"/>
        <v>5550</v>
      </c>
      <c r="M31" s="10">
        <f t="shared" si="1"/>
        <v>5549</v>
      </c>
      <c r="N31" s="10" t="s">
        <v>323</v>
      </c>
      <c r="O31" s="10" t="s">
        <v>324</v>
      </c>
      <c r="P31" s="10" t="s">
        <v>389</v>
      </c>
      <c r="Q31" s="10"/>
      <c r="R31" s="87"/>
      <c r="S31" s="263">
        <v>28</v>
      </c>
      <c r="T31" s="54" t="str">
        <f t="shared" si="10"/>
        <v>1C</v>
      </c>
      <c r="U31" s="8"/>
      <c r="V31" s="8"/>
      <c r="W31" s="13"/>
      <c r="X31" s="33"/>
    </row>
    <row r="32" spans="2:30" ht="31.2" x14ac:dyDescent="0.3">
      <c r="B32" s="10" t="s">
        <v>1889</v>
      </c>
      <c r="C32" s="10" t="s">
        <v>321</v>
      </c>
      <c r="D32" s="10">
        <v>2</v>
      </c>
      <c r="E32" s="10">
        <f t="shared" si="0"/>
        <v>1</v>
      </c>
      <c r="F32" s="10">
        <v>0</v>
      </c>
      <c r="G32" s="369">
        <v>3000</v>
      </c>
      <c r="H32" s="10">
        <v>1</v>
      </c>
      <c r="I32" s="75" t="s">
        <v>386</v>
      </c>
      <c r="J32" s="10" t="s">
        <v>322</v>
      </c>
      <c r="K32" s="10">
        <f t="shared" si="8"/>
        <v>45551</v>
      </c>
      <c r="L32" s="10">
        <f t="shared" si="9"/>
        <v>5551</v>
      </c>
      <c r="M32" s="10">
        <f t="shared" si="1"/>
        <v>5550</v>
      </c>
      <c r="N32" s="10" t="s">
        <v>323</v>
      </c>
      <c r="O32" s="10" t="s">
        <v>324</v>
      </c>
      <c r="P32" s="221" t="s">
        <v>1890</v>
      </c>
      <c r="Q32" s="10"/>
      <c r="R32" s="222" t="s">
        <v>1891</v>
      </c>
      <c r="S32" s="263">
        <v>29</v>
      </c>
      <c r="T32" s="54" t="str">
        <f t="shared" si="10"/>
        <v>1D</v>
      </c>
      <c r="X32" s="56">
        <f>IF($K32="","",($K32-30000))</f>
        <v>15551</v>
      </c>
      <c r="Y32" t="s">
        <v>1857</v>
      </c>
      <c r="Z32" s="56">
        <f>IF($K32="","",($E32))</f>
        <v>1</v>
      </c>
      <c r="AA32" s="61">
        <f>IF($K32="","",$F32)</f>
        <v>0</v>
      </c>
      <c r="AB32" s="61">
        <f>IF($K32="","",($G32))</f>
        <v>3000</v>
      </c>
      <c r="AC32" s="56">
        <f>IF($K32="","",(0))</f>
        <v>0</v>
      </c>
      <c r="AD32" s="56">
        <f>IF($K32="","",($H32))</f>
        <v>1</v>
      </c>
    </row>
    <row r="33" spans="2:30" ht="15.6" x14ac:dyDescent="0.3">
      <c r="B33" s="10" t="s">
        <v>1892</v>
      </c>
      <c r="C33" s="10" t="s">
        <v>321</v>
      </c>
      <c r="D33" s="10">
        <v>2</v>
      </c>
      <c r="E33" s="10">
        <f t="shared" si="0"/>
        <v>1</v>
      </c>
      <c r="F33" s="10">
        <v>0</v>
      </c>
      <c r="G33" s="10">
        <v>4000</v>
      </c>
      <c r="H33" s="10">
        <v>1</v>
      </c>
      <c r="I33" s="10">
        <v>1</v>
      </c>
      <c r="J33" s="10" t="s">
        <v>322</v>
      </c>
      <c r="K33" s="10">
        <f t="shared" si="8"/>
        <v>45552</v>
      </c>
      <c r="L33" s="10">
        <f t="shared" si="9"/>
        <v>5552</v>
      </c>
      <c r="M33" s="10">
        <f t="shared" si="1"/>
        <v>5551</v>
      </c>
      <c r="N33" s="10" t="s">
        <v>323</v>
      </c>
      <c r="O33" s="10" t="s">
        <v>324</v>
      </c>
      <c r="P33" s="10" t="s">
        <v>395</v>
      </c>
      <c r="Q33" s="10"/>
      <c r="R33" s="87"/>
      <c r="S33" s="263">
        <v>30</v>
      </c>
      <c r="T33" s="54" t="str">
        <f t="shared" si="10"/>
        <v>1E</v>
      </c>
      <c r="X33" s="56">
        <f>IF($K33="","",($K33-30000))</f>
        <v>15552</v>
      </c>
      <c r="Y33" t="s">
        <v>1857</v>
      </c>
      <c r="Z33" s="56">
        <f>IF($K33="","",($E33))</f>
        <v>1</v>
      </c>
      <c r="AA33" s="61">
        <f>IF($K33="","",$F33)</f>
        <v>0</v>
      </c>
      <c r="AB33" s="61">
        <f>IF($K33="","",($G33))</f>
        <v>4000</v>
      </c>
      <c r="AC33" s="56">
        <f>IF($K33="","",(0))</f>
        <v>0</v>
      </c>
      <c r="AD33" s="56">
        <f>IF($K33="","",($H33))</f>
        <v>1</v>
      </c>
    </row>
    <row r="34" spans="2:30" ht="15.6" x14ac:dyDescent="0.3">
      <c r="B34" s="10" t="s">
        <v>320</v>
      </c>
      <c r="C34" s="10" t="s">
        <v>321</v>
      </c>
      <c r="D34" s="10">
        <v>2</v>
      </c>
      <c r="E34" s="10">
        <f t="shared" si="0"/>
        <v>1</v>
      </c>
      <c r="F34" s="10">
        <v>0</v>
      </c>
      <c r="G34" s="10">
        <v>0</v>
      </c>
      <c r="H34" s="10">
        <v>1</v>
      </c>
      <c r="I34" s="10">
        <v>1</v>
      </c>
      <c r="J34" s="10" t="s">
        <v>322</v>
      </c>
      <c r="K34" s="10">
        <f t="shared" si="8"/>
        <v>45553</v>
      </c>
      <c r="L34" s="10">
        <f t="shared" si="9"/>
        <v>5553</v>
      </c>
      <c r="M34" s="10">
        <f t="shared" si="1"/>
        <v>5552</v>
      </c>
      <c r="N34" s="10" t="s">
        <v>323</v>
      </c>
      <c r="O34" s="10" t="s">
        <v>324</v>
      </c>
      <c r="P34" s="10"/>
      <c r="Q34" s="10"/>
      <c r="R34" s="87"/>
      <c r="S34" s="263">
        <v>31</v>
      </c>
      <c r="T34" s="54" t="str">
        <f t="shared" si="10"/>
        <v>1F</v>
      </c>
      <c r="X34" s="56">
        <f>IF($K34="","",($K34-30000))</f>
        <v>15553</v>
      </c>
      <c r="Y34" t="s">
        <v>1857</v>
      </c>
      <c r="Z34" s="56">
        <f>IF($K34="","",($E34))</f>
        <v>1</v>
      </c>
      <c r="AA34" s="61">
        <f>IF($K34="","",$F34)</f>
        <v>0</v>
      </c>
      <c r="AB34" s="61">
        <f>IF($K34="","",($G34))</f>
        <v>0</v>
      </c>
      <c r="AC34" s="56">
        <f>IF($K34="","",(0))</f>
        <v>0</v>
      </c>
      <c r="AD34" s="56">
        <f>IF($K34="","",($H34))</f>
        <v>1</v>
      </c>
    </row>
    <row r="35" spans="2:30" ht="15.6" x14ac:dyDescent="0.3">
      <c r="B35" s="10" t="s">
        <v>320</v>
      </c>
      <c r="C35" s="10" t="s">
        <v>326</v>
      </c>
      <c r="D35" s="10">
        <v>4</v>
      </c>
      <c r="E35" s="10">
        <f t="shared" si="0"/>
        <v>2</v>
      </c>
      <c r="F35" s="10">
        <v>0</v>
      </c>
      <c r="G35" s="10">
        <v>0</v>
      </c>
      <c r="H35" s="10">
        <v>1</v>
      </c>
      <c r="I35" s="10">
        <v>1</v>
      </c>
      <c r="J35" s="10" t="s">
        <v>322</v>
      </c>
      <c r="K35" s="10">
        <f t="shared" si="8"/>
        <v>45554</v>
      </c>
      <c r="L35" s="10">
        <f t="shared" si="9"/>
        <v>5554</v>
      </c>
      <c r="M35" s="10">
        <f t="shared" si="1"/>
        <v>5553</v>
      </c>
      <c r="N35" s="10" t="s">
        <v>323</v>
      </c>
      <c r="O35" s="10" t="s">
        <v>324</v>
      </c>
      <c r="P35" s="10"/>
      <c r="Q35" s="10"/>
      <c r="R35" s="87"/>
      <c r="S35" s="263">
        <v>32</v>
      </c>
      <c r="T35" s="54" t="str">
        <f t="shared" si="10"/>
        <v>20</v>
      </c>
      <c r="X35" s="56">
        <f>IF($K35="","",($K35-30000))</f>
        <v>15554</v>
      </c>
      <c r="Y35" t="s">
        <v>1857</v>
      </c>
      <c r="Z35" s="56">
        <f>IF($K35="","",($E35))</f>
        <v>2</v>
      </c>
      <c r="AA35" s="61">
        <f>IF($K35="","",$F35)</f>
        <v>0</v>
      </c>
      <c r="AB35" s="61">
        <f>IF($K35="","",($G35))</f>
        <v>0</v>
      </c>
      <c r="AC35" s="56">
        <f>IF($K35="","",(0))</f>
        <v>0</v>
      </c>
      <c r="AD35" s="56">
        <f>IF($K35="","",($H35))</f>
        <v>1</v>
      </c>
    </row>
    <row r="36" spans="2:30" ht="15.6" x14ac:dyDescent="0.3">
      <c r="B36" s="10" t="s">
        <v>320</v>
      </c>
      <c r="C36" s="10" t="s">
        <v>326</v>
      </c>
      <c r="D36" s="10">
        <v>4</v>
      </c>
      <c r="E36" s="10">
        <f t="shared" si="0"/>
        <v>2</v>
      </c>
      <c r="F36" s="10">
        <v>0</v>
      </c>
      <c r="G36" s="10">
        <v>0</v>
      </c>
      <c r="H36" s="10">
        <v>1</v>
      </c>
      <c r="I36" s="10">
        <v>1</v>
      </c>
      <c r="J36" s="10" t="s">
        <v>322</v>
      </c>
      <c r="K36" s="10">
        <f t="shared" si="8"/>
        <v>45556</v>
      </c>
      <c r="L36" s="10">
        <f t="shared" si="9"/>
        <v>5556</v>
      </c>
      <c r="M36" s="10">
        <f t="shared" si="1"/>
        <v>5555</v>
      </c>
      <c r="N36" s="10" t="s">
        <v>323</v>
      </c>
      <c r="O36" s="10" t="s">
        <v>324</v>
      </c>
      <c r="P36" s="10"/>
      <c r="Q36" s="10"/>
      <c r="R36" s="87"/>
      <c r="S36" s="263">
        <v>33</v>
      </c>
      <c r="T36" s="54" t="str">
        <f t="shared" si="10"/>
        <v>21</v>
      </c>
      <c r="X36" s="56">
        <f>IF($K36="","",($K36-30000))</f>
        <v>15556</v>
      </c>
      <c r="Y36" t="s">
        <v>1857</v>
      </c>
      <c r="Z36" s="56">
        <f>IF($K36="","",($E36))</f>
        <v>2</v>
      </c>
      <c r="AA36" s="61">
        <f>IF($K36="","",$F36)</f>
        <v>0</v>
      </c>
      <c r="AB36" s="61">
        <f>IF($K36="","",($G36))</f>
        <v>0</v>
      </c>
      <c r="AC36" s="56">
        <f>IF($K36="","",(0))</f>
        <v>0</v>
      </c>
      <c r="AD36" s="56">
        <f>IF($K36="","",($H36))</f>
        <v>1</v>
      </c>
    </row>
    <row r="37" spans="2:30" s="6" customFormat="1" ht="16.2" x14ac:dyDescent="0.3">
      <c r="B37" s="496" t="s">
        <v>1893</v>
      </c>
      <c r="C37" s="496"/>
      <c r="D37" s="496"/>
      <c r="E37" s="496"/>
      <c r="F37" s="496"/>
      <c r="G37" s="496"/>
      <c r="H37" s="496"/>
      <c r="I37" s="496"/>
      <c r="J37" s="496"/>
      <c r="K37" s="496"/>
      <c r="L37" s="496"/>
      <c r="M37" s="496"/>
      <c r="N37" s="496"/>
      <c r="O37" s="496"/>
      <c r="P37" s="496"/>
      <c r="Q37" s="496"/>
      <c r="R37" s="497"/>
      <c r="S37" s="398">
        <v>3.0013888888888887</v>
      </c>
      <c r="T37" s="85" t="s">
        <v>3832</v>
      </c>
      <c r="U37" s="8"/>
      <c r="V37" s="8"/>
      <c r="W37" s="13"/>
      <c r="X37" s="33"/>
    </row>
    <row r="38" spans="2:30" s="6" customFormat="1" ht="47.55" customHeight="1" x14ac:dyDescent="0.3">
      <c r="B38" s="10" t="s">
        <v>1894</v>
      </c>
      <c r="C38" s="10" t="s">
        <v>321</v>
      </c>
      <c r="D38" s="10">
        <v>2</v>
      </c>
      <c r="E38" s="10">
        <f t="shared" ref="E38:E51" si="11">D38/2</f>
        <v>1</v>
      </c>
      <c r="F38" s="10">
        <v>1</v>
      </c>
      <c r="G38" s="10">
        <v>4</v>
      </c>
      <c r="H38" s="10">
        <v>1</v>
      </c>
      <c r="I38" s="10">
        <v>1</v>
      </c>
      <c r="J38" s="10" t="s">
        <v>322</v>
      </c>
      <c r="K38" s="10">
        <f>K36+E36</f>
        <v>45558</v>
      </c>
      <c r="L38" s="10">
        <f t="shared" si="9"/>
        <v>5558</v>
      </c>
      <c r="M38" s="10">
        <f t="shared" si="1"/>
        <v>5557</v>
      </c>
      <c r="N38" s="10" t="s">
        <v>323</v>
      </c>
      <c r="O38" s="68" t="s">
        <v>324</v>
      </c>
      <c r="Q38" s="10"/>
      <c r="R38" s="393" t="s">
        <v>1895</v>
      </c>
      <c r="S38" s="7">
        <v>1</v>
      </c>
      <c r="T38" s="54" t="str">
        <f t="shared" si="10"/>
        <v>1</v>
      </c>
      <c r="U38" s="13"/>
      <c r="V38" s="13"/>
      <c r="W38" s="13"/>
      <c r="X38" s="33"/>
    </row>
    <row r="39" spans="2:30" s="6" customFormat="1" ht="16.2" x14ac:dyDescent="0.3">
      <c r="B39" s="10" t="s">
        <v>1896</v>
      </c>
      <c r="C39" s="10" t="s">
        <v>321</v>
      </c>
      <c r="D39" s="10">
        <v>2</v>
      </c>
      <c r="E39" s="10">
        <f t="shared" si="11"/>
        <v>1</v>
      </c>
      <c r="F39" s="10">
        <v>0</v>
      </c>
      <c r="G39" s="10">
        <v>100</v>
      </c>
      <c r="H39" s="10">
        <v>1</v>
      </c>
      <c r="I39" s="10">
        <v>1</v>
      </c>
      <c r="J39" s="10" t="s">
        <v>322</v>
      </c>
      <c r="K39" s="10">
        <f t="shared" ref="K39:K51" si="12">K38+E38</f>
        <v>45559</v>
      </c>
      <c r="L39" s="10">
        <f t="shared" si="9"/>
        <v>5559</v>
      </c>
      <c r="M39" s="10">
        <f t="shared" si="1"/>
        <v>5558</v>
      </c>
      <c r="N39" s="10" t="s">
        <v>323</v>
      </c>
      <c r="O39" s="10" t="s">
        <v>327</v>
      </c>
      <c r="P39" s="10" t="s">
        <v>389</v>
      </c>
      <c r="Q39" s="10"/>
      <c r="R39" s="332"/>
      <c r="S39" s="7">
        <v>2</v>
      </c>
      <c r="T39" s="54" t="str">
        <f t="shared" si="10"/>
        <v>2</v>
      </c>
      <c r="U39" s="13"/>
      <c r="V39" s="13"/>
      <c r="W39" s="13"/>
      <c r="X39" s="33"/>
    </row>
    <row r="40" spans="2:30" s="6" customFormat="1" ht="15.6" x14ac:dyDescent="0.3">
      <c r="B40" s="10" t="s">
        <v>1897</v>
      </c>
      <c r="C40" s="10" t="s">
        <v>326</v>
      </c>
      <c r="D40" s="10">
        <v>4</v>
      </c>
      <c r="E40" s="10">
        <f t="shared" si="11"/>
        <v>2</v>
      </c>
      <c r="F40" s="10">
        <v>0</v>
      </c>
      <c r="G40" s="10">
        <v>4294967295</v>
      </c>
      <c r="H40" s="10">
        <v>1</v>
      </c>
      <c r="I40" s="10">
        <v>1</v>
      </c>
      <c r="J40" s="10" t="s">
        <v>322</v>
      </c>
      <c r="K40" s="10">
        <f t="shared" si="12"/>
        <v>45560</v>
      </c>
      <c r="L40" s="10">
        <f t="shared" si="9"/>
        <v>5560</v>
      </c>
      <c r="M40" s="10">
        <f t="shared" si="1"/>
        <v>5559</v>
      </c>
      <c r="N40" s="10" t="s">
        <v>323</v>
      </c>
      <c r="O40" s="10" t="s">
        <v>324</v>
      </c>
      <c r="P40" s="10" t="s">
        <v>1898</v>
      </c>
      <c r="Q40" s="10"/>
      <c r="R40" s="332"/>
      <c r="S40" s="7">
        <v>3</v>
      </c>
      <c r="T40" s="54" t="str">
        <f t="shared" si="10"/>
        <v>3</v>
      </c>
      <c r="U40" s="13"/>
      <c r="V40" s="8"/>
      <c r="W40" s="21"/>
    </row>
    <row r="41" spans="2:30" s="6" customFormat="1" ht="15.6" x14ac:dyDescent="0.3">
      <c r="B41" s="10" t="s">
        <v>1899</v>
      </c>
      <c r="C41" s="10" t="s">
        <v>326</v>
      </c>
      <c r="D41" s="10">
        <v>4</v>
      </c>
      <c r="E41" s="10">
        <f t="shared" si="11"/>
        <v>2</v>
      </c>
      <c r="F41" s="10">
        <v>0</v>
      </c>
      <c r="G41" s="10">
        <v>4294967295</v>
      </c>
      <c r="H41" s="10">
        <v>1</v>
      </c>
      <c r="I41" s="10">
        <v>1</v>
      </c>
      <c r="J41" s="10" t="s">
        <v>322</v>
      </c>
      <c r="K41" s="10">
        <f t="shared" si="12"/>
        <v>45562</v>
      </c>
      <c r="L41" s="10">
        <f t="shared" si="9"/>
        <v>5562</v>
      </c>
      <c r="M41" s="10">
        <f t="shared" si="1"/>
        <v>5561</v>
      </c>
      <c r="N41" s="10" t="s">
        <v>323</v>
      </c>
      <c r="O41" s="10" t="s">
        <v>324</v>
      </c>
      <c r="P41" s="10" t="s">
        <v>1898</v>
      </c>
      <c r="Q41" s="10"/>
      <c r="R41" s="332"/>
      <c r="S41" s="7">
        <v>4</v>
      </c>
      <c r="T41" s="54" t="str">
        <f t="shared" si="10"/>
        <v>4</v>
      </c>
      <c r="U41" s="13"/>
      <c r="V41" s="8"/>
      <c r="W41" s="21"/>
    </row>
    <row r="42" spans="2:30" s="6" customFormat="1" ht="15.6" x14ac:dyDescent="0.3">
      <c r="B42" s="10" t="s">
        <v>1900</v>
      </c>
      <c r="C42" s="10" t="s">
        <v>321</v>
      </c>
      <c r="D42" s="10">
        <v>2</v>
      </c>
      <c r="E42" s="10">
        <f t="shared" si="11"/>
        <v>1</v>
      </c>
      <c r="F42" s="10">
        <v>0</v>
      </c>
      <c r="G42" s="10">
        <v>30</v>
      </c>
      <c r="H42" s="10">
        <v>1</v>
      </c>
      <c r="I42" s="10">
        <v>1</v>
      </c>
      <c r="J42" s="10" t="s">
        <v>322</v>
      </c>
      <c r="K42" s="10">
        <f t="shared" si="12"/>
        <v>45564</v>
      </c>
      <c r="L42" s="10">
        <f t="shared" si="9"/>
        <v>5564</v>
      </c>
      <c r="M42" s="10">
        <f t="shared" si="1"/>
        <v>5563</v>
      </c>
      <c r="N42" s="10" t="s">
        <v>323</v>
      </c>
      <c r="O42" s="10" t="s">
        <v>327</v>
      </c>
      <c r="P42" s="10"/>
      <c r="Q42" s="10"/>
      <c r="R42" s="332"/>
      <c r="S42" s="7">
        <v>5</v>
      </c>
      <c r="T42" s="54" t="str">
        <f t="shared" si="10"/>
        <v>5</v>
      </c>
    </row>
    <row r="43" spans="2:30" s="6" customFormat="1" ht="15.6" x14ac:dyDescent="0.3">
      <c r="B43" s="10" t="s">
        <v>1901</v>
      </c>
      <c r="C43" s="10" t="s">
        <v>326</v>
      </c>
      <c r="D43" s="10">
        <v>4</v>
      </c>
      <c r="E43" s="10">
        <f t="shared" si="11"/>
        <v>2</v>
      </c>
      <c r="F43" s="10">
        <v>0</v>
      </c>
      <c r="G43" s="10">
        <v>4294967295</v>
      </c>
      <c r="H43" s="10">
        <v>1</v>
      </c>
      <c r="I43" s="10">
        <v>1</v>
      </c>
      <c r="J43" s="10" t="s">
        <v>322</v>
      </c>
      <c r="K43" s="10">
        <f t="shared" si="12"/>
        <v>45565</v>
      </c>
      <c r="L43" s="10">
        <f t="shared" si="9"/>
        <v>5565</v>
      </c>
      <c r="M43" s="10">
        <f t="shared" si="1"/>
        <v>5564</v>
      </c>
      <c r="N43" s="10" t="s">
        <v>323</v>
      </c>
      <c r="O43" s="10" t="s">
        <v>327</v>
      </c>
      <c r="P43" s="10" t="s">
        <v>1898</v>
      </c>
      <c r="Q43" s="10"/>
      <c r="R43" s="332"/>
      <c r="S43" s="7">
        <v>6</v>
      </c>
      <c r="T43" s="54" t="str">
        <f t="shared" si="10"/>
        <v>6</v>
      </c>
    </row>
    <row r="44" spans="2:30" s="6" customFormat="1" ht="15.6" x14ac:dyDescent="0.3">
      <c r="B44" s="10" t="s">
        <v>1902</v>
      </c>
      <c r="C44" s="10" t="s">
        <v>326</v>
      </c>
      <c r="D44" s="10">
        <v>4</v>
      </c>
      <c r="E44" s="10">
        <f t="shared" si="11"/>
        <v>2</v>
      </c>
      <c r="F44" s="10">
        <v>0</v>
      </c>
      <c r="G44" s="10">
        <v>50000000</v>
      </c>
      <c r="H44" s="10">
        <v>1</v>
      </c>
      <c r="I44" s="10" t="s">
        <v>417</v>
      </c>
      <c r="J44" s="10" t="s">
        <v>322</v>
      </c>
      <c r="K44" s="10">
        <f t="shared" si="12"/>
        <v>45567</v>
      </c>
      <c r="L44" s="10">
        <f t="shared" si="9"/>
        <v>5567</v>
      </c>
      <c r="M44" s="10">
        <f t="shared" si="1"/>
        <v>5566</v>
      </c>
      <c r="N44" s="10" t="s">
        <v>323</v>
      </c>
      <c r="O44" s="10" t="s">
        <v>324</v>
      </c>
      <c r="P44" s="10" t="s">
        <v>412</v>
      </c>
      <c r="Q44" s="10"/>
      <c r="R44" s="332"/>
      <c r="S44" s="7">
        <v>7</v>
      </c>
      <c r="T44" s="54" t="str">
        <f t="shared" si="10"/>
        <v>7</v>
      </c>
      <c r="U44" s="21"/>
      <c r="V44" s="21"/>
      <c r="W44" s="21"/>
    </row>
    <row r="45" spans="2:30" s="6" customFormat="1" ht="15.6" x14ac:dyDescent="0.3">
      <c r="B45" s="10" t="s">
        <v>1903</v>
      </c>
      <c r="C45" s="10" t="s">
        <v>326</v>
      </c>
      <c r="D45" s="10">
        <v>4</v>
      </c>
      <c r="E45" s="10">
        <f t="shared" si="11"/>
        <v>2</v>
      </c>
      <c r="F45" s="10">
        <v>0</v>
      </c>
      <c r="G45" s="10">
        <v>4294967295</v>
      </c>
      <c r="H45" s="10">
        <v>1</v>
      </c>
      <c r="I45" s="10" t="s">
        <v>417</v>
      </c>
      <c r="J45" s="10" t="s">
        <v>322</v>
      </c>
      <c r="K45" s="10">
        <f t="shared" si="12"/>
        <v>45569</v>
      </c>
      <c r="L45" s="10">
        <f t="shared" si="9"/>
        <v>5569</v>
      </c>
      <c r="M45" s="10">
        <f t="shared" si="1"/>
        <v>5568</v>
      </c>
      <c r="N45" s="10" t="s">
        <v>323</v>
      </c>
      <c r="O45" s="10" t="s">
        <v>324</v>
      </c>
      <c r="P45" s="10" t="s">
        <v>1898</v>
      </c>
      <c r="Q45" s="10"/>
      <c r="R45" s="332"/>
      <c r="S45" s="7">
        <v>8</v>
      </c>
      <c r="T45" s="54" t="str">
        <f t="shared" si="10"/>
        <v>8</v>
      </c>
      <c r="U45" s="21"/>
      <c r="V45" s="21"/>
      <c r="W45" s="21"/>
    </row>
    <row r="46" spans="2:30" s="6" customFormat="1" ht="15.6" x14ac:dyDescent="0.3">
      <c r="B46" s="10" t="s">
        <v>1904</v>
      </c>
      <c r="C46" s="10" t="s">
        <v>326</v>
      </c>
      <c r="D46" s="10">
        <v>4</v>
      </c>
      <c r="E46" s="10">
        <f t="shared" si="11"/>
        <v>2</v>
      </c>
      <c r="F46" s="10">
        <v>0</v>
      </c>
      <c r="G46" s="10">
        <v>4294967295</v>
      </c>
      <c r="H46" s="10">
        <v>1</v>
      </c>
      <c r="I46" s="10">
        <v>1</v>
      </c>
      <c r="J46" s="10" t="s">
        <v>322</v>
      </c>
      <c r="K46" s="10">
        <f t="shared" si="12"/>
        <v>45571</v>
      </c>
      <c r="L46" s="10">
        <f t="shared" si="9"/>
        <v>5571</v>
      </c>
      <c r="M46" s="10">
        <f t="shared" si="1"/>
        <v>5570</v>
      </c>
      <c r="N46" s="10" t="s">
        <v>323</v>
      </c>
      <c r="O46" s="10" t="s">
        <v>327</v>
      </c>
      <c r="P46" s="10" t="s">
        <v>947</v>
      </c>
      <c r="Q46" s="10"/>
      <c r="R46" s="332"/>
      <c r="S46" s="7">
        <v>9</v>
      </c>
      <c r="T46" s="54" t="str">
        <f t="shared" si="10"/>
        <v>9</v>
      </c>
      <c r="U46" s="13"/>
      <c r="V46" s="8"/>
      <c r="W46" s="13"/>
    </row>
    <row r="47" spans="2:30" s="6" customFormat="1" ht="15.6" x14ac:dyDescent="0.3">
      <c r="B47" s="10" t="s">
        <v>1905</v>
      </c>
      <c r="C47" s="10" t="s">
        <v>326</v>
      </c>
      <c r="D47" s="10">
        <v>4</v>
      </c>
      <c r="E47" s="10">
        <f t="shared" si="11"/>
        <v>2</v>
      </c>
      <c r="F47" s="10">
        <v>0</v>
      </c>
      <c r="G47" s="10">
        <v>4294967295</v>
      </c>
      <c r="H47" s="10">
        <v>1</v>
      </c>
      <c r="I47" s="10">
        <v>1</v>
      </c>
      <c r="J47" s="10" t="s">
        <v>322</v>
      </c>
      <c r="K47" s="10">
        <f t="shared" si="12"/>
        <v>45573</v>
      </c>
      <c r="L47" s="10">
        <f t="shared" si="9"/>
        <v>5573</v>
      </c>
      <c r="M47" s="10">
        <f t="shared" si="1"/>
        <v>5572</v>
      </c>
      <c r="N47" s="10" t="s">
        <v>323</v>
      </c>
      <c r="O47" s="10" t="s">
        <v>327</v>
      </c>
      <c r="P47" s="10" t="s">
        <v>947</v>
      </c>
      <c r="Q47" s="10"/>
      <c r="R47" s="332"/>
      <c r="S47" s="7">
        <v>10</v>
      </c>
      <c r="T47" s="54" t="str">
        <f t="shared" si="10"/>
        <v>A</v>
      </c>
      <c r="U47" s="13"/>
      <c r="V47" s="8"/>
      <c r="W47" s="13"/>
    </row>
    <row r="48" spans="2:30" s="6" customFormat="1" ht="15.6" x14ac:dyDescent="0.3">
      <c r="B48" s="10" t="s">
        <v>1906</v>
      </c>
      <c r="C48" s="10" t="s">
        <v>321</v>
      </c>
      <c r="D48" s="10">
        <v>2</v>
      </c>
      <c r="E48" s="10">
        <f t="shared" si="11"/>
        <v>1</v>
      </c>
      <c r="F48" s="10">
        <v>0</v>
      </c>
      <c r="G48" s="10">
        <v>65535</v>
      </c>
      <c r="H48" s="10">
        <v>1</v>
      </c>
      <c r="I48" s="10">
        <v>1</v>
      </c>
      <c r="J48" s="10" t="s">
        <v>322</v>
      </c>
      <c r="K48" s="10">
        <f t="shared" si="12"/>
        <v>45575</v>
      </c>
      <c r="L48" s="10">
        <f t="shared" si="9"/>
        <v>5575</v>
      </c>
      <c r="M48" s="10">
        <f t="shared" si="1"/>
        <v>5574</v>
      </c>
      <c r="N48" s="10" t="s">
        <v>323</v>
      </c>
      <c r="O48" s="10" t="s">
        <v>327</v>
      </c>
      <c r="P48" s="10"/>
      <c r="Q48" s="10"/>
      <c r="R48" s="332"/>
      <c r="S48" s="7">
        <v>11</v>
      </c>
      <c r="T48" s="54" t="str">
        <f t="shared" si="10"/>
        <v>B</v>
      </c>
      <c r="U48" s="21"/>
      <c r="V48" s="21"/>
      <c r="W48" s="21"/>
    </row>
    <row r="49" spans="2:23" s="6" customFormat="1" ht="15.6" x14ac:dyDescent="0.3">
      <c r="B49" s="10" t="s">
        <v>1907</v>
      </c>
      <c r="C49" s="10" t="s">
        <v>321</v>
      </c>
      <c r="D49" s="10">
        <v>2</v>
      </c>
      <c r="E49" s="10">
        <f t="shared" si="11"/>
        <v>1</v>
      </c>
      <c r="F49" s="10">
        <v>0</v>
      </c>
      <c r="G49" s="10">
        <v>65535</v>
      </c>
      <c r="H49" s="10">
        <v>1</v>
      </c>
      <c r="I49" s="10">
        <v>1</v>
      </c>
      <c r="J49" s="10" t="s">
        <v>322</v>
      </c>
      <c r="K49" s="10">
        <f t="shared" si="12"/>
        <v>45576</v>
      </c>
      <c r="L49" s="10">
        <f t="shared" si="9"/>
        <v>5576</v>
      </c>
      <c r="M49" s="10">
        <f t="shared" si="1"/>
        <v>5575</v>
      </c>
      <c r="N49" s="10" t="s">
        <v>323</v>
      </c>
      <c r="O49" s="10" t="s">
        <v>327</v>
      </c>
      <c r="P49" s="10"/>
      <c r="Q49" s="10"/>
      <c r="R49" s="332"/>
      <c r="S49" s="7">
        <v>12</v>
      </c>
      <c r="T49" s="54" t="str">
        <f t="shared" si="10"/>
        <v>C</v>
      </c>
      <c r="U49" s="21"/>
      <c r="V49" s="21"/>
      <c r="W49" s="21"/>
    </row>
    <row r="50" spans="2:23" s="6" customFormat="1" ht="280.8" x14ac:dyDescent="0.3">
      <c r="B50" s="10" t="s">
        <v>1908</v>
      </c>
      <c r="C50" s="10" t="s">
        <v>321</v>
      </c>
      <c r="D50" s="10">
        <v>2</v>
      </c>
      <c r="E50" s="10">
        <f t="shared" si="11"/>
        <v>1</v>
      </c>
      <c r="F50" s="10">
        <v>0</v>
      </c>
      <c r="G50" s="10">
        <v>15</v>
      </c>
      <c r="H50" s="10">
        <v>1</v>
      </c>
      <c r="I50" s="10">
        <v>1</v>
      </c>
      <c r="J50" s="10" t="s">
        <v>322</v>
      </c>
      <c r="K50" s="10">
        <f t="shared" si="12"/>
        <v>45577</v>
      </c>
      <c r="L50" s="10">
        <f t="shared" si="9"/>
        <v>5577</v>
      </c>
      <c r="M50" s="10">
        <f t="shared" si="1"/>
        <v>5576</v>
      </c>
      <c r="N50" s="10" t="s">
        <v>323</v>
      </c>
      <c r="O50" s="10" t="s">
        <v>327</v>
      </c>
      <c r="P50" s="10"/>
      <c r="Q50" s="10"/>
      <c r="R50" s="394" t="s">
        <v>1909</v>
      </c>
      <c r="S50" s="7">
        <v>13</v>
      </c>
      <c r="T50" s="54" t="str">
        <f t="shared" si="10"/>
        <v>D</v>
      </c>
      <c r="U50" s="21"/>
      <c r="V50" s="21"/>
      <c r="W50" s="21"/>
    </row>
    <row r="51" spans="2:23" s="6" customFormat="1" ht="15.6" x14ac:dyDescent="0.3">
      <c r="B51" s="10" t="s">
        <v>1910</v>
      </c>
      <c r="C51" s="10" t="s">
        <v>321</v>
      </c>
      <c r="D51" s="10">
        <v>2</v>
      </c>
      <c r="E51" s="10">
        <f t="shared" si="11"/>
        <v>1</v>
      </c>
      <c r="F51" s="10">
        <v>0</v>
      </c>
      <c r="G51" s="10">
        <v>65535</v>
      </c>
      <c r="H51" s="10">
        <v>1</v>
      </c>
      <c r="I51" s="10">
        <v>1</v>
      </c>
      <c r="J51" s="10" t="s">
        <v>322</v>
      </c>
      <c r="K51" s="10">
        <f t="shared" si="12"/>
        <v>45578</v>
      </c>
      <c r="L51" s="10">
        <f t="shared" si="9"/>
        <v>5578</v>
      </c>
      <c r="M51" s="10">
        <f t="shared" si="1"/>
        <v>5577</v>
      </c>
      <c r="N51" s="10" t="s">
        <v>323</v>
      </c>
      <c r="O51" s="10" t="s">
        <v>327</v>
      </c>
      <c r="P51" s="10"/>
      <c r="Q51" s="10"/>
      <c r="R51" s="332"/>
      <c r="S51" s="7">
        <v>14</v>
      </c>
      <c r="T51" s="54" t="str">
        <f t="shared" si="10"/>
        <v>E</v>
      </c>
    </row>
    <row r="52" spans="2:23" s="6" customFormat="1" ht="15.6" x14ac:dyDescent="0.3">
      <c r="B52" s="496" t="s">
        <v>1911</v>
      </c>
      <c r="C52" s="496"/>
      <c r="D52" s="496"/>
      <c r="E52" s="496"/>
      <c r="F52" s="496"/>
      <c r="G52" s="496"/>
      <c r="H52" s="496"/>
      <c r="I52" s="496"/>
      <c r="J52" s="496"/>
      <c r="K52" s="496"/>
      <c r="L52" s="496"/>
      <c r="M52" s="496"/>
      <c r="N52" s="496"/>
      <c r="O52" s="496"/>
      <c r="P52" s="496"/>
      <c r="Q52" s="496"/>
      <c r="R52" s="497"/>
      <c r="S52" s="7"/>
      <c r="T52" s="7"/>
    </row>
    <row r="53" spans="2:23" s="6" customFormat="1" ht="15.6" x14ac:dyDescent="0.3">
      <c r="B53" s="10" t="s">
        <v>1912</v>
      </c>
      <c r="C53" s="10" t="s">
        <v>321</v>
      </c>
      <c r="D53" s="10">
        <v>2</v>
      </c>
      <c r="E53" s="10">
        <f t="shared" ref="E53:E58" si="13">D53/2</f>
        <v>1</v>
      </c>
      <c r="F53" s="10">
        <v>1</v>
      </c>
      <c r="G53" s="10">
        <v>31</v>
      </c>
      <c r="H53" s="10">
        <v>1</v>
      </c>
      <c r="I53" s="10">
        <v>1</v>
      </c>
      <c r="J53" s="10" t="s">
        <v>322</v>
      </c>
      <c r="K53" s="10">
        <f>K51+E51</f>
        <v>45579</v>
      </c>
      <c r="L53" s="10">
        <f t="shared" si="9"/>
        <v>5579</v>
      </c>
      <c r="M53" s="10">
        <f t="shared" si="1"/>
        <v>5578</v>
      </c>
      <c r="N53" s="10" t="s">
        <v>323</v>
      </c>
      <c r="O53" s="10" t="s">
        <v>327</v>
      </c>
      <c r="P53" s="10"/>
      <c r="Q53" s="10"/>
      <c r="R53" s="332"/>
      <c r="S53" s="7"/>
      <c r="T53" s="7"/>
    </row>
    <row r="54" spans="2:23" s="6" customFormat="1" ht="15.6" x14ac:dyDescent="0.3">
      <c r="B54" s="10" t="s">
        <v>944</v>
      </c>
      <c r="C54" s="10" t="s">
        <v>321</v>
      </c>
      <c r="D54" s="10">
        <v>2</v>
      </c>
      <c r="E54" s="10">
        <f t="shared" si="13"/>
        <v>1</v>
      </c>
      <c r="F54" s="10">
        <v>1</v>
      </c>
      <c r="G54" s="10">
        <v>12</v>
      </c>
      <c r="H54" s="10">
        <v>1</v>
      </c>
      <c r="I54" s="10">
        <v>1</v>
      </c>
      <c r="J54" s="10" t="s">
        <v>322</v>
      </c>
      <c r="K54" s="10">
        <f t="shared" ref="K54:K59" si="14">K53+$E53</f>
        <v>45580</v>
      </c>
      <c r="L54" s="10">
        <f t="shared" si="9"/>
        <v>5580</v>
      </c>
      <c r="M54" s="10">
        <f t="shared" si="1"/>
        <v>5579</v>
      </c>
      <c r="N54" s="10" t="s">
        <v>323</v>
      </c>
      <c r="O54" s="10" t="s">
        <v>327</v>
      </c>
      <c r="P54" s="10"/>
      <c r="Q54" s="10"/>
      <c r="R54" s="332"/>
      <c r="S54" s="7"/>
      <c r="T54" s="7"/>
    </row>
    <row r="55" spans="2:23" s="6" customFormat="1" ht="15.6" x14ac:dyDescent="0.3">
      <c r="B55" s="10" t="s">
        <v>945</v>
      </c>
      <c r="C55" s="10" t="s">
        <v>321</v>
      </c>
      <c r="D55" s="10">
        <v>2</v>
      </c>
      <c r="E55" s="10">
        <f t="shared" si="13"/>
        <v>1</v>
      </c>
      <c r="F55" s="10">
        <v>2010</v>
      </c>
      <c r="G55" s="10">
        <v>2999</v>
      </c>
      <c r="H55" s="10">
        <v>1</v>
      </c>
      <c r="I55" s="10">
        <v>1</v>
      </c>
      <c r="J55" s="10" t="s">
        <v>322</v>
      </c>
      <c r="K55" s="10">
        <f t="shared" si="14"/>
        <v>45581</v>
      </c>
      <c r="L55" s="10">
        <f t="shared" si="9"/>
        <v>5581</v>
      </c>
      <c r="M55" s="10">
        <f t="shared" si="1"/>
        <v>5580</v>
      </c>
      <c r="N55" s="10" t="s">
        <v>323</v>
      </c>
      <c r="O55" s="10" t="s">
        <v>327</v>
      </c>
      <c r="P55" s="10"/>
      <c r="Q55" s="10"/>
      <c r="R55" s="332"/>
      <c r="S55" s="7"/>
      <c r="T55" s="7"/>
    </row>
    <row r="56" spans="2:23" s="6" customFormat="1" ht="15.6" x14ac:dyDescent="0.3">
      <c r="B56" s="10" t="s">
        <v>946</v>
      </c>
      <c r="C56" s="10" t="s">
        <v>321</v>
      </c>
      <c r="D56" s="10">
        <v>2</v>
      </c>
      <c r="E56" s="10">
        <f t="shared" si="13"/>
        <v>1</v>
      </c>
      <c r="F56" s="10">
        <v>0</v>
      </c>
      <c r="G56" s="10">
        <v>23</v>
      </c>
      <c r="H56" s="10">
        <v>1</v>
      </c>
      <c r="I56" s="10">
        <v>1</v>
      </c>
      <c r="J56" s="10" t="s">
        <v>322</v>
      </c>
      <c r="K56" s="10">
        <f t="shared" si="14"/>
        <v>45582</v>
      </c>
      <c r="L56" s="10">
        <f t="shared" si="9"/>
        <v>5582</v>
      </c>
      <c r="M56" s="10">
        <f t="shared" si="1"/>
        <v>5581</v>
      </c>
      <c r="N56" s="10" t="s">
        <v>323</v>
      </c>
      <c r="O56" s="10" t="s">
        <v>327</v>
      </c>
      <c r="P56" s="10" t="s">
        <v>946</v>
      </c>
      <c r="Q56" s="10"/>
      <c r="R56" s="332"/>
      <c r="S56" s="7"/>
      <c r="T56" s="7"/>
    </row>
    <row r="57" spans="2:23" s="6" customFormat="1" ht="15.6" x14ac:dyDescent="0.3">
      <c r="B57" s="10" t="s">
        <v>947</v>
      </c>
      <c r="C57" s="10" t="s">
        <v>321</v>
      </c>
      <c r="D57" s="10">
        <v>2</v>
      </c>
      <c r="E57" s="10">
        <f t="shared" si="13"/>
        <v>1</v>
      </c>
      <c r="F57" s="10">
        <v>0</v>
      </c>
      <c r="G57" s="10">
        <v>59</v>
      </c>
      <c r="H57" s="10">
        <v>1</v>
      </c>
      <c r="I57" s="10">
        <v>1</v>
      </c>
      <c r="J57" s="10" t="s">
        <v>322</v>
      </c>
      <c r="K57" s="10">
        <f t="shared" si="14"/>
        <v>45583</v>
      </c>
      <c r="L57" s="10">
        <f t="shared" si="9"/>
        <v>5583</v>
      </c>
      <c r="M57" s="10">
        <f t="shared" si="1"/>
        <v>5582</v>
      </c>
      <c r="N57" s="10" t="s">
        <v>323</v>
      </c>
      <c r="O57" s="10" t="s">
        <v>327</v>
      </c>
      <c r="P57" s="10" t="s">
        <v>947</v>
      </c>
      <c r="Q57" s="10"/>
      <c r="R57" s="332"/>
      <c r="S57" s="7"/>
      <c r="T57" s="7"/>
    </row>
    <row r="58" spans="2:23" ht="15.6" x14ac:dyDescent="0.3">
      <c r="B58" s="10" t="s">
        <v>948</v>
      </c>
      <c r="C58" s="10" t="s">
        <v>321</v>
      </c>
      <c r="D58" s="10">
        <v>2</v>
      </c>
      <c r="E58" s="10">
        <f t="shared" si="13"/>
        <v>1</v>
      </c>
      <c r="F58" s="10">
        <v>0</v>
      </c>
      <c r="G58" s="10">
        <v>59</v>
      </c>
      <c r="H58" s="10">
        <v>1</v>
      </c>
      <c r="I58" s="10">
        <v>1</v>
      </c>
      <c r="J58" s="10" t="s">
        <v>322</v>
      </c>
      <c r="K58" s="10">
        <f t="shared" si="14"/>
        <v>45584</v>
      </c>
      <c r="L58" s="10">
        <f t="shared" si="9"/>
        <v>5584</v>
      </c>
      <c r="M58" s="10">
        <f t="shared" si="1"/>
        <v>5583</v>
      </c>
      <c r="N58" s="10" t="s">
        <v>323</v>
      </c>
      <c r="O58" s="10" t="s">
        <v>327</v>
      </c>
      <c r="P58" s="10" t="s">
        <v>948</v>
      </c>
      <c r="Q58" s="10"/>
      <c r="R58" s="332"/>
      <c r="S58" s="55"/>
      <c r="T58" s="55"/>
    </row>
    <row r="59" spans="2:23" ht="15.6" x14ac:dyDescent="0.3">
      <c r="B59" s="10" t="s">
        <v>320</v>
      </c>
      <c r="C59" s="10" t="s">
        <v>321</v>
      </c>
      <c r="D59" s="10">
        <v>2</v>
      </c>
      <c r="E59" s="10">
        <v>1</v>
      </c>
      <c r="F59" s="10">
        <v>0</v>
      </c>
      <c r="G59" s="10">
        <v>0</v>
      </c>
      <c r="H59" s="10">
        <v>0</v>
      </c>
      <c r="I59" s="10">
        <v>0</v>
      </c>
      <c r="J59" s="10" t="s">
        <v>322</v>
      </c>
      <c r="K59" s="10">
        <f t="shared" si="14"/>
        <v>45585</v>
      </c>
      <c r="L59" s="10">
        <f t="shared" si="9"/>
        <v>5585</v>
      </c>
      <c r="M59" s="10">
        <f t="shared" si="1"/>
        <v>5584</v>
      </c>
      <c r="N59" s="10" t="s">
        <v>323</v>
      </c>
      <c r="O59" s="10" t="s">
        <v>324</v>
      </c>
      <c r="P59" s="10"/>
      <c r="Q59" s="10"/>
      <c r="R59" s="332"/>
      <c r="S59" s="55"/>
      <c r="T59" s="55"/>
    </row>
    <row r="60" spans="2:23" s="6" customFormat="1" ht="15.6" x14ac:dyDescent="0.3">
      <c r="B60" s="496" t="s">
        <v>1913</v>
      </c>
      <c r="C60" s="496"/>
      <c r="D60" s="496"/>
      <c r="E60" s="496"/>
      <c r="F60" s="496"/>
      <c r="G60" s="496"/>
      <c r="H60" s="496"/>
      <c r="I60" s="496"/>
      <c r="J60" s="496"/>
      <c r="K60" s="496"/>
      <c r="L60" s="496"/>
      <c r="M60" s="496"/>
      <c r="N60" s="496"/>
      <c r="O60" s="496"/>
      <c r="P60" s="496"/>
      <c r="Q60" s="496"/>
      <c r="R60" s="497"/>
      <c r="S60" s="7"/>
      <c r="T60" s="7"/>
    </row>
    <row r="61" spans="2:23" s="6" customFormat="1" ht="15.6" x14ac:dyDescent="0.3">
      <c r="B61" s="10" t="s">
        <v>1914</v>
      </c>
      <c r="C61" s="10" t="s">
        <v>864</v>
      </c>
      <c r="D61" s="10">
        <v>2</v>
      </c>
      <c r="E61" s="10">
        <f t="shared" ref="E61:E72" si="15">D61/2</f>
        <v>1</v>
      </c>
      <c r="F61" s="10">
        <v>-200</v>
      </c>
      <c r="G61" s="10">
        <v>200</v>
      </c>
      <c r="H61" s="10">
        <v>1</v>
      </c>
      <c r="I61" s="64" t="s">
        <v>386</v>
      </c>
      <c r="J61" s="10" t="s">
        <v>322</v>
      </c>
      <c r="K61" s="10">
        <f>K59+E59</f>
        <v>45586</v>
      </c>
      <c r="L61" s="10">
        <f t="shared" si="9"/>
        <v>5586</v>
      </c>
      <c r="M61" s="10">
        <f t="shared" si="1"/>
        <v>5585</v>
      </c>
      <c r="N61" s="10" t="s">
        <v>323</v>
      </c>
      <c r="O61" s="10" t="s">
        <v>324</v>
      </c>
      <c r="P61" s="10" t="s">
        <v>782</v>
      </c>
      <c r="Q61" s="10"/>
      <c r="R61" s="332"/>
      <c r="S61" s="7"/>
      <c r="T61" s="7"/>
    </row>
    <row r="62" spans="2:23" s="6" customFormat="1" ht="15.6" x14ac:dyDescent="0.3">
      <c r="B62" s="10" t="s">
        <v>1915</v>
      </c>
      <c r="C62" s="10" t="s">
        <v>864</v>
      </c>
      <c r="D62" s="10">
        <v>2</v>
      </c>
      <c r="E62" s="10">
        <f t="shared" si="15"/>
        <v>1</v>
      </c>
      <c r="F62" s="10">
        <v>-200</v>
      </c>
      <c r="G62" s="10">
        <v>200</v>
      </c>
      <c r="H62" s="10">
        <v>1</v>
      </c>
      <c r="I62" s="64" t="s">
        <v>386</v>
      </c>
      <c r="J62" s="10" t="s">
        <v>322</v>
      </c>
      <c r="K62" s="10">
        <f t="shared" ref="K62:K72" si="16">K61+$E61</f>
        <v>45587</v>
      </c>
      <c r="L62" s="10">
        <f t="shared" si="9"/>
        <v>5587</v>
      </c>
      <c r="M62" s="10">
        <f t="shared" si="1"/>
        <v>5586</v>
      </c>
      <c r="N62" s="10" t="s">
        <v>323</v>
      </c>
      <c r="O62" s="10" t="s">
        <v>324</v>
      </c>
      <c r="P62" s="10" t="s">
        <v>782</v>
      </c>
      <c r="Q62" s="10"/>
      <c r="R62" s="332"/>
      <c r="S62" s="7"/>
      <c r="T62" s="7"/>
    </row>
    <row r="63" spans="2:23" s="6" customFormat="1" ht="15.6" x14ac:dyDescent="0.3">
      <c r="B63" s="10" t="s">
        <v>1916</v>
      </c>
      <c r="C63" s="10" t="s">
        <v>864</v>
      </c>
      <c r="D63" s="10">
        <v>2</v>
      </c>
      <c r="E63" s="10">
        <f t="shared" si="15"/>
        <v>1</v>
      </c>
      <c r="F63" s="10">
        <v>-200</v>
      </c>
      <c r="G63" s="10">
        <v>200</v>
      </c>
      <c r="H63" s="10">
        <v>1</v>
      </c>
      <c r="I63" s="64" t="s">
        <v>386</v>
      </c>
      <c r="J63" s="10" t="s">
        <v>322</v>
      </c>
      <c r="K63" s="10">
        <f t="shared" si="16"/>
        <v>45588</v>
      </c>
      <c r="L63" s="10">
        <f t="shared" si="9"/>
        <v>5588</v>
      </c>
      <c r="M63" s="10">
        <f t="shared" si="1"/>
        <v>5587</v>
      </c>
      <c r="N63" s="10" t="s">
        <v>323</v>
      </c>
      <c r="O63" s="10" t="s">
        <v>324</v>
      </c>
      <c r="P63" s="10" t="s">
        <v>782</v>
      </c>
      <c r="Q63" s="10"/>
      <c r="R63" s="332"/>
      <c r="S63" s="7"/>
      <c r="T63" s="7"/>
    </row>
    <row r="64" spans="2:23" s="6" customFormat="1" ht="15.6" x14ac:dyDescent="0.3">
      <c r="B64" s="10" t="s">
        <v>1917</v>
      </c>
      <c r="C64" s="10" t="s">
        <v>864</v>
      </c>
      <c r="D64" s="10">
        <v>2</v>
      </c>
      <c r="E64" s="10">
        <f t="shared" si="15"/>
        <v>1</v>
      </c>
      <c r="F64" s="10">
        <v>-200</v>
      </c>
      <c r="G64" s="10">
        <v>200</v>
      </c>
      <c r="H64" s="10">
        <v>1</v>
      </c>
      <c r="I64" s="64" t="s">
        <v>386</v>
      </c>
      <c r="J64" s="10" t="s">
        <v>322</v>
      </c>
      <c r="K64" s="10">
        <f t="shared" si="16"/>
        <v>45589</v>
      </c>
      <c r="L64" s="10">
        <f t="shared" si="9"/>
        <v>5589</v>
      </c>
      <c r="M64" s="10">
        <f t="shared" si="1"/>
        <v>5588</v>
      </c>
      <c r="N64" s="10" t="s">
        <v>323</v>
      </c>
      <c r="O64" s="10" t="s">
        <v>324</v>
      </c>
      <c r="P64" s="10" t="s">
        <v>782</v>
      </c>
      <c r="Q64" s="10"/>
      <c r="R64" s="332"/>
      <c r="S64" s="7"/>
      <c r="T64" s="7"/>
    </row>
    <row r="65" spans="2:20" s="6" customFormat="1" ht="15.6" x14ac:dyDescent="0.3">
      <c r="B65" s="10" t="s">
        <v>320</v>
      </c>
      <c r="C65" s="10" t="s">
        <v>864</v>
      </c>
      <c r="D65" s="10">
        <v>2</v>
      </c>
      <c r="E65" s="10">
        <f t="shared" si="15"/>
        <v>1</v>
      </c>
      <c r="F65" s="10">
        <v>0</v>
      </c>
      <c r="G65" s="10">
        <v>0</v>
      </c>
      <c r="H65" s="10">
        <v>1</v>
      </c>
      <c r="I65" s="10">
        <v>1</v>
      </c>
      <c r="J65" s="10" t="s">
        <v>322</v>
      </c>
      <c r="K65" s="10">
        <f t="shared" si="16"/>
        <v>45590</v>
      </c>
      <c r="L65" s="10">
        <f t="shared" si="9"/>
        <v>5590</v>
      </c>
      <c r="M65" s="10">
        <f t="shared" si="1"/>
        <v>5589</v>
      </c>
      <c r="N65" s="10" t="s">
        <v>323</v>
      </c>
      <c r="O65" s="10" t="s">
        <v>324</v>
      </c>
      <c r="P65" s="10" t="s">
        <v>782</v>
      </c>
      <c r="Q65" s="10"/>
      <c r="R65" s="332"/>
      <c r="S65" s="7"/>
      <c r="T65" s="7"/>
    </row>
    <row r="66" spans="2:20" s="6" customFormat="1" ht="15.6" x14ac:dyDescent="0.3">
      <c r="B66" s="10" t="s">
        <v>320</v>
      </c>
      <c r="C66" s="10" t="s">
        <v>864</v>
      </c>
      <c r="D66" s="10">
        <v>2</v>
      </c>
      <c r="E66" s="10">
        <f t="shared" ref="E66:E68" si="17">D66/2</f>
        <v>1</v>
      </c>
      <c r="F66" s="10">
        <v>0</v>
      </c>
      <c r="G66" s="10">
        <v>0</v>
      </c>
      <c r="H66" s="10">
        <v>1</v>
      </c>
      <c r="I66" s="10">
        <v>1</v>
      </c>
      <c r="J66" s="10" t="s">
        <v>322</v>
      </c>
      <c r="K66" s="10">
        <f t="shared" si="16"/>
        <v>45591</v>
      </c>
      <c r="L66" s="10">
        <f t="shared" si="9"/>
        <v>5591</v>
      </c>
      <c r="M66" s="10">
        <f t="shared" si="1"/>
        <v>5590</v>
      </c>
      <c r="N66" s="10" t="s">
        <v>323</v>
      </c>
      <c r="O66" s="10" t="s">
        <v>324</v>
      </c>
      <c r="P66" s="10" t="s">
        <v>782</v>
      </c>
      <c r="Q66" s="10"/>
      <c r="R66" s="332"/>
      <c r="S66" s="7"/>
      <c r="T66" s="7"/>
    </row>
    <row r="67" spans="2:20" s="6" customFormat="1" ht="15.6" x14ac:dyDescent="0.3">
      <c r="B67" s="10" t="s">
        <v>320</v>
      </c>
      <c r="C67" s="10" t="s">
        <v>864</v>
      </c>
      <c r="D67" s="10">
        <v>2</v>
      </c>
      <c r="E67" s="10">
        <f t="shared" si="17"/>
        <v>1</v>
      </c>
      <c r="F67" s="10">
        <v>0</v>
      </c>
      <c r="G67" s="10">
        <v>0</v>
      </c>
      <c r="H67" s="10">
        <v>1</v>
      </c>
      <c r="I67" s="10">
        <v>1</v>
      </c>
      <c r="J67" s="10" t="s">
        <v>322</v>
      </c>
      <c r="K67" s="10">
        <f t="shared" si="16"/>
        <v>45592</v>
      </c>
      <c r="L67" s="10">
        <f t="shared" si="9"/>
        <v>5592</v>
      </c>
      <c r="M67" s="10">
        <f t="shared" si="1"/>
        <v>5591</v>
      </c>
      <c r="N67" s="10" t="s">
        <v>323</v>
      </c>
      <c r="O67" s="10" t="s">
        <v>324</v>
      </c>
      <c r="P67" s="10" t="s">
        <v>782</v>
      </c>
      <c r="Q67" s="10"/>
      <c r="R67" s="332"/>
      <c r="S67" s="7"/>
      <c r="T67" s="7"/>
    </row>
    <row r="68" spans="2:20" s="6" customFormat="1" ht="15.6" x14ac:dyDescent="0.3">
      <c r="B68" s="10" t="s">
        <v>320</v>
      </c>
      <c r="C68" s="10" t="s">
        <v>864</v>
      </c>
      <c r="D68" s="10">
        <v>2</v>
      </c>
      <c r="E68" s="10">
        <f t="shared" si="17"/>
        <v>1</v>
      </c>
      <c r="F68" s="10">
        <v>0</v>
      </c>
      <c r="G68" s="10">
        <v>0</v>
      </c>
      <c r="H68" s="10">
        <v>1</v>
      </c>
      <c r="I68" s="10">
        <v>1</v>
      </c>
      <c r="J68" s="10" t="s">
        <v>322</v>
      </c>
      <c r="K68" s="10">
        <f t="shared" si="16"/>
        <v>45593</v>
      </c>
      <c r="L68" s="10">
        <f t="shared" si="9"/>
        <v>5593</v>
      </c>
      <c r="M68" s="10">
        <f t="shared" ref="M68:M72" si="18">L68-1</f>
        <v>5592</v>
      </c>
      <c r="N68" s="10" t="s">
        <v>323</v>
      </c>
      <c r="O68" s="10" t="s">
        <v>324</v>
      </c>
      <c r="P68" s="10" t="s">
        <v>782</v>
      </c>
      <c r="Q68" s="10"/>
      <c r="R68" s="332"/>
      <c r="S68" s="7"/>
      <c r="T68" s="7"/>
    </row>
    <row r="69" spans="2:20" s="6" customFormat="1" ht="15.6" x14ac:dyDescent="0.3">
      <c r="B69" s="10" t="s">
        <v>1918</v>
      </c>
      <c r="C69" s="10" t="s">
        <v>864</v>
      </c>
      <c r="D69" s="10">
        <v>2</v>
      </c>
      <c r="E69" s="10">
        <f t="shared" si="15"/>
        <v>1</v>
      </c>
      <c r="F69" s="10">
        <v>0</v>
      </c>
      <c r="G69" s="10">
        <v>200</v>
      </c>
      <c r="H69" s="10">
        <v>1</v>
      </c>
      <c r="I69" s="64" t="s">
        <v>386</v>
      </c>
      <c r="J69" s="10" t="s">
        <v>322</v>
      </c>
      <c r="K69" s="10">
        <f t="shared" si="16"/>
        <v>45594</v>
      </c>
      <c r="L69" s="10">
        <f t="shared" ref="L69:L88" si="19">K69-40000</f>
        <v>5594</v>
      </c>
      <c r="M69" s="10">
        <f t="shared" si="18"/>
        <v>5593</v>
      </c>
      <c r="N69" s="10" t="s">
        <v>323</v>
      </c>
      <c r="O69" s="10" t="s">
        <v>324</v>
      </c>
      <c r="P69" s="10" t="s">
        <v>782</v>
      </c>
      <c r="Q69" s="10"/>
      <c r="R69" s="332"/>
      <c r="S69" s="7"/>
      <c r="T69" s="7"/>
    </row>
    <row r="70" spans="2:20" ht="15.6" x14ac:dyDescent="0.3">
      <c r="B70" s="10" t="s">
        <v>1919</v>
      </c>
      <c r="C70" s="10" t="s">
        <v>864</v>
      </c>
      <c r="D70" s="10">
        <v>2</v>
      </c>
      <c r="E70" s="10">
        <f t="shared" si="15"/>
        <v>1</v>
      </c>
      <c r="F70" s="10">
        <v>0</v>
      </c>
      <c r="G70" s="10">
        <v>200</v>
      </c>
      <c r="H70" s="10">
        <v>1</v>
      </c>
      <c r="I70" s="64" t="s">
        <v>386</v>
      </c>
      <c r="J70" s="10" t="s">
        <v>322</v>
      </c>
      <c r="K70" s="10">
        <f t="shared" si="16"/>
        <v>45595</v>
      </c>
      <c r="L70" s="10">
        <f t="shared" si="19"/>
        <v>5595</v>
      </c>
      <c r="M70" s="10">
        <f t="shared" si="18"/>
        <v>5594</v>
      </c>
      <c r="N70" s="10" t="s">
        <v>323</v>
      </c>
      <c r="O70" s="10" t="s">
        <v>324</v>
      </c>
      <c r="P70" s="10" t="s">
        <v>782</v>
      </c>
      <c r="Q70" s="10"/>
      <c r="R70" s="332"/>
      <c r="S70" s="55"/>
      <c r="T70" s="55"/>
    </row>
    <row r="71" spans="2:20" s="6" customFormat="1" ht="15.6" x14ac:dyDescent="0.3">
      <c r="B71" s="10" t="s">
        <v>320</v>
      </c>
      <c r="C71" s="10" t="s">
        <v>864</v>
      </c>
      <c r="D71" s="10">
        <v>2</v>
      </c>
      <c r="E71" s="10">
        <f t="shared" si="15"/>
        <v>1</v>
      </c>
      <c r="F71" s="10">
        <v>0</v>
      </c>
      <c r="G71" s="10">
        <v>0</v>
      </c>
      <c r="H71" s="10">
        <v>1</v>
      </c>
      <c r="I71" s="10">
        <v>1</v>
      </c>
      <c r="J71" s="10" t="s">
        <v>322</v>
      </c>
      <c r="K71" s="10">
        <f t="shared" si="16"/>
        <v>45596</v>
      </c>
      <c r="L71" s="10">
        <f t="shared" si="19"/>
        <v>5596</v>
      </c>
      <c r="M71" s="10">
        <f t="shared" si="18"/>
        <v>5595</v>
      </c>
      <c r="N71" s="10" t="s">
        <v>323</v>
      </c>
      <c r="O71" s="10" t="s">
        <v>324</v>
      </c>
      <c r="P71" s="10" t="s">
        <v>782</v>
      </c>
      <c r="Q71" s="10"/>
      <c r="R71" s="332"/>
      <c r="S71" s="7"/>
      <c r="T71" s="7"/>
    </row>
    <row r="72" spans="2:20" s="6" customFormat="1" ht="15.6" x14ac:dyDescent="0.3">
      <c r="B72" s="10" t="s">
        <v>320</v>
      </c>
      <c r="C72" s="10" t="s">
        <v>864</v>
      </c>
      <c r="D72" s="10">
        <v>2</v>
      </c>
      <c r="E72" s="10">
        <f t="shared" si="15"/>
        <v>1</v>
      </c>
      <c r="F72" s="10">
        <v>0</v>
      </c>
      <c r="G72" s="10">
        <v>0</v>
      </c>
      <c r="H72" s="10">
        <v>1</v>
      </c>
      <c r="I72" s="10">
        <v>1</v>
      </c>
      <c r="J72" s="10" t="s">
        <v>322</v>
      </c>
      <c r="K72" s="10">
        <f t="shared" si="16"/>
        <v>45597</v>
      </c>
      <c r="L72" s="10">
        <f t="shared" si="19"/>
        <v>5597</v>
      </c>
      <c r="M72" s="10">
        <f t="shared" si="18"/>
        <v>5596</v>
      </c>
      <c r="N72" s="10" t="s">
        <v>323</v>
      </c>
      <c r="O72" s="10" t="s">
        <v>324</v>
      </c>
      <c r="P72" s="10" t="s">
        <v>782</v>
      </c>
      <c r="Q72" s="10"/>
      <c r="R72" s="332"/>
      <c r="S72" s="7"/>
      <c r="T72" s="7"/>
    </row>
    <row r="73" spans="2:20" s="6" customFormat="1" ht="15.6" x14ac:dyDescent="0.3">
      <c r="B73" s="496" t="s">
        <v>156</v>
      </c>
      <c r="C73" s="496"/>
      <c r="D73" s="496"/>
      <c r="E73" s="496"/>
      <c r="F73" s="496"/>
      <c r="G73" s="496"/>
      <c r="H73" s="496"/>
      <c r="I73" s="496"/>
      <c r="J73" s="496"/>
      <c r="K73" s="496"/>
      <c r="L73" s="496"/>
      <c r="M73" s="496"/>
      <c r="N73" s="496"/>
      <c r="O73" s="496"/>
      <c r="P73" s="496"/>
      <c r="Q73" s="496"/>
      <c r="R73" s="497"/>
      <c r="S73" s="7"/>
      <c r="T73" s="7"/>
    </row>
    <row r="74" spans="2:20" s="6" customFormat="1" ht="31.2" x14ac:dyDescent="0.3">
      <c r="B74" s="10" t="s">
        <v>1920</v>
      </c>
      <c r="C74" s="10" t="s">
        <v>864</v>
      </c>
      <c r="D74" s="10">
        <v>2</v>
      </c>
      <c r="E74" s="10">
        <f t="shared" ref="E74:E85" si="20">D74/2</f>
        <v>1</v>
      </c>
      <c r="F74" s="10">
        <v>-500</v>
      </c>
      <c r="G74" s="10">
        <v>3000</v>
      </c>
      <c r="H74" s="10">
        <v>1</v>
      </c>
      <c r="I74" s="64" t="s">
        <v>386</v>
      </c>
      <c r="J74" s="10" t="s">
        <v>322</v>
      </c>
      <c r="K74" s="10">
        <f>K72+E72</f>
        <v>45598</v>
      </c>
      <c r="L74" s="10">
        <f t="shared" si="19"/>
        <v>5598</v>
      </c>
      <c r="M74" s="10">
        <f t="shared" ref="M74:M88" si="21">L74-1</f>
        <v>5597</v>
      </c>
      <c r="N74" s="10" t="s">
        <v>323</v>
      </c>
      <c r="O74" s="10" t="s">
        <v>324</v>
      </c>
      <c r="P74" s="221" t="s">
        <v>1890</v>
      </c>
      <c r="Q74" s="10"/>
      <c r="R74" s="395" t="s">
        <v>1891</v>
      </c>
      <c r="S74" s="7"/>
      <c r="T74" s="7"/>
    </row>
    <row r="75" spans="2:20" s="6" customFormat="1" ht="31.2" x14ac:dyDescent="0.3">
      <c r="B75" s="10" t="s">
        <v>1921</v>
      </c>
      <c r="C75" s="10" t="s">
        <v>864</v>
      </c>
      <c r="D75" s="10">
        <v>2</v>
      </c>
      <c r="E75" s="10">
        <f t="shared" si="20"/>
        <v>1</v>
      </c>
      <c r="F75" s="10">
        <v>-500</v>
      </c>
      <c r="G75" s="10">
        <v>3000</v>
      </c>
      <c r="H75" s="10">
        <v>1</v>
      </c>
      <c r="I75" s="64" t="s">
        <v>386</v>
      </c>
      <c r="J75" s="10" t="s">
        <v>322</v>
      </c>
      <c r="K75" s="10">
        <f t="shared" ref="K75:K88" si="22">K74+$E74</f>
        <v>45599</v>
      </c>
      <c r="L75" s="10">
        <f t="shared" si="19"/>
        <v>5599</v>
      </c>
      <c r="M75" s="10">
        <f t="shared" si="21"/>
        <v>5598</v>
      </c>
      <c r="N75" s="10" t="s">
        <v>323</v>
      </c>
      <c r="O75" s="10" t="s">
        <v>324</v>
      </c>
      <c r="P75" s="221" t="s">
        <v>1890</v>
      </c>
      <c r="Q75" s="10"/>
      <c r="R75" s="395" t="s">
        <v>1891</v>
      </c>
      <c r="S75" s="7"/>
      <c r="T75" s="7"/>
    </row>
    <row r="76" spans="2:20" s="6" customFormat="1" ht="31.2" x14ac:dyDescent="0.3">
      <c r="B76" s="10" t="s">
        <v>1922</v>
      </c>
      <c r="C76" s="10" t="s">
        <v>864</v>
      </c>
      <c r="D76" s="10">
        <v>2</v>
      </c>
      <c r="E76" s="10">
        <f t="shared" si="20"/>
        <v>1</v>
      </c>
      <c r="F76" s="10">
        <v>-500</v>
      </c>
      <c r="G76" s="10">
        <v>3000</v>
      </c>
      <c r="H76" s="10">
        <v>1</v>
      </c>
      <c r="I76" s="64" t="s">
        <v>386</v>
      </c>
      <c r="J76" s="10" t="s">
        <v>322</v>
      </c>
      <c r="K76" s="10">
        <f t="shared" si="22"/>
        <v>45600</v>
      </c>
      <c r="L76" s="10">
        <f t="shared" si="19"/>
        <v>5600</v>
      </c>
      <c r="M76" s="10">
        <f t="shared" si="21"/>
        <v>5599</v>
      </c>
      <c r="N76" s="10" t="s">
        <v>323</v>
      </c>
      <c r="O76" s="10" t="s">
        <v>324</v>
      </c>
      <c r="P76" s="221" t="s">
        <v>1890</v>
      </c>
      <c r="Q76" s="10"/>
      <c r="R76" s="395" t="s">
        <v>1891</v>
      </c>
      <c r="S76" s="7"/>
      <c r="T76" s="7"/>
    </row>
    <row r="77" spans="2:20" s="6" customFormat="1" ht="31.2" x14ac:dyDescent="0.3">
      <c r="B77" s="10" t="s">
        <v>1923</v>
      </c>
      <c r="C77" s="10" t="s">
        <v>864</v>
      </c>
      <c r="D77" s="10">
        <v>2</v>
      </c>
      <c r="E77" s="10">
        <f t="shared" si="20"/>
        <v>1</v>
      </c>
      <c r="F77" s="10">
        <v>-500</v>
      </c>
      <c r="G77" s="10">
        <v>3000</v>
      </c>
      <c r="H77" s="10">
        <v>1</v>
      </c>
      <c r="I77" s="64" t="s">
        <v>386</v>
      </c>
      <c r="J77" s="10" t="s">
        <v>322</v>
      </c>
      <c r="K77" s="10">
        <f t="shared" si="22"/>
        <v>45601</v>
      </c>
      <c r="L77" s="10">
        <f t="shared" si="19"/>
        <v>5601</v>
      </c>
      <c r="M77" s="10">
        <f t="shared" si="21"/>
        <v>5600</v>
      </c>
      <c r="N77" s="10" t="s">
        <v>323</v>
      </c>
      <c r="O77" s="10" t="s">
        <v>324</v>
      </c>
      <c r="P77" s="221" t="s">
        <v>1890</v>
      </c>
      <c r="Q77" s="10"/>
      <c r="R77" s="395" t="s">
        <v>1891</v>
      </c>
      <c r="S77" s="7"/>
      <c r="T77" s="7"/>
    </row>
    <row r="78" spans="2:20" s="6" customFormat="1" ht="31.2" x14ac:dyDescent="0.3">
      <c r="B78" s="10" t="s">
        <v>1924</v>
      </c>
      <c r="C78" s="10" t="s">
        <v>864</v>
      </c>
      <c r="D78" s="10">
        <v>2</v>
      </c>
      <c r="E78" s="10">
        <f t="shared" si="20"/>
        <v>1</v>
      </c>
      <c r="F78" s="10">
        <v>-500</v>
      </c>
      <c r="G78" s="10">
        <v>3000</v>
      </c>
      <c r="H78" s="10">
        <v>1</v>
      </c>
      <c r="I78" s="64" t="s">
        <v>386</v>
      </c>
      <c r="J78" s="10" t="s">
        <v>322</v>
      </c>
      <c r="K78" s="10">
        <f t="shared" si="22"/>
        <v>45602</v>
      </c>
      <c r="L78" s="10">
        <f t="shared" si="19"/>
        <v>5602</v>
      </c>
      <c r="M78" s="10">
        <f t="shared" si="21"/>
        <v>5601</v>
      </c>
      <c r="N78" s="10" t="s">
        <v>323</v>
      </c>
      <c r="O78" s="10" t="s">
        <v>324</v>
      </c>
      <c r="P78" s="221" t="s">
        <v>1890</v>
      </c>
      <c r="Q78" s="10"/>
      <c r="R78" s="395" t="s">
        <v>1891</v>
      </c>
      <c r="S78" s="7"/>
      <c r="T78" s="7"/>
    </row>
    <row r="79" spans="2:20" s="6" customFormat="1" ht="31.2" x14ac:dyDescent="0.3">
      <c r="B79" s="10" t="s">
        <v>1925</v>
      </c>
      <c r="C79" s="10" t="s">
        <v>864</v>
      </c>
      <c r="D79" s="10">
        <v>2</v>
      </c>
      <c r="E79" s="10">
        <f t="shared" si="20"/>
        <v>1</v>
      </c>
      <c r="F79" s="10">
        <v>-500</v>
      </c>
      <c r="G79" s="10">
        <v>3000</v>
      </c>
      <c r="H79" s="10">
        <v>1</v>
      </c>
      <c r="I79" s="64" t="s">
        <v>386</v>
      </c>
      <c r="J79" s="10" t="s">
        <v>322</v>
      </c>
      <c r="K79" s="10">
        <f t="shared" si="22"/>
        <v>45603</v>
      </c>
      <c r="L79" s="10">
        <f t="shared" si="19"/>
        <v>5603</v>
      </c>
      <c r="M79" s="10">
        <f t="shared" si="21"/>
        <v>5602</v>
      </c>
      <c r="N79" s="10" t="s">
        <v>323</v>
      </c>
      <c r="O79" s="10" t="s">
        <v>324</v>
      </c>
      <c r="P79" s="221" t="s">
        <v>1890</v>
      </c>
      <c r="Q79" s="10"/>
      <c r="R79" s="395" t="s">
        <v>1891</v>
      </c>
      <c r="S79" s="7"/>
      <c r="T79" s="7"/>
    </row>
    <row r="80" spans="2:20" s="6" customFormat="1" ht="31.2" x14ac:dyDescent="0.3">
      <c r="B80" s="10" t="s">
        <v>1926</v>
      </c>
      <c r="C80" s="10" t="s">
        <v>864</v>
      </c>
      <c r="D80" s="10">
        <v>2</v>
      </c>
      <c r="E80" s="10">
        <f t="shared" si="20"/>
        <v>1</v>
      </c>
      <c r="F80" s="10">
        <v>-500</v>
      </c>
      <c r="G80" s="10">
        <v>3000</v>
      </c>
      <c r="H80" s="10">
        <v>1</v>
      </c>
      <c r="I80" s="64" t="s">
        <v>386</v>
      </c>
      <c r="J80" s="10" t="s">
        <v>322</v>
      </c>
      <c r="K80" s="10">
        <f t="shared" si="22"/>
        <v>45604</v>
      </c>
      <c r="L80" s="10">
        <f t="shared" si="19"/>
        <v>5604</v>
      </c>
      <c r="M80" s="10">
        <f t="shared" si="21"/>
        <v>5603</v>
      </c>
      <c r="N80" s="10" t="s">
        <v>323</v>
      </c>
      <c r="O80" s="10" t="s">
        <v>324</v>
      </c>
      <c r="P80" s="221" t="s">
        <v>1890</v>
      </c>
      <c r="Q80" s="10"/>
      <c r="R80" s="395" t="s">
        <v>1891</v>
      </c>
      <c r="S80" s="7"/>
      <c r="T80" s="7"/>
    </row>
    <row r="81" spans="2:20" s="6" customFormat="1" ht="31.2" x14ac:dyDescent="0.3">
      <c r="B81" s="10" t="s">
        <v>1927</v>
      </c>
      <c r="C81" s="10" t="s">
        <v>864</v>
      </c>
      <c r="D81" s="10">
        <v>2</v>
      </c>
      <c r="E81" s="10">
        <f t="shared" si="20"/>
        <v>1</v>
      </c>
      <c r="F81" s="10">
        <v>-500</v>
      </c>
      <c r="G81" s="10">
        <v>3000</v>
      </c>
      <c r="H81" s="10">
        <v>1</v>
      </c>
      <c r="I81" s="64" t="s">
        <v>386</v>
      </c>
      <c r="J81" s="10" t="s">
        <v>322</v>
      </c>
      <c r="K81" s="10">
        <f t="shared" si="22"/>
        <v>45605</v>
      </c>
      <c r="L81" s="10">
        <f t="shared" si="19"/>
        <v>5605</v>
      </c>
      <c r="M81" s="10">
        <f t="shared" si="21"/>
        <v>5604</v>
      </c>
      <c r="N81" s="10" t="s">
        <v>323</v>
      </c>
      <c r="O81" s="10" t="s">
        <v>324</v>
      </c>
      <c r="P81" s="221" t="s">
        <v>1890</v>
      </c>
      <c r="Q81" s="10"/>
      <c r="R81" s="395" t="s">
        <v>1891</v>
      </c>
      <c r="S81" s="7"/>
      <c r="T81" s="7"/>
    </row>
    <row r="82" spans="2:20" s="6" customFormat="1" ht="31.2" x14ac:dyDescent="0.3">
      <c r="B82" s="10" t="s">
        <v>1928</v>
      </c>
      <c r="C82" s="10" t="s">
        <v>864</v>
      </c>
      <c r="D82" s="10">
        <v>2</v>
      </c>
      <c r="E82" s="10">
        <f t="shared" si="20"/>
        <v>1</v>
      </c>
      <c r="F82" s="10">
        <v>-500</v>
      </c>
      <c r="G82" s="10">
        <v>3000</v>
      </c>
      <c r="H82" s="10">
        <v>1</v>
      </c>
      <c r="I82" s="64" t="s">
        <v>386</v>
      </c>
      <c r="J82" s="10" t="s">
        <v>322</v>
      </c>
      <c r="K82" s="10">
        <f t="shared" si="22"/>
        <v>45606</v>
      </c>
      <c r="L82" s="10">
        <f t="shared" si="19"/>
        <v>5606</v>
      </c>
      <c r="M82" s="10">
        <f t="shared" si="21"/>
        <v>5605</v>
      </c>
      <c r="N82" s="10" t="s">
        <v>323</v>
      </c>
      <c r="O82" s="10" t="s">
        <v>324</v>
      </c>
      <c r="P82" s="221" t="s">
        <v>1890</v>
      </c>
      <c r="Q82" s="10"/>
      <c r="R82" s="395" t="s">
        <v>1891</v>
      </c>
      <c r="S82" s="7"/>
      <c r="T82" s="7"/>
    </row>
    <row r="83" spans="2:20" ht="31.2" x14ac:dyDescent="0.3">
      <c r="B83" s="10" t="s">
        <v>1929</v>
      </c>
      <c r="C83" s="10" t="s">
        <v>864</v>
      </c>
      <c r="D83" s="10">
        <v>2</v>
      </c>
      <c r="E83" s="10">
        <f t="shared" si="20"/>
        <v>1</v>
      </c>
      <c r="F83" s="10">
        <v>-500</v>
      </c>
      <c r="G83" s="10">
        <v>3000</v>
      </c>
      <c r="H83" s="10">
        <v>1</v>
      </c>
      <c r="I83" s="64" t="s">
        <v>386</v>
      </c>
      <c r="J83" s="10" t="s">
        <v>322</v>
      </c>
      <c r="K83" s="10">
        <f t="shared" si="22"/>
        <v>45607</v>
      </c>
      <c r="L83" s="10">
        <f t="shared" si="19"/>
        <v>5607</v>
      </c>
      <c r="M83" s="10">
        <f t="shared" si="21"/>
        <v>5606</v>
      </c>
      <c r="N83" s="10" t="s">
        <v>323</v>
      </c>
      <c r="O83" s="10" t="s">
        <v>324</v>
      </c>
      <c r="P83" s="221" t="s">
        <v>1890</v>
      </c>
      <c r="Q83" s="10"/>
      <c r="R83" s="395" t="s">
        <v>1891</v>
      </c>
      <c r="S83" s="55"/>
      <c r="T83" s="55"/>
    </row>
    <row r="84" spans="2:20" s="6" customFormat="1" ht="31.2" x14ac:dyDescent="0.3">
      <c r="B84" s="10" t="s">
        <v>1930</v>
      </c>
      <c r="C84" s="10" t="s">
        <v>864</v>
      </c>
      <c r="D84" s="10">
        <v>2</v>
      </c>
      <c r="E84" s="10">
        <f t="shared" si="20"/>
        <v>1</v>
      </c>
      <c r="F84" s="10">
        <v>-500</v>
      </c>
      <c r="G84" s="10">
        <v>3000</v>
      </c>
      <c r="H84" s="10">
        <v>1</v>
      </c>
      <c r="I84" s="64" t="s">
        <v>386</v>
      </c>
      <c r="J84" s="10" t="s">
        <v>322</v>
      </c>
      <c r="K84" s="10">
        <f t="shared" si="22"/>
        <v>45608</v>
      </c>
      <c r="L84" s="10">
        <f t="shared" si="19"/>
        <v>5608</v>
      </c>
      <c r="M84" s="10">
        <f t="shared" si="21"/>
        <v>5607</v>
      </c>
      <c r="N84" s="10" t="s">
        <v>323</v>
      </c>
      <c r="O84" s="10" t="s">
        <v>324</v>
      </c>
      <c r="P84" s="221" t="s">
        <v>1890</v>
      </c>
      <c r="Q84" s="10"/>
      <c r="R84" s="395" t="s">
        <v>1891</v>
      </c>
      <c r="S84" s="7"/>
      <c r="T84" s="7"/>
    </row>
    <row r="85" spans="2:20" s="6" customFormat="1" ht="31.2" x14ac:dyDescent="0.3">
      <c r="B85" s="10" t="s">
        <v>1931</v>
      </c>
      <c r="C85" s="10" t="s">
        <v>864</v>
      </c>
      <c r="D85" s="10">
        <v>2</v>
      </c>
      <c r="E85" s="10">
        <f t="shared" si="20"/>
        <v>1</v>
      </c>
      <c r="F85" s="10">
        <v>-500</v>
      </c>
      <c r="G85" s="10">
        <v>3000</v>
      </c>
      <c r="H85" s="10">
        <v>1</v>
      </c>
      <c r="I85" s="64" t="s">
        <v>386</v>
      </c>
      <c r="J85" s="10" t="s">
        <v>322</v>
      </c>
      <c r="K85" s="10">
        <f t="shared" si="22"/>
        <v>45609</v>
      </c>
      <c r="L85" s="10">
        <f t="shared" si="19"/>
        <v>5609</v>
      </c>
      <c r="M85" s="10">
        <f t="shared" si="21"/>
        <v>5608</v>
      </c>
      <c r="N85" s="10" t="s">
        <v>323</v>
      </c>
      <c r="O85" s="10" t="s">
        <v>324</v>
      </c>
      <c r="P85" s="221" t="s">
        <v>1890</v>
      </c>
      <c r="Q85" s="10"/>
      <c r="R85" s="395" t="s">
        <v>1891</v>
      </c>
      <c r="S85" s="7"/>
      <c r="T85" s="7"/>
    </row>
    <row r="86" spans="2:20" s="6" customFormat="1" ht="31.2" x14ac:dyDescent="0.3">
      <c r="B86" s="10" t="s">
        <v>1932</v>
      </c>
      <c r="C86" s="10" t="s">
        <v>864</v>
      </c>
      <c r="D86" s="10">
        <v>2</v>
      </c>
      <c r="E86" s="10">
        <f t="shared" ref="E86:E88" si="23">D86/2</f>
        <v>1</v>
      </c>
      <c r="F86" s="10">
        <v>-500</v>
      </c>
      <c r="G86" s="10">
        <v>3000</v>
      </c>
      <c r="H86" s="10">
        <v>1</v>
      </c>
      <c r="I86" s="64" t="s">
        <v>386</v>
      </c>
      <c r="J86" s="10" t="s">
        <v>322</v>
      </c>
      <c r="K86" s="10">
        <f t="shared" si="22"/>
        <v>45610</v>
      </c>
      <c r="L86" s="10">
        <f t="shared" si="19"/>
        <v>5610</v>
      </c>
      <c r="M86" s="10">
        <f t="shared" si="21"/>
        <v>5609</v>
      </c>
      <c r="N86" s="10" t="s">
        <v>323</v>
      </c>
      <c r="O86" s="10" t="s">
        <v>324</v>
      </c>
      <c r="P86" s="221" t="s">
        <v>1890</v>
      </c>
      <c r="Q86" s="10"/>
      <c r="R86" s="395" t="s">
        <v>1891</v>
      </c>
      <c r="S86" s="7"/>
      <c r="T86" s="7"/>
    </row>
    <row r="87" spans="2:20" ht="31.2" x14ac:dyDescent="0.3">
      <c r="B87" s="10" t="s">
        <v>1933</v>
      </c>
      <c r="C87" s="10" t="s">
        <v>864</v>
      </c>
      <c r="D87" s="10">
        <v>2</v>
      </c>
      <c r="E87" s="10">
        <f t="shared" si="23"/>
        <v>1</v>
      </c>
      <c r="F87" s="10">
        <v>-500</v>
      </c>
      <c r="G87" s="10">
        <v>3000</v>
      </c>
      <c r="H87" s="10">
        <v>1</v>
      </c>
      <c r="I87" s="64" t="s">
        <v>386</v>
      </c>
      <c r="J87" s="10" t="s">
        <v>322</v>
      </c>
      <c r="K87" s="10">
        <f t="shared" si="22"/>
        <v>45611</v>
      </c>
      <c r="L87" s="10">
        <f t="shared" si="19"/>
        <v>5611</v>
      </c>
      <c r="M87" s="10">
        <f t="shared" si="21"/>
        <v>5610</v>
      </c>
      <c r="N87" s="10" t="s">
        <v>323</v>
      </c>
      <c r="O87" s="10" t="s">
        <v>324</v>
      </c>
      <c r="P87" s="221" t="s">
        <v>1890</v>
      </c>
      <c r="Q87" s="10"/>
      <c r="R87" s="395" t="s">
        <v>1891</v>
      </c>
      <c r="S87" s="55"/>
      <c r="T87" s="55"/>
    </row>
    <row r="88" spans="2:20" s="6" customFormat="1" ht="31.2" x14ac:dyDescent="0.3">
      <c r="B88" s="10" t="s">
        <v>1934</v>
      </c>
      <c r="C88" s="10" t="s">
        <v>864</v>
      </c>
      <c r="D88" s="10">
        <v>2</v>
      </c>
      <c r="E88" s="10">
        <f t="shared" si="23"/>
        <v>1</v>
      </c>
      <c r="F88" s="10">
        <v>-500</v>
      </c>
      <c r="G88" s="10">
        <v>3000</v>
      </c>
      <c r="H88" s="10">
        <v>1</v>
      </c>
      <c r="I88" s="64" t="s">
        <v>386</v>
      </c>
      <c r="J88" s="10" t="s">
        <v>322</v>
      </c>
      <c r="K88" s="10">
        <f t="shared" si="22"/>
        <v>45612</v>
      </c>
      <c r="L88" s="10">
        <f t="shared" si="19"/>
        <v>5612</v>
      </c>
      <c r="M88" s="10">
        <f t="shared" si="21"/>
        <v>5611</v>
      </c>
      <c r="N88" s="10" t="s">
        <v>323</v>
      </c>
      <c r="O88" s="10" t="s">
        <v>324</v>
      </c>
      <c r="P88" s="221" t="s">
        <v>1890</v>
      </c>
      <c r="Q88" s="10"/>
      <c r="R88" s="395" t="s">
        <v>1891</v>
      </c>
      <c r="S88" s="7"/>
      <c r="T88" s="7"/>
    </row>
    <row r="89" spans="2:20" ht="15.6" x14ac:dyDescent="0.3">
      <c r="B89" s="68"/>
      <c r="C89" s="68"/>
      <c r="D89" s="68"/>
      <c r="E89" s="68"/>
      <c r="F89" s="68"/>
      <c r="G89" s="68"/>
      <c r="H89" s="68"/>
      <c r="I89" s="68"/>
      <c r="J89" s="68"/>
      <c r="K89" s="68"/>
      <c r="L89" s="68"/>
      <c r="M89" s="68"/>
      <c r="N89" s="68"/>
      <c r="O89" s="68"/>
      <c r="P89" s="68"/>
      <c r="Q89" s="68"/>
      <c r="R89" s="68"/>
      <c r="S89" s="55"/>
      <c r="T89" s="55"/>
    </row>
    <row r="90" spans="2:20" x14ac:dyDescent="0.3">
      <c r="S90" s="55"/>
      <c r="T90" s="55"/>
    </row>
    <row r="91" spans="2:20" ht="15.6" x14ac:dyDescent="0.3">
      <c r="B91" s="496" t="s">
        <v>158</v>
      </c>
      <c r="C91" s="496"/>
      <c r="D91" s="496"/>
      <c r="E91" s="496"/>
      <c r="F91" s="496"/>
      <c r="G91" s="496"/>
      <c r="H91" s="496"/>
      <c r="I91" s="496"/>
      <c r="J91" s="496"/>
      <c r="K91" s="496"/>
      <c r="L91" s="496"/>
      <c r="M91" s="496"/>
      <c r="N91" s="496"/>
      <c r="O91" s="496"/>
      <c r="P91" s="496"/>
      <c r="Q91" s="496"/>
      <c r="R91" s="497"/>
      <c r="S91" s="392">
        <v>3.0041666666666664</v>
      </c>
      <c r="T91" s="54" t="s">
        <v>1848</v>
      </c>
    </row>
    <row r="92" spans="2:20" s="6" customFormat="1" ht="15.6" x14ac:dyDescent="0.3">
      <c r="B92" s="10" t="s">
        <v>1935</v>
      </c>
      <c r="C92" s="10" t="s">
        <v>359</v>
      </c>
      <c r="D92" s="10">
        <v>4</v>
      </c>
      <c r="E92" s="10">
        <f t="shared" ref="E92:E122" si="24">D92/2</f>
        <v>2</v>
      </c>
      <c r="F92" s="10">
        <v>0</v>
      </c>
      <c r="G92" s="10">
        <v>4294967295</v>
      </c>
      <c r="H92" s="10">
        <v>1</v>
      </c>
      <c r="I92" s="10">
        <v>1</v>
      </c>
      <c r="J92" s="10" t="s">
        <v>322</v>
      </c>
      <c r="K92" s="10">
        <v>45626</v>
      </c>
      <c r="L92" s="10">
        <f t="shared" ref="L92:L123" si="25">K92-40000</f>
        <v>5626</v>
      </c>
      <c r="M92" s="10">
        <f t="shared" ref="M92:M123" si="26">L92-1</f>
        <v>5625</v>
      </c>
      <c r="N92" s="10" t="s">
        <v>323</v>
      </c>
      <c r="O92" s="10" t="s">
        <v>324</v>
      </c>
      <c r="P92" s="10"/>
      <c r="Q92" s="10"/>
      <c r="R92" s="332"/>
      <c r="S92" s="7">
        <v>1</v>
      </c>
      <c r="T92" s="54" t="str">
        <f t="shared" ref="T92:T123" si="27">DEC2HEX(S92)</f>
        <v>1</v>
      </c>
    </row>
    <row r="93" spans="2:20" s="6" customFormat="1" ht="15.6" x14ac:dyDescent="0.3">
      <c r="B93" s="10" t="s">
        <v>1936</v>
      </c>
      <c r="C93" s="10" t="s">
        <v>359</v>
      </c>
      <c r="D93" s="10">
        <v>4</v>
      </c>
      <c r="E93" s="10">
        <f t="shared" si="24"/>
        <v>2</v>
      </c>
      <c r="F93" s="10">
        <v>0</v>
      </c>
      <c r="G93" s="10">
        <v>4294967295</v>
      </c>
      <c r="H93" s="10">
        <v>1</v>
      </c>
      <c r="I93" s="10">
        <v>1</v>
      </c>
      <c r="J93" s="10" t="s">
        <v>322</v>
      </c>
      <c r="K93" s="10">
        <f t="shared" ref="K93:K123" si="28">K92+$E92</f>
        <v>45628</v>
      </c>
      <c r="L93" s="10">
        <f t="shared" si="25"/>
        <v>5628</v>
      </c>
      <c r="M93" s="10">
        <f t="shared" si="26"/>
        <v>5627</v>
      </c>
      <c r="N93" s="10" t="s">
        <v>323</v>
      </c>
      <c r="O93" s="10" t="s">
        <v>324</v>
      </c>
      <c r="P93" s="10"/>
      <c r="Q93" s="10"/>
      <c r="R93" s="332"/>
      <c r="S93" s="7">
        <v>2</v>
      </c>
      <c r="T93" s="54" t="str">
        <f t="shared" si="27"/>
        <v>2</v>
      </c>
    </row>
    <row r="94" spans="2:20" s="6" customFormat="1" ht="249.6" x14ac:dyDescent="0.3">
      <c r="B94" s="10" t="s">
        <v>1937</v>
      </c>
      <c r="C94" s="10" t="s">
        <v>359</v>
      </c>
      <c r="D94" s="10">
        <v>2</v>
      </c>
      <c r="E94" s="10">
        <f t="shared" si="24"/>
        <v>1</v>
      </c>
      <c r="F94" s="10">
        <v>0</v>
      </c>
      <c r="G94" s="10">
        <v>65535</v>
      </c>
      <c r="H94" s="10">
        <v>1</v>
      </c>
      <c r="I94" s="10">
        <v>1</v>
      </c>
      <c r="J94" s="10" t="s">
        <v>322</v>
      </c>
      <c r="K94" s="10">
        <f t="shared" si="28"/>
        <v>45630</v>
      </c>
      <c r="L94" s="10">
        <f t="shared" si="25"/>
        <v>5630</v>
      </c>
      <c r="M94" s="10">
        <f t="shared" si="26"/>
        <v>5629</v>
      </c>
      <c r="N94" s="10" t="s">
        <v>323</v>
      </c>
      <c r="O94" s="10" t="s">
        <v>324</v>
      </c>
      <c r="P94" s="10"/>
      <c r="Q94" s="10"/>
      <c r="R94" s="393" t="s">
        <v>1938</v>
      </c>
      <c r="S94" s="7">
        <v>3</v>
      </c>
      <c r="T94" s="54" t="str">
        <f t="shared" si="27"/>
        <v>3</v>
      </c>
    </row>
    <row r="95" spans="2:20" s="6" customFormat="1" ht="15.6" x14ac:dyDescent="0.3">
      <c r="B95" s="10" t="s">
        <v>320</v>
      </c>
      <c r="C95" s="10" t="s">
        <v>359</v>
      </c>
      <c r="D95" s="10">
        <v>2</v>
      </c>
      <c r="E95" s="10">
        <f t="shared" ref="E95" si="29">D95/2</f>
        <v>1</v>
      </c>
      <c r="F95" s="10">
        <v>0</v>
      </c>
      <c r="G95" s="10">
        <v>65535</v>
      </c>
      <c r="H95" s="10">
        <v>1</v>
      </c>
      <c r="I95" s="10">
        <v>1</v>
      </c>
      <c r="J95" s="10" t="s">
        <v>322</v>
      </c>
      <c r="K95" s="10">
        <f t="shared" si="28"/>
        <v>45631</v>
      </c>
      <c r="L95" s="10">
        <f t="shared" ref="L95" si="30">K95-40000</f>
        <v>5631</v>
      </c>
      <c r="M95" s="10">
        <f t="shared" ref="M95" si="31">L95-1</f>
        <v>5630</v>
      </c>
      <c r="N95" s="10" t="s">
        <v>323</v>
      </c>
      <c r="O95" s="10" t="s">
        <v>324</v>
      </c>
      <c r="P95" s="10"/>
      <c r="Q95" s="10"/>
      <c r="R95" s="332"/>
      <c r="S95" s="7">
        <v>4</v>
      </c>
      <c r="T95" s="54" t="str">
        <f t="shared" si="27"/>
        <v>4</v>
      </c>
    </row>
    <row r="96" spans="2:20" s="6" customFormat="1" ht="15.6" x14ac:dyDescent="0.3">
      <c r="B96" s="10" t="s">
        <v>1939</v>
      </c>
      <c r="C96" s="10" t="s">
        <v>359</v>
      </c>
      <c r="D96" s="10">
        <v>4</v>
      </c>
      <c r="E96" s="10">
        <f t="shared" si="24"/>
        <v>2</v>
      </c>
      <c r="F96" s="10">
        <v>0</v>
      </c>
      <c r="G96" s="10">
        <v>4294967295</v>
      </c>
      <c r="H96" s="10">
        <v>1</v>
      </c>
      <c r="I96" s="10">
        <v>1</v>
      </c>
      <c r="J96" s="10" t="s">
        <v>322</v>
      </c>
      <c r="K96" s="10">
        <f t="shared" si="28"/>
        <v>45632</v>
      </c>
      <c r="L96" s="10">
        <f t="shared" si="25"/>
        <v>5632</v>
      </c>
      <c r="M96" s="10">
        <f t="shared" si="26"/>
        <v>5631</v>
      </c>
      <c r="N96" s="10" t="s">
        <v>323</v>
      </c>
      <c r="O96" s="10" t="s">
        <v>324</v>
      </c>
      <c r="P96" s="10"/>
      <c r="Q96" s="10"/>
      <c r="R96" s="332"/>
      <c r="S96" s="7">
        <v>5</v>
      </c>
      <c r="T96" s="54" t="str">
        <f t="shared" si="27"/>
        <v>5</v>
      </c>
    </row>
    <row r="97" spans="2:21" s="6" customFormat="1" ht="15.6" x14ac:dyDescent="0.3">
      <c r="B97" s="10" t="s">
        <v>1940</v>
      </c>
      <c r="C97" s="10" t="s">
        <v>359</v>
      </c>
      <c r="D97" s="10">
        <v>2</v>
      </c>
      <c r="E97" s="10">
        <f t="shared" si="24"/>
        <v>1</v>
      </c>
      <c r="F97" s="10">
        <v>0</v>
      </c>
      <c r="G97" s="10">
        <v>15</v>
      </c>
      <c r="H97" s="10">
        <v>1</v>
      </c>
      <c r="I97" s="10">
        <v>1</v>
      </c>
      <c r="J97" s="10" t="s">
        <v>322</v>
      </c>
      <c r="K97" s="10">
        <f t="shared" si="28"/>
        <v>45634</v>
      </c>
      <c r="L97" s="10">
        <f t="shared" si="25"/>
        <v>5634</v>
      </c>
      <c r="M97" s="10">
        <f t="shared" si="26"/>
        <v>5633</v>
      </c>
      <c r="N97" s="10" t="s">
        <v>323</v>
      </c>
      <c r="O97" s="10" t="s">
        <v>324</v>
      </c>
      <c r="P97" s="10"/>
      <c r="Q97" s="10"/>
      <c r="R97" s="332"/>
      <c r="S97" s="7">
        <v>6</v>
      </c>
      <c r="T97" s="54" t="str">
        <f t="shared" si="27"/>
        <v>6</v>
      </c>
    </row>
    <row r="98" spans="2:21" s="6" customFormat="1" ht="15.6" x14ac:dyDescent="0.3">
      <c r="B98" s="10" t="s">
        <v>1941</v>
      </c>
      <c r="C98" s="10" t="s">
        <v>359</v>
      </c>
      <c r="D98" s="10">
        <v>2</v>
      </c>
      <c r="E98" s="10">
        <f t="shared" si="24"/>
        <v>1</v>
      </c>
      <c r="F98" s="10">
        <v>0</v>
      </c>
      <c r="G98" s="10">
        <v>15</v>
      </c>
      <c r="H98" s="10">
        <v>1</v>
      </c>
      <c r="I98" s="10">
        <v>1</v>
      </c>
      <c r="J98" s="10" t="s">
        <v>322</v>
      </c>
      <c r="K98" s="10">
        <f t="shared" si="28"/>
        <v>45635</v>
      </c>
      <c r="L98" s="10">
        <f t="shared" si="25"/>
        <v>5635</v>
      </c>
      <c r="M98" s="10">
        <f t="shared" si="26"/>
        <v>5634</v>
      </c>
      <c r="N98" s="10" t="s">
        <v>323</v>
      </c>
      <c r="O98" s="10" t="s">
        <v>324</v>
      </c>
      <c r="P98" s="10"/>
      <c r="Q98" s="10"/>
      <c r="R98" s="332"/>
      <c r="S98" s="7">
        <v>7</v>
      </c>
      <c r="T98" s="54" t="str">
        <f t="shared" si="27"/>
        <v>7</v>
      </c>
    </row>
    <row r="99" spans="2:21" s="6" customFormat="1" ht="15.6" x14ac:dyDescent="0.3">
      <c r="B99" s="10" t="s">
        <v>1942</v>
      </c>
      <c r="C99" s="10" t="s">
        <v>359</v>
      </c>
      <c r="D99" s="10">
        <v>2</v>
      </c>
      <c r="E99" s="10">
        <f t="shared" si="24"/>
        <v>1</v>
      </c>
      <c r="F99" s="10">
        <v>0</v>
      </c>
      <c r="G99" s="10">
        <v>15</v>
      </c>
      <c r="H99" s="10">
        <v>1</v>
      </c>
      <c r="I99" s="10">
        <v>1</v>
      </c>
      <c r="J99" s="10" t="s">
        <v>322</v>
      </c>
      <c r="K99" s="10">
        <f t="shared" si="28"/>
        <v>45636</v>
      </c>
      <c r="L99" s="10">
        <f t="shared" si="25"/>
        <v>5636</v>
      </c>
      <c r="M99" s="10">
        <f t="shared" si="26"/>
        <v>5635</v>
      </c>
      <c r="N99" s="10" t="s">
        <v>323</v>
      </c>
      <c r="O99" s="10" t="s">
        <v>324</v>
      </c>
      <c r="P99" s="10"/>
      <c r="Q99" s="10"/>
      <c r="R99" s="332"/>
      <c r="S99" s="7">
        <v>8</v>
      </c>
      <c r="T99" s="54" t="str">
        <f t="shared" si="27"/>
        <v>8</v>
      </c>
    </row>
    <row r="100" spans="2:21" s="6" customFormat="1" ht="15.6" x14ac:dyDescent="0.3">
      <c r="B100" s="10" t="s">
        <v>1943</v>
      </c>
      <c r="C100" s="10" t="s">
        <v>359</v>
      </c>
      <c r="D100" s="10">
        <v>2</v>
      </c>
      <c r="E100" s="10">
        <f t="shared" si="24"/>
        <v>1</v>
      </c>
      <c r="F100" s="10">
        <v>0</v>
      </c>
      <c r="G100" s="10">
        <v>15</v>
      </c>
      <c r="H100" s="10">
        <v>1</v>
      </c>
      <c r="I100" s="10">
        <v>1</v>
      </c>
      <c r="J100" s="10" t="s">
        <v>322</v>
      </c>
      <c r="K100" s="10">
        <f t="shared" si="28"/>
        <v>45637</v>
      </c>
      <c r="L100" s="10">
        <f t="shared" si="25"/>
        <v>5637</v>
      </c>
      <c r="M100" s="10">
        <f t="shared" si="26"/>
        <v>5636</v>
      </c>
      <c r="N100" s="10" t="s">
        <v>323</v>
      </c>
      <c r="O100" s="10" t="s">
        <v>324</v>
      </c>
      <c r="P100" s="10"/>
      <c r="Q100" s="10"/>
      <c r="R100" s="332"/>
      <c r="S100" s="7">
        <v>9</v>
      </c>
      <c r="T100" s="54" t="str">
        <f t="shared" si="27"/>
        <v>9</v>
      </c>
    </row>
    <row r="101" spans="2:21" s="6" customFormat="1" ht="124.8" x14ac:dyDescent="0.3">
      <c r="B101" s="193" t="s">
        <v>1944</v>
      </c>
      <c r="C101" s="193" t="s">
        <v>359</v>
      </c>
      <c r="D101" s="193">
        <v>2</v>
      </c>
      <c r="E101" s="193">
        <f t="shared" si="24"/>
        <v>1</v>
      </c>
      <c r="F101" s="193">
        <v>0</v>
      </c>
      <c r="G101" s="193">
        <v>15</v>
      </c>
      <c r="H101" s="193">
        <v>1</v>
      </c>
      <c r="I101" s="193">
        <v>1</v>
      </c>
      <c r="J101" s="193" t="s">
        <v>322</v>
      </c>
      <c r="K101" s="193">
        <f t="shared" si="28"/>
        <v>45638</v>
      </c>
      <c r="L101" s="193">
        <f t="shared" si="25"/>
        <v>5638</v>
      </c>
      <c r="M101" s="193">
        <f t="shared" si="26"/>
        <v>5637</v>
      </c>
      <c r="N101" s="193" t="s">
        <v>323</v>
      </c>
      <c r="O101" s="193" t="s">
        <v>324</v>
      </c>
      <c r="P101" s="193"/>
      <c r="Q101" s="193"/>
      <c r="R101" s="396" t="s">
        <v>1945</v>
      </c>
      <c r="S101" s="7">
        <v>10</v>
      </c>
      <c r="T101" s="54" t="str">
        <f t="shared" si="27"/>
        <v>A</v>
      </c>
    </row>
    <row r="102" spans="2:21" s="6" customFormat="1" ht="15.6" x14ac:dyDescent="0.3">
      <c r="B102" s="10" t="s">
        <v>320</v>
      </c>
      <c r="C102" s="10" t="s">
        <v>359</v>
      </c>
      <c r="D102" s="10">
        <v>2</v>
      </c>
      <c r="E102" s="10">
        <f t="shared" si="24"/>
        <v>1</v>
      </c>
      <c r="F102" s="10">
        <v>0</v>
      </c>
      <c r="G102" s="10">
        <v>0</v>
      </c>
      <c r="H102" s="10">
        <v>1</v>
      </c>
      <c r="I102" s="10">
        <v>1</v>
      </c>
      <c r="J102" s="10" t="s">
        <v>322</v>
      </c>
      <c r="K102" s="10">
        <f t="shared" si="28"/>
        <v>45639</v>
      </c>
      <c r="L102" s="10">
        <f t="shared" si="25"/>
        <v>5639</v>
      </c>
      <c r="M102" s="10">
        <f t="shared" si="26"/>
        <v>5638</v>
      </c>
      <c r="N102" s="10" t="s">
        <v>323</v>
      </c>
      <c r="O102" s="10" t="s">
        <v>324</v>
      </c>
      <c r="P102" s="10"/>
      <c r="Q102" s="10"/>
      <c r="R102" s="332"/>
      <c r="S102" s="7">
        <v>11</v>
      </c>
      <c r="T102" s="54" t="str">
        <f t="shared" si="27"/>
        <v>B</v>
      </c>
    </row>
    <row r="103" spans="2:21" s="6" customFormat="1" ht="15.6" x14ac:dyDescent="0.3">
      <c r="B103" s="10" t="s">
        <v>1946</v>
      </c>
      <c r="C103" s="10" t="s">
        <v>359</v>
      </c>
      <c r="D103" s="10">
        <v>2</v>
      </c>
      <c r="E103" s="10">
        <f t="shared" si="24"/>
        <v>1</v>
      </c>
      <c r="F103" s="10">
        <v>0</v>
      </c>
      <c r="G103" s="10">
        <v>65535</v>
      </c>
      <c r="H103" s="10">
        <v>1</v>
      </c>
      <c r="I103" s="10">
        <v>1</v>
      </c>
      <c r="J103" s="10" t="s">
        <v>322</v>
      </c>
      <c r="K103" s="10">
        <f t="shared" si="28"/>
        <v>45640</v>
      </c>
      <c r="L103" s="10">
        <f t="shared" si="25"/>
        <v>5640</v>
      </c>
      <c r="M103" s="10">
        <f t="shared" si="26"/>
        <v>5639</v>
      </c>
      <c r="N103" s="10" t="s">
        <v>323</v>
      </c>
      <c r="O103" s="10" t="s">
        <v>324</v>
      </c>
      <c r="P103" s="10"/>
      <c r="Q103" s="10"/>
      <c r="R103" s="332"/>
      <c r="S103" s="7">
        <v>12</v>
      </c>
      <c r="T103" s="54" t="str">
        <f t="shared" si="27"/>
        <v>C</v>
      </c>
    </row>
    <row r="104" spans="2:21" s="6" customFormat="1" ht="15.6" x14ac:dyDescent="0.3">
      <c r="B104" s="10" t="s">
        <v>1947</v>
      </c>
      <c r="C104" s="10" t="s">
        <v>359</v>
      </c>
      <c r="D104" s="10">
        <v>2</v>
      </c>
      <c r="E104" s="10">
        <f t="shared" si="24"/>
        <v>1</v>
      </c>
      <c r="F104" s="10">
        <v>0</v>
      </c>
      <c r="G104" s="10">
        <v>65535</v>
      </c>
      <c r="H104" s="10">
        <v>1</v>
      </c>
      <c r="I104" s="10">
        <v>1</v>
      </c>
      <c r="J104" s="10" t="s">
        <v>322</v>
      </c>
      <c r="K104" s="10">
        <f t="shared" si="28"/>
        <v>45641</v>
      </c>
      <c r="L104" s="10">
        <f t="shared" si="25"/>
        <v>5641</v>
      </c>
      <c r="M104" s="10">
        <f t="shared" si="26"/>
        <v>5640</v>
      </c>
      <c r="N104" s="10" t="s">
        <v>323</v>
      </c>
      <c r="O104" s="10" t="s">
        <v>324</v>
      </c>
      <c r="P104" s="10"/>
      <c r="Q104" s="10"/>
      <c r="R104" s="332"/>
      <c r="S104" s="7">
        <v>13</v>
      </c>
      <c r="T104" s="54" t="str">
        <f t="shared" si="27"/>
        <v>D</v>
      </c>
      <c r="U104" s="397">
        <v>3.0041666666666664</v>
      </c>
    </row>
    <row r="105" spans="2:21" s="6" customFormat="1" ht="15.6" x14ac:dyDescent="0.3">
      <c r="B105" s="10" t="s">
        <v>1948</v>
      </c>
      <c r="C105" s="10" t="s">
        <v>359</v>
      </c>
      <c r="D105" s="10">
        <v>4</v>
      </c>
      <c r="E105" s="10">
        <f t="shared" si="24"/>
        <v>2</v>
      </c>
      <c r="F105" s="10">
        <v>0</v>
      </c>
      <c r="G105" s="10">
        <v>4294967295</v>
      </c>
      <c r="H105" s="10">
        <v>1</v>
      </c>
      <c r="I105" s="10">
        <v>1</v>
      </c>
      <c r="J105" s="10" t="s">
        <v>322</v>
      </c>
      <c r="K105" s="10">
        <f t="shared" si="28"/>
        <v>45642</v>
      </c>
      <c r="L105" s="10">
        <f t="shared" si="25"/>
        <v>5642</v>
      </c>
      <c r="M105" s="10">
        <f t="shared" si="26"/>
        <v>5641</v>
      </c>
      <c r="N105" s="10" t="s">
        <v>323</v>
      </c>
      <c r="O105" s="10" t="s">
        <v>324</v>
      </c>
      <c r="P105" s="10"/>
      <c r="Q105" s="10"/>
      <c r="R105" s="332"/>
      <c r="S105" s="7">
        <v>14</v>
      </c>
      <c r="T105" s="54" t="str">
        <f t="shared" si="27"/>
        <v>E</v>
      </c>
    </row>
    <row r="106" spans="2:21" s="6" customFormat="1" ht="15.6" x14ac:dyDescent="0.3">
      <c r="B106" s="10" t="s">
        <v>1949</v>
      </c>
      <c r="C106" s="10" t="s">
        <v>359</v>
      </c>
      <c r="D106" s="10">
        <v>4</v>
      </c>
      <c r="E106" s="10">
        <f t="shared" si="24"/>
        <v>2</v>
      </c>
      <c r="F106" s="10">
        <v>0</v>
      </c>
      <c r="G106" s="10">
        <v>4294967295</v>
      </c>
      <c r="H106" s="10">
        <v>1</v>
      </c>
      <c r="I106" s="10">
        <v>1</v>
      </c>
      <c r="J106" s="10" t="s">
        <v>322</v>
      </c>
      <c r="K106" s="10">
        <f t="shared" si="28"/>
        <v>45644</v>
      </c>
      <c r="L106" s="10">
        <f t="shared" si="25"/>
        <v>5644</v>
      </c>
      <c r="M106" s="10">
        <f t="shared" si="26"/>
        <v>5643</v>
      </c>
      <c r="N106" s="10" t="s">
        <v>323</v>
      </c>
      <c r="O106" s="10" t="s">
        <v>324</v>
      </c>
      <c r="P106" s="10"/>
      <c r="Q106" s="10"/>
      <c r="R106" s="332"/>
      <c r="S106" s="7">
        <v>15</v>
      </c>
      <c r="T106" s="54" t="str">
        <f t="shared" si="27"/>
        <v>F</v>
      </c>
    </row>
    <row r="107" spans="2:21" s="6" customFormat="1" ht="15.6" x14ac:dyDescent="0.3">
      <c r="B107" s="10" t="s">
        <v>1950</v>
      </c>
      <c r="C107" s="10" t="s">
        <v>359</v>
      </c>
      <c r="D107" s="10">
        <v>4</v>
      </c>
      <c r="E107" s="10">
        <f t="shared" si="24"/>
        <v>2</v>
      </c>
      <c r="F107" s="10">
        <v>0</v>
      </c>
      <c r="G107" s="10">
        <v>4294967295</v>
      </c>
      <c r="H107" s="10">
        <v>1</v>
      </c>
      <c r="I107" s="10">
        <v>1</v>
      </c>
      <c r="J107" s="10" t="s">
        <v>322</v>
      </c>
      <c r="K107" s="10">
        <f t="shared" si="28"/>
        <v>45646</v>
      </c>
      <c r="L107" s="10">
        <f t="shared" si="25"/>
        <v>5646</v>
      </c>
      <c r="M107" s="10">
        <f t="shared" si="26"/>
        <v>5645</v>
      </c>
      <c r="N107" s="10" t="s">
        <v>323</v>
      </c>
      <c r="O107" s="10" t="s">
        <v>324</v>
      </c>
      <c r="P107" s="10"/>
      <c r="Q107" s="10"/>
      <c r="R107" s="332"/>
      <c r="S107" s="7">
        <v>16</v>
      </c>
      <c r="T107" s="54" t="str">
        <f t="shared" si="27"/>
        <v>10</v>
      </c>
    </row>
    <row r="108" spans="2:21" s="6" customFormat="1" ht="15.6" x14ac:dyDescent="0.3">
      <c r="B108" s="10" t="s">
        <v>1951</v>
      </c>
      <c r="C108" s="10" t="s">
        <v>359</v>
      </c>
      <c r="D108" s="10">
        <v>2</v>
      </c>
      <c r="E108" s="10">
        <f t="shared" si="24"/>
        <v>1</v>
      </c>
      <c r="F108" s="10">
        <v>0</v>
      </c>
      <c r="G108" s="10">
        <v>65535</v>
      </c>
      <c r="H108" s="10">
        <v>1</v>
      </c>
      <c r="I108" s="10">
        <v>1</v>
      </c>
      <c r="J108" s="10" t="s">
        <v>322</v>
      </c>
      <c r="K108" s="10">
        <f t="shared" si="28"/>
        <v>45648</v>
      </c>
      <c r="L108" s="10">
        <f t="shared" si="25"/>
        <v>5648</v>
      </c>
      <c r="M108" s="10">
        <f t="shared" si="26"/>
        <v>5647</v>
      </c>
      <c r="N108" s="10" t="s">
        <v>323</v>
      </c>
      <c r="O108" s="10" t="s">
        <v>324</v>
      </c>
      <c r="P108" s="10"/>
      <c r="Q108" s="10"/>
      <c r="R108" s="332"/>
      <c r="S108" s="7">
        <v>17</v>
      </c>
      <c r="T108" s="54" t="str">
        <f t="shared" si="27"/>
        <v>11</v>
      </c>
    </row>
    <row r="109" spans="2:21" s="6" customFormat="1" ht="15.6" x14ac:dyDescent="0.3">
      <c r="B109" s="10" t="s">
        <v>1952</v>
      </c>
      <c r="C109" s="10" t="s">
        <v>359</v>
      </c>
      <c r="D109" s="10">
        <v>2</v>
      </c>
      <c r="E109" s="10">
        <f t="shared" si="24"/>
        <v>1</v>
      </c>
      <c r="F109" s="10">
        <v>0</v>
      </c>
      <c r="G109" s="10">
        <v>65535</v>
      </c>
      <c r="H109" s="10">
        <v>1</v>
      </c>
      <c r="I109" s="10">
        <v>1</v>
      </c>
      <c r="J109" s="10" t="s">
        <v>322</v>
      </c>
      <c r="K109" s="10">
        <f t="shared" si="28"/>
        <v>45649</v>
      </c>
      <c r="L109" s="10">
        <f t="shared" si="25"/>
        <v>5649</v>
      </c>
      <c r="M109" s="10">
        <f t="shared" si="26"/>
        <v>5648</v>
      </c>
      <c r="N109" s="10" t="s">
        <v>323</v>
      </c>
      <c r="O109" s="10" t="s">
        <v>324</v>
      </c>
      <c r="P109" s="10"/>
      <c r="Q109" s="10"/>
      <c r="R109" s="332"/>
      <c r="S109" s="7">
        <v>18</v>
      </c>
      <c r="T109" s="54" t="str">
        <f t="shared" si="27"/>
        <v>12</v>
      </c>
    </row>
    <row r="110" spans="2:21" s="6" customFormat="1" ht="15.6" x14ac:dyDescent="0.3">
      <c r="B110" s="10" t="s">
        <v>1953</v>
      </c>
      <c r="C110" s="10" t="s">
        <v>359</v>
      </c>
      <c r="D110" s="10">
        <v>2</v>
      </c>
      <c r="E110" s="10">
        <f t="shared" si="24"/>
        <v>1</v>
      </c>
      <c r="F110" s="10">
        <v>0</v>
      </c>
      <c r="G110" s="10">
        <v>65535</v>
      </c>
      <c r="H110" s="10">
        <v>1</v>
      </c>
      <c r="I110" s="10">
        <v>1</v>
      </c>
      <c r="J110" s="10" t="s">
        <v>322</v>
      </c>
      <c r="K110" s="10">
        <f t="shared" si="28"/>
        <v>45650</v>
      </c>
      <c r="L110" s="10">
        <f t="shared" si="25"/>
        <v>5650</v>
      </c>
      <c r="M110" s="10">
        <f t="shared" si="26"/>
        <v>5649</v>
      </c>
      <c r="N110" s="10" t="s">
        <v>323</v>
      </c>
      <c r="O110" s="10" t="s">
        <v>324</v>
      </c>
      <c r="P110" s="10"/>
      <c r="Q110" s="10"/>
      <c r="R110" s="332"/>
      <c r="S110" s="7">
        <v>19</v>
      </c>
      <c r="T110" s="54" t="str">
        <f t="shared" si="27"/>
        <v>13</v>
      </c>
    </row>
    <row r="111" spans="2:21" s="6" customFormat="1" ht="15.6" x14ac:dyDescent="0.3">
      <c r="B111" s="10" t="s">
        <v>1954</v>
      </c>
      <c r="C111" s="10" t="s">
        <v>359</v>
      </c>
      <c r="D111" s="10">
        <v>2</v>
      </c>
      <c r="E111" s="10">
        <f t="shared" si="24"/>
        <v>1</v>
      </c>
      <c r="F111" s="10">
        <v>0</v>
      </c>
      <c r="G111" s="10">
        <v>65535</v>
      </c>
      <c r="H111" s="10">
        <v>1</v>
      </c>
      <c r="I111" s="10">
        <v>1</v>
      </c>
      <c r="J111" s="10" t="s">
        <v>322</v>
      </c>
      <c r="K111" s="10">
        <f t="shared" si="28"/>
        <v>45651</v>
      </c>
      <c r="L111" s="10">
        <f t="shared" si="25"/>
        <v>5651</v>
      </c>
      <c r="M111" s="10">
        <f t="shared" si="26"/>
        <v>5650</v>
      </c>
      <c r="N111" s="10" t="s">
        <v>323</v>
      </c>
      <c r="O111" s="10" t="s">
        <v>324</v>
      </c>
      <c r="P111" s="10"/>
      <c r="Q111" s="10"/>
      <c r="R111" s="332"/>
      <c r="S111" s="7">
        <v>20</v>
      </c>
      <c r="T111" s="54" t="str">
        <f t="shared" si="27"/>
        <v>14</v>
      </c>
    </row>
    <row r="112" spans="2:21" s="6" customFormat="1" ht="15.6" x14ac:dyDescent="0.3">
      <c r="B112" s="10" t="s">
        <v>1955</v>
      </c>
      <c r="C112" s="10" t="s">
        <v>359</v>
      </c>
      <c r="D112" s="10">
        <v>2</v>
      </c>
      <c r="E112" s="10">
        <f t="shared" si="24"/>
        <v>1</v>
      </c>
      <c r="F112" s="10">
        <v>0</v>
      </c>
      <c r="G112" s="10">
        <v>65535</v>
      </c>
      <c r="H112" s="10">
        <v>1</v>
      </c>
      <c r="I112" s="10">
        <v>1</v>
      </c>
      <c r="J112" s="10" t="s">
        <v>322</v>
      </c>
      <c r="K112" s="10">
        <f t="shared" si="28"/>
        <v>45652</v>
      </c>
      <c r="L112" s="10">
        <f t="shared" si="25"/>
        <v>5652</v>
      </c>
      <c r="M112" s="10">
        <f t="shared" si="26"/>
        <v>5651</v>
      </c>
      <c r="N112" s="10" t="s">
        <v>323</v>
      </c>
      <c r="O112" s="10" t="s">
        <v>324</v>
      </c>
      <c r="P112" s="10"/>
      <c r="Q112" s="10"/>
      <c r="R112" s="332"/>
      <c r="S112" s="7">
        <v>21</v>
      </c>
      <c r="T112" s="54" t="str">
        <f t="shared" si="27"/>
        <v>15</v>
      </c>
    </row>
    <row r="113" spans="2:20" s="6" customFormat="1" ht="15.6" x14ac:dyDescent="0.3">
      <c r="B113" s="10" t="s">
        <v>1956</v>
      </c>
      <c r="C113" s="10" t="s">
        <v>359</v>
      </c>
      <c r="D113" s="10">
        <v>2</v>
      </c>
      <c r="E113" s="10">
        <f t="shared" si="24"/>
        <v>1</v>
      </c>
      <c r="F113" s="10">
        <v>0</v>
      </c>
      <c r="G113" s="10">
        <v>65535</v>
      </c>
      <c r="H113" s="10">
        <v>1</v>
      </c>
      <c r="I113" s="10">
        <v>1</v>
      </c>
      <c r="J113" s="10" t="s">
        <v>322</v>
      </c>
      <c r="K113" s="10">
        <f t="shared" si="28"/>
        <v>45653</v>
      </c>
      <c r="L113" s="10">
        <f t="shared" si="25"/>
        <v>5653</v>
      </c>
      <c r="M113" s="10">
        <f t="shared" si="26"/>
        <v>5652</v>
      </c>
      <c r="N113" s="10" t="s">
        <v>323</v>
      </c>
      <c r="O113" s="10" t="s">
        <v>324</v>
      </c>
      <c r="P113" s="10"/>
      <c r="Q113" s="10"/>
      <c r="R113" s="332"/>
      <c r="S113" s="7">
        <v>22</v>
      </c>
      <c r="T113" s="54" t="str">
        <f t="shared" si="27"/>
        <v>16</v>
      </c>
    </row>
    <row r="114" spans="2:20" s="6" customFormat="1" ht="15.6" x14ac:dyDescent="0.3">
      <c r="B114" s="10" t="s">
        <v>1957</v>
      </c>
      <c r="C114" s="10" t="s">
        <v>359</v>
      </c>
      <c r="D114" s="10">
        <v>2</v>
      </c>
      <c r="E114" s="10">
        <f t="shared" si="24"/>
        <v>1</v>
      </c>
      <c r="F114" s="10">
        <v>0</v>
      </c>
      <c r="G114" s="10">
        <v>65535</v>
      </c>
      <c r="H114" s="10">
        <v>1</v>
      </c>
      <c r="I114" s="10">
        <v>1</v>
      </c>
      <c r="J114" s="10" t="s">
        <v>322</v>
      </c>
      <c r="K114" s="10">
        <f t="shared" si="28"/>
        <v>45654</v>
      </c>
      <c r="L114" s="10">
        <f t="shared" si="25"/>
        <v>5654</v>
      </c>
      <c r="M114" s="10">
        <f t="shared" si="26"/>
        <v>5653</v>
      </c>
      <c r="N114" s="10" t="s">
        <v>323</v>
      </c>
      <c r="O114" s="10" t="s">
        <v>324</v>
      </c>
      <c r="P114" s="10"/>
      <c r="Q114" s="10"/>
      <c r="R114" s="332"/>
      <c r="S114" s="7">
        <v>23</v>
      </c>
      <c r="T114" s="54" t="str">
        <f t="shared" si="27"/>
        <v>17</v>
      </c>
    </row>
    <row r="115" spans="2:20" s="6" customFormat="1" ht="15.6" x14ac:dyDescent="0.3">
      <c r="B115" s="10" t="s">
        <v>1958</v>
      </c>
      <c r="C115" s="10" t="s">
        <v>359</v>
      </c>
      <c r="D115" s="10">
        <v>2</v>
      </c>
      <c r="E115" s="10">
        <f t="shared" si="24"/>
        <v>1</v>
      </c>
      <c r="F115" s="10">
        <v>0</v>
      </c>
      <c r="G115" s="10">
        <v>65535</v>
      </c>
      <c r="H115" s="10">
        <v>1</v>
      </c>
      <c r="I115" s="10">
        <v>1</v>
      </c>
      <c r="J115" s="10" t="s">
        <v>322</v>
      </c>
      <c r="K115" s="10">
        <f t="shared" si="28"/>
        <v>45655</v>
      </c>
      <c r="L115" s="10">
        <f t="shared" si="25"/>
        <v>5655</v>
      </c>
      <c r="M115" s="10">
        <f t="shared" si="26"/>
        <v>5654</v>
      </c>
      <c r="N115" s="10" t="s">
        <v>323</v>
      </c>
      <c r="O115" s="10" t="s">
        <v>324</v>
      </c>
      <c r="P115" s="10"/>
      <c r="Q115" s="10"/>
      <c r="R115" s="332"/>
      <c r="S115" s="7">
        <v>24</v>
      </c>
      <c r="T115" s="54" t="str">
        <f t="shared" si="27"/>
        <v>18</v>
      </c>
    </row>
    <row r="116" spans="2:20" s="6" customFormat="1" ht="15.6" x14ac:dyDescent="0.3">
      <c r="B116" s="10" t="s">
        <v>1959</v>
      </c>
      <c r="C116" s="10" t="s">
        <v>359</v>
      </c>
      <c r="D116" s="10">
        <v>2</v>
      </c>
      <c r="E116" s="10">
        <f t="shared" si="24"/>
        <v>1</v>
      </c>
      <c r="F116" s="10">
        <v>0</v>
      </c>
      <c r="G116" s="10">
        <v>65535</v>
      </c>
      <c r="H116" s="10">
        <v>1</v>
      </c>
      <c r="I116" s="10">
        <v>1</v>
      </c>
      <c r="J116" s="10" t="s">
        <v>322</v>
      </c>
      <c r="K116" s="10">
        <f t="shared" si="28"/>
        <v>45656</v>
      </c>
      <c r="L116" s="10">
        <f t="shared" si="25"/>
        <v>5656</v>
      </c>
      <c r="M116" s="10">
        <f t="shared" si="26"/>
        <v>5655</v>
      </c>
      <c r="N116" s="10" t="s">
        <v>323</v>
      </c>
      <c r="O116" s="10" t="s">
        <v>324</v>
      </c>
      <c r="P116" s="10"/>
      <c r="Q116" s="10"/>
      <c r="R116" s="332"/>
      <c r="S116" s="7">
        <v>25</v>
      </c>
      <c r="T116" s="54" t="str">
        <f t="shared" si="27"/>
        <v>19</v>
      </c>
    </row>
    <row r="117" spans="2:20" s="6" customFormat="1" ht="15.6" x14ac:dyDescent="0.3">
      <c r="B117" s="10" t="s">
        <v>1960</v>
      </c>
      <c r="C117" s="10" t="s">
        <v>359</v>
      </c>
      <c r="D117" s="10">
        <v>4</v>
      </c>
      <c r="E117" s="10">
        <f t="shared" si="24"/>
        <v>2</v>
      </c>
      <c r="F117" s="10">
        <v>0</v>
      </c>
      <c r="G117" s="10">
        <v>4294967295</v>
      </c>
      <c r="H117" s="10">
        <v>1</v>
      </c>
      <c r="I117" s="10">
        <v>1</v>
      </c>
      <c r="J117" s="10" t="s">
        <v>322</v>
      </c>
      <c r="K117" s="10">
        <f t="shared" si="28"/>
        <v>45657</v>
      </c>
      <c r="L117" s="10">
        <f t="shared" si="25"/>
        <v>5657</v>
      </c>
      <c r="M117" s="10">
        <f t="shared" si="26"/>
        <v>5656</v>
      </c>
      <c r="N117" s="10" t="s">
        <v>323</v>
      </c>
      <c r="O117" s="10" t="s">
        <v>324</v>
      </c>
      <c r="P117" s="10"/>
      <c r="Q117" s="10"/>
      <c r="R117" s="332"/>
      <c r="S117" s="7">
        <v>26</v>
      </c>
      <c r="T117" s="54" t="str">
        <f t="shared" si="27"/>
        <v>1A</v>
      </c>
    </row>
    <row r="118" spans="2:20" s="6" customFormat="1" ht="15.6" x14ac:dyDescent="0.3">
      <c r="B118" s="10" t="s">
        <v>1961</v>
      </c>
      <c r="C118" s="10" t="s">
        <v>359</v>
      </c>
      <c r="D118" s="10">
        <v>2</v>
      </c>
      <c r="E118" s="10">
        <f t="shared" si="24"/>
        <v>1</v>
      </c>
      <c r="F118" s="10">
        <v>0</v>
      </c>
      <c r="G118" s="10">
        <v>65535</v>
      </c>
      <c r="H118" s="10">
        <v>1</v>
      </c>
      <c r="I118" s="10">
        <v>1</v>
      </c>
      <c r="J118" s="10" t="s">
        <v>322</v>
      </c>
      <c r="K118" s="10">
        <f t="shared" si="28"/>
        <v>45659</v>
      </c>
      <c r="L118" s="10">
        <f t="shared" si="25"/>
        <v>5659</v>
      </c>
      <c r="M118" s="10">
        <f t="shared" si="26"/>
        <v>5658</v>
      </c>
      <c r="N118" s="10" t="s">
        <v>323</v>
      </c>
      <c r="O118" s="10" t="s">
        <v>324</v>
      </c>
      <c r="P118" s="10"/>
      <c r="Q118" s="10"/>
      <c r="R118" s="332"/>
      <c r="S118" s="7">
        <v>27</v>
      </c>
      <c r="T118" s="54" t="str">
        <f t="shared" si="27"/>
        <v>1B</v>
      </c>
    </row>
    <row r="119" spans="2:20" ht="15.6" x14ac:dyDescent="0.3">
      <c r="B119" s="201" t="s">
        <v>1962</v>
      </c>
      <c r="C119" s="10" t="s">
        <v>359</v>
      </c>
      <c r="D119" s="10">
        <v>4</v>
      </c>
      <c r="E119" s="10">
        <f t="shared" si="24"/>
        <v>2</v>
      </c>
      <c r="F119" s="10">
        <v>0</v>
      </c>
      <c r="G119" s="10">
        <v>4294967295</v>
      </c>
      <c r="H119" s="10">
        <v>1</v>
      </c>
      <c r="I119" s="10">
        <v>1</v>
      </c>
      <c r="J119" s="10" t="s">
        <v>322</v>
      </c>
      <c r="K119" s="10">
        <f t="shared" si="28"/>
        <v>45660</v>
      </c>
      <c r="L119" s="10">
        <f t="shared" si="25"/>
        <v>5660</v>
      </c>
      <c r="M119" s="10">
        <f t="shared" si="26"/>
        <v>5659</v>
      </c>
      <c r="N119" s="10" t="s">
        <v>323</v>
      </c>
      <c r="O119" s="10" t="s">
        <v>324</v>
      </c>
      <c r="P119" s="10"/>
      <c r="Q119" s="10"/>
      <c r="R119" s="332"/>
      <c r="S119" s="7">
        <v>28</v>
      </c>
      <c r="T119" s="54" t="str">
        <f t="shared" si="27"/>
        <v>1C</v>
      </c>
    </row>
    <row r="120" spans="2:20" ht="15.6" x14ac:dyDescent="0.3">
      <c r="B120" s="10" t="s">
        <v>1963</v>
      </c>
      <c r="C120" s="10" t="s">
        <v>359</v>
      </c>
      <c r="D120" s="10">
        <v>4</v>
      </c>
      <c r="E120" s="10">
        <f t="shared" si="24"/>
        <v>2</v>
      </c>
      <c r="F120" s="10">
        <v>0</v>
      </c>
      <c r="G120" s="10">
        <v>4294967295</v>
      </c>
      <c r="H120" s="10">
        <v>1</v>
      </c>
      <c r="I120" s="10">
        <v>1</v>
      </c>
      <c r="J120" s="10" t="s">
        <v>322</v>
      </c>
      <c r="K120" s="10">
        <f t="shared" si="28"/>
        <v>45662</v>
      </c>
      <c r="L120" s="10">
        <f t="shared" si="25"/>
        <v>5662</v>
      </c>
      <c r="M120" s="10">
        <f t="shared" si="26"/>
        <v>5661</v>
      </c>
      <c r="N120" s="10" t="s">
        <v>323</v>
      </c>
      <c r="O120" s="10" t="s">
        <v>324</v>
      </c>
      <c r="P120" s="10"/>
      <c r="Q120" s="10"/>
      <c r="R120" s="332"/>
      <c r="S120" s="7">
        <v>29</v>
      </c>
      <c r="T120" s="54" t="str">
        <f t="shared" si="27"/>
        <v>1D</v>
      </c>
    </row>
    <row r="121" spans="2:20" ht="15.6" x14ac:dyDescent="0.3">
      <c r="B121" s="10" t="s">
        <v>1964</v>
      </c>
      <c r="C121" s="10" t="s">
        <v>359</v>
      </c>
      <c r="D121" s="10">
        <v>4</v>
      </c>
      <c r="E121" s="10">
        <f t="shared" si="24"/>
        <v>2</v>
      </c>
      <c r="F121" s="10">
        <v>0</v>
      </c>
      <c r="G121" s="10">
        <v>4294967295</v>
      </c>
      <c r="H121" s="10">
        <v>1</v>
      </c>
      <c r="I121" s="10">
        <v>1</v>
      </c>
      <c r="J121" s="10" t="s">
        <v>322</v>
      </c>
      <c r="K121" s="10">
        <f t="shared" si="28"/>
        <v>45664</v>
      </c>
      <c r="L121" s="10">
        <f t="shared" si="25"/>
        <v>5664</v>
      </c>
      <c r="M121" s="10">
        <f t="shared" si="26"/>
        <v>5663</v>
      </c>
      <c r="N121" s="10" t="s">
        <v>323</v>
      </c>
      <c r="O121" s="10" t="s">
        <v>324</v>
      </c>
      <c r="P121" s="10"/>
      <c r="Q121" s="10"/>
      <c r="R121" s="332"/>
      <c r="S121" s="7">
        <v>30</v>
      </c>
      <c r="T121" s="54" t="str">
        <f t="shared" si="27"/>
        <v>1E</v>
      </c>
    </row>
    <row r="122" spans="2:20" ht="15.6" x14ac:dyDescent="0.3">
      <c r="B122" s="10" t="s">
        <v>1965</v>
      </c>
      <c r="C122" s="10" t="s">
        <v>359</v>
      </c>
      <c r="D122" s="10">
        <v>4</v>
      </c>
      <c r="E122" s="10">
        <f t="shared" si="24"/>
        <v>2</v>
      </c>
      <c r="F122" s="10">
        <v>0</v>
      </c>
      <c r="G122" s="10">
        <v>4294967295</v>
      </c>
      <c r="H122" s="10">
        <v>1</v>
      </c>
      <c r="I122" s="10">
        <v>1</v>
      </c>
      <c r="J122" s="10" t="s">
        <v>322</v>
      </c>
      <c r="K122" s="10">
        <f t="shared" si="28"/>
        <v>45666</v>
      </c>
      <c r="L122" s="10">
        <f t="shared" si="25"/>
        <v>5666</v>
      </c>
      <c r="M122" s="10">
        <f t="shared" si="26"/>
        <v>5665</v>
      </c>
      <c r="N122" s="10" t="s">
        <v>323</v>
      </c>
      <c r="O122" s="10" t="s">
        <v>324</v>
      </c>
      <c r="P122" s="10"/>
      <c r="Q122" s="10"/>
      <c r="R122" s="332"/>
      <c r="S122" s="7">
        <v>31</v>
      </c>
      <c r="T122" s="54" t="str">
        <f t="shared" si="27"/>
        <v>1F</v>
      </c>
    </row>
    <row r="123" spans="2:20" ht="109.2" x14ac:dyDescent="0.3">
      <c r="B123" s="10" t="s">
        <v>1966</v>
      </c>
      <c r="C123" s="10" t="s">
        <v>359</v>
      </c>
      <c r="D123" s="10">
        <v>4</v>
      </c>
      <c r="E123" s="10">
        <f t="shared" ref="E123" si="32">D123/2</f>
        <v>2</v>
      </c>
      <c r="F123" s="10">
        <v>0</v>
      </c>
      <c r="G123" s="10">
        <v>4294967295</v>
      </c>
      <c r="H123" s="10">
        <v>1</v>
      </c>
      <c r="I123" s="10">
        <v>1</v>
      </c>
      <c r="J123" s="10" t="s">
        <v>322</v>
      </c>
      <c r="K123" s="10">
        <f t="shared" si="28"/>
        <v>45668</v>
      </c>
      <c r="L123" s="10">
        <f t="shared" si="25"/>
        <v>5668</v>
      </c>
      <c r="M123" s="10">
        <f t="shared" si="26"/>
        <v>5667</v>
      </c>
      <c r="N123" s="10" t="s">
        <v>323</v>
      </c>
      <c r="O123" s="10" t="s">
        <v>324</v>
      </c>
      <c r="P123" s="10"/>
      <c r="Q123" s="10"/>
      <c r="R123" s="334" t="s">
        <v>1967</v>
      </c>
      <c r="S123" s="7">
        <v>32</v>
      </c>
      <c r="T123" s="54" t="str">
        <f t="shared" si="27"/>
        <v>20</v>
      </c>
    </row>
    <row r="124" spans="2:20" x14ac:dyDescent="0.3">
      <c r="S124" s="55"/>
      <c r="T124" s="55"/>
    </row>
    <row r="125" spans="2:20" ht="15.6" x14ac:dyDescent="0.3">
      <c r="B125" s="496" t="s">
        <v>162</v>
      </c>
      <c r="C125" s="496"/>
      <c r="D125" s="496"/>
      <c r="E125" s="496"/>
      <c r="F125" s="496"/>
      <c r="G125" s="496"/>
      <c r="H125" s="496"/>
      <c r="I125" s="496"/>
      <c r="J125" s="496"/>
      <c r="K125" s="496"/>
      <c r="L125" s="496"/>
      <c r="M125" s="496"/>
      <c r="N125" s="496"/>
      <c r="O125" s="496"/>
      <c r="P125" s="496"/>
      <c r="Q125" s="496"/>
      <c r="R125" s="497"/>
      <c r="S125" s="55"/>
      <c r="T125" s="55"/>
    </row>
    <row r="126" spans="2:20" s="6" customFormat="1" ht="15.6" x14ac:dyDescent="0.3">
      <c r="B126" s="10" t="s">
        <v>1968</v>
      </c>
      <c r="C126" s="10" t="s">
        <v>321</v>
      </c>
      <c r="D126" s="10">
        <v>2</v>
      </c>
      <c r="E126" s="10">
        <f t="shared" ref="E126:E157" si="33">D126/2</f>
        <v>1</v>
      </c>
      <c r="F126" s="10">
        <v>0</v>
      </c>
      <c r="G126" s="10">
        <v>65535</v>
      </c>
      <c r="H126" s="10">
        <v>1</v>
      </c>
      <c r="I126" s="10">
        <v>1</v>
      </c>
      <c r="J126" s="10" t="s">
        <v>322</v>
      </c>
      <c r="K126" s="10">
        <v>45751</v>
      </c>
      <c r="L126" s="10">
        <f>K126-40000</f>
        <v>5751</v>
      </c>
      <c r="M126" s="10">
        <f t="shared" ref="M126:M189" si="34">L126-1</f>
        <v>5750</v>
      </c>
      <c r="N126" s="10" t="s">
        <v>323</v>
      </c>
      <c r="O126" s="10" t="s">
        <v>324</v>
      </c>
      <c r="P126" s="10" t="s">
        <v>1027</v>
      </c>
      <c r="Q126" s="10"/>
      <c r="R126" s="332"/>
      <c r="S126" s="7"/>
      <c r="T126" s="7"/>
    </row>
    <row r="127" spans="2:20" s="6" customFormat="1" ht="15.6" x14ac:dyDescent="0.3">
      <c r="B127" s="10" t="s">
        <v>1969</v>
      </c>
      <c r="C127" s="10" t="s">
        <v>321</v>
      </c>
      <c r="D127" s="10">
        <v>2</v>
      </c>
      <c r="E127" s="10">
        <f t="shared" si="33"/>
        <v>1</v>
      </c>
      <c r="F127" s="10">
        <v>0</v>
      </c>
      <c r="G127" s="10">
        <v>65535</v>
      </c>
      <c r="H127" s="10">
        <v>1</v>
      </c>
      <c r="I127" s="10">
        <v>1</v>
      </c>
      <c r="J127" s="10" t="s">
        <v>322</v>
      </c>
      <c r="K127" s="10">
        <f t="shared" ref="K127:K158" si="35">K126+$E126</f>
        <v>45752</v>
      </c>
      <c r="L127" s="10">
        <f t="shared" ref="L127:L190" si="36">K127-40000</f>
        <v>5752</v>
      </c>
      <c r="M127" s="10">
        <f t="shared" si="34"/>
        <v>5751</v>
      </c>
      <c r="N127" s="10" t="s">
        <v>323</v>
      </c>
      <c r="O127" s="10" t="s">
        <v>324</v>
      </c>
      <c r="P127" s="10" t="s">
        <v>1027</v>
      </c>
      <c r="Q127" s="10"/>
      <c r="R127" s="332"/>
      <c r="S127" s="7"/>
      <c r="T127" s="7"/>
    </row>
    <row r="128" spans="2:20" s="6" customFormat="1" ht="15.6" x14ac:dyDescent="0.3">
      <c r="B128" s="10" t="s">
        <v>1970</v>
      </c>
      <c r="C128" s="10" t="s">
        <v>321</v>
      </c>
      <c r="D128" s="10">
        <v>2</v>
      </c>
      <c r="E128" s="10">
        <f t="shared" si="33"/>
        <v>1</v>
      </c>
      <c r="F128" s="10">
        <v>0</v>
      </c>
      <c r="G128" s="10">
        <v>65535</v>
      </c>
      <c r="H128" s="10">
        <v>1</v>
      </c>
      <c r="I128" s="10">
        <v>1</v>
      </c>
      <c r="J128" s="10" t="s">
        <v>322</v>
      </c>
      <c r="K128" s="10">
        <f t="shared" si="35"/>
        <v>45753</v>
      </c>
      <c r="L128" s="10">
        <f t="shared" si="36"/>
        <v>5753</v>
      </c>
      <c r="M128" s="10">
        <f t="shared" si="34"/>
        <v>5752</v>
      </c>
      <c r="N128" s="10" t="s">
        <v>323</v>
      </c>
      <c r="O128" s="10" t="s">
        <v>324</v>
      </c>
      <c r="P128" s="10" t="s">
        <v>1027</v>
      </c>
      <c r="Q128" s="10"/>
      <c r="R128" s="332"/>
      <c r="S128" s="7"/>
      <c r="T128" s="7"/>
    </row>
    <row r="129" spans="2:20" s="6" customFormat="1" ht="15.6" x14ac:dyDescent="0.3">
      <c r="B129" s="10" t="s">
        <v>1971</v>
      </c>
      <c r="C129" s="10" t="s">
        <v>321</v>
      </c>
      <c r="D129" s="10">
        <v>2</v>
      </c>
      <c r="E129" s="10">
        <f t="shared" si="33"/>
        <v>1</v>
      </c>
      <c r="F129" s="10">
        <v>0</v>
      </c>
      <c r="G129" s="10">
        <v>65535</v>
      </c>
      <c r="H129" s="10">
        <v>1</v>
      </c>
      <c r="I129" s="10">
        <v>1</v>
      </c>
      <c r="J129" s="10" t="s">
        <v>322</v>
      </c>
      <c r="K129" s="10">
        <f t="shared" si="35"/>
        <v>45754</v>
      </c>
      <c r="L129" s="10">
        <f t="shared" si="36"/>
        <v>5754</v>
      </c>
      <c r="M129" s="10">
        <f t="shared" si="34"/>
        <v>5753</v>
      </c>
      <c r="N129" s="10" t="s">
        <v>323</v>
      </c>
      <c r="O129" s="10" t="s">
        <v>324</v>
      </c>
      <c r="P129" s="10" t="s">
        <v>1027</v>
      </c>
      <c r="Q129" s="10"/>
      <c r="R129" s="332"/>
      <c r="S129" s="7"/>
      <c r="T129" s="7"/>
    </row>
    <row r="130" spans="2:20" s="6" customFormat="1" ht="15.6" x14ac:dyDescent="0.3">
      <c r="B130" s="10" t="s">
        <v>1972</v>
      </c>
      <c r="C130" s="10" t="s">
        <v>321</v>
      </c>
      <c r="D130" s="10">
        <v>2</v>
      </c>
      <c r="E130" s="10">
        <f t="shared" si="33"/>
        <v>1</v>
      </c>
      <c r="F130" s="10">
        <v>0</v>
      </c>
      <c r="G130" s="10">
        <v>65535</v>
      </c>
      <c r="H130" s="10">
        <v>1</v>
      </c>
      <c r="I130" s="10">
        <v>1</v>
      </c>
      <c r="J130" s="10" t="s">
        <v>322</v>
      </c>
      <c r="K130" s="10">
        <f t="shared" si="35"/>
        <v>45755</v>
      </c>
      <c r="L130" s="10">
        <f t="shared" si="36"/>
        <v>5755</v>
      </c>
      <c r="M130" s="10">
        <f t="shared" si="34"/>
        <v>5754</v>
      </c>
      <c r="N130" s="10" t="s">
        <v>323</v>
      </c>
      <c r="O130" s="10" t="s">
        <v>324</v>
      </c>
      <c r="P130" s="10"/>
      <c r="Q130" s="10"/>
      <c r="R130" s="332"/>
      <c r="S130" s="7"/>
      <c r="T130" s="7"/>
    </row>
    <row r="131" spans="2:20" s="6" customFormat="1" ht="15.6" x14ac:dyDescent="0.3">
      <c r="B131" s="10" t="s">
        <v>1973</v>
      </c>
      <c r="C131" s="10" t="s">
        <v>321</v>
      </c>
      <c r="D131" s="10">
        <v>2</v>
      </c>
      <c r="E131" s="10">
        <f t="shared" si="33"/>
        <v>1</v>
      </c>
      <c r="F131" s="10">
        <v>0</v>
      </c>
      <c r="G131" s="10">
        <v>65535</v>
      </c>
      <c r="H131" s="10">
        <v>1</v>
      </c>
      <c r="I131" s="10">
        <v>1</v>
      </c>
      <c r="J131" s="10" t="s">
        <v>322</v>
      </c>
      <c r="K131" s="10">
        <f t="shared" si="35"/>
        <v>45756</v>
      </c>
      <c r="L131" s="10">
        <f t="shared" si="36"/>
        <v>5756</v>
      </c>
      <c r="M131" s="10">
        <f t="shared" si="34"/>
        <v>5755</v>
      </c>
      <c r="N131" s="10" t="s">
        <v>323</v>
      </c>
      <c r="O131" s="10" t="s">
        <v>324</v>
      </c>
      <c r="P131" s="10"/>
      <c r="Q131" s="10"/>
      <c r="R131" s="332"/>
      <c r="S131" s="7"/>
      <c r="T131" s="7"/>
    </row>
    <row r="132" spans="2:20" s="6" customFormat="1" ht="15.6" x14ac:dyDescent="0.3">
      <c r="B132" s="10" t="s">
        <v>1974</v>
      </c>
      <c r="C132" s="10" t="s">
        <v>321</v>
      </c>
      <c r="D132" s="10">
        <v>2</v>
      </c>
      <c r="E132" s="10">
        <f t="shared" si="33"/>
        <v>1</v>
      </c>
      <c r="F132" s="10">
        <v>0</v>
      </c>
      <c r="G132" s="10">
        <v>65535</v>
      </c>
      <c r="H132" s="10">
        <v>1</v>
      </c>
      <c r="I132" s="10">
        <v>1</v>
      </c>
      <c r="J132" s="10" t="s">
        <v>322</v>
      </c>
      <c r="K132" s="10">
        <f t="shared" si="35"/>
        <v>45757</v>
      </c>
      <c r="L132" s="10">
        <f t="shared" si="36"/>
        <v>5757</v>
      </c>
      <c r="M132" s="10">
        <f t="shared" si="34"/>
        <v>5756</v>
      </c>
      <c r="N132" s="10" t="s">
        <v>323</v>
      </c>
      <c r="O132" s="10" t="s">
        <v>324</v>
      </c>
      <c r="P132" s="10"/>
      <c r="Q132" s="10"/>
      <c r="R132" s="332"/>
      <c r="S132" s="7"/>
      <c r="T132" s="7"/>
    </row>
    <row r="133" spans="2:20" s="6" customFormat="1" ht="15.6" x14ac:dyDescent="0.3">
      <c r="B133" s="10" t="s">
        <v>1975</v>
      </c>
      <c r="C133" s="10" t="s">
        <v>321</v>
      </c>
      <c r="D133" s="10">
        <v>2</v>
      </c>
      <c r="E133" s="10">
        <f t="shared" si="33"/>
        <v>1</v>
      </c>
      <c r="F133" s="10">
        <v>0</v>
      </c>
      <c r="G133" s="10">
        <v>65535</v>
      </c>
      <c r="H133" s="10">
        <v>1</v>
      </c>
      <c r="I133" s="10">
        <v>1</v>
      </c>
      <c r="J133" s="10" t="s">
        <v>322</v>
      </c>
      <c r="K133" s="10">
        <f t="shared" si="35"/>
        <v>45758</v>
      </c>
      <c r="L133" s="10">
        <f t="shared" si="36"/>
        <v>5758</v>
      </c>
      <c r="M133" s="10">
        <f t="shared" si="34"/>
        <v>5757</v>
      </c>
      <c r="N133" s="10" t="s">
        <v>323</v>
      </c>
      <c r="O133" s="10" t="s">
        <v>324</v>
      </c>
      <c r="P133" s="10"/>
      <c r="Q133" s="10"/>
      <c r="R133" s="332"/>
      <c r="S133" s="7"/>
      <c r="T133" s="7"/>
    </row>
    <row r="134" spans="2:20" s="6" customFormat="1" ht="15.6" x14ac:dyDescent="0.3">
      <c r="B134" s="10" t="s">
        <v>1976</v>
      </c>
      <c r="C134" s="10" t="s">
        <v>321</v>
      </c>
      <c r="D134" s="10">
        <v>2</v>
      </c>
      <c r="E134" s="10">
        <f t="shared" si="33"/>
        <v>1</v>
      </c>
      <c r="F134" s="10">
        <v>0</v>
      </c>
      <c r="G134" s="10">
        <v>65535</v>
      </c>
      <c r="H134" s="10">
        <v>1</v>
      </c>
      <c r="I134" s="10">
        <v>1</v>
      </c>
      <c r="J134" s="10" t="s">
        <v>322</v>
      </c>
      <c r="K134" s="10">
        <f t="shared" si="35"/>
        <v>45759</v>
      </c>
      <c r="L134" s="10">
        <f t="shared" si="36"/>
        <v>5759</v>
      </c>
      <c r="M134" s="10">
        <f t="shared" si="34"/>
        <v>5758</v>
      </c>
      <c r="N134" s="10" t="s">
        <v>323</v>
      </c>
      <c r="O134" s="10" t="s">
        <v>324</v>
      </c>
      <c r="P134" s="10"/>
      <c r="Q134" s="10"/>
      <c r="R134" s="332"/>
      <c r="S134" s="7"/>
      <c r="T134" s="7"/>
    </row>
    <row r="135" spans="2:20" s="6" customFormat="1" ht="15.6" x14ac:dyDescent="0.3">
      <c r="B135" s="117" t="s">
        <v>1977</v>
      </c>
      <c r="C135" s="10" t="s">
        <v>321</v>
      </c>
      <c r="D135" s="10">
        <v>2</v>
      </c>
      <c r="E135" s="10">
        <f t="shared" si="33"/>
        <v>1</v>
      </c>
      <c r="F135" s="10">
        <v>0</v>
      </c>
      <c r="G135" s="10">
        <v>65535</v>
      </c>
      <c r="H135" s="10">
        <v>1</v>
      </c>
      <c r="I135" s="10">
        <v>1</v>
      </c>
      <c r="J135" s="10" t="s">
        <v>322</v>
      </c>
      <c r="K135" s="10">
        <f t="shared" si="35"/>
        <v>45760</v>
      </c>
      <c r="L135" s="10">
        <f t="shared" si="36"/>
        <v>5760</v>
      </c>
      <c r="M135" s="10">
        <f t="shared" si="34"/>
        <v>5759</v>
      </c>
      <c r="N135" s="10" t="s">
        <v>323</v>
      </c>
      <c r="O135" s="10" t="s">
        <v>324</v>
      </c>
      <c r="P135" s="10"/>
      <c r="Q135" s="10"/>
      <c r="R135" s="332"/>
      <c r="S135" s="7"/>
      <c r="T135" s="7"/>
    </row>
    <row r="136" spans="2:20" s="6" customFormat="1" ht="15.6" x14ac:dyDescent="0.3">
      <c r="B136" s="117" t="s">
        <v>1978</v>
      </c>
      <c r="C136" s="10" t="s">
        <v>321</v>
      </c>
      <c r="D136" s="10">
        <v>2</v>
      </c>
      <c r="E136" s="10">
        <f t="shared" si="33"/>
        <v>1</v>
      </c>
      <c r="F136" s="10">
        <v>0</v>
      </c>
      <c r="G136" s="10">
        <v>65535</v>
      </c>
      <c r="H136" s="10">
        <v>1</v>
      </c>
      <c r="I136" s="10">
        <v>1</v>
      </c>
      <c r="J136" s="10" t="s">
        <v>322</v>
      </c>
      <c r="K136" s="10">
        <f t="shared" si="35"/>
        <v>45761</v>
      </c>
      <c r="L136" s="10">
        <f t="shared" si="36"/>
        <v>5761</v>
      </c>
      <c r="M136" s="10">
        <f t="shared" si="34"/>
        <v>5760</v>
      </c>
      <c r="N136" s="10" t="s">
        <v>323</v>
      </c>
      <c r="O136" s="10" t="s">
        <v>324</v>
      </c>
      <c r="P136" s="10"/>
      <c r="Q136" s="10"/>
      <c r="R136" s="332"/>
      <c r="S136" s="7"/>
      <c r="T136" s="7"/>
    </row>
    <row r="137" spans="2:20" s="6" customFormat="1" ht="15.6" x14ac:dyDescent="0.3">
      <c r="B137" s="10" t="s">
        <v>1979</v>
      </c>
      <c r="C137" s="10" t="s">
        <v>321</v>
      </c>
      <c r="D137" s="10">
        <v>2</v>
      </c>
      <c r="E137" s="10">
        <f t="shared" si="33"/>
        <v>1</v>
      </c>
      <c r="F137" s="10">
        <v>0</v>
      </c>
      <c r="G137" s="10">
        <v>65535</v>
      </c>
      <c r="H137" s="10">
        <v>1</v>
      </c>
      <c r="I137" s="10">
        <v>1</v>
      </c>
      <c r="J137" s="10" t="s">
        <v>322</v>
      </c>
      <c r="K137" s="10">
        <f t="shared" si="35"/>
        <v>45762</v>
      </c>
      <c r="L137" s="10">
        <f t="shared" si="36"/>
        <v>5762</v>
      </c>
      <c r="M137" s="10">
        <f t="shared" si="34"/>
        <v>5761</v>
      </c>
      <c r="N137" s="10" t="s">
        <v>323</v>
      </c>
      <c r="O137" s="10" t="s">
        <v>324</v>
      </c>
      <c r="P137" s="10"/>
      <c r="Q137" s="10"/>
      <c r="R137" s="332"/>
      <c r="S137" s="7"/>
      <c r="T137" s="7"/>
    </row>
    <row r="138" spans="2:20" s="6" customFormat="1" ht="15.6" x14ac:dyDescent="0.3">
      <c r="B138" s="10" t="s">
        <v>1980</v>
      </c>
      <c r="C138" s="10" t="s">
        <v>321</v>
      </c>
      <c r="D138" s="10">
        <v>2</v>
      </c>
      <c r="E138" s="10">
        <f t="shared" si="33"/>
        <v>1</v>
      </c>
      <c r="F138" s="10">
        <v>0</v>
      </c>
      <c r="G138" s="10">
        <v>65535</v>
      </c>
      <c r="H138" s="10">
        <v>1</v>
      </c>
      <c r="I138" s="10">
        <v>1</v>
      </c>
      <c r="J138" s="10" t="s">
        <v>322</v>
      </c>
      <c r="K138" s="10">
        <f t="shared" si="35"/>
        <v>45763</v>
      </c>
      <c r="L138" s="10">
        <f t="shared" si="36"/>
        <v>5763</v>
      </c>
      <c r="M138" s="10">
        <f t="shared" si="34"/>
        <v>5762</v>
      </c>
      <c r="N138" s="10" t="s">
        <v>323</v>
      </c>
      <c r="O138" s="10" t="s">
        <v>324</v>
      </c>
      <c r="P138" s="10"/>
      <c r="Q138" s="10"/>
      <c r="R138" s="332"/>
      <c r="S138" s="7"/>
      <c r="T138" s="7"/>
    </row>
    <row r="139" spans="2:20" s="6" customFormat="1" ht="15.6" x14ac:dyDescent="0.3">
      <c r="B139" s="10" t="s">
        <v>1981</v>
      </c>
      <c r="C139" s="10" t="s">
        <v>321</v>
      </c>
      <c r="D139" s="10">
        <v>2</v>
      </c>
      <c r="E139" s="10">
        <f t="shared" si="33"/>
        <v>1</v>
      </c>
      <c r="F139" s="10">
        <v>0</v>
      </c>
      <c r="G139" s="10">
        <v>65535</v>
      </c>
      <c r="H139" s="10">
        <v>1</v>
      </c>
      <c r="I139" s="10">
        <v>1</v>
      </c>
      <c r="J139" s="10" t="s">
        <v>322</v>
      </c>
      <c r="K139" s="10">
        <f t="shared" si="35"/>
        <v>45764</v>
      </c>
      <c r="L139" s="10">
        <f t="shared" si="36"/>
        <v>5764</v>
      </c>
      <c r="M139" s="10">
        <f t="shared" si="34"/>
        <v>5763</v>
      </c>
      <c r="N139" s="10" t="s">
        <v>323</v>
      </c>
      <c r="O139" s="10" t="s">
        <v>324</v>
      </c>
      <c r="P139" s="10"/>
      <c r="Q139" s="10"/>
      <c r="R139" s="332"/>
      <c r="S139" s="7"/>
      <c r="T139" s="7"/>
    </row>
    <row r="140" spans="2:20" s="6" customFormat="1" ht="15.6" x14ac:dyDescent="0.3">
      <c r="B140" s="10" t="s">
        <v>1982</v>
      </c>
      <c r="C140" s="10" t="s">
        <v>321</v>
      </c>
      <c r="D140" s="10">
        <v>2</v>
      </c>
      <c r="E140" s="10">
        <f t="shared" si="33"/>
        <v>1</v>
      </c>
      <c r="F140" s="10">
        <v>0</v>
      </c>
      <c r="G140" s="10">
        <v>65535</v>
      </c>
      <c r="H140" s="10">
        <v>1</v>
      </c>
      <c r="I140" s="10">
        <v>1</v>
      </c>
      <c r="J140" s="10" t="s">
        <v>322</v>
      </c>
      <c r="K140" s="10">
        <f t="shared" si="35"/>
        <v>45765</v>
      </c>
      <c r="L140" s="10">
        <f t="shared" si="36"/>
        <v>5765</v>
      </c>
      <c r="M140" s="10">
        <f t="shared" si="34"/>
        <v>5764</v>
      </c>
      <c r="N140" s="10" t="s">
        <v>323</v>
      </c>
      <c r="O140" s="10" t="s">
        <v>324</v>
      </c>
      <c r="P140" s="10"/>
      <c r="Q140" s="10"/>
      <c r="R140" s="332"/>
      <c r="S140" s="7"/>
      <c r="T140" s="7"/>
    </row>
    <row r="141" spans="2:20" s="6" customFormat="1" ht="15.6" x14ac:dyDescent="0.3">
      <c r="B141" s="10" t="s">
        <v>1983</v>
      </c>
      <c r="C141" s="10" t="s">
        <v>321</v>
      </c>
      <c r="D141" s="10">
        <v>2</v>
      </c>
      <c r="E141" s="10">
        <f t="shared" si="33"/>
        <v>1</v>
      </c>
      <c r="F141" s="10">
        <v>0</v>
      </c>
      <c r="G141" s="10">
        <v>65535</v>
      </c>
      <c r="H141" s="10">
        <v>1</v>
      </c>
      <c r="I141" s="10">
        <v>1</v>
      </c>
      <c r="J141" s="10" t="s">
        <v>322</v>
      </c>
      <c r="K141" s="10">
        <f t="shared" si="35"/>
        <v>45766</v>
      </c>
      <c r="L141" s="10">
        <f t="shared" si="36"/>
        <v>5766</v>
      </c>
      <c r="M141" s="10">
        <f t="shared" si="34"/>
        <v>5765</v>
      </c>
      <c r="N141" s="10" t="s">
        <v>323</v>
      </c>
      <c r="O141" s="10" t="s">
        <v>324</v>
      </c>
      <c r="P141" s="10"/>
      <c r="Q141" s="10"/>
      <c r="R141" s="332"/>
      <c r="S141" s="7"/>
      <c r="T141" s="7"/>
    </row>
    <row r="142" spans="2:20" s="6" customFormat="1" ht="15.6" x14ac:dyDescent="0.3">
      <c r="B142" s="10" t="s">
        <v>1984</v>
      </c>
      <c r="C142" s="10" t="s">
        <v>321</v>
      </c>
      <c r="D142" s="10">
        <v>2</v>
      </c>
      <c r="E142" s="10">
        <f t="shared" si="33"/>
        <v>1</v>
      </c>
      <c r="F142" s="10">
        <v>0</v>
      </c>
      <c r="G142" s="10">
        <v>65535</v>
      </c>
      <c r="H142" s="10">
        <v>1</v>
      </c>
      <c r="I142" s="10">
        <v>1</v>
      </c>
      <c r="J142" s="10" t="s">
        <v>322</v>
      </c>
      <c r="K142" s="10">
        <f t="shared" si="35"/>
        <v>45767</v>
      </c>
      <c r="L142" s="10">
        <f t="shared" si="36"/>
        <v>5767</v>
      </c>
      <c r="M142" s="10">
        <f t="shared" si="34"/>
        <v>5766</v>
      </c>
      <c r="N142" s="10" t="s">
        <v>323</v>
      </c>
      <c r="O142" s="10" t="s">
        <v>324</v>
      </c>
      <c r="P142" s="10"/>
      <c r="Q142" s="10"/>
      <c r="R142" s="332"/>
      <c r="S142" s="7"/>
      <c r="T142" s="7"/>
    </row>
    <row r="143" spans="2:20" s="6" customFormat="1" ht="15.6" x14ac:dyDescent="0.3">
      <c r="B143" s="10" t="s">
        <v>1985</v>
      </c>
      <c r="C143" s="10" t="s">
        <v>321</v>
      </c>
      <c r="D143" s="10">
        <v>2</v>
      </c>
      <c r="E143" s="10">
        <f t="shared" si="33"/>
        <v>1</v>
      </c>
      <c r="F143" s="10">
        <v>0</v>
      </c>
      <c r="G143" s="10">
        <v>65535</v>
      </c>
      <c r="H143" s="10">
        <v>1</v>
      </c>
      <c r="I143" s="10">
        <v>1</v>
      </c>
      <c r="J143" s="10" t="s">
        <v>322</v>
      </c>
      <c r="K143" s="10">
        <f t="shared" si="35"/>
        <v>45768</v>
      </c>
      <c r="L143" s="10">
        <f t="shared" si="36"/>
        <v>5768</v>
      </c>
      <c r="M143" s="10">
        <f t="shared" si="34"/>
        <v>5767</v>
      </c>
      <c r="N143" s="10" t="s">
        <v>323</v>
      </c>
      <c r="O143" s="10" t="s">
        <v>324</v>
      </c>
      <c r="P143" s="10"/>
      <c r="Q143" s="10"/>
      <c r="R143" s="332"/>
      <c r="S143" s="7"/>
      <c r="T143" s="7"/>
    </row>
    <row r="144" spans="2:20" s="6" customFormat="1" ht="15.6" x14ac:dyDescent="0.3">
      <c r="B144" s="10" t="s">
        <v>1986</v>
      </c>
      <c r="C144" s="10" t="s">
        <v>321</v>
      </c>
      <c r="D144" s="10">
        <v>2</v>
      </c>
      <c r="E144" s="10">
        <f t="shared" si="33"/>
        <v>1</v>
      </c>
      <c r="F144" s="10">
        <v>0</v>
      </c>
      <c r="G144" s="10">
        <v>65535</v>
      </c>
      <c r="H144" s="10">
        <v>1</v>
      </c>
      <c r="I144" s="10">
        <v>1</v>
      </c>
      <c r="J144" s="10" t="s">
        <v>322</v>
      </c>
      <c r="K144" s="10">
        <f t="shared" si="35"/>
        <v>45769</v>
      </c>
      <c r="L144" s="10">
        <f t="shared" si="36"/>
        <v>5769</v>
      </c>
      <c r="M144" s="10">
        <f t="shared" si="34"/>
        <v>5768</v>
      </c>
      <c r="N144" s="10" t="s">
        <v>323</v>
      </c>
      <c r="O144" s="10" t="s">
        <v>324</v>
      </c>
      <c r="P144" s="10"/>
      <c r="Q144" s="10"/>
      <c r="R144" s="332"/>
      <c r="S144" s="7"/>
      <c r="T144" s="7"/>
    </row>
    <row r="145" spans="2:20" s="6" customFormat="1" ht="15.6" x14ac:dyDescent="0.3">
      <c r="B145" s="10" t="s">
        <v>1987</v>
      </c>
      <c r="C145" s="10" t="s">
        <v>321</v>
      </c>
      <c r="D145" s="10">
        <v>2</v>
      </c>
      <c r="E145" s="10">
        <f t="shared" si="33"/>
        <v>1</v>
      </c>
      <c r="F145" s="10">
        <v>0</v>
      </c>
      <c r="G145" s="10">
        <v>65535</v>
      </c>
      <c r="H145" s="10">
        <v>1</v>
      </c>
      <c r="I145" s="10">
        <v>1</v>
      </c>
      <c r="J145" s="10" t="s">
        <v>322</v>
      </c>
      <c r="K145" s="10">
        <f t="shared" si="35"/>
        <v>45770</v>
      </c>
      <c r="L145" s="10">
        <f t="shared" si="36"/>
        <v>5770</v>
      </c>
      <c r="M145" s="10">
        <f t="shared" si="34"/>
        <v>5769</v>
      </c>
      <c r="N145" s="10" t="s">
        <v>323</v>
      </c>
      <c r="O145" s="10" t="s">
        <v>324</v>
      </c>
      <c r="P145" s="10"/>
      <c r="Q145" s="10"/>
      <c r="R145" s="332"/>
      <c r="S145" s="7"/>
      <c r="T145" s="7"/>
    </row>
    <row r="146" spans="2:20" s="6" customFormat="1" ht="15.6" x14ac:dyDescent="0.3">
      <c r="B146" s="10" t="s">
        <v>1988</v>
      </c>
      <c r="C146" s="10" t="s">
        <v>321</v>
      </c>
      <c r="D146" s="10">
        <v>2</v>
      </c>
      <c r="E146" s="10">
        <f t="shared" si="33"/>
        <v>1</v>
      </c>
      <c r="F146" s="10">
        <v>0</v>
      </c>
      <c r="G146" s="10">
        <v>65535</v>
      </c>
      <c r="H146" s="10">
        <v>1</v>
      </c>
      <c r="I146" s="10">
        <v>1</v>
      </c>
      <c r="J146" s="10" t="s">
        <v>322</v>
      </c>
      <c r="K146" s="10">
        <f t="shared" si="35"/>
        <v>45771</v>
      </c>
      <c r="L146" s="10">
        <f t="shared" si="36"/>
        <v>5771</v>
      </c>
      <c r="M146" s="10">
        <f t="shared" si="34"/>
        <v>5770</v>
      </c>
      <c r="N146" s="10" t="s">
        <v>323</v>
      </c>
      <c r="O146" s="10" t="s">
        <v>324</v>
      </c>
      <c r="P146" s="10"/>
      <c r="Q146" s="10"/>
      <c r="R146" s="332"/>
      <c r="S146" s="7"/>
      <c r="T146" s="7"/>
    </row>
    <row r="147" spans="2:20" s="6" customFormat="1" ht="15.6" x14ac:dyDescent="0.3">
      <c r="B147" s="10" t="s">
        <v>1989</v>
      </c>
      <c r="C147" s="10" t="s">
        <v>321</v>
      </c>
      <c r="D147" s="10">
        <v>2</v>
      </c>
      <c r="E147" s="10">
        <f t="shared" si="33"/>
        <v>1</v>
      </c>
      <c r="F147" s="10">
        <v>0</v>
      </c>
      <c r="G147" s="10">
        <v>65535</v>
      </c>
      <c r="H147" s="10">
        <v>1</v>
      </c>
      <c r="I147" s="10">
        <v>1</v>
      </c>
      <c r="J147" s="10" t="s">
        <v>322</v>
      </c>
      <c r="K147" s="10">
        <f t="shared" si="35"/>
        <v>45772</v>
      </c>
      <c r="L147" s="10">
        <f t="shared" si="36"/>
        <v>5772</v>
      </c>
      <c r="M147" s="10">
        <f t="shared" si="34"/>
        <v>5771</v>
      </c>
      <c r="N147" s="10" t="s">
        <v>323</v>
      </c>
      <c r="O147" s="10" t="s">
        <v>324</v>
      </c>
      <c r="P147" s="10"/>
      <c r="Q147" s="10"/>
      <c r="R147" s="332"/>
      <c r="S147" s="7"/>
      <c r="T147" s="7"/>
    </row>
    <row r="148" spans="2:20" s="6" customFormat="1" ht="15.6" x14ac:dyDescent="0.3">
      <c r="B148" s="10" t="s">
        <v>1990</v>
      </c>
      <c r="C148" s="10" t="s">
        <v>321</v>
      </c>
      <c r="D148" s="10">
        <v>2</v>
      </c>
      <c r="E148" s="10">
        <f t="shared" si="33"/>
        <v>1</v>
      </c>
      <c r="F148" s="10">
        <v>0</v>
      </c>
      <c r="G148" s="10">
        <v>65535</v>
      </c>
      <c r="H148" s="10">
        <v>1</v>
      </c>
      <c r="I148" s="10">
        <v>1</v>
      </c>
      <c r="J148" s="10" t="s">
        <v>322</v>
      </c>
      <c r="K148" s="10">
        <f t="shared" si="35"/>
        <v>45773</v>
      </c>
      <c r="L148" s="10">
        <f t="shared" si="36"/>
        <v>5773</v>
      </c>
      <c r="M148" s="10">
        <f t="shared" si="34"/>
        <v>5772</v>
      </c>
      <c r="N148" s="10" t="s">
        <v>323</v>
      </c>
      <c r="O148" s="10" t="s">
        <v>324</v>
      </c>
      <c r="P148" s="10"/>
      <c r="Q148" s="10"/>
      <c r="R148" s="332"/>
      <c r="S148" s="7"/>
      <c r="T148" s="7"/>
    </row>
    <row r="149" spans="2:20" s="6" customFormat="1" ht="15.6" x14ac:dyDescent="0.3">
      <c r="B149" s="10" t="s">
        <v>1991</v>
      </c>
      <c r="C149" s="10" t="s">
        <v>321</v>
      </c>
      <c r="D149" s="10">
        <v>2</v>
      </c>
      <c r="E149" s="10">
        <f t="shared" si="33"/>
        <v>1</v>
      </c>
      <c r="F149" s="10">
        <v>0</v>
      </c>
      <c r="G149" s="10">
        <v>65535</v>
      </c>
      <c r="H149" s="10">
        <v>1</v>
      </c>
      <c r="I149" s="10">
        <v>1</v>
      </c>
      <c r="J149" s="10" t="s">
        <v>322</v>
      </c>
      <c r="K149" s="10">
        <f t="shared" si="35"/>
        <v>45774</v>
      </c>
      <c r="L149" s="10">
        <f t="shared" si="36"/>
        <v>5774</v>
      </c>
      <c r="M149" s="10">
        <f t="shared" si="34"/>
        <v>5773</v>
      </c>
      <c r="N149" s="10" t="s">
        <v>323</v>
      </c>
      <c r="O149" s="10" t="s">
        <v>324</v>
      </c>
      <c r="P149" s="10"/>
      <c r="Q149" s="10"/>
      <c r="R149" s="332"/>
      <c r="S149" s="7"/>
      <c r="T149" s="7"/>
    </row>
    <row r="150" spans="2:20" s="6" customFormat="1" ht="15.6" x14ac:dyDescent="0.3">
      <c r="B150" s="10" t="s">
        <v>1992</v>
      </c>
      <c r="C150" s="10" t="s">
        <v>321</v>
      </c>
      <c r="D150" s="10">
        <v>2</v>
      </c>
      <c r="E150" s="10">
        <f t="shared" si="33"/>
        <v>1</v>
      </c>
      <c r="F150" s="10">
        <v>0</v>
      </c>
      <c r="G150" s="10">
        <v>65535</v>
      </c>
      <c r="H150" s="10">
        <v>1</v>
      </c>
      <c r="I150" s="10">
        <v>1</v>
      </c>
      <c r="J150" s="10" t="s">
        <v>322</v>
      </c>
      <c r="K150" s="10">
        <f t="shared" si="35"/>
        <v>45775</v>
      </c>
      <c r="L150" s="10">
        <f t="shared" si="36"/>
        <v>5775</v>
      </c>
      <c r="M150" s="10">
        <f t="shared" si="34"/>
        <v>5774</v>
      </c>
      <c r="N150" s="10" t="s">
        <v>323</v>
      </c>
      <c r="O150" s="10" t="s">
        <v>324</v>
      </c>
      <c r="P150" s="10"/>
      <c r="Q150" s="10"/>
      <c r="R150" s="332"/>
      <c r="S150" s="7"/>
      <c r="T150" s="7"/>
    </row>
    <row r="151" spans="2:20" s="6" customFormat="1" ht="15.6" x14ac:dyDescent="0.3">
      <c r="B151" s="10" t="s">
        <v>1993</v>
      </c>
      <c r="C151" s="10" t="s">
        <v>321</v>
      </c>
      <c r="D151" s="10">
        <v>2</v>
      </c>
      <c r="E151" s="10">
        <f t="shared" si="33"/>
        <v>1</v>
      </c>
      <c r="F151" s="10">
        <v>0</v>
      </c>
      <c r="G151" s="10">
        <v>65535</v>
      </c>
      <c r="H151" s="10">
        <v>1</v>
      </c>
      <c r="I151" s="10">
        <v>1</v>
      </c>
      <c r="J151" s="10" t="s">
        <v>322</v>
      </c>
      <c r="K151" s="10">
        <f t="shared" si="35"/>
        <v>45776</v>
      </c>
      <c r="L151" s="10">
        <f t="shared" si="36"/>
        <v>5776</v>
      </c>
      <c r="M151" s="10">
        <f t="shared" si="34"/>
        <v>5775</v>
      </c>
      <c r="N151" s="10" t="s">
        <v>323</v>
      </c>
      <c r="O151" s="10" t="s">
        <v>324</v>
      </c>
      <c r="P151" s="10"/>
      <c r="Q151" s="10"/>
      <c r="R151" s="332"/>
      <c r="S151" s="7"/>
      <c r="T151" s="7"/>
    </row>
    <row r="152" spans="2:20" ht="15.6" x14ac:dyDescent="0.3">
      <c r="B152" s="10" t="s">
        <v>1994</v>
      </c>
      <c r="C152" s="10" t="s">
        <v>321</v>
      </c>
      <c r="D152" s="10">
        <v>2</v>
      </c>
      <c r="E152" s="10">
        <f t="shared" si="33"/>
        <v>1</v>
      </c>
      <c r="F152" s="10">
        <v>0</v>
      </c>
      <c r="G152" s="10">
        <v>65535</v>
      </c>
      <c r="H152" s="10">
        <v>1</v>
      </c>
      <c r="I152" s="10">
        <v>1</v>
      </c>
      <c r="J152" s="10" t="s">
        <v>322</v>
      </c>
      <c r="K152" s="10">
        <f t="shared" si="35"/>
        <v>45777</v>
      </c>
      <c r="L152" s="10">
        <f t="shared" si="36"/>
        <v>5777</v>
      </c>
      <c r="M152" s="10">
        <f t="shared" si="34"/>
        <v>5776</v>
      </c>
      <c r="N152" s="10" t="s">
        <v>323</v>
      </c>
      <c r="O152" s="10" t="s">
        <v>324</v>
      </c>
      <c r="P152" s="10"/>
      <c r="Q152" s="10"/>
      <c r="R152" s="332"/>
      <c r="S152" s="55"/>
      <c r="T152" s="55"/>
    </row>
    <row r="153" spans="2:20" ht="15.6" x14ac:dyDescent="0.3">
      <c r="B153" s="10" t="s">
        <v>1995</v>
      </c>
      <c r="C153" s="10" t="s">
        <v>321</v>
      </c>
      <c r="D153" s="10">
        <v>2</v>
      </c>
      <c r="E153" s="10">
        <f t="shared" si="33"/>
        <v>1</v>
      </c>
      <c r="F153" s="10">
        <v>0</v>
      </c>
      <c r="G153" s="10">
        <v>65535</v>
      </c>
      <c r="H153" s="10">
        <v>1</v>
      </c>
      <c r="I153" s="10">
        <v>1</v>
      </c>
      <c r="J153" s="10" t="s">
        <v>322</v>
      </c>
      <c r="K153" s="10">
        <f t="shared" si="35"/>
        <v>45778</v>
      </c>
      <c r="L153" s="10">
        <f t="shared" si="36"/>
        <v>5778</v>
      </c>
      <c r="M153" s="10">
        <f t="shared" si="34"/>
        <v>5777</v>
      </c>
      <c r="N153" s="10" t="s">
        <v>323</v>
      </c>
      <c r="O153" s="10" t="s">
        <v>324</v>
      </c>
      <c r="P153" s="10"/>
      <c r="Q153" s="10"/>
      <c r="R153" s="332"/>
      <c r="S153" s="55"/>
      <c r="T153" s="55"/>
    </row>
    <row r="154" spans="2:20" ht="15.6" x14ac:dyDescent="0.3">
      <c r="B154" s="10" t="s">
        <v>1996</v>
      </c>
      <c r="C154" s="10" t="s">
        <v>321</v>
      </c>
      <c r="D154" s="10">
        <v>2</v>
      </c>
      <c r="E154" s="10">
        <f t="shared" si="33"/>
        <v>1</v>
      </c>
      <c r="F154" s="10">
        <v>0</v>
      </c>
      <c r="G154" s="10">
        <v>65535</v>
      </c>
      <c r="H154" s="10">
        <v>1</v>
      </c>
      <c r="I154" s="10">
        <v>1</v>
      </c>
      <c r="J154" s="10" t="s">
        <v>322</v>
      </c>
      <c r="K154" s="10">
        <f t="shared" si="35"/>
        <v>45779</v>
      </c>
      <c r="L154" s="10">
        <f t="shared" si="36"/>
        <v>5779</v>
      </c>
      <c r="M154" s="10">
        <f t="shared" si="34"/>
        <v>5778</v>
      </c>
      <c r="N154" s="10" t="s">
        <v>323</v>
      </c>
      <c r="O154" s="10" t="s">
        <v>324</v>
      </c>
      <c r="P154" s="10"/>
      <c r="Q154" s="10"/>
      <c r="R154" s="332"/>
      <c r="S154" s="55"/>
      <c r="T154" s="55"/>
    </row>
    <row r="155" spans="2:20" ht="15.6" x14ac:dyDescent="0.3">
      <c r="B155" s="10" t="s">
        <v>1997</v>
      </c>
      <c r="C155" s="10" t="s">
        <v>321</v>
      </c>
      <c r="D155" s="10">
        <v>2</v>
      </c>
      <c r="E155" s="10">
        <f t="shared" si="33"/>
        <v>1</v>
      </c>
      <c r="F155" s="10">
        <v>0</v>
      </c>
      <c r="G155" s="10">
        <v>65535</v>
      </c>
      <c r="H155" s="10">
        <v>1</v>
      </c>
      <c r="I155" s="10">
        <v>1</v>
      </c>
      <c r="J155" s="10" t="s">
        <v>322</v>
      </c>
      <c r="K155" s="10">
        <f t="shared" si="35"/>
        <v>45780</v>
      </c>
      <c r="L155" s="10">
        <f t="shared" si="36"/>
        <v>5780</v>
      </c>
      <c r="M155" s="10">
        <f t="shared" si="34"/>
        <v>5779</v>
      </c>
      <c r="N155" s="10" t="s">
        <v>323</v>
      </c>
      <c r="O155" s="10" t="s">
        <v>324</v>
      </c>
      <c r="P155" s="10"/>
      <c r="Q155" s="10"/>
      <c r="R155" s="332"/>
      <c r="S155" s="55"/>
      <c r="T155" s="55"/>
    </row>
    <row r="156" spans="2:20" s="6" customFormat="1" ht="15.6" x14ac:dyDescent="0.3">
      <c r="B156" s="10" t="s">
        <v>1998</v>
      </c>
      <c r="C156" s="10" t="s">
        <v>321</v>
      </c>
      <c r="D156" s="10">
        <v>2</v>
      </c>
      <c r="E156" s="10">
        <f t="shared" si="33"/>
        <v>1</v>
      </c>
      <c r="F156" s="10">
        <v>0</v>
      </c>
      <c r="G156" s="10">
        <v>65535</v>
      </c>
      <c r="H156" s="10">
        <v>1</v>
      </c>
      <c r="I156" s="10">
        <v>1</v>
      </c>
      <c r="J156" s="10" t="s">
        <v>322</v>
      </c>
      <c r="K156" s="10">
        <f t="shared" si="35"/>
        <v>45781</v>
      </c>
      <c r="L156" s="10">
        <f t="shared" si="36"/>
        <v>5781</v>
      </c>
      <c r="M156" s="10">
        <f t="shared" si="34"/>
        <v>5780</v>
      </c>
      <c r="N156" s="10" t="s">
        <v>323</v>
      </c>
      <c r="O156" s="10" t="s">
        <v>324</v>
      </c>
      <c r="P156" s="10"/>
      <c r="Q156" s="10"/>
      <c r="R156" s="332"/>
      <c r="S156" s="7"/>
      <c r="T156" s="7"/>
    </row>
    <row r="157" spans="2:20" s="6" customFormat="1" ht="15.6" x14ac:dyDescent="0.3">
      <c r="B157" s="10" t="s">
        <v>1999</v>
      </c>
      <c r="C157" s="10" t="s">
        <v>321</v>
      </c>
      <c r="D157" s="10">
        <v>2</v>
      </c>
      <c r="E157" s="10">
        <f t="shared" si="33"/>
        <v>1</v>
      </c>
      <c r="F157" s="10">
        <v>0</v>
      </c>
      <c r="G157" s="10">
        <v>65535</v>
      </c>
      <c r="H157" s="10">
        <v>1</v>
      </c>
      <c r="I157" s="10">
        <v>1</v>
      </c>
      <c r="J157" s="10" t="s">
        <v>322</v>
      </c>
      <c r="K157" s="10">
        <f t="shared" si="35"/>
        <v>45782</v>
      </c>
      <c r="L157" s="10">
        <f t="shared" si="36"/>
        <v>5782</v>
      </c>
      <c r="M157" s="10">
        <f t="shared" si="34"/>
        <v>5781</v>
      </c>
      <c r="N157" s="10" t="s">
        <v>323</v>
      </c>
      <c r="O157" s="10" t="s">
        <v>324</v>
      </c>
      <c r="P157" s="10"/>
      <c r="Q157" s="10"/>
      <c r="R157" s="332"/>
      <c r="S157" s="7"/>
      <c r="T157" s="7"/>
    </row>
    <row r="158" spans="2:20" s="6" customFormat="1" ht="15.6" x14ac:dyDescent="0.3">
      <c r="B158" s="10" t="s">
        <v>2000</v>
      </c>
      <c r="C158" s="10" t="s">
        <v>321</v>
      </c>
      <c r="D158" s="10">
        <v>2</v>
      </c>
      <c r="E158" s="10">
        <f t="shared" ref="E158:E189" si="37">D158/2</f>
        <v>1</v>
      </c>
      <c r="F158" s="10">
        <v>0</v>
      </c>
      <c r="G158" s="10">
        <v>65535</v>
      </c>
      <c r="H158" s="10">
        <v>1</v>
      </c>
      <c r="I158" s="10">
        <v>1</v>
      </c>
      <c r="J158" s="10" t="s">
        <v>322</v>
      </c>
      <c r="K158" s="10">
        <f t="shared" si="35"/>
        <v>45783</v>
      </c>
      <c r="L158" s="10">
        <f t="shared" si="36"/>
        <v>5783</v>
      </c>
      <c r="M158" s="10">
        <f t="shared" si="34"/>
        <v>5782</v>
      </c>
      <c r="N158" s="10" t="s">
        <v>323</v>
      </c>
      <c r="O158" s="10" t="s">
        <v>324</v>
      </c>
      <c r="P158" s="10"/>
      <c r="Q158" s="10"/>
      <c r="R158" s="332"/>
      <c r="S158" s="7"/>
      <c r="T158" s="7"/>
    </row>
    <row r="159" spans="2:20" s="6" customFormat="1" ht="15.6" x14ac:dyDescent="0.3">
      <c r="B159" s="10" t="s">
        <v>2001</v>
      </c>
      <c r="C159" s="10" t="s">
        <v>321</v>
      </c>
      <c r="D159" s="10">
        <v>2</v>
      </c>
      <c r="E159" s="10">
        <f t="shared" si="37"/>
        <v>1</v>
      </c>
      <c r="F159" s="10">
        <v>0</v>
      </c>
      <c r="G159" s="10">
        <v>65535</v>
      </c>
      <c r="H159" s="10">
        <v>1</v>
      </c>
      <c r="I159" s="10">
        <v>1</v>
      </c>
      <c r="J159" s="10" t="s">
        <v>322</v>
      </c>
      <c r="K159" s="10">
        <f t="shared" ref="K159:K190" si="38">K158+$E158</f>
        <v>45784</v>
      </c>
      <c r="L159" s="10">
        <f t="shared" si="36"/>
        <v>5784</v>
      </c>
      <c r="M159" s="10">
        <f t="shared" si="34"/>
        <v>5783</v>
      </c>
      <c r="N159" s="10" t="s">
        <v>323</v>
      </c>
      <c r="O159" s="10" t="s">
        <v>324</v>
      </c>
      <c r="P159" s="10"/>
      <c r="Q159" s="10"/>
      <c r="R159" s="332"/>
      <c r="S159" s="7"/>
      <c r="T159" s="7"/>
    </row>
    <row r="160" spans="2:20" s="6" customFormat="1" ht="15.6" x14ac:dyDescent="0.3">
      <c r="B160" s="221" t="s">
        <v>2002</v>
      </c>
      <c r="C160" s="10" t="s">
        <v>321</v>
      </c>
      <c r="D160" s="10">
        <v>2</v>
      </c>
      <c r="E160" s="10">
        <f t="shared" si="37"/>
        <v>1</v>
      </c>
      <c r="F160" s="10">
        <v>0</v>
      </c>
      <c r="G160" s="10">
        <v>65535</v>
      </c>
      <c r="H160" s="10">
        <v>1</v>
      </c>
      <c r="I160" s="10">
        <v>1</v>
      </c>
      <c r="J160" s="10" t="s">
        <v>322</v>
      </c>
      <c r="K160" s="10">
        <f t="shared" si="38"/>
        <v>45785</v>
      </c>
      <c r="L160" s="10">
        <f t="shared" si="36"/>
        <v>5785</v>
      </c>
      <c r="M160" s="10">
        <f t="shared" si="34"/>
        <v>5784</v>
      </c>
      <c r="N160" s="10" t="s">
        <v>323</v>
      </c>
      <c r="O160" s="10" t="s">
        <v>324</v>
      </c>
      <c r="P160" s="10"/>
      <c r="Q160" s="10"/>
      <c r="R160" s="332"/>
      <c r="S160" s="7"/>
      <c r="T160" s="7"/>
    </row>
    <row r="161" spans="2:20" s="6" customFormat="1" ht="15.6" x14ac:dyDescent="0.3">
      <c r="B161" s="117" t="s">
        <v>2003</v>
      </c>
      <c r="C161" s="10" t="s">
        <v>321</v>
      </c>
      <c r="D161" s="10">
        <v>2</v>
      </c>
      <c r="E161" s="10">
        <f t="shared" si="37"/>
        <v>1</v>
      </c>
      <c r="F161" s="10">
        <v>0</v>
      </c>
      <c r="G161" s="10">
        <v>65535</v>
      </c>
      <c r="H161" s="10">
        <v>1</v>
      </c>
      <c r="I161" s="10">
        <v>1</v>
      </c>
      <c r="J161" s="10" t="s">
        <v>322</v>
      </c>
      <c r="K161" s="10">
        <f t="shared" si="38"/>
        <v>45786</v>
      </c>
      <c r="L161" s="10">
        <f t="shared" si="36"/>
        <v>5786</v>
      </c>
      <c r="M161" s="10">
        <f t="shared" si="34"/>
        <v>5785</v>
      </c>
      <c r="N161" s="10" t="s">
        <v>323</v>
      </c>
      <c r="O161" s="10" t="s">
        <v>324</v>
      </c>
      <c r="P161" s="10"/>
      <c r="Q161" s="10"/>
      <c r="R161" s="332"/>
      <c r="S161" s="7"/>
      <c r="T161" s="7"/>
    </row>
    <row r="162" spans="2:20" s="6" customFormat="1" ht="15.6" x14ac:dyDescent="0.3">
      <c r="B162" s="10" t="s">
        <v>2004</v>
      </c>
      <c r="C162" s="10" t="s">
        <v>321</v>
      </c>
      <c r="D162" s="10">
        <v>2</v>
      </c>
      <c r="E162" s="10">
        <f t="shared" si="37"/>
        <v>1</v>
      </c>
      <c r="F162" s="10">
        <v>0</v>
      </c>
      <c r="G162" s="10">
        <v>65535</v>
      </c>
      <c r="H162" s="10">
        <v>1</v>
      </c>
      <c r="I162" s="10">
        <v>1</v>
      </c>
      <c r="J162" s="10" t="s">
        <v>322</v>
      </c>
      <c r="K162" s="10">
        <f t="shared" si="38"/>
        <v>45787</v>
      </c>
      <c r="L162" s="10">
        <f t="shared" si="36"/>
        <v>5787</v>
      </c>
      <c r="M162" s="10">
        <f t="shared" si="34"/>
        <v>5786</v>
      </c>
      <c r="N162" s="10" t="s">
        <v>323</v>
      </c>
      <c r="O162" s="10" t="s">
        <v>324</v>
      </c>
      <c r="P162" s="10"/>
      <c r="Q162" s="10"/>
      <c r="R162" s="332"/>
      <c r="S162" s="7"/>
      <c r="T162" s="7"/>
    </row>
    <row r="163" spans="2:20" s="6" customFormat="1" ht="15.6" x14ac:dyDescent="0.3">
      <c r="B163" s="10" t="s">
        <v>2005</v>
      </c>
      <c r="C163" s="10" t="s">
        <v>321</v>
      </c>
      <c r="D163" s="10">
        <v>2</v>
      </c>
      <c r="E163" s="10">
        <f t="shared" si="37"/>
        <v>1</v>
      </c>
      <c r="F163" s="10">
        <v>0</v>
      </c>
      <c r="G163" s="10">
        <v>65535</v>
      </c>
      <c r="H163" s="10">
        <v>1</v>
      </c>
      <c r="I163" s="10">
        <v>1</v>
      </c>
      <c r="J163" s="10" t="s">
        <v>322</v>
      </c>
      <c r="K163" s="10">
        <f t="shared" si="38"/>
        <v>45788</v>
      </c>
      <c r="L163" s="10">
        <f t="shared" si="36"/>
        <v>5788</v>
      </c>
      <c r="M163" s="10">
        <f t="shared" si="34"/>
        <v>5787</v>
      </c>
      <c r="N163" s="10" t="s">
        <v>323</v>
      </c>
      <c r="O163" s="10" t="s">
        <v>324</v>
      </c>
      <c r="P163" s="10"/>
      <c r="Q163" s="10"/>
      <c r="R163" s="332"/>
      <c r="S163" s="7"/>
      <c r="T163" s="7"/>
    </row>
    <row r="164" spans="2:20" s="6" customFormat="1" ht="15.6" x14ac:dyDescent="0.3">
      <c r="B164" s="10" t="s">
        <v>2006</v>
      </c>
      <c r="C164" s="10" t="s">
        <v>321</v>
      </c>
      <c r="D164" s="10">
        <v>2</v>
      </c>
      <c r="E164" s="10">
        <f t="shared" si="37"/>
        <v>1</v>
      </c>
      <c r="F164" s="10">
        <v>0</v>
      </c>
      <c r="G164" s="10">
        <v>65535</v>
      </c>
      <c r="H164" s="10">
        <v>1</v>
      </c>
      <c r="I164" s="10">
        <v>1</v>
      </c>
      <c r="J164" s="10" t="s">
        <v>322</v>
      </c>
      <c r="K164" s="10">
        <f t="shared" si="38"/>
        <v>45789</v>
      </c>
      <c r="L164" s="10">
        <f t="shared" si="36"/>
        <v>5789</v>
      </c>
      <c r="M164" s="10">
        <f t="shared" si="34"/>
        <v>5788</v>
      </c>
      <c r="N164" s="10" t="s">
        <v>323</v>
      </c>
      <c r="O164" s="10" t="s">
        <v>324</v>
      </c>
      <c r="P164" s="10"/>
      <c r="Q164" s="10"/>
      <c r="R164" s="332"/>
      <c r="S164" s="7"/>
      <c r="T164" s="7"/>
    </row>
    <row r="165" spans="2:20" s="6" customFormat="1" ht="15.6" x14ac:dyDescent="0.3">
      <c r="B165" s="10" t="s">
        <v>2007</v>
      </c>
      <c r="C165" s="10" t="s">
        <v>321</v>
      </c>
      <c r="D165" s="10">
        <v>2</v>
      </c>
      <c r="E165" s="10">
        <f t="shared" si="37"/>
        <v>1</v>
      </c>
      <c r="F165" s="10">
        <v>0</v>
      </c>
      <c r="G165" s="10">
        <v>65535</v>
      </c>
      <c r="H165" s="10">
        <v>1</v>
      </c>
      <c r="I165" s="10">
        <v>1</v>
      </c>
      <c r="J165" s="10" t="s">
        <v>322</v>
      </c>
      <c r="K165" s="10">
        <f t="shared" si="38"/>
        <v>45790</v>
      </c>
      <c r="L165" s="10">
        <f t="shared" si="36"/>
        <v>5790</v>
      </c>
      <c r="M165" s="10">
        <f t="shared" si="34"/>
        <v>5789</v>
      </c>
      <c r="N165" s="10" t="s">
        <v>323</v>
      </c>
      <c r="O165" s="10" t="s">
        <v>324</v>
      </c>
      <c r="P165" s="10"/>
      <c r="Q165" s="10"/>
      <c r="R165" s="332"/>
      <c r="S165" s="7"/>
      <c r="T165" s="7"/>
    </row>
    <row r="166" spans="2:20" s="6" customFormat="1" ht="15.6" x14ac:dyDescent="0.3">
      <c r="B166" s="10" t="s">
        <v>2008</v>
      </c>
      <c r="C166" s="10" t="s">
        <v>321</v>
      </c>
      <c r="D166" s="10">
        <v>2</v>
      </c>
      <c r="E166" s="10">
        <f t="shared" si="37"/>
        <v>1</v>
      </c>
      <c r="F166" s="10">
        <v>0</v>
      </c>
      <c r="G166" s="10">
        <v>65535</v>
      </c>
      <c r="H166" s="10">
        <v>1</v>
      </c>
      <c r="I166" s="10">
        <v>1</v>
      </c>
      <c r="J166" s="10" t="s">
        <v>322</v>
      </c>
      <c r="K166" s="10">
        <f t="shared" si="38"/>
        <v>45791</v>
      </c>
      <c r="L166" s="10">
        <f t="shared" si="36"/>
        <v>5791</v>
      </c>
      <c r="M166" s="10">
        <f t="shared" si="34"/>
        <v>5790</v>
      </c>
      <c r="N166" s="10" t="s">
        <v>323</v>
      </c>
      <c r="O166" s="10" t="s">
        <v>324</v>
      </c>
      <c r="P166" s="10"/>
      <c r="Q166" s="10"/>
      <c r="R166" s="332"/>
      <c r="S166" s="7"/>
      <c r="T166" s="7"/>
    </row>
    <row r="167" spans="2:20" s="6" customFormat="1" ht="15.6" x14ac:dyDescent="0.3">
      <c r="B167" s="10" t="s">
        <v>2009</v>
      </c>
      <c r="C167" s="10" t="s">
        <v>321</v>
      </c>
      <c r="D167" s="10">
        <v>2</v>
      </c>
      <c r="E167" s="10">
        <f t="shared" si="37"/>
        <v>1</v>
      </c>
      <c r="F167" s="10">
        <v>0</v>
      </c>
      <c r="G167" s="10">
        <v>65535</v>
      </c>
      <c r="H167" s="10">
        <v>1</v>
      </c>
      <c r="I167" s="10">
        <v>1</v>
      </c>
      <c r="J167" s="10" t="s">
        <v>322</v>
      </c>
      <c r="K167" s="10">
        <f t="shared" si="38"/>
        <v>45792</v>
      </c>
      <c r="L167" s="10">
        <f t="shared" si="36"/>
        <v>5792</v>
      </c>
      <c r="M167" s="10">
        <f t="shared" si="34"/>
        <v>5791</v>
      </c>
      <c r="N167" s="10" t="s">
        <v>323</v>
      </c>
      <c r="O167" s="10" t="s">
        <v>324</v>
      </c>
      <c r="P167" s="10"/>
      <c r="Q167" s="10"/>
      <c r="R167" s="332"/>
      <c r="S167" s="7"/>
      <c r="T167" s="7"/>
    </row>
    <row r="168" spans="2:20" s="6" customFormat="1" ht="15.6" x14ac:dyDescent="0.3">
      <c r="B168" s="10" t="s">
        <v>2010</v>
      </c>
      <c r="C168" s="10" t="s">
        <v>321</v>
      </c>
      <c r="D168" s="10">
        <v>2</v>
      </c>
      <c r="E168" s="10">
        <f t="shared" si="37"/>
        <v>1</v>
      </c>
      <c r="F168" s="10">
        <v>0</v>
      </c>
      <c r="G168" s="10">
        <v>65535</v>
      </c>
      <c r="H168" s="10">
        <v>1</v>
      </c>
      <c r="I168" s="10">
        <v>1</v>
      </c>
      <c r="J168" s="10" t="s">
        <v>322</v>
      </c>
      <c r="K168" s="10">
        <f t="shared" si="38"/>
        <v>45793</v>
      </c>
      <c r="L168" s="10">
        <f t="shared" si="36"/>
        <v>5793</v>
      </c>
      <c r="M168" s="10">
        <f t="shared" si="34"/>
        <v>5792</v>
      </c>
      <c r="N168" s="10" t="s">
        <v>323</v>
      </c>
      <c r="O168" s="10" t="s">
        <v>324</v>
      </c>
      <c r="P168" s="10"/>
      <c r="Q168" s="10"/>
      <c r="R168" s="332"/>
      <c r="S168" s="7"/>
      <c r="T168" s="7"/>
    </row>
    <row r="169" spans="2:20" s="6" customFormat="1" ht="15.6" x14ac:dyDescent="0.3">
      <c r="B169" s="10" t="s">
        <v>2011</v>
      </c>
      <c r="C169" s="10" t="s">
        <v>321</v>
      </c>
      <c r="D169" s="10">
        <v>2</v>
      </c>
      <c r="E169" s="10">
        <f t="shared" si="37"/>
        <v>1</v>
      </c>
      <c r="F169" s="10">
        <v>0</v>
      </c>
      <c r="G169" s="10">
        <v>65535</v>
      </c>
      <c r="H169" s="10">
        <v>1</v>
      </c>
      <c r="I169" s="10">
        <v>1</v>
      </c>
      <c r="J169" s="10" t="s">
        <v>322</v>
      </c>
      <c r="K169" s="10">
        <f t="shared" si="38"/>
        <v>45794</v>
      </c>
      <c r="L169" s="10">
        <f t="shared" si="36"/>
        <v>5794</v>
      </c>
      <c r="M169" s="10">
        <f t="shared" si="34"/>
        <v>5793</v>
      </c>
      <c r="N169" s="10" t="s">
        <v>323</v>
      </c>
      <c r="O169" s="10" t="s">
        <v>324</v>
      </c>
      <c r="P169" s="10"/>
      <c r="Q169" s="10"/>
      <c r="R169" s="332"/>
      <c r="S169" s="7"/>
      <c r="T169" s="7"/>
    </row>
    <row r="170" spans="2:20" s="6" customFormat="1" ht="15.6" x14ac:dyDescent="0.3">
      <c r="B170" s="10" t="s">
        <v>2012</v>
      </c>
      <c r="C170" s="10" t="s">
        <v>321</v>
      </c>
      <c r="D170" s="10">
        <v>2</v>
      </c>
      <c r="E170" s="10">
        <f t="shared" si="37"/>
        <v>1</v>
      </c>
      <c r="F170" s="10">
        <v>0</v>
      </c>
      <c r="G170" s="10">
        <v>65535</v>
      </c>
      <c r="H170" s="10">
        <v>1</v>
      </c>
      <c r="I170" s="10">
        <v>1</v>
      </c>
      <c r="J170" s="10" t="s">
        <v>322</v>
      </c>
      <c r="K170" s="10">
        <f t="shared" si="38"/>
        <v>45795</v>
      </c>
      <c r="L170" s="10">
        <f t="shared" si="36"/>
        <v>5795</v>
      </c>
      <c r="M170" s="10">
        <f t="shared" si="34"/>
        <v>5794</v>
      </c>
      <c r="N170" s="10" t="s">
        <v>323</v>
      </c>
      <c r="O170" s="10" t="s">
        <v>324</v>
      </c>
      <c r="P170" s="10"/>
      <c r="Q170" s="10"/>
      <c r="R170" s="332"/>
      <c r="S170" s="7"/>
      <c r="T170" s="7"/>
    </row>
    <row r="171" spans="2:20" s="6" customFormat="1" ht="15.6" x14ac:dyDescent="0.3">
      <c r="B171" s="10" t="s">
        <v>2013</v>
      </c>
      <c r="C171" s="10" t="s">
        <v>321</v>
      </c>
      <c r="D171" s="10">
        <v>2</v>
      </c>
      <c r="E171" s="10">
        <f t="shared" si="37"/>
        <v>1</v>
      </c>
      <c r="F171" s="10">
        <v>0</v>
      </c>
      <c r="G171" s="10">
        <v>65535</v>
      </c>
      <c r="H171" s="10">
        <v>1</v>
      </c>
      <c r="I171" s="10">
        <v>1</v>
      </c>
      <c r="J171" s="10" t="s">
        <v>322</v>
      </c>
      <c r="K171" s="10">
        <f t="shared" si="38"/>
        <v>45796</v>
      </c>
      <c r="L171" s="10">
        <f t="shared" si="36"/>
        <v>5796</v>
      </c>
      <c r="M171" s="10">
        <f t="shared" si="34"/>
        <v>5795</v>
      </c>
      <c r="N171" s="10" t="s">
        <v>323</v>
      </c>
      <c r="O171" s="10" t="s">
        <v>324</v>
      </c>
      <c r="P171" s="10"/>
      <c r="Q171" s="10"/>
      <c r="R171" s="332"/>
      <c r="S171" s="7"/>
      <c r="T171" s="7"/>
    </row>
    <row r="172" spans="2:20" s="6" customFormat="1" ht="15.6" x14ac:dyDescent="0.3">
      <c r="B172" s="10" t="s">
        <v>2014</v>
      </c>
      <c r="C172" s="10" t="s">
        <v>321</v>
      </c>
      <c r="D172" s="10">
        <v>2</v>
      </c>
      <c r="E172" s="10">
        <f t="shared" si="37"/>
        <v>1</v>
      </c>
      <c r="F172" s="10">
        <v>0</v>
      </c>
      <c r="G172" s="10">
        <v>65535</v>
      </c>
      <c r="H172" s="10">
        <v>1</v>
      </c>
      <c r="I172" s="10">
        <v>1</v>
      </c>
      <c r="J172" s="10" t="s">
        <v>322</v>
      </c>
      <c r="K172" s="10">
        <f t="shared" si="38"/>
        <v>45797</v>
      </c>
      <c r="L172" s="10">
        <f t="shared" si="36"/>
        <v>5797</v>
      </c>
      <c r="M172" s="10">
        <f t="shared" si="34"/>
        <v>5796</v>
      </c>
      <c r="N172" s="10" t="s">
        <v>323</v>
      </c>
      <c r="O172" s="10" t="s">
        <v>324</v>
      </c>
      <c r="P172" s="10"/>
      <c r="Q172" s="10"/>
      <c r="R172" s="332"/>
      <c r="S172" s="7"/>
      <c r="T172" s="7"/>
    </row>
    <row r="173" spans="2:20" s="6" customFormat="1" ht="15.6" x14ac:dyDescent="0.3">
      <c r="B173" s="10" t="s">
        <v>2015</v>
      </c>
      <c r="C173" s="10" t="s">
        <v>321</v>
      </c>
      <c r="D173" s="10">
        <v>2</v>
      </c>
      <c r="E173" s="10">
        <f t="shared" si="37"/>
        <v>1</v>
      </c>
      <c r="F173" s="10">
        <v>0</v>
      </c>
      <c r="G173" s="10">
        <v>65535</v>
      </c>
      <c r="H173" s="10">
        <v>1</v>
      </c>
      <c r="I173" s="10">
        <v>1</v>
      </c>
      <c r="J173" s="10" t="s">
        <v>322</v>
      </c>
      <c r="K173" s="10">
        <f t="shared" si="38"/>
        <v>45798</v>
      </c>
      <c r="L173" s="10">
        <f t="shared" si="36"/>
        <v>5798</v>
      </c>
      <c r="M173" s="10">
        <f t="shared" si="34"/>
        <v>5797</v>
      </c>
      <c r="N173" s="10" t="s">
        <v>323</v>
      </c>
      <c r="O173" s="10" t="s">
        <v>324</v>
      </c>
      <c r="P173" s="10"/>
      <c r="Q173" s="10"/>
      <c r="R173" s="332"/>
      <c r="S173" s="7"/>
      <c r="T173" s="7"/>
    </row>
    <row r="174" spans="2:20" s="6" customFormat="1" ht="15.6" x14ac:dyDescent="0.3">
      <c r="B174" s="10" t="s">
        <v>2016</v>
      </c>
      <c r="C174" s="10" t="s">
        <v>321</v>
      </c>
      <c r="D174" s="10">
        <v>2</v>
      </c>
      <c r="E174" s="10">
        <f t="shared" si="37"/>
        <v>1</v>
      </c>
      <c r="F174" s="10">
        <v>0</v>
      </c>
      <c r="G174" s="10">
        <v>65535</v>
      </c>
      <c r="H174" s="10">
        <v>1</v>
      </c>
      <c r="I174" s="10">
        <v>1</v>
      </c>
      <c r="J174" s="10" t="s">
        <v>322</v>
      </c>
      <c r="K174" s="10">
        <f t="shared" si="38"/>
        <v>45799</v>
      </c>
      <c r="L174" s="10">
        <f t="shared" si="36"/>
        <v>5799</v>
      </c>
      <c r="M174" s="10">
        <f t="shared" si="34"/>
        <v>5798</v>
      </c>
      <c r="N174" s="10" t="s">
        <v>323</v>
      </c>
      <c r="O174" s="10" t="s">
        <v>324</v>
      </c>
      <c r="P174" s="10"/>
      <c r="Q174" s="10"/>
      <c r="R174" s="332"/>
      <c r="S174" s="7"/>
      <c r="T174" s="7"/>
    </row>
    <row r="175" spans="2:20" s="6" customFormat="1" ht="15.6" x14ac:dyDescent="0.3">
      <c r="B175" s="10" t="s">
        <v>2017</v>
      </c>
      <c r="C175" s="10" t="s">
        <v>321</v>
      </c>
      <c r="D175" s="10">
        <v>2</v>
      </c>
      <c r="E175" s="10">
        <f t="shared" si="37"/>
        <v>1</v>
      </c>
      <c r="F175" s="10">
        <v>0</v>
      </c>
      <c r="G175" s="10">
        <v>65535</v>
      </c>
      <c r="H175" s="10">
        <v>1</v>
      </c>
      <c r="I175" s="10">
        <v>1</v>
      </c>
      <c r="J175" s="10" t="s">
        <v>322</v>
      </c>
      <c r="K175" s="10">
        <f t="shared" si="38"/>
        <v>45800</v>
      </c>
      <c r="L175" s="10">
        <f t="shared" si="36"/>
        <v>5800</v>
      </c>
      <c r="M175" s="10">
        <f t="shared" si="34"/>
        <v>5799</v>
      </c>
      <c r="N175" s="10" t="s">
        <v>323</v>
      </c>
      <c r="O175" s="10" t="s">
        <v>324</v>
      </c>
      <c r="P175" s="10"/>
      <c r="Q175" s="10"/>
      <c r="R175" s="332"/>
      <c r="S175" s="7"/>
      <c r="T175" s="7"/>
    </row>
    <row r="176" spans="2:20" s="6" customFormat="1" ht="15.6" x14ac:dyDescent="0.3">
      <c r="B176" s="10" t="s">
        <v>2018</v>
      </c>
      <c r="C176" s="10" t="s">
        <v>321</v>
      </c>
      <c r="D176" s="10">
        <v>2</v>
      </c>
      <c r="E176" s="10">
        <f t="shared" si="37"/>
        <v>1</v>
      </c>
      <c r="F176" s="10">
        <v>0</v>
      </c>
      <c r="G176" s="10">
        <v>65535</v>
      </c>
      <c r="H176" s="10">
        <v>1</v>
      </c>
      <c r="I176" s="10">
        <v>1</v>
      </c>
      <c r="J176" s="10" t="s">
        <v>322</v>
      </c>
      <c r="K176" s="10">
        <f t="shared" si="38"/>
        <v>45801</v>
      </c>
      <c r="L176" s="10">
        <f t="shared" si="36"/>
        <v>5801</v>
      </c>
      <c r="M176" s="10">
        <f t="shared" si="34"/>
        <v>5800</v>
      </c>
      <c r="N176" s="10" t="s">
        <v>323</v>
      </c>
      <c r="O176" s="10" t="s">
        <v>324</v>
      </c>
      <c r="P176" s="10"/>
      <c r="Q176" s="10"/>
      <c r="R176" s="332"/>
      <c r="S176" s="7"/>
      <c r="T176" s="7"/>
    </row>
    <row r="177" spans="2:20" s="6" customFormat="1" ht="15.6" x14ac:dyDescent="0.3">
      <c r="B177" s="10" t="s">
        <v>2019</v>
      </c>
      <c r="C177" s="10" t="s">
        <v>321</v>
      </c>
      <c r="D177" s="10">
        <v>2</v>
      </c>
      <c r="E177" s="10">
        <f t="shared" si="37"/>
        <v>1</v>
      </c>
      <c r="F177" s="10">
        <v>0</v>
      </c>
      <c r="G177" s="10">
        <v>65535</v>
      </c>
      <c r="H177" s="10">
        <v>1</v>
      </c>
      <c r="I177" s="10">
        <v>1</v>
      </c>
      <c r="J177" s="10" t="s">
        <v>322</v>
      </c>
      <c r="K177" s="10">
        <f t="shared" si="38"/>
        <v>45802</v>
      </c>
      <c r="L177" s="10">
        <f t="shared" si="36"/>
        <v>5802</v>
      </c>
      <c r="M177" s="10">
        <f t="shared" si="34"/>
        <v>5801</v>
      </c>
      <c r="N177" s="10" t="s">
        <v>323</v>
      </c>
      <c r="O177" s="10" t="s">
        <v>324</v>
      </c>
      <c r="P177" s="10"/>
      <c r="Q177" s="10"/>
      <c r="R177" s="332"/>
      <c r="S177" s="7"/>
      <c r="T177" s="7"/>
    </row>
    <row r="178" spans="2:20" s="6" customFormat="1" ht="15.6" x14ac:dyDescent="0.3">
      <c r="B178" s="10" t="s">
        <v>2020</v>
      </c>
      <c r="C178" s="10" t="s">
        <v>321</v>
      </c>
      <c r="D178" s="10">
        <v>2</v>
      </c>
      <c r="E178" s="10">
        <f t="shared" si="37"/>
        <v>1</v>
      </c>
      <c r="F178" s="10">
        <v>0</v>
      </c>
      <c r="G178" s="10">
        <v>65535</v>
      </c>
      <c r="H178" s="10">
        <v>1</v>
      </c>
      <c r="I178" s="10">
        <v>1</v>
      </c>
      <c r="J178" s="10" t="s">
        <v>322</v>
      </c>
      <c r="K178" s="10">
        <f t="shared" si="38"/>
        <v>45803</v>
      </c>
      <c r="L178" s="10">
        <f t="shared" si="36"/>
        <v>5803</v>
      </c>
      <c r="M178" s="10">
        <f t="shared" si="34"/>
        <v>5802</v>
      </c>
      <c r="N178" s="10" t="s">
        <v>323</v>
      </c>
      <c r="O178" s="10" t="s">
        <v>324</v>
      </c>
      <c r="P178" s="10"/>
      <c r="Q178" s="10"/>
      <c r="R178" s="332"/>
      <c r="S178" s="7"/>
      <c r="T178" s="7"/>
    </row>
    <row r="179" spans="2:20" s="6" customFormat="1" ht="15.6" x14ac:dyDescent="0.3">
      <c r="B179" s="10" t="s">
        <v>2021</v>
      </c>
      <c r="C179" s="10" t="s">
        <v>321</v>
      </c>
      <c r="D179" s="10">
        <v>2</v>
      </c>
      <c r="E179" s="10">
        <f t="shared" si="37"/>
        <v>1</v>
      </c>
      <c r="F179" s="10">
        <v>0</v>
      </c>
      <c r="G179" s="10">
        <v>65535</v>
      </c>
      <c r="H179" s="10">
        <v>1</v>
      </c>
      <c r="I179" s="10">
        <v>1</v>
      </c>
      <c r="J179" s="10" t="s">
        <v>322</v>
      </c>
      <c r="K179" s="10">
        <f t="shared" si="38"/>
        <v>45804</v>
      </c>
      <c r="L179" s="10">
        <f t="shared" si="36"/>
        <v>5804</v>
      </c>
      <c r="M179" s="10">
        <f t="shared" si="34"/>
        <v>5803</v>
      </c>
      <c r="N179" s="10" t="s">
        <v>323</v>
      </c>
      <c r="O179" s="10" t="s">
        <v>324</v>
      </c>
      <c r="P179" s="10"/>
      <c r="Q179" s="10"/>
      <c r="R179" s="332"/>
      <c r="S179" s="7"/>
      <c r="T179" s="7"/>
    </row>
    <row r="180" spans="2:20" s="6" customFormat="1" ht="15.6" x14ac:dyDescent="0.3">
      <c r="B180" s="10" t="s">
        <v>2022</v>
      </c>
      <c r="C180" s="10" t="s">
        <v>321</v>
      </c>
      <c r="D180" s="10">
        <v>2</v>
      </c>
      <c r="E180" s="10">
        <f t="shared" si="37"/>
        <v>1</v>
      </c>
      <c r="F180" s="10">
        <v>0</v>
      </c>
      <c r="G180" s="10">
        <v>65535</v>
      </c>
      <c r="H180" s="10">
        <v>1</v>
      </c>
      <c r="I180" s="10">
        <v>1</v>
      </c>
      <c r="J180" s="10" t="s">
        <v>322</v>
      </c>
      <c r="K180" s="10">
        <f t="shared" si="38"/>
        <v>45805</v>
      </c>
      <c r="L180" s="10">
        <f t="shared" si="36"/>
        <v>5805</v>
      </c>
      <c r="M180" s="10">
        <f t="shared" si="34"/>
        <v>5804</v>
      </c>
      <c r="N180" s="10" t="s">
        <v>323</v>
      </c>
      <c r="O180" s="10" t="s">
        <v>324</v>
      </c>
      <c r="P180" s="10"/>
      <c r="Q180" s="10"/>
      <c r="R180" s="332"/>
      <c r="S180" s="7"/>
      <c r="T180" s="7"/>
    </row>
    <row r="181" spans="2:20" ht="15.6" x14ac:dyDescent="0.3">
      <c r="B181" s="10" t="s">
        <v>2023</v>
      </c>
      <c r="C181" s="10" t="s">
        <v>321</v>
      </c>
      <c r="D181" s="10">
        <v>2</v>
      </c>
      <c r="E181" s="10">
        <f t="shared" si="37"/>
        <v>1</v>
      </c>
      <c r="F181" s="10">
        <v>0</v>
      </c>
      <c r="G181" s="10">
        <v>65535</v>
      </c>
      <c r="H181" s="10">
        <v>1</v>
      </c>
      <c r="I181" s="10">
        <v>1</v>
      </c>
      <c r="J181" s="10" t="s">
        <v>322</v>
      </c>
      <c r="K181" s="10">
        <f t="shared" si="38"/>
        <v>45806</v>
      </c>
      <c r="L181" s="10">
        <f t="shared" si="36"/>
        <v>5806</v>
      </c>
      <c r="M181" s="10">
        <f t="shared" si="34"/>
        <v>5805</v>
      </c>
      <c r="N181" s="10" t="s">
        <v>323</v>
      </c>
      <c r="O181" s="10" t="s">
        <v>324</v>
      </c>
      <c r="P181" s="10"/>
      <c r="Q181" s="10"/>
      <c r="R181" s="332"/>
      <c r="S181" s="55"/>
      <c r="T181" s="55"/>
    </row>
    <row r="182" spans="2:20" ht="15.6" x14ac:dyDescent="0.3">
      <c r="B182" s="10" t="s">
        <v>2024</v>
      </c>
      <c r="C182" s="10" t="s">
        <v>321</v>
      </c>
      <c r="D182" s="10">
        <v>2</v>
      </c>
      <c r="E182" s="10">
        <f t="shared" si="37"/>
        <v>1</v>
      </c>
      <c r="F182" s="10">
        <v>0</v>
      </c>
      <c r="G182" s="10">
        <v>65535</v>
      </c>
      <c r="H182" s="10">
        <v>1</v>
      </c>
      <c r="I182" s="10">
        <v>1</v>
      </c>
      <c r="J182" s="10" t="s">
        <v>322</v>
      </c>
      <c r="K182" s="10">
        <f t="shared" si="38"/>
        <v>45807</v>
      </c>
      <c r="L182" s="10">
        <f t="shared" si="36"/>
        <v>5807</v>
      </c>
      <c r="M182" s="10">
        <f t="shared" si="34"/>
        <v>5806</v>
      </c>
      <c r="N182" s="10" t="s">
        <v>323</v>
      </c>
      <c r="O182" s="10" t="s">
        <v>324</v>
      </c>
      <c r="P182" s="10"/>
      <c r="Q182" s="10"/>
      <c r="R182" s="332"/>
      <c r="S182" s="55"/>
      <c r="T182" s="55"/>
    </row>
    <row r="183" spans="2:20" ht="15.6" x14ac:dyDescent="0.3">
      <c r="B183" s="10" t="s">
        <v>2025</v>
      </c>
      <c r="C183" s="10" t="s">
        <v>321</v>
      </c>
      <c r="D183" s="10">
        <v>2</v>
      </c>
      <c r="E183" s="10">
        <f t="shared" si="37"/>
        <v>1</v>
      </c>
      <c r="F183" s="10">
        <v>0</v>
      </c>
      <c r="G183" s="10">
        <v>65535</v>
      </c>
      <c r="H183" s="10">
        <v>1</v>
      </c>
      <c r="I183" s="10">
        <v>1</v>
      </c>
      <c r="J183" s="10" t="s">
        <v>322</v>
      </c>
      <c r="K183" s="10">
        <f t="shared" si="38"/>
        <v>45808</v>
      </c>
      <c r="L183" s="10">
        <f t="shared" si="36"/>
        <v>5808</v>
      </c>
      <c r="M183" s="10">
        <f t="shared" si="34"/>
        <v>5807</v>
      </c>
      <c r="N183" s="10" t="s">
        <v>323</v>
      </c>
      <c r="O183" s="10" t="s">
        <v>324</v>
      </c>
      <c r="P183" s="10"/>
      <c r="Q183" s="10"/>
      <c r="R183" s="332"/>
      <c r="S183" s="55"/>
      <c r="T183" s="55"/>
    </row>
    <row r="184" spans="2:20" ht="15.6" x14ac:dyDescent="0.3">
      <c r="B184" s="10" t="s">
        <v>2026</v>
      </c>
      <c r="C184" s="10" t="s">
        <v>321</v>
      </c>
      <c r="D184" s="10">
        <v>2</v>
      </c>
      <c r="E184" s="10">
        <f t="shared" si="37"/>
        <v>1</v>
      </c>
      <c r="F184" s="10">
        <v>0</v>
      </c>
      <c r="G184" s="10">
        <v>65535</v>
      </c>
      <c r="H184" s="10">
        <v>1</v>
      </c>
      <c r="I184" s="10">
        <v>1</v>
      </c>
      <c r="J184" s="10" t="s">
        <v>322</v>
      </c>
      <c r="K184" s="10">
        <f t="shared" si="38"/>
        <v>45809</v>
      </c>
      <c r="L184" s="10">
        <f t="shared" si="36"/>
        <v>5809</v>
      </c>
      <c r="M184" s="10">
        <f t="shared" si="34"/>
        <v>5808</v>
      </c>
      <c r="N184" s="10" t="s">
        <v>323</v>
      </c>
      <c r="O184" s="10" t="s">
        <v>324</v>
      </c>
      <c r="P184" s="10"/>
      <c r="Q184" s="10"/>
      <c r="R184" s="332"/>
      <c r="S184" s="55"/>
      <c r="T184" s="55"/>
    </row>
    <row r="185" spans="2:20" s="6" customFormat="1" ht="15.6" x14ac:dyDescent="0.3">
      <c r="B185" s="10" t="s">
        <v>2027</v>
      </c>
      <c r="C185" s="10" t="s">
        <v>321</v>
      </c>
      <c r="D185" s="10">
        <v>2</v>
      </c>
      <c r="E185" s="10">
        <f t="shared" si="37"/>
        <v>1</v>
      </c>
      <c r="F185" s="10">
        <v>0</v>
      </c>
      <c r="G185" s="10">
        <v>65535</v>
      </c>
      <c r="H185" s="10">
        <v>1</v>
      </c>
      <c r="I185" s="10">
        <v>1</v>
      </c>
      <c r="J185" s="10" t="s">
        <v>322</v>
      </c>
      <c r="K185" s="10">
        <f t="shared" si="38"/>
        <v>45810</v>
      </c>
      <c r="L185" s="10">
        <f t="shared" si="36"/>
        <v>5810</v>
      </c>
      <c r="M185" s="10">
        <f t="shared" si="34"/>
        <v>5809</v>
      </c>
      <c r="N185" s="10" t="s">
        <v>323</v>
      </c>
      <c r="O185" s="10" t="s">
        <v>324</v>
      </c>
      <c r="P185" s="10"/>
      <c r="Q185" s="10"/>
      <c r="R185" s="332"/>
      <c r="S185" s="7"/>
      <c r="T185" s="7"/>
    </row>
    <row r="186" spans="2:20" s="6" customFormat="1" ht="15.6" x14ac:dyDescent="0.3">
      <c r="B186" s="10" t="s">
        <v>2028</v>
      </c>
      <c r="C186" s="10" t="s">
        <v>321</v>
      </c>
      <c r="D186" s="10">
        <v>2</v>
      </c>
      <c r="E186" s="10">
        <f t="shared" si="37"/>
        <v>1</v>
      </c>
      <c r="F186" s="10">
        <v>0</v>
      </c>
      <c r="G186" s="10">
        <v>65535</v>
      </c>
      <c r="H186" s="10">
        <v>1</v>
      </c>
      <c r="I186" s="10">
        <v>1</v>
      </c>
      <c r="J186" s="10" t="s">
        <v>322</v>
      </c>
      <c r="K186" s="10">
        <f t="shared" si="38"/>
        <v>45811</v>
      </c>
      <c r="L186" s="10">
        <f t="shared" si="36"/>
        <v>5811</v>
      </c>
      <c r="M186" s="10">
        <f t="shared" si="34"/>
        <v>5810</v>
      </c>
      <c r="N186" s="10" t="s">
        <v>323</v>
      </c>
      <c r="O186" s="10" t="s">
        <v>324</v>
      </c>
      <c r="P186" s="10"/>
      <c r="Q186" s="10"/>
      <c r="R186" s="332"/>
      <c r="S186" s="7"/>
      <c r="T186" s="7"/>
    </row>
    <row r="187" spans="2:20" s="6" customFormat="1" ht="15.6" x14ac:dyDescent="0.3">
      <c r="B187" s="10" t="s">
        <v>2029</v>
      </c>
      <c r="C187" s="10" t="s">
        <v>321</v>
      </c>
      <c r="D187" s="10">
        <v>2</v>
      </c>
      <c r="E187" s="10">
        <f t="shared" si="37"/>
        <v>1</v>
      </c>
      <c r="F187" s="10">
        <v>0</v>
      </c>
      <c r="G187" s="10">
        <v>65535</v>
      </c>
      <c r="H187" s="10">
        <v>1</v>
      </c>
      <c r="I187" s="10">
        <v>1</v>
      </c>
      <c r="J187" s="10" t="s">
        <v>322</v>
      </c>
      <c r="K187" s="10">
        <f t="shared" si="38"/>
        <v>45812</v>
      </c>
      <c r="L187" s="10">
        <f t="shared" si="36"/>
        <v>5812</v>
      </c>
      <c r="M187" s="10">
        <f t="shared" si="34"/>
        <v>5811</v>
      </c>
      <c r="N187" s="10" t="s">
        <v>323</v>
      </c>
      <c r="O187" s="10" t="s">
        <v>324</v>
      </c>
      <c r="P187" s="10"/>
      <c r="Q187" s="10"/>
      <c r="R187" s="332"/>
      <c r="S187" s="7"/>
      <c r="T187" s="7"/>
    </row>
    <row r="188" spans="2:20" s="6" customFormat="1" ht="15.6" x14ac:dyDescent="0.3">
      <c r="B188" s="10" t="s">
        <v>2030</v>
      </c>
      <c r="C188" s="10" t="s">
        <v>321</v>
      </c>
      <c r="D188" s="10">
        <v>2</v>
      </c>
      <c r="E188" s="10">
        <f t="shared" si="37"/>
        <v>1</v>
      </c>
      <c r="F188" s="10">
        <v>0</v>
      </c>
      <c r="G188" s="10">
        <v>65535</v>
      </c>
      <c r="H188" s="10">
        <v>1</v>
      </c>
      <c r="I188" s="10">
        <v>1</v>
      </c>
      <c r="J188" s="10" t="s">
        <v>322</v>
      </c>
      <c r="K188" s="10">
        <f t="shared" si="38"/>
        <v>45813</v>
      </c>
      <c r="L188" s="10">
        <f t="shared" si="36"/>
        <v>5813</v>
      </c>
      <c r="M188" s="10">
        <f t="shared" si="34"/>
        <v>5812</v>
      </c>
      <c r="N188" s="10" t="s">
        <v>323</v>
      </c>
      <c r="O188" s="10" t="s">
        <v>324</v>
      </c>
      <c r="P188" s="10"/>
      <c r="Q188" s="10"/>
      <c r="R188" s="332"/>
      <c r="S188" s="7"/>
      <c r="T188" s="7"/>
    </row>
    <row r="189" spans="2:20" s="6" customFormat="1" ht="15.6" x14ac:dyDescent="0.3">
      <c r="B189" s="10" t="s">
        <v>2031</v>
      </c>
      <c r="C189" s="10" t="s">
        <v>321</v>
      </c>
      <c r="D189" s="10">
        <v>2</v>
      </c>
      <c r="E189" s="10">
        <f t="shared" si="37"/>
        <v>1</v>
      </c>
      <c r="F189" s="10">
        <v>0</v>
      </c>
      <c r="G189" s="10">
        <v>65535</v>
      </c>
      <c r="H189" s="10">
        <v>1</v>
      </c>
      <c r="I189" s="10">
        <v>1</v>
      </c>
      <c r="J189" s="10" t="s">
        <v>322</v>
      </c>
      <c r="K189" s="10">
        <f t="shared" si="38"/>
        <v>45814</v>
      </c>
      <c r="L189" s="10">
        <f t="shared" si="36"/>
        <v>5814</v>
      </c>
      <c r="M189" s="10">
        <f t="shared" si="34"/>
        <v>5813</v>
      </c>
      <c r="N189" s="10" t="s">
        <v>323</v>
      </c>
      <c r="O189" s="10" t="s">
        <v>324</v>
      </c>
      <c r="P189" s="10"/>
      <c r="Q189" s="10"/>
      <c r="R189" s="332"/>
      <c r="S189" s="7"/>
      <c r="T189" s="7"/>
    </row>
    <row r="190" spans="2:20" s="6" customFormat="1" ht="15.6" x14ac:dyDescent="0.3">
      <c r="B190" s="10" t="s">
        <v>2032</v>
      </c>
      <c r="C190" s="10" t="s">
        <v>321</v>
      </c>
      <c r="D190" s="10">
        <v>2</v>
      </c>
      <c r="E190" s="10">
        <f t="shared" ref="E190:E201" si="39">D190/2</f>
        <v>1</v>
      </c>
      <c r="F190" s="10">
        <v>0</v>
      </c>
      <c r="G190" s="10">
        <v>65535</v>
      </c>
      <c r="H190" s="10">
        <v>1</v>
      </c>
      <c r="I190" s="10">
        <v>1</v>
      </c>
      <c r="J190" s="10" t="s">
        <v>322</v>
      </c>
      <c r="K190" s="10">
        <f t="shared" si="38"/>
        <v>45815</v>
      </c>
      <c r="L190" s="10">
        <f t="shared" si="36"/>
        <v>5815</v>
      </c>
      <c r="M190" s="10">
        <f t="shared" ref="M190:M201" si="40">L190-1</f>
        <v>5814</v>
      </c>
      <c r="N190" s="10" t="s">
        <v>323</v>
      </c>
      <c r="O190" s="10" t="s">
        <v>324</v>
      </c>
      <c r="P190" s="10"/>
      <c r="Q190" s="10"/>
      <c r="R190" s="332"/>
      <c r="S190" s="7"/>
      <c r="T190" s="7"/>
    </row>
    <row r="191" spans="2:20" s="6" customFormat="1" ht="15.6" x14ac:dyDescent="0.3">
      <c r="B191" s="10" t="s">
        <v>2033</v>
      </c>
      <c r="C191" s="10" t="s">
        <v>321</v>
      </c>
      <c r="D191" s="10">
        <v>2</v>
      </c>
      <c r="E191" s="10">
        <f t="shared" si="39"/>
        <v>1</v>
      </c>
      <c r="F191" s="10">
        <v>0</v>
      </c>
      <c r="G191" s="10">
        <v>65535</v>
      </c>
      <c r="H191" s="10">
        <v>1</v>
      </c>
      <c r="I191" s="10">
        <v>1</v>
      </c>
      <c r="J191" s="10" t="s">
        <v>322</v>
      </c>
      <c r="K191" s="10">
        <f t="shared" ref="K191:K202" si="41">K190+$E190</f>
        <v>45816</v>
      </c>
      <c r="L191" s="10">
        <f t="shared" ref="L191:L201" si="42">K191-40000</f>
        <v>5816</v>
      </c>
      <c r="M191" s="10">
        <f t="shared" si="40"/>
        <v>5815</v>
      </c>
      <c r="N191" s="10" t="s">
        <v>323</v>
      </c>
      <c r="O191" s="10" t="s">
        <v>324</v>
      </c>
      <c r="P191" s="10"/>
      <c r="Q191" s="10"/>
      <c r="R191" s="332"/>
      <c r="S191" s="7"/>
      <c r="T191" s="7"/>
    </row>
    <row r="192" spans="2:20" s="6" customFormat="1" ht="15.6" x14ac:dyDescent="0.3">
      <c r="B192" s="10" t="s">
        <v>2034</v>
      </c>
      <c r="C192" s="10" t="s">
        <v>321</v>
      </c>
      <c r="D192" s="10">
        <v>2</v>
      </c>
      <c r="E192" s="10">
        <f t="shared" si="39"/>
        <v>1</v>
      </c>
      <c r="F192" s="10">
        <v>0</v>
      </c>
      <c r="G192" s="10">
        <v>65535</v>
      </c>
      <c r="H192" s="10">
        <v>1</v>
      </c>
      <c r="I192" s="10">
        <v>1</v>
      </c>
      <c r="J192" s="10" t="s">
        <v>322</v>
      </c>
      <c r="K192" s="10">
        <f t="shared" si="41"/>
        <v>45817</v>
      </c>
      <c r="L192" s="10">
        <f t="shared" si="42"/>
        <v>5817</v>
      </c>
      <c r="M192" s="10">
        <f t="shared" si="40"/>
        <v>5816</v>
      </c>
      <c r="N192" s="10" t="s">
        <v>323</v>
      </c>
      <c r="O192" s="10" t="s">
        <v>324</v>
      </c>
      <c r="P192" s="10"/>
      <c r="Q192" s="10"/>
      <c r="R192" s="332"/>
      <c r="S192" s="7"/>
      <c r="T192" s="7"/>
    </row>
    <row r="193" spans="2:20" s="6" customFormat="1" ht="15.6" x14ac:dyDescent="0.3">
      <c r="B193" s="10" t="s">
        <v>2035</v>
      </c>
      <c r="C193" s="10" t="s">
        <v>321</v>
      </c>
      <c r="D193" s="10">
        <v>2</v>
      </c>
      <c r="E193" s="10">
        <f t="shared" si="39"/>
        <v>1</v>
      </c>
      <c r="F193" s="10">
        <v>0</v>
      </c>
      <c r="G193" s="10">
        <v>65535</v>
      </c>
      <c r="H193" s="10">
        <v>1</v>
      </c>
      <c r="I193" s="10">
        <v>1</v>
      </c>
      <c r="J193" s="10" t="s">
        <v>322</v>
      </c>
      <c r="K193" s="10">
        <f t="shared" si="41"/>
        <v>45818</v>
      </c>
      <c r="L193" s="10">
        <f t="shared" si="42"/>
        <v>5818</v>
      </c>
      <c r="M193" s="10">
        <f t="shared" si="40"/>
        <v>5817</v>
      </c>
      <c r="N193" s="10" t="s">
        <v>323</v>
      </c>
      <c r="O193" s="10" t="s">
        <v>324</v>
      </c>
      <c r="P193" s="10"/>
      <c r="Q193" s="10"/>
      <c r="R193" s="332"/>
      <c r="S193" s="7"/>
      <c r="T193" s="7"/>
    </row>
    <row r="194" spans="2:20" s="6" customFormat="1" ht="15.6" x14ac:dyDescent="0.3">
      <c r="B194" s="10" t="s">
        <v>2036</v>
      </c>
      <c r="C194" s="10" t="s">
        <v>321</v>
      </c>
      <c r="D194" s="10">
        <v>2</v>
      </c>
      <c r="E194" s="10">
        <f t="shared" si="39"/>
        <v>1</v>
      </c>
      <c r="F194" s="10">
        <v>0</v>
      </c>
      <c r="G194" s="10">
        <v>65535</v>
      </c>
      <c r="H194" s="10">
        <v>1</v>
      </c>
      <c r="I194" s="10">
        <v>1</v>
      </c>
      <c r="J194" s="10" t="s">
        <v>322</v>
      </c>
      <c r="K194" s="10">
        <f t="shared" si="41"/>
        <v>45819</v>
      </c>
      <c r="L194" s="10">
        <f t="shared" si="42"/>
        <v>5819</v>
      </c>
      <c r="M194" s="10">
        <f t="shared" si="40"/>
        <v>5818</v>
      </c>
      <c r="N194" s="10" t="s">
        <v>323</v>
      </c>
      <c r="O194" s="10" t="s">
        <v>324</v>
      </c>
      <c r="P194" s="10"/>
      <c r="Q194" s="10"/>
      <c r="R194" s="332"/>
      <c r="S194" s="7"/>
      <c r="T194" s="7"/>
    </row>
    <row r="195" spans="2:20" s="6" customFormat="1" ht="15.6" x14ac:dyDescent="0.3">
      <c r="B195" s="10" t="s">
        <v>2037</v>
      </c>
      <c r="C195" s="10" t="s">
        <v>321</v>
      </c>
      <c r="D195" s="10">
        <v>2</v>
      </c>
      <c r="E195" s="10">
        <f t="shared" si="39"/>
        <v>1</v>
      </c>
      <c r="F195" s="10">
        <v>0</v>
      </c>
      <c r="G195" s="10">
        <v>65535</v>
      </c>
      <c r="H195" s="10">
        <v>1</v>
      </c>
      <c r="I195" s="10">
        <v>1</v>
      </c>
      <c r="J195" s="10" t="s">
        <v>322</v>
      </c>
      <c r="K195" s="10">
        <f t="shared" si="41"/>
        <v>45820</v>
      </c>
      <c r="L195" s="10">
        <f t="shared" si="42"/>
        <v>5820</v>
      </c>
      <c r="M195" s="10">
        <f t="shared" si="40"/>
        <v>5819</v>
      </c>
      <c r="N195" s="10" t="s">
        <v>323</v>
      </c>
      <c r="O195" s="10" t="s">
        <v>324</v>
      </c>
      <c r="P195" s="10"/>
      <c r="Q195" s="10"/>
      <c r="R195" s="332"/>
      <c r="S195" s="7"/>
      <c r="T195" s="7"/>
    </row>
    <row r="196" spans="2:20" s="6" customFormat="1" ht="15.6" x14ac:dyDescent="0.3">
      <c r="B196" s="10" t="s">
        <v>2038</v>
      </c>
      <c r="C196" s="10" t="s">
        <v>321</v>
      </c>
      <c r="D196" s="10">
        <v>2</v>
      </c>
      <c r="E196" s="10">
        <f t="shared" si="39"/>
        <v>1</v>
      </c>
      <c r="F196" s="10">
        <v>0</v>
      </c>
      <c r="G196" s="10">
        <v>65535</v>
      </c>
      <c r="H196" s="10">
        <v>1</v>
      </c>
      <c r="I196" s="10">
        <v>1</v>
      </c>
      <c r="J196" s="10" t="s">
        <v>322</v>
      </c>
      <c r="K196" s="10">
        <f t="shared" si="41"/>
        <v>45821</v>
      </c>
      <c r="L196" s="10">
        <f t="shared" si="42"/>
        <v>5821</v>
      </c>
      <c r="M196" s="10">
        <f t="shared" si="40"/>
        <v>5820</v>
      </c>
      <c r="N196" s="10" t="s">
        <v>323</v>
      </c>
      <c r="O196" s="10" t="s">
        <v>324</v>
      </c>
      <c r="P196" s="10"/>
      <c r="Q196" s="10"/>
      <c r="R196" s="332"/>
      <c r="S196" s="7"/>
      <c r="T196" s="7"/>
    </row>
    <row r="197" spans="2:20" s="6" customFormat="1" ht="15.6" x14ac:dyDescent="0.3">
      <c r="B197" s="10" t="s">
        <v>2039</v>
      </c>
      <c r="C197" s="10" t="s">
        <v>321</v>
      </c>
      <c r="D197" s="10">
        <v>2</v>
      </c>
      <c r="E197" s="10">
        <f t="shared" si="39"/>
        <v>1</v>
      </c>
      <c r="F197" s="10">
        <v>0</v>
      </c>
      <c r="G197" s="10">
        <v>65535</v>
      </c>
      <c r="H197" s="10">
        <v>1</v>
      </c>
      <c r="I197" s="10">
        <v>1</v>
      </c>
      <c r="J197" s="10" t="s">
        <v>322</v>
      </c>
      <c r="K197" s="10">
        <f t="shared" si="41"/>
        <v>45822</v>
      </c>
      <c r="L197" s="10">
        <f t="shared" si="42"/>
        <v>5822</v>
      </c>
      <c r="M197" s="10">
        <f t="shared" si="40"/>
        <v>5821</v>
      </c>
      <c r="N197" s="10" t="s">
        <v>323</v>
      </c>
      <c r="O197" s="10" t="s">
        <v>324</v>
      </c>
      <c r="P197" s="10"/>
      <c r="Q197" s="10"/>
      <c r="R197" s="332"/>
      <c r="S197" s="7"/>
      <c r="T197" s="7"/>
    </row>
    <row r="198" spans="2:20" s="6" customFormat="1" ht="15.6" x14ac:dyDescent="0.3">
      <c r="B198" s="10" t="s">
        <v>2040</v>
      </c>
      <c r="C198" s="10" t="s">
        <v>321</v>
      </c>
      <c r="D198" s="10">
        <v>2</v>
      </c>
      <c r="E198" s="10">
        <f t="shared" si="39"/>
        <v>1</v>
      </c>
      <c r="F198" s="10">
        <v>0</v>
      </c>
      <c r="G198" s="10">
        <v>65535</v>
      </c>
      <c r="H198" s="10">
        <v>1</v>
      </c>
      <c r="I198" s="10">
        <v>1</v>
      </c>
      <c r="J198" s="10" t="s">
        <v>322</v>
      </c>
      <c r="K198" s="10">
        <f t="shared" si="41"/>
        <v>45823</v>
      </c>
      <c r="L198" s="10">
        <f t="shared" si="42"/>
        <v>5823</v>
      </c>
      <c r="M198" s="10">
        <f t="shared" si="40"/>
        <v>5822</v>
      </c>
      <c r="N198" s="10" t="s">
        <v>323</v>
      </c>
      <c r="O198" s="10" t="s">
        <v>324</v>
      </c>
      <c r="P198" s="10"/>
      <c r="Q198" s="10"/>
      <c r="R198" s="332"/>
      <c r="S198" s="7"/>
      <c r="T198" s="7"/>
    </row>
    <row r="199" spans="2:20" ht="15.6" x14ac:dyDescent="0.3">
      <c r="B199" s="10" t="s">
        <v>2041</v>
      </c>
      <c r="C199" s="10" t="s">
        <v>321</v>
      </c>
      <c r="D199" s="10">
        <v>2</v>
      </c>
      <c r="E199" s="10">
        <f t="shared" si="39"/>
        <v>1</v>
      </c>
      <c r="F199" s="10">
        <v>0</v>
      </c>
      <c r="G199" s="10">
        <v>65535</v>
      </c>
      <c r="H199" s="10">
        <v>1</v>
      </c>
      <c r="I199" s="10">
        <v>1</v>
      </c>
      <c r="J199" s="10" t="s">
        <v>322</v>
      </c>
      <c r="K199" s="10">
        <f t="shared" si="41"/>
        <v>45824</v>
      </c>
      <c r="L199" s="10">
        <f t="shared" si="42"/>
        <v>5824</v>
      </c>
      <c r="M199" s="10">
        <f t="shared" si="40"/>
        <v>5823</v>
      </c>
      <c r="N199" s="10" t="s">
        <v>323</v>
      </c>
      <c r="O199" s="10" t="s">
        <v>324</v>
      </c>
      <c r="P199" s="10"/>
      <c r="Q199" s="10"/>
      <c r="R199" s="332"/>
      <c r="S199" s="55"/>
      <c r="T199" s="55"/>
    </row>
    <row r="200" spans="2:20" ht="15.6" x14ac:dyDescent="0.3">
      <c r="B200" s="10" t="s">
        <v>2042</v>
      </c>
      <c r="C200" s="10" t="s">
        <v>321</v>
      </c>
      <c r="D200" s="10">
        <v>2</v>
      </c>
      <c r="E200" s="10">
        <f t="shared" si="39"/>
        <v>1</v>
      </c>
      <c r="F200" s="10">
        <v>0</v>
      </c>
      <c r="G200" s="10">
        <v>65535</v>
      </c>
      <c r="H200" s="10">
        <v>1</v>
      </c>
      <c r="I200" s="10">
        <v>1</v>
      </c>
      <c r="J200" s="10" t="s">
        <v>322</v>
      </c>
      <c r="K200" s="10">
        <f t="shared" si="41"/>
        <v>45825</v>
      </c>
      <c r="L200" s="10">
        <f t="shared" si="42"/>
        <v>5825</v>
      </c>
      <c r="M200" s="10">
        <f t="shared" si="40"/>
        <v>5824</v>
      </c>
      <c r="N200" s="10" t="s">
        <v>323</v>
      </c>
      <c r="O200" s="10" t="s">
        <v>324</v>
      </c>
      <c r="P200" s="10"/>
      <c r="Q200" s="10"/>
      <c r="R200" s="332"/>
      <c r="S200" s="55"/>
      <c r="T200" s="55"/>
    </row>
    <row r="201" spans="2:20" ht="15.6" x14ac:dyDescent="0.3">
      <c r="B201" s="10" t="s">
        <v>2043</v>
      </c>
      <c r="C201" s="10" t="s">
        <v>321</v>
      </c>
      <c r="D201" s="10">
        <v>2</v>
      </c>
      <c r="E201" s="10">
        <f t="shared" si="39"/>
        <v>1</v>
      </c>
      <c r="F201" s="10">
        <v>0</v>
      </c>
      <c r="G201" s="10">
        <v>65535</v>
      </c>
      <c r="H201" s="10">
        <v>1</v>
      </c>
      <c r="I201" s="10">
        <v>1</v>
      </c>
      <c r="J201" s="10" t="s">
        <v>322</v>
      </c>
      <c r="K201" s="10">
        <f t="shared" si="41"/>
        <v>45826</v>
      </c>
      <c r="L201" s="10">
        <f t="shared" si="42"/>
        <v>5826</v>
      </c>
      <c r="M201" s="10">
        <f t="shared" si="40"/>
        <v>5825</v>
      </c>
      <c r="N201" s="10" t="s">
        <v>323</v>
      </c>
      <c r="O201" s="10" t="s">
        <v>324</v>
      </c>
      <c r="P201" s="10"/>
      <c r="Q201" s="10"/>
      <c r="R201" s="332"/>
      <c r="S201" s="55"/>
      <c r="T201" s="55"/>
    </row>
    <row r="202" spans="2:20" s="6" customFormat="1" ht="15.6" x14ac:dyDescent="0.3">
      <c r="B202" s="193" t="s">
        <v>2044</v>
      </c>
      <c r="C202" s="193" t="s">
        <v>321</v>
      </c>
      <c r="D202" s="193">
        <v>2</v>
      </c>
      <c r="E202" s="193">
        <f>D202/2</f>
        <v>1</v>
      </c>
      <c r="F202" s="193">
        <v>0</v>
      </c>
      <c r="G202" s="193">
        <v>65535</v>
      </c>
      <c r="H202" s="193">
        <v>1</v>
      </c>
      <c r="I202" s="193">
        <v>1</v>
      </c>
      <c r="J202" s="193" t="s">
        <v>322</v>
      </c>
      <c r="K202" s="193">
        <f t="shared" si="41"/>
        <v>45827</v>
      </c>
      <c r="L202" s="193">
        <f t="shared" ref="L202" si="43">K202-40000</f>
        <v>5827</v>
      </c>
      <c r="M202" s="193">
        <f>L202-1</f>
        <v>5826</v>
      </c>
      <c r="N202" s="10" t="s">
        <v>323</v>
      </c>
      <c r="O202" s="10" t="s">
        <v>324</v>
      </c>
      <c r="P202" s="10"/>
      <c r="Q202" s="10"/>
      <c r="R202" s="332"/>
      <c r="S202" s="7"/>
      <c r="T202" s="7"/>
    </row>
    <row r="203" spans="2:20" s="6" customFormat="1" ht="15.6" x14ac:dyDescent="0.3">
      <c r="B203" s="193" t="s">
        <v>2045</v>
      </c>
      <c r="C203" s="193" t="s">
        <v>321</v>
      </c>
      <c r="D203" s="193">
        <v>2</v>
      </c>
      <c r="E203" s="193">
        <f t="shared" ref="E203:E204" si="44">D203/2</f>
        <v>1</v>
      </c>
      <c r="F203" s="193">
        <v>0</v>
      </c>
      <c r="G203" s="193">
        <v>65535</v>
      </c>
      <c r="H203" s="193">
        <v>1</v>
      </c>
      <c r="I203" s="193">
        <v>1</v>
      </c>
      <c r="J203" s="193" t="s">
        <v>322</v>
      </c>
      <c r="K203" s="193">
        <f>K202+$E202</f>
        <v>45828</v>
      </c>
      <c r="L203" s="193">
        <f t="shared" ref="L203:L206" si="45">K203-40000</f>
        <v>5828</v>
      </c>
      <c r="M203" s="193">
        <f>L203-1</f>
        <v>5827</v>
      </c>
      <c r="N203" s="10" t="s">
        <v>323</v>
      </c>
      <c r="O203" s="10" t="s">
        <v>324</v>
      </c>
      <c r="P203" s="10"/>
      <c r="Q203" s="10"/>
      <c r="R203" s="332"/>
      <c r="S203" s="7"/>
      <c r="T203" s="7"/>
    </row>
    <row r="204" spans="2:20" s="6" customFormat="1" ht="15.6" x14ac:dyDescent="0.3">
      <c r="B204" s="117" t="s">
        <v>2046</v>
      </c>
      <c r="C204" s="117" t="s">
        <v>321</v>
      </c>
      <c r="D204" s="117">
        <v>2</v>
      </c>
      <c r="E204" s="117">
        <f t="shared" si="44"/>
        <v>1</v>
      </c>
      <c r="F204" s="117">
        <v>0</v>
      </c>
      <c r="G204" s="117">
        <v>65535</v>
      </c>
      <c r="H204" s="117">
        <v>1</v>
      </c>
      <c r="I204" s="117">
        <v>1</v>
      </c>
      <c r="J204" s="117" t="s">
        <v>322</v>
      </c>
      <c r="K204" s="117">
        <f t="shared" ref="K204:K205" si="46">K203+$E203</f>
        <v>45829</v>
      </c>
      <c r="L204" s="117">
        <f t="shared" si="45"/>
        <v>5829</v>
      </c>
      <c r="M204" s="117">
        <f t="shared" ref="M204" si="47">L204-1</f>
        <v>5828</v>
      </c>
      <c r="N204" s="10" t="s">
        <v>323</v>
      </c>
      <c r="O204" s="10" t="s">
        <v>324</v>
      </c>
      <c r="P204" s="10"/>
      <c r="Q204" s="10"/>
      <c r="R204" s="332"/>
      <c r="S204" s="7"/>
      <c r="T204" s="7"/>
    </row>
    <row r="205" spans="2:20" s="6" customFormat="1" ht="15.6" x14ac:dyDescent="0.3">
      <c r="B205" s="117" t="s">
        <v>2047</v>
      </c>
      <c r="C205" s="117" t="s">
        <v>321</v>
      </c>
      <c r="D205" s="117">
        <v>2</v>
      </c>
      <c r="E205" s="117">
        <f>D205/2</f>
        <v>1</v>
      </c>
      <c r="F205" s="117">
        <v>0</v>
      </c>
      <c r="G205" s="117">
        <v>65535</v>
      </c>
      <c r="H205" s="117">
        <v>1</v>
      </c>
      <c r="I205" s="117">
        <v>1</v>
      </c>
      <c r="J205" s="117" t="s">
        <v>322</v>
      </c>
      <c r="K205" s="117">
        <f t="shared" si="46"/>
        <v>45830</v>
      </c>
      <c r="L205" s="117">
        <f t="shared" si="45"/>
        <v>5830</v>
      </c>
      <c r="M205" s="117">
        <f>L205-1</f>
        <v>5829</v>
      </c>
      <c r="N205" s="10" t="s">
        <v>323</v>
      </c>
      <c r="O205" s="10" t="s">
        <v>324</v>
      </c>
      <c r="P205" s="10"/>
      <c r="Q205" s="10"/>
      <c r="R205" s="332"/>
      <c r="S205" s="7"/>
      <c r="T205" s="7"/>
    </row>
    <row r="206" spans="2:20" s="6" customFormat="1" ht="15.6" x14ac:dyDescent="0.3">
      <c r="B206" s="117" t="s">
        <v>2048</v>
      </c>
      <c r="C206" s="117" t="s">
        <v>321</v>
      </c>
      <c r="D206" s="117">
        <v>2</v>
      </c>
      <c r="E206" s="117">
        <f t="shared" ref="E206" si="48">D206/2</f>
        <v>1</v>
      </c>
      <c r="F206" s="117">
        <v>0</v>
      </c>
      <c r="G206" s="117">
        <v>65535</v>
      </c>
      <c r="H206" s="117">
        <v>1</v>
      </c>
      <c r="I206" s="117">
        <v>1</v>
      </c>
      <c r="J206" s="117" t="s">
        <v>322</v>
      </c>
      <c r="K206" s="117">
        <f>K205+$E205</f>
        <v>45831</v>
      </c>
      <c r="L206" s="117">
        <f t="shared" si="45"/>
        <v>5831</v>
      </c>
      <c r="M206" s="117">
        <f>L206-1</f>
        <v>5830</v>
      </c>
      <c r="N206" s="10" t="s">
        <v>323</v>
      </c>
      <c r="O206" s="10" t="s">
        <v>324</v>
      </c>
      <c r="P206" s="10"/>
      <c r="Q206" s="10"/>
      <c r="R206" s="332"/>
      <c r="S206" s="7"/>
      <c r="T206" s="7"/>
    </row>
    <row r="207" spans="2:20" x14ac:dyDescent="0.3">
      <c r="S207" s="55"/>
      <c r="T207" s="55"/>
    </row>
    <row r="208" spans="2:20" x14ac:dyDescent="0.3">
      <c r="S208" s="55"/>
      <c r="T208" s="55"/>
    </row>
    <row r="209" spans="2:20" ht="15.6" x14ac:dyDescent="0.3">
      <c r="B209" s="496" t="s">
        <v>164</v>
      </c>
      <c r="C209" s="496"/>
      <c r="D209" s="496"/>
      <c r="E209" s="496"/>
      <c r="F209" s="496"/>
      <c r="G209" s="496"/>
      <c r="H209" s="496"/>
      <c r="I209" s="496"/>
      <c r="J209" s="496"/>
      <c r="K209" s="496"/>
      <c r="L209" s="496"/>
      <c r="M209" s="496"/>
      <c r="N209" s="496"/>
      <c r="O209" s="496"/>
      <c r="P209" s="496"/>
      <c r="Q209" s="496"/>
      <c r="R209" s="497"/>
      <c r="S209" s="55"/>
      <c r="T209" s="55"/>
    </row>
    <row r="210" spans="2:20" ht="15.6" x14ac:dyDescent="0.3">
      <c r="B210" s="67" t="s">
        <v>2049</v>
      </c>
      <c r="C210" s="67" t="s">
        <v>321</v>
      </c>
      <c r="D210" s="67">
        <v>2</v>
      </c>
      <c r="E210" s="67">
        <f t="shared" ref="E210:E234" si="49">D210/2</f>
        <v>1</v>
      </c>
      <c r="F210" s="67">
        <v>0</v>
      </c>
      <c r="G210" s="67">
        <v>65535</v>
      </c>
      <c r="H210" s="67">
        <v>1</v>
      </c>
      <c r="I210" s="67">
        <v>1</v>
      </c>
      <c r="J210" s="67" t="s">
        <v>322</v>
      </c>
      <c r="K210" s="67">
        <v>45876</v>
      </c>
      <c r="L210" s="10">
        <f>K210-40000</f>
        <v>5876</v>
      </c>
      <c r="M210" s="10">
        <f t="shared" ref="M210:M234" si="50">L210-1</f>
        <v>5875</v>
      </c>
      <c r="N210" s="10" t="s">
        <v>323</v>
      </c>
      <c r="O210" s="67" t="s">
        <v>324</v>
      </c>
      <c r="P210" s="67" t="s">
        <v>1220</v>
      </c>
      <c r="Q210" s="67"/>
      <c r="R210" s="260"/>
      <c r="S210" s="55"/>
      <c r="T210" s="55"/>
    </row>
    <row r="211" spans="2:20" ht="15.6" x14ac:dyDescent="0.3">
      <c r="B211" s="10" t="s">
        <v>2050</v>
      </c>
      <c r="C211" s="10" t="s">
        <v>321</v>
      </c>
      <c r="D211" s="10">
        <v>2</v>
      </c>
      <c r="E211" s="10">
        <f t="shared" si="49"/>
        <v>1</v>
      </c>
      <c r="F211" s="10">
        <v>0</v>
      </c>
      <c r="G211" s="10">
        <v>65535</v>
      </c>
      <c r="H211" s="10">
        <v>1</v>
      </c>
      <c r="I211" s="10">
        <v>1</v>
      </c>
      <c r="J211" s="10" t="s">
        <v>322</v>
      </c>
      <c r="K211" s="10">
        <f t="shared" ref="K211:K234" si="51">K210+$E210</f>
        <v>45877</v>
      </c>
      <c r="L211" s="10">
        <f t="shared" ref="L211:L234" si="52">K211-40000</f>
        <v>5877</v>
      </c>
      <c r="M211" s="10">
        <f t="shared" si="50"/>
        <v>5876</v>
      </c>
      <c r="N211" s="10" t="s">
        <v>323</v>
      </c>
      <c r="O211" s="10" t="s">
        <v>324</v>
      </c>
      <c r="P211" s="10" t="s">
        <v>1220</v>
      </c>
      <c r="Q211" s="10"/>
      <c r="R211" s="260"/>
      <c r="S211" s="55"/>
      <c r="T211" s="55"/>
    </row>
    <row r="212" spans="2:20" ht="15.6" x14ac:dyDescent="0.3">
      <c r="B212" s="10" t="s">
        <v>2051</v>
      </c>
      <c r="C212" s="10" t="s">
        <v>321</v>
      </c>
      <c r="D212" s="10">
        <v>2</v>
      </c>
      <c r="E212" s="10">
        <f t="shared" si="49"/>
        <v>1</v>
      </c>
      <c r="F212" s="10">
        <v>0</v>
      </c>
      <c r="G212" s="10">
        <v>65535</v>
      </c>
      <c r="H212" s="10">
        <v>1</v>
      </c>
      <c r="I212" s="193">
        <v>1</v>
      </c>
      <c r="J212" s="10" t="s">
        <v>322</v>
      </c>
      <c r="K212" s="10">
        <f t="shared" si="51"/>
        <v>45878</v>
      </c>
      <c r="L212" s="10">
        <f t="shared" si="52"/>
        <v>5878</v>
      </c>
      <c r="M212" s="10">
        <f t="shared" si="50"/>
        <v>5877</v>
      </c>
      <c r="N212" s="10" t="s">
        <v>323</v>
      </c>
      <c r="O212" s="10" t="s">
        <v>324</v>
      </c>
      <c r="P212" s="10" t="s">
        <v>381</v>
      </c>
      <c r="Q212" s="10"/>
      <c r="R212" s="260"/>
      <c r="S212" s="55"/>
      <c r="T212" s="55"/>
    </row>
    <row r="213" spans="2:20" ht="15.6" x14ac:dyDescent="0.3">
      <c r="B213" s="10" t="s">
        <v>2052</v>
      </c>
      <c r="C213" s="10" t="s">
        <v>321</v>
      </c>
      <c r="D213" s="10">
        <v>2</v>
      </c>
      <c r="E213" s="10">
        <f t="shared" si="49"/>
        <v>1</v>
      </c>
      <c r="F213" s="10">
        <v>0</v>
      </c>
      <c r="G213" s="10">
        <v>65535</v>
      </c>
      <c r="H213" s="10">
        <v>1</v>
      </c>
      <c r="I213" s="193">
        <v>1</v>
      </c>
      <c r="J213" s="10" t="s">
        <v>322</v>
      </c>
      <c r="K213" s="10">
        <f t="shared" si="51"/>
        <v>45879</v>
      </c>
      <c r="L213" s="10">
        <f t="shared" si="52"/>
        <v>5879</v>
      </c>
      <c r="M213" s="10">
        <f t="shared" si="50"/>
        <v>5878</v>
      </c>
      <c r="N213" s="10" t="s">
        <v>323</v>
      </c>
      <c r="O213" s="10" t="s">
        <v>324</v>
      </c>
      <c r="P213" s="10" t="s">
        <v>381</v>
      </c>
      <c r="Q213" s="10"/>
      <c r="R213" s="260"/>
      <c r="S213" s="55"/>
      <c r="T213" s="55"/>
    </row>
    <row r="214" spans="2:20" ht="15.6" x14ac:dyDescent="0.3">
      <c r="B214" s="10" t="s">
        <v>2053</v>
      </c>
      <c r="C214" s="10" t="s">
        <v>321</v>
      </c>
      <c r="D214" s="10">
        <v>2</v>
      </c>
      <c r="E214" s="10">
        <f t="shared" si="49"/>
        <v>1</v>
      </c>
      <c r="F214" s="10">
        <v>0</v>
      </c>
      <c r="G214" s="10">
        <v>65535</v>
      </c>
      <c r="H214" s="10">
        <v>1</v>
      </c>
      <c r="I214" s="193">
        <v>1</v>
      </c>
      <c r="J214" s="10" t="s">
        <v>322</v>
      </c>
      <c r="K214" s="10">
        <f t="shared" si="51"/>
        <v>45880</v>
      </c>
      <c r="L214" s="10">
        <f t="shared" si="52"/>
        <v>5880</v>
      </c>
      <c r="M214" s="10">
        <f t="shared" si="50"/>
        <v>5879</v>
      </c>
      <c r="N214" s="10" t="s">
        <v>323</v>
      </c>
      <c r="O214" s="10" t="s">
        <v>324</v>
      </c>
      <c r="P214" s="10" t="s">
        <v>381</v>
      </c>
      <c r="Q214" s="10"/>
      <c r="R214" s="260"/>
      <c r="S214" s="55"/>
      <c r="T214" s="55"/>
    </row>
    <row r="215" spans="2:20" ht="15.6" x14ac:dyDescent="0.3">
      <c r="B215" s="10" t="s">
        <v>2054</v>
      </c>
      <c r="C215" s="10" t="s">
        <v>321</v>
      </c>
      <c r="D215" s="10">
        <v>2</v>
      </c>
      <c r="E215" s="10">
        <f t="shared" si="49"/>
        <v>1</v>
      </c>
      <c r="F215" s="10">
        <v>0</v>
      </c>
      <c r="G215" s="10">
        <v>65535</v>
      </c>
      <c r="H215" s="10">
        <v>1</v>
      </c>
      <c r="I215" s="193">
        <v>1</v>
      </c>
      <c r="J215" s="10" t="s">
        <v>322</v>
      </c>
      <c r="K215" s="10">
        <f t="shared" si="51"/>
        <v>45881</v>
      </c>
      <c r="L215" s="10">
        <f t="shared" si="52"/>
        <v>5881</v>
      </c>
      <c r="M215" s="10">
        <f t="shared" si="50"/>
        <v>5880</v>
      </c>
      <c r="N215" s="10" t="s">
        <v>323</v>
      </c>
      <c r="O215" s="10" t="s">
        <v>324</v>
      </c>
      <c r="P215" s="10" t="s">
        <v>381</v>
      </c>
      <c r="Q215" s="10"/>
      <c r="R215" s="260"/>
      <c r="S215" s="55"/>
      <c r="T215" s="55"/>
    </row>
    <row r="216" spans="2:20" ht="15.6" x14ac:dyDescent="0.3">
      <c r="B216" s="10" t="s">
        <v>2055</v>
      </c>
      <c r="C216" s="10" t="s">
        <v>321</v>
      </c>
      <c r="D216" s="10">
        <v>2</v>
      </c>
      <c r="E216" s="10">
        <f t="shared" si="49"/>
        <v>1</v>
      </c>
      <c r="F216" s="10">
        <v>0</v>
      </c>
      <c r="G216" s="10">
        <v>65535</v>
      </c>
      <c r="H216" s="10">
        <v>1</v>
      </c>
      <c r="I216" s="193">
        <v>1</v>
      </c>
      <c r="J216" s="10" t="s">
        <v>322</v>
      </c>
      <c r="K216" s="10">
        <f t="shared" si="51"/>
        <v>45882</v>
      </c>
      <c r="L216" s="10">
        <f t="shared" si="52"/>
        <v>5882</v>
      </c>
      <c r="M216" s="10">
        <f t="shared" si="50"/>
        <v>5881</v>
      </c>
      <c r="N216" s="10" t="s">
        <v>323</v>
      </c>
      <c r="O216" s="10" t="s">
        <v>324</v>
      </c>
      <c r="P216" s="10" t="s">
        <v>381</v>
      </c>
      <c r="Q216" s="10"/>
      <c r="R216" s="260"/>
      <c r="S216" s="55"/>
      <c r="T216" s="55"/>
    </row>
    <row r="217" spans="2:20" ht="15.6" x14ac:dyDescent="0.3">
      <c r="B217" s="10" t="s">
        <v>2056</v>
      </c>
      <c r="C217" s="10" t="s">
        <v>321</v>
      </c>
      <c r="D217" s="10">
        <v>2</v>
      </c>
      <c r="E217" s="10">
        <f t="shared" ref="E217" si="53">D217/2</f>
        <v>1</v>
      </c>
      <c r="F217" s="10">
        <v>0</v>
      </c>
      <c r="G217" s="10">
        <v>65535</v>
      </c>
      <c r="H217" s="10">
        <v>1</v>
      </c>
      <c r="I217" s="193">
        <v>1</v>
      </c>
      <c r="J217" s="10" t="s">
        <v>322</v>
      </c>
      <c r="K217" s="10">
        <f t="shared" si="51"/>
        <v>45883</v>
      </c>
      <c r="L217" s="10">
        <f t="shared" si="52"/>
        <v>5883</v>
      </c>
      <c r="M217" s="10">
        <f t="shared" si="50"/>
        <v>5882</v>
      </c>
      <c r="N217" s="10" t="s">
        <v>323</v>
      </c>
      <c r="O217" s="10" t="s">
        <v>324</v>
      </c>
      <c r="P217" s="10" t="s">
        <v>381</v>
      </c>
      <c r="Q217" s="10"/>
      <c r="R217" s="260"/>
      <c r="S217" s="55"/>
      <c r="T217" s="55"/>
    </row>
    <row r="218" spans="2:20" ht="15.6" x14ac:dyDescent="0.3">
      <c r="B218" s="117" t="s">
        <v>2057</v>
      </c>
      <c r="C218" s="10" t="s">
        <v>321</v>
      </c>
      <c r="D218" s="10">
        <v>2</v>
      </c>
      <c r="E218" s="10">
        <f t="shared" si="49"/>
        <v>1</v>
      </c>
      <c r="F218" s="10">
        <v>0</v>
      </c>
      <c r="G218" s="10">
        <v>65535</v>
      </c>
      <c r="H218" s="10">
        <v>1</v>
      </c>
      <c r="I218" s="64" t="s">
        <v>386</v>
      </c>
      <c r="J218" s="10" t="s">
        <v>322</v>
      </c>
      <c r="K218" s="10">
        <f t="shared" si="51"/>
        <v>45884</v>
      </c>
      <c r="L218" s="10">
        <f t="shared" si="52"/>
        <v>5884</v>
      </c>
      <c r="M218" s="10">
        <f t="shared" si="50"/>
        <v>5883</v>
      </c>
      <c r="N218" s="10" t="s">
        <v>323</v>
      </c>
      <c r="O218" s="10" t="s">
        <v>324</v>
      </c>
      <c r="P218" s="10" t="s">
        <v>397</v>
      </c>
      <c r="Q218" s="10"/>
      <c r="R218" s="260"/>
      <c r="S218" s="55"/>
      <c r="T218" s="55"/>
    </row>
    <row r="219" spans="2:20" ht="15.6" x14ac:dyDescent="0.3">
      <c r="B219" s="10" t="s">
        <v>400</v>
      </c>
      <c r="C219" s="10" t="s">
        <v>321</v>
      </c>
      <c r="D219" s="10">
        <v>2</v>
      </c>
      <c r="E219" s="10">
        <f t="shared" si="49"/>
        <v>1</v>
      </c>
      <c r="F219" s="10">
        <v>0</v>
      </c>
      <c r="G219" s="10">
        <v>65535</v>
      </c>
      <c r="H219" s="10">
        <v>1</v>
      </c>
      <c r="I219" s="64" t="s">
        <v>386</v>
      </c>
      <c r="J219" s="10" t="s">
        <v>322</v>
      </c>
      <c r="K219" s="10">
        <f t="shared" si="51"/>
        <v>45885</v>
      </c>
      <c r="L219" s="10">
        <f t="shared" si="52"/>
        <v>5885</v>
      </c>
      <c r="M219" s="10">
        <f t="shared" si="50"/>
        <v>5884</v>
      </c>
      <c r="N219" s="10" t="s">
        <v>323</v>
      </c>
      <c r="O219" s="10" t="s">
        <v>324</v>
      </c>
      <c r="P219" s="10" t="s">
        <v>397</v>
      </c>
      <c r="Q219" s="10"/>
      <c r="R219" s="260"/>
      <c r="S219" s="55"/>
      <c r="T219" s="55"/>
    </row>
    <row r="220" spans="2:20" ht="15.6" x14ac:dyDescent="0.3">
      <c r="B220" s="10" t="s">
        <v>398</v>
      </c>
      <c r="C220" s="10" t="s">
        <v>321</v>
      </c>
      <c r="D220" s="10">
        <v>2</v>
      </c>
      <c r="E220" s="10">
        <f t="shared" si="49"/>
        <v>1</v>
      </c>
      <c r="F220" s="10">
        <v>0</v>
      </c>
      <c r="G220" s="10">
        <v>65535</v>
      </c>
      <c r="H220" s="10">
        <v>1</v>
      </c>
      <c r="I220" s="64" t="s">
        <v>386</v>
      </c>
      <c r="J220" s="10" t="s">
        <v>322</v>
      </c>
      <c r="K220" s="10">
        <f t="shared" si="51"/>
        <v>45886</v>
      </c>
      <c r="L220" s="10">
        <f t="shared" si="52"/>
        <v>5886</v>
      </c>
      <c r="M220" s="10">
        <f t="shared" si="50"/>
        <v>5885</v>
      </c>
      <c r="N220" s="10" t="s">
        <v>323</v>
      </c>
      <c r="O220" s="10" t="s">
        <v>324</v>
      </c>
      <c r="P220" s="10" t="s">
        <v>397</v>
      </c>
      <c r="Q220" s="10"/>
      <c r="R220" s="260"/>
      <c r="S220" s="55"/>
      <c r="T220" s="55"/>
    </row>
    <row r="221" spans="2:20" ht="15.6" x14ac:dyDescent="0.3">
      <c r="B221" s="10" t="s">
        <v>396</v>
      </c>
      <c r="C221" s="10" t="s">
        <v>321</v>
      </c>
      <c r="D221" s="10">
        <v>2</v>
      </c>
      <c r="E221" s="10">
        <f t="shared" si="49"/>
        <v>1</v>
      </c>
      <c r="F221" s="10">
        <v>0</v>
      </c>
      <c r="G221" s="10">
        <v>65535</v>
      </c>
      <c r="H221" s="10">
        <v>1</v>
      </c>
      <c r="I221" s="64" t="s">
        <v>386</v>
      </c>
      <c r="J221" s="10" t="s">
        <v>322</v>
      </c>
      <c r="K221" s="10">
        <f t="shared" si="51"/>
        <v>45887</v>
      </c>
      <c r="L221" s="10">
        <f t="shared" si="52"/>
        <v>5887</v>
      </c>
      <c r="M221" s="10">
        <f t="shared" si="50"/>
        <v>5886</v>
      </c>
      <c r="N221" s="10" t="s">
        <v>323</v>
      </c>
      <c r="O221" s="10" t="s">
        <v>324</v>
      </c>
      <c r="P221" s="10" t="s">
        <v>397</v>
      </c>
      <c r="Q221" s="10"/>
      <c r="R221" s="260"/>
      <c r="S221" s="55"/>
      <c r="T221" s="55"/>
    </row>
    <row r="222" spans="2:20" ht="15.6" x14ac:dyDescent="0.3">
      <c r="B222" s="10" t="s">
        <v>2058</v>
      </c>
      <c r="C222" s="10" t="s">
        <v>321</v>
      </c>
      <c r="D222" s="10">
        <v>2</v>
      </c>
      <c r="E222" s="10">
        <f t="shared" si="49"/>
        <v>1</v>
      </c>
      <c r="F222" s="10">
        <v>0</v>
      </c>
      <c r="G222" s="10">
        <v>65535</v>
      </c>
      <c r="H222" s="10">
        <v>1</v>
      </c>
      <c r="I222" s="10">
        <v>1</v>
      </c>
      <c r="J222" s="10" t="s">
        <v>322</v>
      </c>
      <c r="K222" s="10">
        <f t="shared" si="51"/>
        <v>45888</v>
      </c>
      <c r="L222" s="10">
        <f t="shared" si="52"/>
        <v>5888</v>
      </c>
      <c r="M222" s="10">
        <f t="shared" si="50"/>
        <v>5887</v>
      </c>
      <c r="N222" s="10" t="s">
        <v>323</v>
      </c>
      <c r="O222" s="10" t="s">
        <v>324</v>
      </c>
      <c r="P222" s="10" t="s">
        <v>2059</v>
      </c>
      <c r="Q222" s="10"/>
      <c r="R222" s="260"/>
      <c r="S222" s="55"/>
      <c r="T222" s="55"/>
    </row>
    <row r="223" spans="2:20" ht="15.6" x14ac:dyDescent="0.3">
      <c r="B223" s="10" t="s">
        <v>2060</v>
      </c>
      <c r="C223" s="10" t="s">
        <v>321</v>
      </c>
      <c r="D223" s="10">
        <v>2</v>
      </c>
      <c r="E223" s="10">
        <f t="shared" si="49"/>
        <v>1</v>
      </c>
      <c r="F223" s="10">
        <v>0</v>
      </c>
      <c r="G223" s="10">
        <v>65535</v>
      </c>
      <c r="H223" s="10">
        <v>1</v>
      </c>
      <c r="I223" s="10">
        <v>1</v>
      </c>
      <c r="J223" s="10" t="s">
        <v>322</v>
      </c>
      <c r="K223" s="10">
        <f t="shared" si="51"/>
        <v>45889</v>
      </c>
      <c r="L223" s="10">
        <f t="shared" si="52"/>
        <v>5889</v>
      </c>
      <c r="M223" s="10">
        <f t="shared" si="50"/>
        <v>5888</v>
      </c>
      <c r="N223" s="10" t="s">
        <v>323</v>
      </c>
      <c r="O223" s="10" t="s">
        <v>324</v>
      </c>
      <c r="P223" s="10" t="s">
        <v>2059</v>
      </c>
      <c r="Q223" s="10"/>
      <c r="R223" s="260"/>
      <c r="S223" s="55"/>
      <c r="T223" s="55"/>
    </row>
    <row r="224" spans="2:20" ht="15.6" x14ac:dyDescent="0.3">
      <c r="B224" s="10" t="s">
        <v>2061</v>
      </c>
      <c r="C224" s="10" t="s">
        <v>321</v>
      </c>
      <c r="D224" s="10">
        <v>2</v>
      </c>
      <c r="E224" s="10">
        <f t="shared" si="49"/>
        <v>1</v>
      </c>
      <c r="F224" s="10">
        <v>0</v>
      </c>
      <c r="G224" s="10">
        <v>65535</v>
      </c>
      <c r="H224" s="10">
        <v>1</v>
      </c>
      <c r="I224" s="10">
        <v>1</v>
      </c>
      <c r="J224" s="10" t="s">
        <v>322</v>
      </c>
      <c r="K224" s="10">
        <f t="shared" si="51"/>
        <v>45890</v>
      </c>
      <c r="L224" s="10">
        <f t="shared" si="52"/>
        <v>5890</v>
      </c>
      <c r="M224" s="10">
        <f t="shared" si="50"/>
        <v>5889</v>
      </c>
      <c r="N224" s="10" t="s">
        <v>323</v>
      </c>
      <c r="O224" s="10" t="s">
        <v>324</v>
      </c>
      <c r="P224" s="10" t="s">
        <v>2062</v>
      </c>
      <c r="Q224" s="10"/>
      <c r="R224" s="260"/>
      <c r="S224" s="55"/>
      <c r="T224" s="55"/>
    </row>
    <row r="225" spans="2:20" ht="15.6" x14ac:dyDescent="0.3">
      <c r="B225" s="10" t="s">
        <v>2063</v>
      </c>
      <c r="C225" s="10" t="s">
        <v>321</v>
      </c>
      <c r="D225" s="10">
        <v>2</v>
      </c>
      <c r="E225" s="10">
        <f t="shared" si="49"/>
        <v>1</v>
      </c>
      <c r="F225" s="10">
        <v>0</v>
      </c>
      <c r="G225" s="10">
        <v>65535</v>
      </c>
      <c r="H225" s="10">
        <v>1</v>
      </c>
      <c r="I225" s="193">
        <v>1</v>
      </c>
      <c r="J225" s="10" t="s">
        <v>322</v>
      </c>
      <c r="K225" s="10">
        <f t="shared" si="51"/>
        <v>45891</v>
      </c>
      <c r="L225" s="10">
        <f t="shared" si="52"/>
        <v>5891</v>
      </c>
      <c r="M225" s="10">
        <f t="shared" si="50"/>
        <v>5890</v>
      </c>
      <c r="N225" s="10" t="s">
        <v>323</v>
      </c>
      <c r="O225" s="10" t="s">
        <v>324</v>
      </c>
      <c r="P225" s="10" t="s">
        <v>381</v>
      </c>
      <c r="Q225" s="10"/>
      <c r="R225" s="260"/>
      <c r="S225" s="55"/>
      <c r="T225" s="55"/>
    </row>
    <row r="226" spans="2:20" ht="15.6" x14ac:dyDescent="0.3">
      <c r="B226" s="10" t="s">
        <v>404</v>
      </c>
      <c r="C226" s="10" t="s">
        <v>321</v>
      </c>
      <c r="D226" s="10">
        <v>2</v>
      </c>
      <c r="E226" s="10">
        <f t="shared" si="49"/>
        <v>1</v>
      </c>
      <c r="F226" s="10">
        <v>0</v>
      </c>
      <c r="G226" s="10">
        <v>65535</v>
      </c>
      <c r="H226" s="10">
        <v>1</v>
      </c>
      <c r="I226" s="10">
        <v>1</v>
      </c>
      <c r="J226" s="10" t="s">
        <v>322</v>
      </c>
      <c r="K226" s="10">
        <f t="shared" si="51"/>
        <v>45892</v>
      </c>
      <c r="L226" s="10">
        <f t="shared" si="52"/>
        <v>5892</v>
      </c>
      <c r="M226" s="10">
        <f t="shared" si="50"/>
        <v>5891</v>
      </c>
      <c r="N226" s="10" t="s">
        <v>323</v>
      </c>
      <c r="O226" s="10" t="s">
        <v>324</v>
      </c>
      <c r="P226" s="10" t="s">
        <v>1872</v>
      </c>
      <c r="Q226" s="10"/>
      <c r="R226" s="260"/>
      <c r="S226" s="55"/>
      <c r="T226" s="55"/>
    </row>
    <row r="227" spans="2:20" ht="15.6" x14ac:dyDescent="0.3">
      <c r="B227" s="10" t="s">
        <v>406</v>
      </c>
      <c r="C227" s="10" t="s">
        <v>321</v>
      </c>
      <c r="D227" s="10">
        <v>2</v>
      </c>
      <c r="E227" s="10">
        <f t="shared" si="49"/>
        <v>1</v>
      </c>
      <c r="F227" s="10">
        <v>0</v>
      </c>
      <c r="G227" s="10">
        <v>65535</v>
      </c>
      <c r="H227" s="10">
        <v>1</v>
      </c>
      <c r="I227" s="10">
        <v>1</v>
      </c>
      <c r="J227" s="10" t="s">
        <v>322</v>
      </c>
      <c r="K227" s="10">
        <f t="shared" si="51"/>
        <v>45893</v>
      </c>
      <c r="L227" s="10">
        <f t="shared" si="52"/>
        <v>5893</v>
      </c>
      <c r="M227" s="10">
        <f t="shared" si="50"/>
        <v>5892</v>
      </c>
      <c r="N227" s="10" t="s">
        <v>323</v>
      </c>
      <c r="O227" s="10" t="s">
        <v>324</v>
      </c>
      <c r="P227" s="10" t="s">
        <v>1874</v>
      </c>
      <c r="Q227" s="10"/>
      <c r="R227" s="260"/>
      <c r="S227" s="55"/>
      <c r="T227" s="55"/>
    </row>
    <row r="228" spans="2:20" ht="15.6" x14ac:dyDescent="0.3">
      <c r="B228" s="10" t="s">
        <v>2064</v>
      </c>
      <c r="C228" s="10" t="s">
        <v>321</v>
      </c>
      <c r="D228" s="10">
        <v>2</v>
      </c>
      <c r="E228" s="10">
        <f t="shared" si="49"/>
        <v>1</v>
      </c>
      <c r="F228" s="10">
        <v>0</v>
      </c>
      <c r="G228" s="10">
        <v>65535</v>
      </c>
      <c r="H228" s="10">
        <v>1</v>
      </c>
      <c r="I228" s="10">
        <v>1</v>
      </c>
      <c r="J228" s="10" t="s">
        <v>322</v>
      </c>
      <c r="K228" s="10">
        <f t="shared" si="51"/>
        <v>45894</v>
      </c>
      <c r="L228" s="10">
        <f t="shared" si="52"/>
        <v>5894</v>
      </c>
      <c r="M228" s="10">
        <f t="shared" si="50"/>
        <v>5893</v>
      </c>
      <c r="N228" s="10" t="s">
        <v>323</v>
      </c>
      <c r="O228" s="10" t="s">
        <v>324</v>
      </c>
      <c r="P228" s="10" t="s">
        <v>1875</v>
      </c>
      <c r="Q228" s="10"/>
      <c r="R228" s="260"/>
      <c r="S228" s="55"/>
      <c r="T228" s="55"/>
    </row>
    <row r="229" spans="2:20" ht="15.6" x14ac:dyDescent="0.3">
      <c r="B229" s="10" t="s">
        <v>2065</v>
      </c>
      <c r="C229" s="10" t="s">
        <v>326</v>
      </c>
      <c r="D229" s="10">
        <v>4</v>
      </c>
      <c r="E229" s="10">
        <f t="shared" si="49"/>
        <v>2</v>
      </c>
      <c r="F229" s="10">
        <v>0</v>
      </c>
      <c r="G229" s="10">
        <v>4294967295</v>
      </c>
      <c r="H229" s="10">
        <v>1</v>
      </c>
      <c r="I229" s="10">
        <v>1</v>
      </c>
      <c r="J229" s="10" t="s">
        <v>322</v>
      </c>
      <c r="K229" s="10">
        <f t="shared" si="51"/>
        <v>45895</v>
      </c>
      <c r="L229" s="10">
        <f t="shared" si="52"/>
        <v>5895</v>
      </c>
      <c r="M229" s="10">
        <f t="shared" si="50"/>
        <v>5894</v>
      </c>
      <c r="N229" s="10" t="s">
        <v>323</v>
      </c>
      <c r="O229" s="10" t="s">
        <v>324</v>
      </c>
      <c r="P229" s="10" t="s">
        <v>2066</v>
      </c>
      <c r="Q229" s="10"/>
      <c r="R229" s="260"/>
      <c r="S229" s="55"/>
      <c r="T229" s="55"/>
    </row>
    <row r="230" spans="2:20" ht="15.6" x14ac:dyDescent="0.3">
      <c r="B230" s="10" t="s">
        <v>2067</v>
      </c>
      <c r="C230" s="10" t="s">
        <v>326</v>
      </c>
      <c r="D230" s="10">
        <v>4</v>
      </c>
      <c r="E230" s="10">
        <f t="shared" si="49"/>
        <v>2</v>
      </c>
      <c r="F230" s="10">
        <v>0</v>
      </c>
      <c r="G230" s="10">
        <v>4294967295</v>
      </c>
      <c r="H230" s="10">
        <v>1</v>
      </c>
      <c r="I230" s="10">
        <v>1</v>
      </c>
      <c r="J230" s="10" t="s">
        <v>322</v>
      </c>
      <c r="K230" s="10">
        <f t="shared" si="51"/>
        <v>45897</v>
      </c>
      <c r="L230" s="10">
        <f t="shared" si="52"/>
        <v>5897</v>
      </c>
      <c r="M230" s="10">
        <f t="shared" si="50"/>
        <v>5896</v>
      </c>
      <c r="N230" s="10" t="s">
        <v>323</v>
      </c>
      <c r="O230" s="10" t="s">
        <v>324</v>
      </c>
      <c r="P230" s="10" t="s">
        <v>1880</v>
      </c>
      <c r="Q230" s="10"/>
      <c r="R230" s="260"/>
      <c r="S230" s="55"/>
      <c r="T230" s="55"/>
    </row>
    <row r="231" spans="2:20" ht="15.6" x14ac:dyDescent="0.3">
      <c r="B231" s="10" t="s">
        <v>2068</v>
      </c>
      <c r="C231" s="10" t="s">
        <v>326</v>
      </c>
      <c r="D231" s="10">
        <v>4</v>
      </c>
      <c r="E231" s="10">
        <f t="shared" si="49"/>
        <v>2</v>
      </c>
      <c r="F231" s="10">
        <v>0</v>
      </c>
      <c r="G231" s="10">
        <v>4294967295</v>
      </c>
      <c r="H231" s="10">
        <v>1</v>
      </c>
      <c r="I231" s="10">
        <v>1</v>
      </c>
      <c r="J231" s="10" t="s">
        <v>322</v>
      </c>
      <c r="K231" s="10">
        <f t="shared" si="51"/>
        <v>45899</v>
      </c>
      <c r="L231" s="10">
        <f t="shared" si="52"/>
        <v>5899</v>
      </c>
      <c r="M231" s="10">
        <f t="shared" si="50"/>
        <v>5898</v>
      </c>
      <c r="N231" s="10" t="s">
        <v>323</v>
      </c>
      <c r="O231" s="10" t="s">
        <v>324</v>
      </c>
      <c r="P231" s="10" t="s">
        <v>2069</v>
      </c>
      <c r="Q231" s="10"/>
      <c r="R231" s="260"/>
      <c r="S231" s="55"/>
      <c r="T231" s="55"/>
    </row>
    <row r="232" spans="2:20" ht="62.4" x14ac:dyDescent="0.3">
      <c r="B232" s="10" t="s">
        <v>2070</v>
      </c>
      <c r="C232" s="10" t="s">
        <v>321</v>
      </c>
      <c r="D232" s="10">
        <v>2</v>
      </c>
      <c r="E232" s="10">
        <f t="shared" si="49"/>
        <v>1</v>
      </c>
      <c r="F232" s="10">
        <v>0</v>
      </c>
      <c r="G232" s="10">
        <v>3</v>
      </c>
      <c r="H232" s="10">
        <v>1</v>
      </c>
      <c r="I232" s="10">
        <v>1</v>
      </c>
      <c r="J232" s="10" t="s">
        <v>322</v>
      </c>
      <c r="K232" s="10">
        <f t="shared" si="51"/>
        <v>45901</v>
      </c>
      <c r="L232" s="10">
        <f t="shared" si="52"/>
        <v>5901</v>
      </c>
      <c r="M232" s="10">
        <f t="shared" si="50"/>
        <v>5900</v>
      </c>
      <c r="N232" s="10" t="s">
        <v>323</v>
      </c>
      <c r="O232" s="10" t="s">
        <v>324</v>
      </c>
      <c r="P232" s="10"/>
      <c r="Q232" s="109" t="s">
        <v>2071</v>
      </c>
      <c r="R232" s="260">
        <v>0</v>
      </c>
      <c r="S232" s="55"/>
      <c r="T232" s="55"/>
    </row>
    <row r="233" spans="2:20" ht="15.6" x14ac:dyDescent="0.3">
      <c r="B233" s="117" t="s">
        <v>2072</v>
      </c>
      <c r="C233" s="117" t="s">
        <v>321</v>
      </c>
      <c r="D233" s="117">
        <v>2</v>
      </c>
      <c r="E233" s="117">
        <f t="shared" si="49"/>
        <v>1</v>
      </c>
      <c r="F233" s="117">
        <v>0</v>
      </c>
      <c r="G233" s="117">
        <v>65535</v>
      </c>
      <c r="H233" s="117">
        <v>1</v>
      </c>
      <c r="I233" s="117">
        <v>1</v>
      </c>
      <c r="J233" s="117" t="s">
        <v>322</v>
      </c>
      <c r="K233" s="117">
        <f t="shared" si="51"/>
        <v>45902</v>
      </c>
      <c r="L233" s="117">
        <f t="shared" si="52"/>
        <v>5902</v>
      </c>
      <c r="M233" s="117">
        <f t="shared" si="50"/>
        <v>5901</v>
      </c>
      <c r="N233" s="117" t="s">
        <v>323</v>
      </c>
      <c r="O233" s="117" t="s">
        <v>324</v>
      </c>
      <c r="P233" s="117"/>
      <c r="Q233" s="117"/>
      <c r="R233" s="303"/>
      <c r="S233" s="55"/>
      <c r="T233" s="55"/>
    </row>
    <row r="234" spans="2:20" ht="15.6" x14ac:dyDescent="0.3">
      <c r="B234" s="117" t="s">
        <v>2073</v>
      </c>
      <c r="C234" s="117" t="s">
        <v>321</v>
      </c>
      <c r="D234" s="117">
        <v>2</v>
      </c>
      <c r="E234" s="117">
        <f t="shared" si="49"/>
        <v>1</v>
      </c>
      <c r="F234" s="117">
        <v>0</v>
      </c>
      <c r="G234" s="117">
        <v>65535</v>
      </c>
      <c r="H234" s="117">
        <v>1</v>
      </c>
      <c r="I234" s="117">
        <v>1</v>
      </c>
      <c r="J234" s="117" t="s">
        <v>322</v>
      </c>
      <c r="K234" s="117">
        <f t="shared" si="51"/>
        <v>45903</v>
      </c>
      <c r="L234" s="117">
        <f t="shared" si="52"/>
        <v>5903</v>
      </c>
      <c r="M234" s="117">
        <f t="shared" si="50"/>
        <v>5902</v>
      </c>
      <c r="N234" s="117" t="s">
        <v>323</v>
      </c>
      <c r="O234" s="117" t="s">
        <v>324</v>
      </c>
      <c r="P234" s="117"/>
      <c r="Q234" s="184"/>
      <c r="R234" s="303">
        <v>0</v>
      </c>
      <c r="S234" s="55"/>
      <c r="T234" s="55"/>
    </row>
    <row r="235" spans="2:20" x14ac:dyDescent="0.3">
      <c r="S235" s="55"/>
      <c r="T235" s="55"/>
    </row>
    <row r="236" spans="2:20" x14ac:dyDescent="0.3">
      <c r="S236" s="55"/>
      <c r="T236" s="55"/>
    </row>
    <row r="237" spans="2:20" x14ac:dyDescent="0.3">
      <c r="S237" s="55"/>
      <c r="T237" s="55"/>
    </row>
  </sheetData>
  <mergeCells count="8">
    <mergeCell ref="B3:R3"/>
    <mergeCell ref="B37:R37"/>
    <mergeCell ref="B60:R60"/>
    <mergeCell ref="B209:R209"/>
    <mergeCell ref="B73:R73"/>
    <mergeCell ref="B125:R125"/>
    <mergeCell ref="B91:R91"/>
    <mergeCell ref="B52:R52"/>
  </mergeCells>
  <phoneticPr fontId="30" type="noConversion"/>
  <conditionalFormatting sqref="B4:B36">
    <cfRule type="cellIs" dxfId="1159" priority="191" stopIfTrue="1" operator="notEqual">
      <formula>INDIRECT("Dummy_for_Comparison2!"&amp;ADDRESS(ROW(),COLUMN()))</formula>
    </cfRule>
  </conditionalFormatting>
  <conditionalFormatting sqref="B92:C123">
    <cfRule type="cellIs" dxfId="1158" priority="38" stopIfTrue="1" operator="notEqual">
      <formula>INDIRECT("Dummy_for_Comparison2!"&amp;ADDRESS(ROW(),COLUMN()))</formula>
    </cfRule>
  </conditionalFormatting>
  <conditionalFormatting sqref="B210:C234">
    <cfRule type="cellIs" dxfId="1157" priority="28" stopIfTrue="1" operator="notEqual">
      <formula>INDIRECT("Dummy_for_Comparison2!"&amp;ADDRESS(ROW(),COLUMN()))</formula>
    </cfRule>
  </conditionalFormatting>
  <conditionalFormatting sqref="B2:M2">
    <cfRule type="cellIs" dxfId="1156" priority="218" stopIfTrue="1" operator="notEqual">
      <formula>INDIRECT("Dummy_for_Comparison2!"&amp;ADDRESS(ROW(),COLUMN()))</formula>
    </cfRule>
  </conditionalFormatting>
  <conditionalFormatting sqref="B38:N51">
    <cfRule type="cellIs" dxfId="1155" priority="186" stopIfTrue="1" operator="notEqual">
      <formula>INDIRECT("Dummy_for_Comparison2!"&amp;ADDRESS(ROW(),COLUMN()))</formula>
    </cfRule>
  </conditionalFormatting>
  <conditionalFormatting sqref="B61:O88">
    <cfRule type="cellIs" dxfId="1154" priority="198" stopIfTrue="1" operator="notEqual">
      <formula>INDIRECT("Dummy_for_Comparison2!"&amp;ADDRESS(ROW(),COLUMN()))</formula>
    </cfRule>
  </conditionalFormatting>
  <conditionalFormatting sqref="B53:R59">
    <cfRule type="cellIs" dxfId="1153" priority="204" stopIfTrue="1" operator="notEqual">
      <formula>INDIRECT("Dummy_for_Comparison2!"&amp;ADDRESS(ROW(),COLUMN()))</formula>
    </cfRule>
  </conditionalFormatting>
  <conditionalFormatting sqref="B89:R89">
    <cfRule type="cellIs" dxfId="1152" priority="465" stopIfTrue="1" operator="notEqual">
      <formula>INDIRECT("Dummy_for_Comparison2!"&amp;ADDRESS(ROW(),COLUMN()))</formula>
    </cfRule>
  </conditionalFormatting>
  <conditionalFormatting sqref="B126:R206">
    <cfRule type="cellIs" dxfId="1151" priority="2" stopIfTrue="1" operator="notEqual">
      <formula>INDIRECT("Dummy_for_Comparison2!"&amp;ADDRESS(ROW(),COLUMN()))</formula>
    </cfRule>
  </conditionalFormatting>
  <conditionalFormatting sqref="C4:C9">
    <cfRule type="cellIs" dxfId="1150" priority="303" stopIfTrue="1" operator="notEqual">
      <formula>INDIRECT("Dummy_for_Comparison2!"&amp;ADDRESS(ROW(),COLUMN()))</formula>
    </cfRule>
  </conditionalFormatting>
  <conditionalFormatting sqref="C10:J36">
    <cfRule type="cellIs" dxfId="1149" priority="284" stopIfTrue="1" operator="notEqual">
      <formula>INDIRECT("Dummy_for_Comparison2!"&amp;ADDRESS(ROW(),COLUMN()))</formula>
    </cfRule>
  </conditionalFormatting>
  <conditionalFormatting sqref="D101:G123">
    <cfRule type="cellIs" dxfId="1148" priority="45" stopIfTrue="1" operator="notEqual">
      <formula>INDIRECT("Dummy_for_Comparison2!"&amp;ADDRESS(ROW(),COLUMN()))</formula>
    </cfRule>
  </conditionalFormatting>
  <conditionalFormatting sqref="D210:I228">
    <cfRule type="cellIs" dxfId="1147" priority="75" stopIfTrue="1" operator="notEqual">
      <formula>INDIRECT("Dummy_for_Comparison2!"&amp;ADDRESS(ROW(),COLUMN()))</formula>
    </cfRule>
  </conditionalFormatting>
  <conditionalFormatting sqref="D95:J100">
    <cfRule type="cellIs" dxfId="1146" priority="176" stopIfTrue="1" operator="notEqual">
      <formula>INDIRECT("Dummy_for_Comparison2!"&amp;ADDRESS(ROW(),COLUMN()))</formula>
    </cfRule>
  </conditionalFormatting>
  <conditionalFormatting sqref="D229:J234">
    <cfRule type="cellIs" dxfId="1145" priority="25" stopIfTrue="1" operator="notEqual">
      <formula>INDIRECT("Dummy_for_Comparison2!"&amp;ADDRESS(ROW(),COLUMN()))</formula>
    </cfRule>
  </conditionalFormatting>
  <conditionalFormatting sqref="D92:K94">
    <cfRule type="cellIs" dxfId="1144" priority="432" stopIfTrue="1" operator="notEqual">
      <formula>INDIRECT("Dummy_for_Comparison2!"&amp;ADDRESS(ROW(),COLUMN()))</formula>
    </cfRule>
  </conditionalFormatting>
  <conditionalFormatting sqref="H101:J101">
    <cfRule type="cellIs" dxfId="1143" priority="46" stopIfTrue="1" operator="notEqual">
      <formula>INDIRECT("Dummy_for_Comparison2!"&amp;ADDRESS(ROW(),COLUMN()))</formula>
    </cfRule>
  </conditionalFormatting>
  <conditionalFormatting sqref="H102:K123">
    <cfRule type="cellIs" dxfId="1142" priority="410" stopIfTrue="1" operator="notEqual">
      <formula>INDIRECT("Dummy_for_Comparison2!"&amp;ADDRESS(ROW(),COLUMN()))</formula>
    </cfRule>
  </conditionalFormatting>
  <conditionalFormatting sqref="I74:I88">
    <cfRule type="cellIs" dxfId="1141" priority="316" stopIfTrue="1" operator="notEqual">
      <formula>INDIRECT("Dummy_for_Comparison2!"&amp;ADDRESS(ROW(),COLUMN()))</formula>
    </cfRule>
  </conditionalFormatting>
  <conditionalFormatting sqref="J215:J228">
    <cfRule type="cellIs" dxfId="1140" priority="76" stopIfTrue="1" operator="notEqual">
      <formula>INDIRECT("Dummy_for_Comparison2!"&amp;ADDRESS(ROW(),COLUMN()))</formula>
    </cfRule>
  </conditionalFormatting>
  <conditionalFormatting sqref="J75:K88">
    <cfRule type="cellIs" dxfId="1139" priority="317" stopIfTrue="1" operator="notEqual">
      <formula>INDIRECT("Dummy_for_Comparison2!"&amp;ADDRESS(ROW(),COLUMN()))</formula>
    </cfRule>
  </conditionalFormatting>
  <conditionalFormatting sqref="J210:K214">
    <cfRule type="cellIs" dxfId="1138" priority="103" stopIfTrue="1" operator="notEqual">
      <formula>INDIRECT("Dummy_for_Comparison2!"&amp;ADDRESS(ROW(),COLUMN()))</formula>
    </cfRule>
  </conditionalFormatting>
  <conditionalFormatting sqref="K95:K101">
    <cfRule type="cellIs" dxfId="1137" priority="47" stopIfTrue="1" operator="notEqual">
      <formula>INDIRECT("Dummy_for_Comparison2!"&amp;ADDRESS(ROW(),COLUMN()))</formula>
    </cfRule>
  </conditionalFormatting>
  <conditionalFormatting sqref="K215:K234">
    <cfRule type="cellIs" dxfId="1136" priority="31" stopIfTrue="1" operator="notEqual">
      <formula>INDIRECT("Dummy_for_Comparison2!"&amp;ADDRESS(ROW(),COLUMN()))</formula>
    </cfRule>
  </conditionalFormatting>
  <conditionalFormatting sqref="L4:M36">
    <cfRule type="cellIs" dxfId="1135" priority="217" stopIfTrue="1" operator="notEqual">
      <formula>INDIRECT("Dummy_for_Comparison2!"&amp;ADDRESS(ROW(),COLUMN()))</formula>
    </cfRule>
  </conditionalFormatting>
  <conditionalFormatting sqref="L74:M88">
    <cfRule type="cellIs" dxfId="1134" priority="211" stopIfTrue="1" operator="notEqual">
      <formula>INDIRECT("Dummy_for_Comparison2!"&amp;ADDRESS(ROW(),COLUMN()))</formula>
    </cfRule>
  </conditionalFormatting>
  <conditionalFormatting sqref="L202:M203">
    <cfRule type="cellIs" dxfId="1133" priority="52" stopIfTrue="1" operator="notEqual">
      <formula>INDIRECT("Dummy_for_Comparison2!"&amp;ADDRESS(ROW(),COLUMN()))</formula>
    </cfRule>
  </conditionalFormatting>
  <conditionalFormatting sqref="L205:M206">
    <cfRule type="cellIs" dxfId="1132" priority="7" stopIfTrue="1" operator="notEqual">
      <formula>INDIRECT("Dummy_for_Comparison2!"&amp;ADDRESS(ROW(),COLUMN()))</formula>
    </cfRule>
  </conditionalFormatting>
  <conditionalFormatting sqref="L210:Q234">
    <cfRule type="cellIs" dxfId="1131" priority="26" stopIfTrue="1" operator="notEqual">
      <formula>INDIRECT("Dummy_for_Comparison2!"&amp;ADDRESS(ROW(),COLUMN()))</formula>
    </cfRule>
  </conditionalFormatting>
  <conditionalFormatting sqref="L92:R123">
    <cfRule type="cellIs" dxfId="1130" priority="40" stopIfTrue="1" operator="notEqual">
      <formula>INDIRECT("Dummy_for_Comparison2!"&amp;ADDRESS(ROW(),COLUMN()))</formula>
    </cfRule>
  </conditionalFormatting>
  <conditionalFormatting sqref="N2:O2">
    <cfRule type="cellIs" dxfId="1129" priority="407" stopIfTrue="1" operator="notEqual">
      <formula>INDIRECT("Dummy_for_Comparison6!"&amp;ADDRESS(ROW(),COLUMN()))</formula>
    </cfRule>
  </conditionalFormatting>
  <conditionalFormatting sqref="N4:R4 D4:K8 O5:O22 N5:N36 D9:J9 K9:K36 P12:R12 R19 O23:R23">
    <cfRule type="cellIs" dxfId="1128" priority="468" stopIfTrue="1" operator="notEqual">
      <formula>INDIRECT("Dummy_for_Comparison2!"&amp;ADDRESS(ROW(),COLUMN()))</formula>
    </cfRule>
  </conditionalFormatting>
  <conditionalFormatting sqref="O38:O39 Q38:R39 P39">
    <cfRule type="cellIs" dxfId="1127" priority="461" stopIfTrue="1" operator="notEqual">
      <formula>INDIRECT("Dummy_for_Comparison2!"&amp;ADDRESS(ROW(),COLUMN()))</formula>
    </cfRule>
  </conditionalFormatting>
  <conditionalFormatting sqref="O24:Q36">
    <cfRule type="cellIs" dxfId="1126" priority="406" stopIfTrue="1" operator="notEqual">
      <formula>INDIRECT("Dummy_for_Comparison2!"&amp;ADDRESS(ROW(),COLUMN()))</formula>
    </cfRule>
  </conditionalFormatting>
  <conditionalFormatting sqref="O40:R51">
    <cfRule type="cellIs" dxfId="1125" priority="1" stopIfTrue="1" operator="notEqual">
      <formula>INDIRECT("Dummy_for_Comparison2!"&amp;ADDRESS(ROW(),COLUMN()))</formula>
    </cfRule>
  </conditionalFormatting>
  <conditionalFormatting sqref="O61:R73">
    <cfRule type="cellIs" dxfId="1124" priority="326" stopIfTrue="1" operator="notEqual">
      <formula>INDIRECT("Dummy_for_Comparison2!"&amp;ADDRESS(ROW(),COLUMN()))</formula>
    </cfRule>
  </conditionalFormatting>
  <conditionalFormatting sqref="P2:Q2">
    <cfRule type="cellIs" dxfId="1123" priority="408" stopIfTrue="1" operator="notEqual">
      <formula>INDIRECT("Dummy_for_Comparison2!"&amp;ADDRESS(ROW(),COLUMN()))</formula>
    </cfRule>
  </conditionalFormatting>
  <conditionalFormatting sqref="P5:Q11">
    <cfRule type="cellIs" dxfId="1122" priority="464" stopIfTrue="1" operator="notEqual">
      <formula>INDIRECT("Dummy_for_Comparison2!"&amp;ADDRESS(ROW(),COLUMN()))</formula>
    </cfRule>
  </conditionalFormatting>
  <conditionalFormatting sqref="P13:Q22">
    <cfRule type="cellIs" dxfId="1121" priority="451" stopIfTrue="1" operator="notEqual">
      <formula>INDIRECT("Dummy_for_Comparison2!"&amp;ADDRESS(ROW(),COLUMN()))</formula>
    </cfRule>
  </conditionalFormatting>
  <conditionalFormatting sqref="P74:R88">
    <cfRule type="cellIs" dxfId="1120" priority="35" stopIfTrue="1" operator="notEqual">
      <formula>INDIRECT("Dummy_for_Comparison2!"&amp;ADDRESS(ROW(),COLUMN()))</formula>
    </cfRule>
  </conditionalFormatting>
  <conditionalFormatting sqref="R32">
    <cfRule type="cellIs" dxfId="1119" priority="37" stopIfTrue="1" operator="notEqual">
      <formula>INDIRECT("Dummy_for_Comparison2!"&amp;ADDRESS(ROW(),COLUMN()))</formula>
    </cfRule>
  </conditionalFormatting>
  <conditionalFormatting sqref="U40:V41">
    <cfRule type="cellIs" dxfId="1118" priority="475" stopIfTrue="1" operator="notEqual">
      <formula>INDIRECT("Dummy_for_Comparison9!"&amp;ADDRESS(ROW(),COLUMN()))</formula>
    </cfRule>
  </conditionalFormatting>
  <conditionalFormatting sqref="U44:W45">
    <cfRule type="cellIs" dxfId="1117" priority="472" stopIfTrue="1" operator="notEqual">
      <formula>INDIRECT("Dummy_for_Comparison7!"&amp;ADDRESS(ROW(),COLUMN()))</formula>
    </cfRule>
  </conditionalFormatting>
  <conditionalFormatting sqref="U46:W47">
    <cfRule type="cellIs" dxfId="1116" priority="473" stopIfTrue="1" operator="notEqual">
      <formula>INDIRECT("Dummy_for_Comparison9!"&amp;ADDRESS(ROW(),COLUMN()))</formula>
    </cfRule>
  </conditionalFormatting>
  <conditionalFormatting sqref="U31:X31 T37:X37 U38:X39">
    <cfRule type="cellIs" dxfId="1115" priority="478" stopIfTrue="1" operator="notEqual">
      <formula>INDIRECT("Dummy_for_Comparison9!"&amp;ADDRESS(ROW(),COLUMN()))</formula>
    </cfRule>
  </conditionalFormatting>
  <pageMargins left="0.7" right="0.7" top="0.75" bottom="0.75" header="0.3" footer="0.3"/>
  <pageSetup paperSize="9" orientation="portrait" r:id="rId1"/>
  <headerFooter>
    <oddFooter>&amp;C_x000D_&amp;1#&amp;"Calibri"&amp;6&amp;K626469 General</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BD786-4708-453F-8978-0494CEAFDB79}">
  <dimension ref="A1"/>
  <sheetViews>
    <sheetView workbookViewId="0"/>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B1:R68"/>
  <sheetViews>
    <sheetView zoomScale="63" zoomScaleNormal="55" workbookViewId="0">
      <selection activeCell="M38" sqref="M38"/>
    </sheetView>
  </sheetViews>
  <sheetFormatPr defaultRowHeight="14.4" x14ac:dyDescent="0.3"/>
  <cols>
    <col min="2" max="2" width="31.5546875" bestFit="1" customWidth="1"/>
    <col min="3" max="3" width="10.5546875" customWidth="1"/>
    <col min="4" max="4" width="11" customWidth="1"/>
    <col min="5" max="5" width="12.5546875" customWidth="1"/>
    <col min="6" max="6" width="13" customWidth="1"/>
    <col min="7" max="7" width="12.44140625" customWidth="1"/>
    <col min="8" max="8" width="13.5546875" customWidth="1"/>
    <col min="9" max="9" width="12.5546875" customWidth="1"/>
    <col min="10" max="12" width="10.5546875" customWidth="1"/>
    <col min="13" max="14" width="15.5546875" customWidth="1"/>
    <col min="16" max="16" width="10.5546875" customWidth="1"/>
  </cols>
  <sheetData>
    <row r="1" spans="2:18" ht="15" thickBot="1" x14ac:dyDescent="0.35"/>
    <row r="2" spans="2:18" s="32" customFormat="1" ht="49.2" thickBot="1" x14ac:dyDescent="0.35">
      <c r="B2" s="84" t="s">
        <v>303</v>
      </c>
      <c r="C2" s="65" t="s">
        <v>304</v>
      </c>
      <c r="D2" s="65" t="s">
        <v>2074</v>
      </c>
      <c r="E2" s="65" t="s">
        <v>307</v>
      </c>
      <c r="F2" s="65" t="s">
        <v>308</v>
      </c>
      <c r="G2" s="65" t="s">
        <v>309</v>
      </c>
      <c r="H2" s="65" t="s">
        <v>310</v>
      </c>
      <c r="I2" s="65" t="s">
        <v>311</v>
      </c>
      <c r="J2" s="65" t="s">
        <v>745</v>
      </c>
      <c r="K2" s="65" t="s">
        <v>312</v>
      </c>
      <c r="L2" s="65" t="s">
        <v>313</v>
      </c>
      <c r="M2" s="71" t="s">
        <v>314</v>
      </c>
      <c r="N2" s="71" t="s">
        <v>315</v>
      </c>
      <c r="O2" s="65" t="s">
        <v>316</v>
      </c>
      <c r="P2" s="66" t="s">
        <v>317</v>
      </c>
    </row>
    <row r="3" spans="2:18" s="6" customFormat="1" ht="15.6" x14ac:dyDescent="0.3">
      <c r="B3" s="477" t="s">
        <v>107</v>
      </c>
      <c r="C3" s="477"/>
      <c r="D3" s="477"/>
      <c r="E3" s="477"/>
      <c r="F3" s="477"/>
      <c r="G3" s="477"/>
      <c r="H3" s="477"/>
      <c r="I3" s="477"/>
      <c r="J3" s="477"/>
      <c r="K3" s="477"/>
      <c r="L3" s="477"/>
      <c r="M3" s="477"/>
      <c r="N3" s="477"/>
      <c r="O3" s="477"/>
      <c r="P3" s="477"/>
      <c r="Q3" s="8"/>
      <c r="R3" s="8"/>
    </row>
    <row r="4" spans="2:18" s="6" customFormat="1" ht="15.6" x14ac:dyDescent="0.3">
      <c r="B4" s="117" t="s">
        <v>2172</v>
      </c>
      <c r="C4" s="10" t="s">
        <v>2076</v>
      </c>
      <c r="D4" s="10">
        <v>1</v>
      </c>
      <c r="E4" s="10">
        <v>0</v>
      </c>
      <c r="F4" s="10">
        <v>1</v>
      </c>
      <c r="G4" s="10">
        <v>1</v>
      </c>
      <c r="H4" s="10">
        <v>1</v>
      </c>
      <c r="I4" s="10" t="s">
        <v>418</v>
      </c>
      <c r="J4" s="10">
        <v>1</v>
      </c>
      <c r="K4" s="10">
        <f>J4</f>
        <v>1</v>
      </c>
      <c r="L4" s="10">
        <f>K4-1</f>
        <v>0</v>
      </c>
      <c r="M4" s="10" t="s">
        <v>2173</v>
      </c>
      <c r="N4" s="10" t="s">
        <v>324</v>
      </c>
      <c r="O4" s="10">
        <v>0</v>
      </c>
      <c r="P4" s="10"/>
      <c r="Q4" s="8"/>
      <c r="R4" s="8"/>
    </row>
    <row r="5" spans="2:18" s="6" customFormat="1" ht="15.6" x14ac:dyDescent="0.3">
      <c r="B5" s="117" t="s">
        <v>2174</v>
      </c>
      <c r="C5" s="10" t="s">
        <v>2076</v>
      </c>
      <c r="D5" s="10">
        <v>1</v>
      </c>
      <c r="E5" s="10">
        <v>0</v>
      </c>
      <c r="F5" s="10">
        <v>1</v>
      </c>
      <c r="G5" s="10">
        <v>1</v>
      </c>
      <c r="H5" s="10">
        <v>1</v>
      </c>
      <c r="I5" s="10" t="s">
        <v>418</v>
      </c>
      <c r="J5" s="10">
        <f t="shared" ref="J5:J35" si="0">J4+D5</f>
        <v>2</v>
      </c>
      <c r="K5" s="10">
        <f t="shared" ref="K5:K68" si="1">J5</f>
        <v>2</v>
      </c>
      <c r="L5" s="10">
        <f t="shared" ref="L5:L68" si="2">K5-1</f>
        <v>1</v>
      </c>
      <c r="M5" s="10" t="s">
        <v>2173</v>
      </c>
      <c r="N5" s="10" t="s">
        <v>324</v>
      </c>
      <c r="O5" s="10">
        <v>0</v>
      </c>
      <c r="P5" s="10"/>
      <c r="Q5" s="8"/>
      <c r="R5" s="8"/>
    </row>
    <row r="6" spans="2:18" s="6" customFormat="1" ht="15.6" x14ac:dyDescent="0.3">
      <c r="B6" s="117" t="s">
        <v>1218</v>
      </c>
      <c r="C6" s="10" t="s">
        <v>2076</v>
      </c>
      <c r="D6" s="10">
        <v>1</v>
      </c>
      <c r="E6" s="10">
        <v>0</v>
      </c>
      <c r="F6" s="10">
        <v>1</v>
      </c>
      <c r="G6" s="10">
        <v>1</v>
      </c>
      <c r="H6" s="10">
        <v>1</v>
      </c>
      <c r="I6" s="10" t="s">
        <v>418</v>
      </c>
      <c r="J6" s="10">
        <f t="shared" si="0"/>
        <v>3</v>
      </c>
      <c r="K6" s="10">
        <f t="shared" si="1"/>
        <v>3</v>
      </c>
      <c r="L6" s="10">
        <f t="shared" si="2"/>
        <v>2</v>
      </c>
      <c r="M6" s="10" t="s">
        <v>2173</v>
      </c>
      <c r="N6" s="10" t="s">
        <v>324</v>
      </c>
      <c r="O6" s="10">
        <v>0</v>
      </c>
      <c r="P6" s="10"/>
      <c r="Q6" s="8"/>
      <c r="R6" s="8"/>
    </row>
    <row r="7" spans="2:18" s="6" customFormat="1" ht="15.6" x14ac:dyDescent="0.3">
      <c r="B7" s="117" t="s">
        <v>2175</v>
      </c>
      <c r="C7" s="10" t="s">
        <v>2076</v>
      </c>
      <c r="D7" s="10">
        <v>1</v>
      </c>
      <c r="E7" s="10">
        <v>0</v>
      </c>
      <c r="F7" s="10">
        <v>1</v>
      </c>
      <c r="G7" s="10">
        <v>1</v>
      </c>
      <c r="H7" s="10">
        <v>1</v>
      </c>
      <c r="I7" s="10" t="s">
        <v>418</v>
      </c>
      <c r="J7" s="10">
        <f t="shared" si="0"/>
        <v>4</v>
      </c>
      <c r="K7" s="10">
        <f t="shared" si="1"/>
        <v>4</v>
      </c>
      <c r="L7" s="10">
        <f t="shared" si="2"/>
        <v>3</v>
      </c>
      <c r="M7" s="10" t="s">
        <v>2173</v>
      </c>
      <c r="N7" s="10" t="s">
        <v>324</v>
      </c>
      <c r="O7" s="10">
        <v>0</v>
      </c>
      <c r="P7" s="10"/>
      <c r="Q7" s="8"/>
      <c r="R7" s="8"/>
    </row>
    <row r="8" spans="2:18" s="6" customFormat="1" ht="15.6" x14ac:dyDescent="0.3">
      <c r="B8" s="117" t="s">
        <v>2176</v>
      </c>
      <c r="C8" s="10" t="s">
        <v>2076</v>
      </c>
      <c r="D8" s="10">
        <v>1</v>
      </c>
      <c r="E8" s="10">
        <v>0</v>
      </c>
      <c r="F8" s="10">
        <v>1</v>
      </c>
      <c r="G8" s="10">
        <v>1</v>
      </c>
      <c r="H8" s="10">
        <v>1</v>
      </c>
      <c r="I8" s="10" t="s">
        <v>418</v>
      </c>
      <c r="J8" s="10">
        <f t="shared" si="0"/>
        <v>5</v>
      </c>
      <c r="K8" s="10">
        <f t="shared" si="1"/>
        <v>5</v>
      </c>
      <c r="L8" s="10">
        <f t="shared" si="2"/>
        <v>4</v>
      </c>
      <c r="M8" s="10" t="s">
        <v>2173</v>
      </c>
      <c r="N8" s="10" t="s">
        <v>324</v>
      </c>
      <c r="O8" s="10">
        <v>0</v>
      </c>
      <c r="P8" s="10"/>
      <c r="Q8" s="8"/>
      <c r="R8" s="8"/>
    </row>
    <row r="9" spans="2:18" s="6" customFormat="1" ht="15.6" x14ac:dyDescent="0.3">
      <c r="B9" s="117" t="s">
        <v>2177</v>
      </c>
      <c r="C9" s="10" t="s">
        <v>2076</v>
      </c>
      <c r="D9" s="10">
        <v>1</v>
      </c>
      <c r="E9" s="10">
        <v>0</v>
      </c>
      <c r="F9" s="10">
        <v>1</v>
      </c>
      <c r="G9" s="10">
        <v>1</v>
      </c>
      <c r="H9" s="10">
        <v>1</v>
      </c>
      <c r="I9" s="10" t="s">
        <v>418</v>
      </c>
      <c r="J9" s="10">
        <f t="shared" si="0"/>
        <v>6</v>
      </c>
      <c r="K9" s="10">
        <f t="shared" si="1"/>
        <v>6</v>
      </c>
      <c r="L9" s="10">
        <f t="shared" si="2"/>
        <v>5</v>
      </c>
      <c r="M9" s="10" t="s">
        <v>2173</v>
      </c>
      <c r="N9" s="10" t="s">
        <v>324</v>
      </c>
      <c r="O9" s="10">
        <v>0</v>
      </c>
      <c r="P9" s="10"/>
      <c r="Q9" s="8"/>
      <c r="R9" s="8"/>
    </row>
    <row r="10" spans="2:18" s="6" customFormat="1" ht="15.6" x14ac:dyDescent="0.3">
      <c r="B10" s="117" t="s">
        <v>2178</v>
      </c>
      <c r="C10" s="10" t="s">
        <v>2076</v>
      </c>
      <c r="D10" s="10">
        <v>1</v>
      </c>
      <c r="E10" s="10">
        <v>0</v>
      </c>
      <c r="F10" s="10">
        <v>1</v>
      </c>
      <c r="G10" s="10">
        <v>1</v>
      </c>
      <c r="H10" s="10">
        <v>1</v>
      </c>
      <c r="I10" s="10" t="s">
        <v>418</v>
      </c>
      <c r="J10" s="10">
        <f t="shared" si="0"/>
        <v>7</v>
      </c>
      <c r="K10" s="10">
        <f t="shared" si="1"/>
        <v>7</v>
      </c>
      <c r="L10" s="10">
        <f t="shared" si="2"/>
        <v>6</v>
      </c>
      <c r="M10" s="10" t="s">
        <v>2173</v>
      </c>
      <c r="N10" s="10" t="s">
        <v>324</v>
      </c>
      <c r="O10" s="10">
        <v>0</v>
      </c>
      <c r="P10" s="10"/>
      <c r="Q10" s="8"/>
      <c r="R10" s="8"/>
    </row>
    <row r="11" spans="2:18" s="6" customFormat="1" ht="15.6" x14ac:dyDescent="0.3">
      <c r="B11" s="117" t="s">
        <v>2179</v>
      </c>
      <c r="C11" s="10" t="s">
        <v>2076</v>
      </c>
      <c r="D11" s="10">
        <v>1</v>
      </c>
      <c r="E11" s="10">
        <v>0</v>
      </c>
      <c r="F11" s="10">
        <v>1</v>
      </c>
      <c r="G11" s="10">
        <v>1</v>
      </c>
      <c r="H11" s="10">
        <v>1</v>
      </c>
      <c r="I11" s="10" t="s">
        <v>418</v>
      </c>
      <c r="J11" s="10">
        <f t="shared" si="0"/>
        <v>8</v>
      </c>
      <c r="K11" s="10">
        <f t="shared" si="1"/>
        <v>8</v>
      </c>
      <c r="L11" s="10">
        <f t="shared" si="2"/>
        <v>7</v>
      </c>
      <c r="M11" s="10" t="s">
        <v>2173</v>
      </c>
      <c r="N11" s="10" t="s">
        <v>324</v>
      </c>
      <c r="O11" s="10">
        <v>0</v>
      </c>
      <c r="P11" s="10"/>
      <c r="Q11" s="8"/>
      <c r="R11" s="8"/>
    </row>
    <row r="12" spans="2:18" s="6" customFormat="1" ht="15.6" x14ac:dyDescent="0.3">
      <c r="B12" s="117" t="s">
        <v>2180</v>
      </c>
      <c r="C12" s="10" t="s">
        <v>2076</v>
      </c>
      <c r="D12" s="10">
        <v>1</v>
      </c>
      <c r="E12" s="10">
        <v>0</v>
      </c>
      <c r="F12" s="10">
        <v>1</v>
      </c>
      <c r="G12" s="10">
        <v>1</v>
      </c>
      <c r="H12" s="10">
        <v>1</v>
      </c>
      <c r="I12" s="10" t="s">
        <v>418</v>
      </c>
      <c r="J12" s="10">
        <f t="shared" si="0"/>
        <v>9</v>
      </c>
      <c r="K12" s="10">
        <f t="shared" si="1"/>
        <v>9</v>
      </c>
      <c r="L12" s="10">
        <f t="shared" si="2"/>
        <v>8</v>
      </c>
      <c r="M12" s="10" t="s">
        <v>2173</v>
      </c>
      <c r="N12" s="10" t="s">
        <v>324</v>
      </c>
      <c r="O12" s="10">
        <v>0</v>
      </c>
      <c r="P12" s="10"/>
      <c r="Q12" s="8"/>
      <c r="R12" s="8"/>
    </row>
    <row r="13" spans="2:18" s="6" customFormat="1" ht="15.6" x14ac:dyDescent="0.3">
      <c r="B13" s="117" t="s">
        <v>2181</v>
      </c>
      <c r="C13" s="10" t="s">
        <v>2076</v>
      </c>
      <c r="D13" s="10">
        <v>1</v>
      </c>
      <c r="E13" s="10">
        <v>0</v>
      </c>
      <c r="F13" s="10">
        <v>1</v>
      </c>
      <c r="G13" s="10">
        <v>1</v>
      </c>
      <c r="H13" s="10">
        <v>1</v>
      </c>
      <c r="I13" s="10" t="s">
        <v>418</v>
      </c>
      <c r="J13" s="10">
        <f t="shared" si="0"/>
        <v>10</v>
      </c>
      <c r="K13" s="10">
        <f t="shared" si="1"/>
        <v>10</v>
      </c>
      <c r="L13" s="10">
        <f t="shared" si="2"/>
        <v>9</v>
      </c>
      <c r="M13" s="10" t="s">
        <v>2173</v>
      </c>
      <c r="N13" s="10" t="s">
        <v>324</v>
      </c>
      <c r="O13" s="10">
        <v>0</v>
      </c>
      <c r="P13" s="10"/>
      <c r="Q13" s="8"/>
      <c r="R13" s="8"/>
    </row>
    <row r="14" spans="2:18" s="6" customFormat="1" ht="15.6" x14ac:dyDescent="0.3">
      <c r="B14" s="117" t="s">
        <v>2182</v>
      </c>
      <c r="C14" s="10" t="s">
        <v>2076</v>
      </c>
      <c r="D14" s="10">
        <v>1</v>
      </c>
      <c r="E14" s="10">
        <v>0</v>
      </c>
      <c r="F14" s="10">
        <v>1</v>
      </c>
      <c r="G14" s="10">
        <v>1</v>
      </c>
      <c r="H14" s="10">
        <v>1</v>
      </c>
      <c r="I14" s="10" t="s">
        <v>418</v>
      </c>
      <c r="J14" s="10">
        <f t="shared" si="0"/>
        <v>11</v>
      </c>
      <c r="K14" s="10">
        <f t="shared" si="1"/>
        <v>11</v>
      </c>
      <c r="L14" s="10">
        <f t="shared" si="2"/>
        <v>10</v>
      </c>
      <c r="M14" s="10" t="s">
        <v>2173</v>
      </c>
      <c r="N14" s="10" t="s">
        <v>324</v>
      </c>
      <c r="O14" s="10">
        <v>0</v>
      </c>
      <c r="P14" s="10"/>
      <c r="Q14" s="8"/>
      <c r="R14" s="8"/>
    </row>
    <row r="15" spans="2:18" s="32" customFormat="1" ht="15.6" x14ac:dyDescent="0.3">
      <c r="B15" s="117" t="s">
        <v>2183</v>
      </c>
      <c r="C15" s="10" t="s">
        <v>2076</v>
      </c>
      <c r="D15" s="10">
        <v>1</v>
      </c>
      <c r="E15" s="10">
        <v>0</v>
      </c>
      <c r="F15" s="10">
        <v>1</v>
      </c>
      <c r="G15" s="10">
        <v>1</v>
      </c>
      <c r="H15" s="10">
        <v>1</v>
      </c>
      <c r="I15" s="10" t="s">
        <v>418</v>
      </c>
      <c r="J15" s="10">
        <f t="shared" si="0"/>
        <v>12</v>
      </c>
      <c r="K15" s="10">
        <f t="shared" si="1"/>
        <v>12</v>
      </c>
      <c r="L15" s="10">
        <f t="shared" si="2"/>
        <v>11</v>
      </c>
      <c r="M15" s="10" t="s">
        <v>2173</v>
      </c>
      <c r="N15" s="10" t="s">
        <v>324</v>
      </c>
      <c r="O15" s="10">
        <v>0</v>
      </c>
      <c r="P15" s="10"/>
    </row>
    <row r="16" spans="2:18" s="32" customFormat="1" ht="15.6" x14ac:dyDescent="0.3">
      <c r="B16" s="117" t="s">
        <v>2184</v>
      </c>
      <c r="C16" s="10" t="s">
        <v>2076</v>
      </c>
      <c r="D16" s="10">
        <v>1</v>
      </c>
      <c r="E16" s="10">
        <v>0</v>
      </c>
      <c r="F16" s="10">
        <v>1</v>
      </c>
      <c r="G16" s="10">
        <v>1</v>
      </c>
      <c r="H16" s="10">
        <v>1</v>
      </c>
      <c r="I16" s="10" t="s">
        <v>418</v>
      </c>
      <c r="J16" s="10">
        <f t="shared" si="0"/>
        <v>13</v>
      </c>
      <c r="K16" s="10">
        <f t="shared" si="1"/>
        <v>13</v>
      </c>
      <c r="L16" s="10">
        <f t="shared" si="2"/>
        <v>12</v>
      </c>
      <c r="M16" s="10" t="s">
        <v>2173</v>
      </c>
      <c r="N16" s="10" t="s">
        <v>324</v>
      </c>
      <c r="O16" s="10">
        <v>0</v>
      </c>
      <c r="P16" s="10"/>
    </row>
    <row r="17" spans="2:16" s="32" customFormat="1" ht="15.6" x14ac:dyDescent="0.3">
      <c r="B17" s="117" t="s">
        <v>2185</v>
      </c>
      <c r="C17" s="10" t="s">
        <v>2076</v>
      </c>
      <c r="D17" s="10">
        <v>1</v>
      </c>
      <c r="E17" s="10">
        <v>0</v>
      </c>
      <c r="F17" s="10">
        <v>1</v>
      </c>
      <c r="G17" s="10">
        <v>1</v>
      </c>
      <c r="H17" s="10">
        <v>1</v>
      </c>
      <c r="I17" s="10" t="s">
        <v>418</v>
      </c>
      <c r="J17" s="10">
        <f t="shared" si="0"/>
        <v>14</v>
      </c>
      <c r="K17" s="10">
        <f t="shared" si="1"/>
        <v>14</v>
      </c>
      <c r="L17" s="10">
        <f t="shared" si="2"/>
        <v>13</v>
      </c>
      <c r="M17" s="10" t="s">
        <v>2173</v>
      </c>
      <c r="N17" s="10" t="s">
        <v>324</v>
      </c>
      <c r="O17" s="10">
        <v>0</v>
      </c>
      <c r="P17" s="10"/>
    </row>
    <row r="18" spans="2:16" s="32" customFormat="1" ht="15.6" x14ac:dyDescent="0.3">
      <c r="B18" s="117" t="s">
        <v>2186</v>
      </c>
      <c r="C18" s="10" t="s">
        <v>2076</v>
      </c>
      <c r="D18" s="10">
        <v>1</v>
      </c>
      <c r="E18" s="10">
        <v>0</v>
      </c>
      <c r="F18" s="10">
        <v>1</v>
      </c>
      <c r="G18" s="10">
        <v>1</v>
      </c>
      <c r="H18" s="10">
        <v>1</v>
      </c>
      <c r="I18" s="10" t="s">
        <v>418</v>
      </c>
      <c r="J18" s="10">
        <f t="shared" si="0"/>
        <v>15</v>
      </c>
      <c r="K18" s="10">
        <f t="shared" si="1"/>
        <v>15</v>
      </c>
      <c r="L18" s="10">
        <f t="shared" si="2"/>
        <v>14</v>
      </c>
      <c r="M18" s="10" t="s">
        <v>2173</v>
      </c>
      <c r="N18" s="10" t="s">
        <v>324</v>
      </c>
      <c r="O18" s="10">
        <v>0</v>
      </c>
      <c r="P18" s="10"/>
    </row>
    <row r="19" spans="2:16" s="32" customFormat="1" ht="15.6" x14ac:dyDescent="0.3">
      <c r="B19" s="117" t="s">
        <v>2187</v>
      </c>
      <c r="C19" s="10" t="s">
        <v>2076</v>
      </c>
      <c r="D19" s="10">
        <v>1</v>
      </c>
      <c r="E19" s="10">
        <v>0</v>
      </c>
      <c r="F19" s="10">
        <v>1</v>
      </c>
      <c r="G19" s="10">
        <v>1</v>
      </c>
      <c r="H19" s="10">
        <v>1</v>
      </c>
      <c r="I19" s="10" t="s">
        <v>418</v>
      </c>
      <c r="J19" s="10">
        <f t="shared" si="0"/>
        <v>16</v>
      </c>
      <c r="K19" s="10">
        <f t="shared" si="1"/>
        <v>16</v>
      </c>
      <c r="L19" s="10">
        <f t="shared" si="2"/>
        <v>15</v>
      </c>
      <c r="M19" s="10" t="s">
        <v>2173</v>
      </c>
      <c r="N19" s="10" t="s">
        <v>324</v>
      </c>
      <c r="O19" s="10">
        <v>0</v>
      </c>
      <c r="P19" s="10"/>
    </row>
    <row r="20" spans="2:16" s="32" customFormat="1" ht="15.6" x14ac:dyDescent="0.3">
      <c r="B20" s="117" t="s">
        <v>2188</v>
      </c>
      <c r="C20" s="10" t="s">
        <v>2076</v>
      </c>
      <c r="D20" s="10">
        <v>1</v>
      </c>
      <c r="E20" s="10">
        <v>0</v>
      </c>
      <c r="F20" s="10">
        <v>0</v>
      </c>
      <c r="G20" s="10">
        <v>0</v>
      </c>
      <c r="H20" s="10">
        <v>0</v>
      </c>
      <c r="I20" s="10" t="s">
        <v>418</v>
      </c>
      <c r="J20" s="10">
        <f t="shared" si="0"/>
        <v>17</v>
      </c>
      <c r="K20" s="10">
        <f t="shared" si="1"/>
        <v>17</v>
      </c>
      <c r="L20" s="10">
        <f t="shared" si="2"/>
        <v>16</v>
      </c>
      <c r="M20" s="10" t="s">
        <v>2173</v>
      </c>
      <c r="N20" s="10" t="s">
        <v>324</v>
      </c>
      <c r="O20" s="10">
        <v>0</v>
      </c>
      <c r="P20" s="10"/>
    </row>
    <row r="21" spans="2:16" s="32" customFormat="1" ht="15.6" x14ac:dyDescent="0.3">
      <c r="B21" s="117" t="s">
        <v>2189</v>
      </c>
      <c r="C21" s="10" t="s">
        <v>2076</v>
      </c>
      <c r="D21" s="10">
        <v>1</v>
      </c>
      <c r="E21" s="10">
        <v>0</v>
      </c>
      <c r="F21" s="10">
        <v>0</v>
      </c>
      <c r="G21" s="10">
        <v>0</v>
      </c>
      <c r="H21" s="10">
        <v>0</v>
      </c>
      <c r="I21" s="10" t="s">
        <v>418</v>
      </c>
      <c r="J21" s="10">
        <f t="shared" si="0"/>
        <v>18</v>
      </c>
      <c r="K21" s="10">
        <f t="shared" si="1"/>
        <v>18</v>
      </c>
      <c r="L21" s="10">
        <f t="shared" si="2"/>
        <v>17</v>
      </c>
      <c r="M21" s="10" t="s">
        <v>2173</v>
      </c>
      <c r="N21" s="10" t="s">
        <v>324</v>
      </c>
      <c r="O21" s="10">
        <v>0</v>
      </c>
      <c r="P21" s="10"/>
    </row>
    <row r="22" spans="2:16" s="32" customFormat="1" ht="15.6" x14ac:dyDescent="0.3">
      <c r="B22" s="10" t="s">
        <v>320</v>
      </c>
      <c r="C22" s="10" t="s">
        <v>2076</v>
      </c>
      <c r="D22" s="10">
        <v>1</v>
      </c>
      <c r="E22" s="10">
        <v>0</v>
      </c>
      <c r="F22" s="10">
        <v>0</v>
      </c>
      <c r="G22" s="10">
        <v>0</v>
      </c>
      <c r="H22" s="10">
        <v>0</v>
      </c>
      <c r="I22" s="10" t="s">
        <v>418</v>
      </c>
      <c r="J22" s="10">
        <f t="shared" si="0"/>
        <v>19</v>
      </c>
      <c r="K22" s="10">
        <f t="shared" si="1"/>
        <v>19</v>
      </c>
      <c r="L22" s="10">
        <f t="shared" si="2"/>
        <v>18</v>
      </c>
      <c r="M22" s="10" t="s">
        <v>2173</v>
      </c>
      <c r="N22" s="10" t="s">
        <v>324</v>
      </c>
      <c r="O22" s="10">
        <v>0</v>
      </c>
      <c r="P22" s="10"/>
    </row>
    <row r="23" spans="2:16" s="32" customFormat="1" ht="15.6" x14ac:dyDescent="0.3">
      <c r="B23" s="10" t="s">
        <v>320</v>
      </c>
      <c r="C23" s="10" t="s">
        <v>2076</v>
      </c>
      <c r="D23" s="10">
        <v>1</v>
      </c>
      <c r="E23" s="10">
        <v>0</v>
      </c>
      <c r="F23" s="10">
        <v>0</v>
      </c>
      <c r="G23" s="10">
        <v>0</v>
      </c>
      <c r="H23" s="10">
        <v>0</v>
      </c>
      <c r="I23" s="10" t="s">
        <v>418</v>
      </c>
      <c r="J23" s="10">
        <f t="shared" si="0"/>
        <v>20</v>
      </c>
      <c r="K23" s="10">
        <f t="shared" si="1"/>
        <v>20</v>
      </c>
      <c r="L23" s="10">
        <f t="shared" si="2"/>
        <v>19</v>
      </c>
      <c r="M23" s="10" t="s">
        <v>2173</v>
      </c>
      <c r="N23" s="10" t="s">
        <v>324</v>
      </c>
      <c r="O23" s="10">
        <v>0</v>
      </c>
      <c r="P23" s="10"/>
    </row>
    <row r="24" spans="2:16" s="32" customFormat="1" ht="15.6" x14ac:dyDescent="0.3">
      <c r="B24" s="10" t="s">
        <v>320</v>
      </c>
      <c r="C24" s="10" t="s">
        <v>2076</v>
      </c>
      <c r="D24" s="10">
        <v>1</v>
      </c>
      <c r="E24" s="10">
        <v>0</v>
      </c>
      <c r="F24" s="10">
        <v>0</v>
      </c>
      <c r="G24" s="10">
        <v>0</v>
      </c>
      <c r="H24" s="10">
        <v>0</v>
      </c>
      <c r="I24" s="10" t="s">
        <v>418</v>
      </c>
      <c r="J24" s="10">
        <f t="shared" si="0"/>
        <v>21</v>
      </c>
      <c r="K24" s="10">
        <f t="shared" si="1"/>
        <v>21</v>
      </c>
      <c r="L24" s="10">
        <f t="shared" si="2"/>
        <v>20</v>
      </c>
      <c r="M24" s="10" t="s">
        <v>2173</v>
      </c>
      <c r="N24" s="10" t="s">
        <v>324</v>
      </c>
      <c r="O24" s="10">
        <v>0</v>
      </c>
      <c r="P24" s="10"/>
    </row>
    <row r="25" spans="2:16" s="32" customFormat="1" ht="15.6" x14ac:dyDescent="0.3">
      <c r="B25" s="10" t="s">
        <v>320</v>
      </c>
      <c r="C25" s="10" t="s">
        <v>2076</v>
      </c>
      <c r="D25" s="10">
        <v>1</v>
      </c>
      <c r="E25" s="10">
        <v>0</v>
      </c>
      <c r="F25" s="10">
        <v>0</v>
      </c>
      <c r="G25" s="10">
        <v>0</v>
      </c>
      <c r="H25" s="10">
        <v>0</v>
      </c>
      <c r="I25" s="10" t="s">
        <v>418</v>
      </c>
      <c r="J25" s="10">
        <f t="shared" si="0"/>
        <v>22</v>
      </c>
      <c r="K25" s="10">
        <f t="shared" si="1"/>
        <v>22</v>
      </c>
      <c r="L25" s="10">
        <f t="shared" si="2"/>
        <v>21</v>
      </c>
      <c r="M25" s="10" t="s">
        <v>2173</v>
      </c>
      <c r="N25" s="10" t="s">
        <v>324</v>
      </c>
      <c r="O25" s="10">
        <v>0</v>
      </c>
      <c r="P25" s="10"/>
    </row>
    <row r="26" spans="2:16" s="32" customFormat="1" ht="15.6" x14ac:dyDescent="0.3">
      <c r="B26" s="10" t="s">
        <v>320</v>
      </c>
      <c r="C26" s="10" t="s">
        <v>2076</v>
      </c>
      <c r="D26" s="10">
        <v>1</v>
      </c>
      <c r="E26" s="10">
        <v>0</v>
      </c>
      <c r="F26" s="10">
        <v>0</v>
      </c>
      <c r="G26" s="10">
        <v>0</v>
      </c>
      <c r="H26" s="10">
        <v>0</v>
      </c>
      <c r="I26" s="10" t="s">
        <v>418</v>
      </c>
      <c r="J26" s="10">
        <f t="shared" si="0"/>
        <v>23</v>
      </c>
      <c r="K26" s="10">
        <f t="shared" si="1"/>
        <v>23</v>
      </c>
      <c r="L26" s="10">
        <f t="shared" si="2"/>
        <v>22</v>
      </c>
      <c r="M26" s="10" t="s">
        <v>2173</v>
      </c>
      <c r="N26" s="10" t="s">
        <v>324</v>
      </c>
      <c r="O26" s="10">
        <v>0</v>
      </c>
      <c r="P26" s="10"/>
    </row>
    <row r="27" spans="2:16" s="32" customFormat="1" ht="15.6" x14ac:dyDescent="0.3">
      <c r="B27" s="10" t="s">
        <v>320</v>
      </c>
      <c r="C27" s="10" t="s">
        <v>2076</v>
      </c>
      <c r="D27" s="10">
        <v>1</v>
      </c>
      <c r="E27" s="10">
        <v>0</v>
      </c>
      <c r="F27" s="10">
        <v>0</v>
      </c>
      <c r="G27" s="10">
        <v>0</v>
      </c>
      <c r="H27" s="10">
        <v>0</v>
      </c>
      <c r="I27" s="10" t="s">
        <v>418</v>
      </c>
      <c r="J27" s="10">
        <f t="shared" si="0"/>
        <v>24</v>
      </c>
      <c r="K27" s="10">
        <f t="shared" si="1"/>
        <v>24</v>
      </c>
      <c r="L27" s="10">
        <f t="shared" si="2"/>
        <v>23</v>
      </c>
      <c r="M27" s="10" t="s">
        <v>2173</v>
      </c>
      <c r="N27" s="10" t="s">
        <v>324</v>
      </c>
      <c r="O27" s="10">
        <v>0</v>
      </c>
      <c r="P27" s="10"/>
    </row>
    <row r="28" spans="2:16" s="32" customFormat="1" ht="15.6" x14ac:dyDescent="0.3">
      <c r="B28" s="10" t="s">
        <v>320</v>
      </c>
      <c r="C28" s="10" t="s">
        <v>2076</v>
      </c>
      <c r="D28" s="10">
        <v>1</v>
      </c>
      <c r="E28" s="10">
        <v>0</v>
      </c>
      <c r="F28" s="10">
        <v>0</v>
      </c>
      <c r="G28" s="10">
        <v>0</v>
      </c>
      <c r="H28" s="10">
        <v>0</v>
      </c>
      <c r="I28" s="10" t="s">
        <v>418</v>
      </c>
      <c r="J28" s="10">
        <f t="shared" si="0"/>
        <v>25</v>
      </c>
      <c r="K28" s="10">
        <f t="shared" si="1"/>
        <v>25</v>
      </c>
      <c r="L28" s="10">
        <f t="shared" si="2"/>
        <v>24</v>
      </c>
      <c r="M28" s="10" t="s">
        <v>2173</v>
      </c>
      <c r="N28" s="10" t="s">
        <v>324</v>
      </c>
      <c r="O28" s="10">
        <v>0</v>
      </c>
      <c r="P28" s="10"/>
    </row>
    <row r="29" spans="2:16" s="32" customFormat="1" ht="15.6" x14ac:dyDescent="0.3">
      <c r="B29" s="10" t="s">
        <v>320</v>
      </c>
      <c r="C29" s="10" t="s">
        <v>2076</v>
      </c>
      <c r="D29" s="10">
        <v>1</v>
      </c>
      <c r="E29" s="10">
        <v>0</v>
      </c>
      <c r="F29" s="10">
        <v>0</v>
      </c>
      <c r="G29" s="10">
        <v>0</v>
      </c>
      <c r="H29" s="10">
        <v>0</v>
      </c>
      <c r="I29" s="10" t="s">
        <v>418</v>
      </c>
      <c r="J29" s="10">
        <f t="shared" si="0"/>
        <v>26</v>
      </c>
      <c r="K29" s="10">
        <f t="shared" si="1"/>
        <v>26</v>
      </c>
      <c r="L29" s="10">
        <f t="shared" si="2"/>
        <v>25</v>
      </c>
      <c r="M29" s="10" t="s">
        <v>2173</v>
      </c>
      <c r="N29" s="10" t="s">
        <v>324</v>
      </c>
      <c r="O29" s="10">
        <v>0</v>
      </c>
      <c r="P29" s="10"/>
    </row>
    <row r="30" spans="2:16" s="32" customFormat="1" ht="15.6" x14ac:dyDescent="0.3">
      <c r="B30" s="10" t="s">
        <v>320</v>
      </c>
      <c r="C30" s="10" t="s">
        <v>2076</v>
      </c>
      <c r="D30" s="10">
        <v>1</v>
      </c>
      <c r="E30" s="10">
        <v>0</v>
      </c>
      <c r="F30" s="10">
        <v>0</v>
      </c>
      <c r="G30" s="10">
        <v>0</v>
      </c>
      <c r="H30" s="10">
        <v>0</v>
      </c>
      <c r="I30" s="10" t="s">
        <v>418</v>
      </c>
      <c r="J30" s="10">
        <f t="shared" si="0"/>
        <v>27</v>
      </c>
      <c r="K30" s="10">
        <f t="shared" si="1"/>
        <v>27</v>
      </c>
      <c r="L30" s="10">
        <f t="shared" si="2"/>
        <v>26</v>
      </c>
      <c r="M30" s="10" t="s">
        <v>2173</v>
      </c>
      <c r="N30" s="10" t="s">
        <v>324</v>
      </c>
      <c r="O30" s="10">
        <v>0</v>
      </c>
      <c r="P30" s="10"/>
    </row>
    <row r="31" spans="2:16" s="32" customFormat="1" ht="15.6" x14ac:dyDescent="0.3">
      <c r="B31" s="10" t="s">
        <v>320</v>
      </c>
      <c r="C31" s="10" t="s">
        <v>2076</v>
      </c>
      <c r="D31" s="10">
        <v>1</v>
      </c>
      <c r="E31" s="10">
        <v>0</v>
      </c>
      <c r="F31" s="10">
        <v>0</v>
      </c>
      <c r="G31" s="10">
        <v>0</v>
      </c>
      <c r="H31" s="10">
        <v>0</v>
      </c>
      <c r="I31" s="10" t="s">
        <v>418</v>
      </c>
      <c r="J31" s="10">
        <f t="shared" si="0"/>
        <v>28</v>
      </c>
      <c r="K31" s="10">
        <f t="shared" si="1"/>
        <v>28</v>
      </c>
      <c r="L31" s="10">
        <f t="shared" si="2"/>
        <v>27</v>
      </c>
      <c r="M31" s="10" t="s">
        <v>2173</v>
      </c>
      <c r="N31" s="10" t="s">
        <v>324</v>
      </c>
      <c r="O31" s="10">
        <v>0</v>
      </c>
      <c r="P31" s="10"/>
    </row>
    <row r="32" spans="2:16" s="32" customFormat="1" ht="15.6" x14ac:dyDescent="0.3">
      <c r="B32" s="10" t="s">
        <v>2190</v>
      </c>
      <c r="C32" s="10" t="s">
        <v>2076</v>
      </c>
      <c r="D32" s="10">
        <v>1</v>
      </c>
      <c r="E32" s="10">
        <v>0</v>
      </c>
      <c r="F32" s="10">
        <v>1</v>
      </c>
      <c r="G32" s="10">
        <v>1</v>
      </c>
      <c r="H32" s="10">
        <v>1</v>
      </c>
      <c r="I32" s="10" t="s">
        <v>418</v>
      </c>
      <c r="J32" s="10">
        <f t="shared" si="0"/>
        <v>29</v>
      </c>
      <c r="K32" s="10">
        <f t="shared" si="1"/>
        <v>29</v>
      </c>
      <c r="L32" s="10">
        <f t="shared" si="2"/>
        <v>28</v>
      </c>
      <c r="M32" s="10" t="s">
        <v>2173</v>
      </c>
      <c r="N32" s="10" t="s">
        <v>324</v>
      </c>
      <c r="O32" s="10">
        <v>0</v>
      </c>
      <c r="P32" s="10"/>
    </row>
    <row r="33" spans="2:16" s="32" customFormat="1" ht="15.6" x14ac:dyDescent="0.3">
      <c r="B33" s="10" t="s">
        <v>2191</v>
      </c>
      <c r="C33" s="10" t="s">
        <v>2076</v>
      </c>
      <c r="D33" s="10">
        <v>1</v>
      </c>
      <c r="E33" s="10">
        <v>0</v>
      </c>
      <c r="F33" s="10">
        <v>1</v>
      </c>
      <c r="G33" s="10">
        <v>1</v>
      </c>
      <c r="H33" s="10">
        <v>1</v>
      </c>
      <c r="I33" s="10" t="s">
        <v>418</v>
      </c>
      <c r="J33" s="10">
        <f t="shared" si="0"/>
        <v>30</v>
      </c>
      <c r="K33" s="10">
        <f t="shared" si="1"/>
        <v>30</v>
      </c>
      <c r="L33" s="10">
        <f t="shared" si="2"/>
        <v>29</v>
      </c>
      <c r="M33" s="10" t="s">
        <v>2173</v>
      </c>
      <c r="N33" s="10" t="s">
        <v>324</v>
      </c>
      <c r="O33" s="10">
        <v>0</v>
      </c>
      <c r="P33" s="10"/>
    </row>
    <row r="34" spans="2:16" s="32" customFormat="1" ht="17.25" customHeight="1" x14ac:dyDescent="0.3">
      <c r="B34" s="10" t="s">
        <v>2192</v>
      </c>
      <c r="C34" s="10" t="s">
        <v>2076</v>
      </c>
      <c r="D34" s="10">
        <v>1</v>
      </c>
      <c r="E34" s="10">
        <v>0</v>
      </c>
      <c r="F34" s="10">
        <v>1</v>
      </c>
      <c r="G34" s="10">
        <v>1</v>
      </c>
      <c r="H34" s="10">
        <v>1</v>
      </c>
      <c r="I34" s="10" t="s">
        <v>418</v>
      </c>
      <c r="J34" s="10">
        <f t="shared" si="0"/>
        <v>31</v>
      </c>
      <c r="K34" s="10">
        <f t="shared" si="1"/>
        <v>31</v>
      </c>
      <c r="L34" s="10">
        <f t="shared" si="2"/>
        <v>30</v>
      </c>
      <c r="M34" s="10" t="s">
        <v>2173</v>
      </c>
      <c r="N34" s="10" t="s">
        <v>324</v>
      </c>
      <c r="O34" s="10">
        <v>0</v>
      </c>
      <c r="P34" s="10"/>
    </row>
    <row r="35" spans="2:16" s="32" customFormat="1" ht="15.6" x14ac:dyDescent="0.3">
      <c r="B35" s="10" t="s">
        <v>2193</v>
      </c>
      <c r="C35" s="10" t="s">
        <v>2076</v>
      </c>
      <c r="D35" s="10">
        <v>1</v>
      </c>
      <c r="E35" s="10">
        <v>0</v>
      </c>
      <c r="F35" s="10">
        <v>1</v>
      </c>
      <c r="G35" s="10">
        <v>1</v>
      </c>
      <c r="H35" s="10">
        <v>1</v>
      </c>
      <c r="I35" s="10" t="s">
        <v>418</v>
      </c>
      <c r="J35" s="10">
        <f t="shared" si="0"/>
        <v>32</v>
      </c>
      <c r="K35" s="10">
        <f t="shared" si="1"/>
        <v>32</v>
      </c>
      <c r="L35" s="10">
        <f t="shared" si="2"/>
        <v>31</v>
      </c>
      <c r="M35" s="10" t="s">
        <v>2173</v>
      </c>
      <c r="N35" s="10" t="s">
        <v>324</v>
      </c>
      <c r="O35" s="10">
        <v>0</v>
      </c>
      <c r="P35" s="10"/>
    </row>
    <row r="36" spans="2:16" s="32" customFormat="1" ht="15.6" x14ac:dyDescent="0.3">
      <c r="B36" s="477" t="s">
        <v>437</v>
      </c>
      <c r="C36" s="477"/>
      <c r="D36" s="477"/>
      <c r="E36" s="477"/>
      <c r="F36" s="477"/>
      <c r="G36" s="477"/>
      <c r="H36" s="477"/>
      <c r="I36" s="477"/>
      <c r="J36" s="477"/>
      <c r="K36" s="477"/>
      <c r="L36" s="477"/>
      <c r="M36" s="477"/>
      <c r="N36" s="477"/>
      <c r="O36" s="477"/>
      <c r="P36" s="477"/>
    </row>
    <row r="37" spans="2:16" ht="15.6" x14ac:dyDescent="0.3">
      <c r="B37" s="10" t="s">
        <v>2194</v>
      </c>
      <c r="C37" s="10" t="s">
        <v>2076</v>
      </c>
      <c r="D37" s="10">
        <v>1</v>
      </c>
      <c r="E37" s="10">
        <v>0</v>
      </c>
      <c r="F37" s="10">
        <v>1</v>
      </c>
      <c r="G37" s="10">
        <v>1</v>
      </c>
      <c r="H37" s="10">
        <v>1</v>
      </c>
      <c r="I37" s="10" t="s">
        <v>418</v>
      </c>
      <c r="J37" s="10">
        <f>J35+D35</f>
        <v>33</v>
      </c>
      <c r="K37" s="10">
        <f t="shared" si="1"/>
        <v>33</v>
      </c>
      <c r="L37" s="10">
        <f t="shared" si="2"/>
        <v>32</v>
      </c>
      <c r="M37" s="10" t="s">
        <v>2173</v>
      </c>
      <c r="N37" s="10" t="s">
        <v>324</v>
      </c>
      <c r="O37" s="10">
        <v>0</v>
      </c>
      <c r="P37" s="10"/>
    </row>
    <row r="38" spans="2:16" ht="15.6" x14ac:dyDescent="0.3">
      <c r="B38" s="10" t="s">
        <v>2195</v>
      </c>
      <c r="C38" s="10" t="s">
        <v>2076</v>
      </c>
      <c r="D38" s="10">
        <v>1</v>
      </c>
      <c r="E38" s="10">
        <v>0</v>
      </c>
      <c r="F38" s="10">
        <v>1</v>
      </c>
      <c r="G38" s="10">
        <v>1</v>
      </c>
      <c r="H38" s="10">
        <v>1</v>
      </c>
      <c r="I38" s="10" t="s">
        <v>418</v>
      </c>
      <c r="J38" s="10">
        <f t="shared" ref="J38:J52" si="3">J37+D38</f>
        <v>34</v>
      </c>
      <c r="K38" s="10">
        <f t="shared" si="1"/>
        <v>34</v>
      </c>
      <c r="L38" s="10">
        <f t="shared" si="2"/>
        <v>33</v>
      </c>
      <c r="M38" s="10" t="s">
        <v>2173</v>
      </c>
      <c r="N38" s="10" t="s">
        <v>324</v>
      </c>
      <c r="O38" s="10">
        <v>0</v>
      </c>
      <c r="P38" s="10"/>
    </row>
    <row r="39" spans="2:16" ht="15.6" x14ac:dyDescent="0.3">
      <c r="B39" s="10" t="s">
        <v>2196</v>
      </c>
      <c r="C39" s="10" t="s">
        <v>2076</v>
      </c>
      <c r="D39" s="10">
        <v>1</v>
      </c>
      <c r="E39" s="10">
        <v>0</v>
      </c>
      <c r="F39" s="10">
        <v>1</v>
      </c>
      <c r="G39" s="10">
        <v>1</v>
      </c>
      <c r="H39" s="10">
        <v>1</v>
      </c>
      <c r="I39" s="10" t="s">
        <v>418</v>
      </c>
      <c r="J39" s="10">
        <f t="shared" si="3"/>
        <v>35</v>
      </c>
      <c r="K39" s="10">
        <f t="shared" si="1"/>
        <v>35</v>
      </c>
      <c r="L39" s="10">
        <f t="shared" si="2"/>
        <v>34</v>
      </c>
      <c r="M39" s="10" t="s">
        <v>2173</v>
      </c>
      <c r="N39" s="10" t="s">
        <v>324</v>
      </c>
      <c r="O39" s="10">
        <v>0</v>
      </c>
      <c r="P39" s="10"/>
    </row>
    <row r="40" spans="2:16" ht="15.6" x14ac:dyDescent="0.3">
      <c r="B40" s="10" t="s">
        <v>2197</v>
      </c>
      <c r="C40" s="10" t="s">
        <v>2076</v>
      </c>
      <c r="D40" s="10">
        <v>1</v>
      </c>
      <c r="E40" s="10">
        <v>0</v>
      </c>
      <c r="F40" s="10">
        <v>1</v>
      </c>
      <c r="G40" s="10">
        <v>1</v>
      </c>
      <c r="H40" s="10">
        <v>1</v>
      </c>
      <c r="I40" s="10" t="s">
        <v>418</v>
      </c>
      <c r="J40" s="10">
        <f t="shared" si="3"/>
        <v>36</v>
      </c>
      <c r="K40" s="10">
        <f t="shared" si="1"/>
        <v>36</v>
      </c>
      <c r="L40" s="10">
        <f t="shared" si="2"/>
        <v>35</v>
      </c>
      <c r="M40" s="10" t="s">
        <v>2173</v>
      </c>
      <c r="N40" s="10" t="s">
        <v>324</v>
      </c>
      <c r="O40" s="10">
        <v>0</v>
      </c>
      <c r="P40" s="10"/>
    </row>
    <row r="41" spans="2:16" ht="15.6" x14ac:dyDescent="0.3">
      <c r="B41" s="10" t="s">
        <v>2198</v>
      </c>
      <c r="C41" s="10" t="s">
        <v>2076</v>
      </c>
      <c r="D41" s="10">
        <v>1</v>
      </c>
      <c r="E41" s="10">
        <v>0</v>
      </c>
      <c r="F41" s="10">
        <v>1</v>
      </c>
      <c r="G41" s="10">
        <v>1</v>
      </c>
      <c r="H41" s="10">
        <v>1</v>
      </c>
      <c r="I41" s="10" t="s">
        <v>418</v>
      </c>
      <c r="J41" s="10">
        <f t="shared" si="3"/>
        <v>37</v>
      </c>
      <c r="K41" s="10">
        <f t="shared" si="1"/>
        <v>37</v>
      </c>
      <c r="L41" s="10">
        <f t="shared" si="2"/>
        <v>36</v>
      </c>
      <c r="M41" s="10" t="s">
        <v>2173</v>
      </c>
      <c r="N41" s="10" t="s">
        <v>324</v>
      </c>
      <c r="O41" s="10">
        <v>0</v>
      </c>
      <c r="P41" s="10"/>
    </row>
    <row r="42" spans="2:16" ht="15.6" x14ac:dyDescent="0.3">
      <c r="B42" s="10" t="s">
        <v>2199</v>
      </c>
      <c r="C42" s="10" t="s">
        <v>2076</v>
      </c>
      <c r="D42" s="10">
        <v>1</v>
      </c>
      <c r="E42" s="10">
        <v>0</v>
      </c>
      <c r="F42" s="10">
        <v>1</v>
      </c>
      <c r="G42" s="10">
        <v>1</v>
      </c>
      <c r="H42" s="10">
        <v>1</v>
      </c>
      <c r="I42" s="10" t="s">
        <v>418</v>
      </c>
      <c r="J42" s="10">
        <f t="shared" si="3"/>
        <v>38</v>
      </c>
      <c r="K42" s="10">
        <f t="shared" si="1"/>
        <v>38</v>
      </c>
      <c r="L42" s="10">
        <f t="shared" si="2"/>
        <v>37</v>
      </c>
      <c r="M42" s="10" t="s">
        <v>2173</v>
      </c>
      <c r="N42" s="10" t="s">
        <v>324</v>
      </c>
      <c r="O42" s="10">
        <v>0</v>
      </c>
      <c r="P42" s="10"/>
    </row>
    <row r="43" spans="2:16" ht="15.6" x14ac:dyDescent="0.3">
      <c r="B43" s="10" t="s">
        <v>2200</v>
      </c>
      <c r="C43" s="10" t="s">
        <v>2076</v>
      </c>
      <c r="D43" s="10">
        <v>1</v>
      </c>
      <c r="E43" s="10">
        <v>0</v>
      </c>
      <c r="F43" s="10">
        <v>1</v>
      </c>
      <c r="G43" s="10">
        <v>1</v>
      </c>
      <c r="H43" s="10">
        <v>1</v>
      </c>
      <c r="I43" s="10" t="s">
        <v>418</v>
      </c>
      <c r="J43" s="10">
        <f t="shared" si="3"/>
        <v>39</v>
      </c>
      <c r="K43" s="10">
        <f t="shared" si="1"/>
        <v>39</v>
      </c>
      <c r="L43" s="10">
        <f t="shared" si="2"/>
        <v>38</v>
      </c>
      <c r="M43" s="10" t="s">
        <v>2173</v>
      </c>
      <c r="N43" s="10" t="s">
        <v>324</v>
      </c>
      <c r="O43" s="10">
        <v>0</v>
      </c>
      <c r="P43" s="10"/>
    </row>
    <row r="44" spans="2:16" ht="15.6" x14ac:dyDescent="0.3">
      <c r="B44" s="10" t="s">
        <v>2201</v>
      </c>
      <c r="C44" s="10" t="s">
        <v>2076</v>
      </c>
      <c r="D44" s="10">
        <v>1</v>
      </c>
      <c r="E44" s="10">
        <v>0</v>
      </c>
      <c r="F44" s="10">
        <v>1</v>
      </c>
      <c r="G44" s="10">
        <v>1</v>
      </c>
      <c r="H44" s="10">
        <v>1</v>
      </c>
      <c r="I44" s="10" t="s">
        <v>418</v>
      </c>
      <c r="J44" s="10">
        <f t="shared" si="3"/>
        <v>40</v>
      </c>
      <c r="K44" s="10">
        <f t="shared" si="1"/>
        <v>40</v>
      </c>
      <c r="L44" s="10">
        <f t="shared" si="2"/>
        <v>39</v>
      </c>
      <c r="M44" s="10" t="s">
        <v>2173</v>
      </c>
      <c r="N44" s="10" t="s">
        <v>324</v>
      </c>
      <c r="O44" s="10">
        <v>0</v>
      </c>
      <c r="P44" s="10"/>
    </row>
    <row r="45" spans="2:16" ht="15.6" x14ac:dyDescent="0.3">
      <c r="B45" s="10" t="s">
        <v>320</v>
      </c>
      <c r="C45" s="10" t="s">
        <v>2076</v>
      </c>
      <c r="D45" s="10">
        <v>1</v>
      </c>
      <c r="E45" s="10">
        <v>0</v>
      </c>
      <c r="F45" s="10">
        <v>0</v>
      </c>
      <c r="G45" s="10">
        <v>0</v>
      </c>
      <c r="H45" s="10">
        <v>0</v>
      </c>
      <c r="I45" s="10" t="s">
        <v>418</v>
      </c>
      <c r="J45" s="10">
        <f t="shared" si="3"/>
        <v>41</v>
      </c>
      <c r="K45" s="10">
        <f t="shared" si="1"/>
        <v>41</v>
      </c>
      <c r="L45" s="10">
        <f t="shared" si="2"/>
        <v>40</v>
      </c>
      <c r="M45" s="10" t="s">
        <v>2173</v>
      </c>
      <c r="N45" s="10" t="s">
        <v>324</v>
      </c>
      <c r="O45" s="10">
        <v>0</v>
      </c>
      <c r="P45" s="10"/>
    </row>
    <row r="46" spans="2:16" ht="15.6" x14ac:dyDescent="0.3">
      <c r="B46" s="10" t="s">
        <v>320</v>
      </c>
      <c r="C46" s="10" t="s">
        <v>2076</v>
      </c>
      <c r="D46" s="10">
        <v>1</v>
      </c>
      <c r="E46" s="10">
        <v>0</v>
      </c>
      <c r="F46" s="10">
        <v>0</v>
      </c>
      <c r="G46" s="10">
        <v>0</v>
      </c>
      <c r="H46" s="10">
        <v>0</v>
      </c>
      <c r="I46" s="10" t="s">
        <v>418</v>
      </c>
      <c r="J46" s="10">
        <f t="shared" si="3"/>
        <v>42</v>
      </c>
      <c r="K46" s="10">
        <f t="shared" si="1"/>
        <v>42</v>
      </c>
      <c r="L46" s="10">
        <f t="shared" si="2"/>
        <v>41</v>
      </c>
      <c r="M46" s="10" t="s">
        <v>2173</v>
      </c>
      <c r="N46" s="10" t="s">
        <v>324</v>
      </c>
      <c r="O46" s="10">
        <v>0</v>
      </c>
      <c r="P46" s="10"/>
    </row>
    <row r="47" spans="2:16" ht="15.6" x14ac:dyDescent="0.3">
      <c r="B47" s="10" t="s">
        <v>320</v>
      </c>
      <c r="C47" s="10" t="s">
        <v>2076</v>
      </c>
      <c r="D47" s="10">
        <v>1</v>
      </c>
      <c r="E47" s="10">
        <v>0</v>
      </c>
      <c r="F47" s="10">
        <v>0</v>
      </c>
      <c r="G47" s="10">
        <v>0</v>
      </c>
      <c r="H47" s="10">
        <v>0</v>
      </c>
      <c r="I47" s="10" t="s">
        <v>418</v>
      </c>
      <c r="J47" s="10">
        <f t="shared" si="3"/>
        <v>43</v>
      </c>
      <c r="K47" s="10">
        <f t="shared" si="1"/>
        <v>43</v>
      </c>
      <c r="L47" s="10">
        <f t="shared" si="2"/>
        <v>42</v>
      </c>
      <c r="M47" s="10" t="s">
        <v>2173</v>
      </c>
      <c r="N47" s="10" t="s">
        <v>324</v>
      </c>
      <c r="O47" s="10">
        <v>0</v>
      </c>
      <c r="P47" s="10"/>
    </row>
    <row r="48" spans="2:16" ht="15.6" x14ac:dyDescent="0.3">
      <c r="B48" s="10" t="s">
        <v>320</v>
      </c>
      <c r="C48" s="10" t="s">
        <v>2076</v>
      </c>
      <c r="D48" s="10">
        <v>1</v>
      </c>
      <c r="E48" s="10">
        <v>0</v>
      </c>
      <c r="F48" s="10">
        <v>0</v>
      </c>
      <c r="G48" s="10">
        <v>0</v>
      </c>
      <c r="H48" s="10">
        <v>0</v>
      </c>
      <c r="I48" s="10" t="s">
        <v>418</v>
      </c>
      <c r="J48" s="10">
        <f t="shared" si="3"/>
        <v>44</v>
      </c>
      <c r="K48" s="10">
        <f t="shared" si="1"/>
        <v>44</v>
      </c>
      <c r="L48" s="10">
        <f t="shared" si="2"/>
        <v>43</v>
      </c>
      <c r="M48" s="10" t="s">
        <v>2173</v>
      </c>
      <c r="N48" s="10" t="s">
        <v>324</v>
      </c>
      <c r="O48" s="10">
        <v>0</v>
      </c>
      <c r="P48" s="10"/>
    </row>
    <row r="49" spans="2:16" ht="15.6" x14ac:dyDescent="0.3">
      <c r="B49" s="10" t="s">
        <v>320</v>
      </c>
      <c r="C49" s="10" t="s">
        <v>2076</v>
      </c>
      <c r="D49" s="10">
        <v>1</v>
      </c>
      <c r="E49" s="10">
        <v>0</v>
      </c>
      <c r="F49" s="10">
        <v>0</v>
      </c>
      <c r="G49" s="10">
        <v>0</v>
      </c>
      <c r="H49" s="10">
        <v>0</v>
      </c>
      <c r="I49" s="10" t="s">
        <v>418</v>
      </c>
      <c r="J49" s="10">
        <f t="shared" si="3"/>
        <v>45</v>
      </c>
      <c r="K49" s="10">
        <f t="shared" si="1"/>
        <v>45</v>
      </c>
      <c r="L49" s="10">
        <f t="shared" si="2"/>
        <v>44</v>
      </c>
      <c r="M49" s="10" t="s">
        <v>2173</v>
      </c>
      <c r="N49" s="10" t="s">
        <v>324</v>
      </c>
      <c r="O49" s="10">
        <v>0</v>
      </c>
      <c r="P49" s="10"/>
    </row>
    <row r="50" spans="2:16" ht="15.6" x14ac:dyDescent="0.3">
      <c r="B50" s="10" t="s">
        <v>320</v>
      </c>
      <c r="C50" s="10" t="s">
        <v>2076</v>
      </c>
      <c r="D50" s="10">
        <v>1</v>
      </c>
      <c r="E50" s="10">
        <v>0</v>
      </c>
      <c r="F50" s="10">
        <v>0</v>
      </c>
      <c r="G50" s="10">
        <v>0</v>
      </c>
      <c r="H50" s="10">
        <v>0</v>
      </c>
      <c r="I50" s="10" t="s">
        <v>418</v>
      </c>
      <c r="J50" s="10">
        <f t="shared" si="3"/>
        <v>46</v>
      </c>
      <c r="K50" s="10">
        <f t="shared" si="1"/>
        <v>46</v>
      </c>
      <c r="L50" s="10">
        <f t="shared" si="2"/>
        <v>45</v>
      </c>
      <c r="M50" s="10" t="s">
        <v>2173</v>
      </c>
      <c r="N50" s="10" t="s">
        <v>324</v>
      </c>
      <c r="O50" s="10">
        <v>0</v>
      </c>
      <c r="P50" s="10"/>
    </row>
    <row r="51" spans="2:16" ht="15.6" x14ac:dyDescent="0.3">
      <c r="B51" s="10" t="s">
        <v>320</v>
      </c>
      <c r="C51" s="10" t="s">
        <v>2076</v>
      </c>
      <c r="D51" s="10">
        <v>1</v>
      </c>
      <c r="E51" s="10">
        <v>0</v>
      </c>
      <c r="F51" s="10">
        <v>0</v>
      </c>
      <c r="G51" s="10">
        <v>0</v>
      </c>
      <c r="H51" s="10">
        <v>0</v>
      </c>
      <c r="I51" s="10" t="s">
        <v>418</v>
      </c>
      <c r="J51" s="10">
        <f t="shared" si="3"/>
        <v>47</v>
      </c>
      <c r="K51" s="10">
        <f t="shared" si="1"/>
        <v>47</v>
      </c>
      <c r="L51" s="10">
        <f t="shared" si="2"/>
        <v>46</v>
      </c>
      <c r="M51" s="10" t="s">
        <v>2173</v>
      </c>
      <c r="N51" s="10" t="s">
        <v>324</v>
      </c>
      <c r="O51" s="10">
        <v>0</v>
      </c>
      <c r="P51" s="10"/>
    </row>
    <row r="52" spans="2:16" ht="15.6" x14ac:dyDescent="0.3">
      <c r="B52" s="10" t="s">
        <v>320</v>
      </c>
      <c r="C52" s="10" t="s">
        <v>2076</v>
      </c>
      <c r="D52" s="10">
        <v>1</v>
      </c>
      <c r="E52" s="10">
        <v>0</v>
      </c>
      <c r="F52" s="10">
        <v>0</v>
      </c>
      <c r="G52" s="10">
        <v>0</v>
      </c>
      <c r="H52" s="10">
        <v>0</v>
      </c>
      <c r="I52" s="10" t="s">
        <v>418</v>
      </c>
      <c r="J52" s="10">
        <f t="shared" si="3"/>
        <v>48</v>
      </c>
      <c r="K52" s="10">
        <f t="shared" si="1"/>
        <v>48</v>
      </c>
      <c r="L52" s="10">
        <f t="shared" si="2"/>
        <v>47</v>
      </c>
      <c r="M52" s="10" t="s">
        <v>2173</v>
      </c>
      <c r="N52" s="10" t="s">
        <v>324</v>
      </c>
      <c r="O52" s="10">
        <v>0</v>
      </c>
      <c r="P52" s="10"/>
    </row>
    <row r="53" spans="2:16" ht="15.6" x14ac:dyDescent="0.3">
      <c r="B53" s="10" t="s">
        <v>320</v>
      </c>
      <c r="C53" s="10" t="s">
        <v>2076</v>
      </c>
      <c r="D53" s="10">
        <v>1</v>
      </c>
      <c r="E53" s="10">
        <v>0</v>
      </c>
      <c r="F53" s="10">
        <v>0</v>
      </c>
      <c r="G53" s="10">
        <v>0</v>
      </c>
      <c r="H53" s="10">
        <v>0</v>
      </c>
      <c r="I53" s="10" t="s">
        <v>418</v>
      </c>
      <c r="J53" s="10">
        <f>J52+D53</f>
        <v>49</v>
      </c>
      <c r="K53" s="10">
        <f t="shared" si="1"/>
        <v>49</v>
      </c>
      <c r="L53" s="10">
        <f t="shared" si="2"/>
        <v>48</v>
      </c>
      <c r="M53" s="10" t="s">
        <v>2173</v>
      </c>
      <c r="N53" s="10" t="s">
        <v>324</v>
      </c>
      <c r="O53" s="10">
        <v>0</v>
      </c>
      <c r="P53" s="10"/>
    </row>
    <row r="54" spans="2:16" ht="15.6" x14ac:dyDescent="0.3">
      <c r="B54" s="10" t="s">
        <v>320</v>
      </c>
      <c r="C54" s="10" t="s">
        <v>2076</v>
      </c>
      <c r="D54" s="10">
        <v>1</v>
      </c>
      <c r="E54" s="10">
        <v>0</v>
      </c>
      <c r="F54" s="10">
        <v>0</v>
      </c>
      <c r="G54" s="10">
        <v>0</v>
      </c>
      <c r="H54" s="10">
        <v>0</v>
      </c>
      <c r="I54" s="10" t="s">
        <v>418</v>
      </c>
      <c r="J54" s="10">
        <f t="shared" ref="J54:J61" si="4">J53+D54</f>
        <v>50</v>
      </c>
      <c r="K54" s="10">
        <f t="shared" si="1"/>
        <v>50</v>
      </c>
      <c r="L54" s="10">
        <f t="shared" si="2"/>
        <v>49</v>
      </c>
      <c r="M54" s="10" t="s">
        <v>2173</v>
      </c>
      <c r="N54" s="10" t="s">
        <v>324</v>
      </c>
      <c r="O54" s="10">
        <v>0</v>
      </c>
      <c r="P54" s="10"/>
    </row>
    <row r="55" spans="2:16" ht="15.6" x14ac:dyDescent="0.3">
      <c r="B55" s="10" t="s">
        <v>320</v>
      </c>
      <c r="C55" s="10" t="s">
        <v>2076</v>
      </c>
      <c r="D55" s="10">
        <v>1</v>
      </c>
      <c r="E55" s="10">
        <v>0</v>
      </c>
      <c r="F55" s="10">
        <v>0</v>
      </c>
      <c r="G55" s="10">
        <v>0</v>
      </c>
      <c r="H55" s="10">
        <v>0</v>
      </c>
      <c r="I55" s="10" t="s">
        <v>418</v>
      </c>
      <c r="J55" s="10">
        <f t="shared" si="4"/>
        <v>51</v>
      </c>
      <c r="K55" s="10">
        <f t="shared" si="1"/>
        <v>51</v>
      </c>
      <c r="L55" s="10">
        <f t="shared" si="2"/>
        <v>50</v>
      </c>
      <c r="M55" s="10" t="s">
        <v>2173</v>
      </c>
      <c r="N55" s="10" t="s">
        <v>324</v>
      </c>
      <c r="O55" s="10">
        <v>0</v>
      </c>
      <c r="P55" s="10"/>
    </row>
    <row r="56" spans="2:16" ht="15.6" x14ac:dyDescent="0.3">
      <c r="B56" s="10" t="s">
        <v>320</v>
      </c>
      <c r="C56" s="10" t="s">
        <v>2076</v>
      </c>
      <c r="D56" s="10">
        <v>1</v>
      </c>
      <c r="E56" s="10">
        <v>0</v>
      </c>
      <c r="F56" s="10">
        <v>0</v>
      </c>
      <c r="G56" s="10">
        <v>0</v>
      </c>
      <c r="H56" s="10">
        <v>0</v>
      </c>
      <c r="I56" s="10" t="s">
        <v>418</v>
      </c>
      <c r="J56" s="10">
        <f t="shared" si="4"/>
        <v>52</v>
      </c>
      <c r="K56" s="10">
        <f t="shared" si="1"/>
        <v>52</v>
      </c>
      <c r="L56" s="10">
        <f t="shared" si="2"/>
        <v>51</v>
      </c>
      <c r="M56" s="10" t="s">
        <v>2173</v>
      </c>
      <c r="N56" s="10" t="s">
        <v>324</v>
      </c>
      <c r="O56" s="10">
        <v>0</v>
      </c>
      <c r="P56" s="10"/>
    </row>
    <row r="57" spans="2:16" ht="15.6" x14ac:dyDescent="0.3">
      <c r="B57" s="10" t="s">
        <v>320</v>
      </c>
      <c r="C57" s="10" t="s">
        <v>2076</v>
      </c>
      <c r="D57" s="10">
        <v>1</v>
      </c>
      <c r="E57" s="10">
        <v>0</v>
      </c>
      <c r="F57" s="10">
        <v>0</v>
      </c>
      <c r="G57" s="10">
        <v>0</v>
      </c>
      <c r="H57" s="10">
        <v>0</v>
      </c>
      <c r="I57" s="10" t="s">
        <v>418</v>
      </c>
      <c r="J57" s="10">
        <f t="shared" si="4"/>
        <v>53</v>
      </c>
      <c r="K57" s="10">
        <f t="shared" si="1"/>
        <v>53</v>
      </c>
      <c r="L57" s="10">
        <f t="shared" si="2"/>
        <v>52</v>
      </c>
      <c r="M57" s="10" t="s">
        <v>2173</v>
      </c>
      <c r="N57" s="10" t="s">
        <v>324</v>
      </c>
      <c r="O57" s="10">
        <v>0</v>
      </c>
      <c r="P57" s="10"/>
    </row>
    <row r="58" spans="2:16" ht="15.6" x14ac:dyDescent="0.3">
      <c r="B58" s="10" t="s">
        <v>320</v>
      </c>
      <c r="C58" s="10" t="s">
        <v>2076</v>
      </c>
      <c r="D58" s="10">
        <v>1</v>
      </c>
      <c r="E58" s="10">
        <v>0</v>
      </c>
      <c r="F58" s="10">
        <v>0</v>
      </c>
      <c r="G58" s="10">
        <v>0</v>
      </c>
      <c r="H58" s="10">
        <v>0</v>
      </c>
      <c r="I58" s="10" t="s">
        <v>418</v>
      </c>
      <c r="J58" s="10">
        <f t="shared" si="4"/>
        <v>54</v>
      </c>
      <c r="K58" s="10">
        <f t="shared" si="1"/>
        <v>54</v>
      </c>
      <c r="L58" s="10">
        <f t="shared" si="2"/>
        <v>53</v>
      </c>
      <c r="M58" s="10" t="s">
        <v>2173</v>
      </c>
      <c r="N58" s="10" t="s">
        <v>324</v>
      </c>
      <c r="O58" s="10">
        <v>0</v>
      </c>
      <c r="P58" s="10"/>
    </row>
    <row r="59" spans="2:16" ht="15.6" x14ac:dyDescent="0.3">
      <c r="B59" s="10" t="s">
        <v>320</v>
      </c>
      <c r="C59" s="10" t="s">
        <v>2076</v>
      </c>
      <c r="D59" s="10">
        <v>1</v>
      </c>
      <c r="E59" s="10">
        <v>0</v>
      </c>
      <c r="F59" s="10">
        <v>0</v>
      </c>
      <c r="G59" s="10">
        <v>0</v>
      </c>
      <c r="H59" s="10">
        <v>0</v>
      </c>
      <c r="I59" s="10" t="s">
        <v>418</v>
      </c>
      <c r="J59" s="10">
        <f t="shared" si="4"/>
        <v>55</v>
      </c>
      <c r="K59" s="10">
        <f t="shared" si="1"/>
        <v>55</v>
      </c>
      <c r="L59" s="10">
        <f t="shared" si="2"/>
        <v>54</v>
      </c>
      <c r="M59" s="10" t="s">
        <v>2173</v>
      </c>
      <c r="N59" s="10" t="s">
        <v>324</v>
      </c>
      <c r="O59" s="10">
        <v>0</v>
      </c>
      <c r="P59" s="10"/>
    </row>
    <row r="60" spans="2:16" ht="15.6" x14ac:dyDescent="0.3">
      <c r="B60" s="10" t="s">
        <v>320</v>
      </c>
      <c r="C60" s="10" t="s">
        <v>2076</v>
      </c>
      <c r="D60" s="10">
        <v>1</v>
      </c>
      <c r="E60" s="10">
        <v>0</v>
      </c>
      <c r="F60" s="10">
        <v>0</v>
      </c>
      <c r="G60" s="10">
        <v>0</v>
      </c>
      <c r="H60" s="10">
        <v>0</v>
      </c>
      <c r="I60" s="10" t="s">
        <v>418</v>
      </c>
      <c r="J60" s="10">
        <f t="shared" si="4"/>
        <v>56</v>
      </c>
      <c r="K60" s="10">
        <f t="shared" si="1"/>
        <v>56</v>
      </c>
      <c r="L60" s="10">
        <f t="shared" si="2"/>
        <v>55</v>
      </c>
      <c r="M60" s="10" t="s">
        <v>2173</v>
      </c>
      <c r="N60" s="10" t="s">
        <v>324</v>
      </c>
      <c r="O60" s="10">
        <v>0</v>
      </c>
      <c r="P60" s="10"/>
    </row>
    <row r="61" spans="2:16" ht="15.6" x14ac:dyDescent="0.3">
      <c r="B61" s="10" t="s">
        <v>320</v>
      </c>
      <c r="C61" s="10" t="s">
        <v>2076</v>
      </c>
      <c r="D61" s="10">
        <v>1</v>
      </c>
      <c r="E61" s="10">
        <v>0</v>
      </c>
      <c r="F61" s="10">
        <v>0</v>
      </c>
      <c r="G61" s="10">
        <v>0</v>
      </c>
      <c r="H61" s="10">
        <v>0</v>
      </c>
      <c r="I61" s="10" t="s">
        <v>418</v>
      </c>
      <c r="J61" s="10">
        <f t="shared" si="4"/>
        <v>57</v>
      </c>
      <c r="K61" s="10">
        <f t="shared" si="1"/>
        <v>57</v>
      </c>
      <c r="L61" s="10">
        <f t="shared" si="2"/>
        <v>56</v>
      </c>
      <c r="M61" s="10" t="s">
        <v>2173</v>
      </c>
      <c r="N61" s="10" t="s">
        <v>324</v>
      </c>
      <c r="O61" s="10">
        <v>0</v>
      </c>
      <c r="P61" s="10"/>
    </row>
    <row r="62" spans="2:16" ht="15.6" x14ac:dyDescent="0.3">
      <c r="B62" s="10" t="s">
        <v>320</v>
      </c>
      <c r="C62" s="10" t="s">
        <v>2076</v>
      </c>
      <c r="D62" s="10">
        <v>1</v>
      </c>
      <c r="E62" s="10">
        <v>0</v>
      </c>
      <c r="F62" s="10">
        <v>0</v>
      </c>
      <c r="G62" s="10">
        <v>0</v>
      </c>
      <c r="H62" s="10">
        <v>0</v>
      </c>
      <c r="I62" s="10" t="s">
        <v>418</v>
      </c>
      <c r="J62" s="10">
        <f>J61+D62</f>
        <v>58</v>
      </c>
      <c r="K62" s="10">
        <f t="shared" si="1"/>
        <v>58</v>
      </c>
      <c r="L62" s="10">
        <f t="shared" si="2"/>
        <v>57</v>
      </c>
      <c r="M62" s="10" t="s">
        <v>2173</v>
      </c>
      <c r="N62" s="10" t="s">
        <v>324</v>
      </c>
      <c r="O62" s="10">
        <v>0</v>
      </c>
      <c r="P62" s="10"/>
    </row>
    <row r="63" spans="2:16" ht="15.6" x14ac:dyDescent="0.3">
      <c r="B63" s="10" t="s">
        <v>320</v>
      </c>
      <c r="C63" s="10" t="s">
        <v>2076</v>
      </c>
      <c r="D63" s="10">
        <v>1</v>
      </c>
      <c r="E63" s="10">
        <v>0</v>
      </c>
      <c r="F63" s="10">
        <v>0</v>
      </c>
      <c r="G63" s="10">
        <v>0</v>
      </c>
      <c r="H63" s="10">
        <v>0</v>
      </c>
      <c r="I63" s="10" t="s">
        <v>418</v>
      </c>
      <c r="J63" s="10">
        <f t="shared" ref="J63:J68" si="5">J62+D63</f>
        <v>59</v>
      </c>
      <c r="K63" s="10">
        <f t="shared" si="1"/>
        <v>59</v>
      </c>
      <c r="L63" s="10">
        <f t="shared" si="2"/>
        <v>58</v>
      </c>
      <c r="M63" s="10" t="s">
        <v>2173</v>
      </c>
      <c r="N63" s="10" t="s">
        <v>324</v>
      </c>
      <c r="O63" s="10">
        <v>0</v>
      </c>
      <c r="P63" s="10"/>
    </row>
    <row r="64" spans="2:16" ht="15.6" x14ac:dyDescent="0.3">
      <c r="B64" s="10" t="s">
        <v>320</v>
      </c>
      <c r="C64" s="10" t="s">
        <v>2076</v>
      </c>
      <c r="D64" s="10">
        <v>1</v>
      </c>
      <c r="E64" s="10">
        <v>0</v>
      </c>
      <c r="F64" s="10">
        <v>0</v>
      </c>
      <c r="G64" s="10">
        <v>0</v>
      </c>
      <c r="H64" s="10">
        <v>0</v>
      </c>
      <c r="I64" s="10" t="s">
        <v>418</v>
      </c>
      <c r="J64" s="10">
        <f t="shared" si="5"/>
        <v>60</v>
      </c>
      <c r="K64" s="10">
        <f t="shared" si="1"/>
        <v>60</v>
      </c>
      <c r="L64" s="10">
        <f t="shared" si="2"/>
        <v>59</v>
      </c>
      <c r="M64" s="10" t="s">
        <v>2173</v>
      </c>
      <c r="N64" s="10" t="s">
        <v>324</v>
      </c>
      <c r="O64" s="10">
        <v>0</v>
      </c>
      <c r="P64" s="10"/>
    </row>
    <row r="65" spans="2:16" ht="15.6" x14ac:dyDescent="0.3">
      <c r="B65" s="10" t="s">
        <v>320</v>
      </c>
      <c r="C65" s="10" t="s">
        <v>2076</v>
      </c>
      <c r="D65" s="10">
        <v>1</v>
      </c>
      <c r="E65" s="10">
        <v>0</v>
      </c>
      <c r="F65" s="10">
        <v>0</v>
      </c>
      <c r="G65" s="10">
        <v>0</v>
      </c>
      <c r="H65" s="10">
        <v>0</v>
      </c>
      <c r="I65" s="10" t="s">
        <v>418</v>
      </c>
      <c r="J65" s="10">
        <f t="shared" si="5"/>
        <v>61</v>
      </c>
      <c r="K65" s="10">
        <f t="shared" si="1"/>
        <v>61</v>
      </c>
      <c r="L65" s="10">
        <f t="shared" si="2"/>
        <v>60</v>
      </c>
      <c r="M65" s="10" t="s">
        <v>2173</v>
      </c>
      <c r="N65" s="10" t="s">
        <v>324</v>
      </c>
      <c r="O65" s="10">
        <v>0</v>
      </c>
      <c r="P65" s="10"/>
    </row>
    <row r="66" spans="2:16" ht="15.6" x14ac:dyDescent="0.3">
      <c r="B66" s="10" t="s">
        <v>320</v>
      </c>
      <c r="C66" s="10" t="s">
        <v>2076</v>
      </c>
      <c r="D66" s="10">
        <v>1</v>
      </c>
      <c r="E66" s="10">
        <v>0</v>
      </c>
      <c r="F66" s="10">
        <v>0</v>
      </c>
      <c r="G66" s="10">
        <v>0</v>
      </c>
      <c r="H66" s="10">
        <v>0</v>
      </c>
      <c r="I66" s="10" t="s">
        <v>418</v>
      </c>
      <c r="J66" s="10">
        <f t="shared" si="5"/>
        <v>62</v>
      </c>
      <c r="K66" s="10">
        <f t="shared" si="1"/>
        <v>62</v>
      </c>
      <c r="L66" s="10">
        <f t="shared" si="2"/>
        <v>61</v>
      </c>
      <c r="M66" s="10" t="s">
        <v>2173</v>
      </c>
      <c r="N66" s="10" t="s">
        <v>324</v>
      </c>
      <c r="O66" s="10">
        <v>0</v>
      </c>
      <c r="P66" s="10"/>
    </row>
    <row r="67" spans="2:16" ht="15.6" x14ac:dyDescent="0.3">
      <c r="B67" s="10" t="s">
        <v>2202</v>
      </c>
      <c r="C67" s="10" t="s">
        <v>2076</v>
      </c>
      <c r="D67" s="10">
        <v>1</v>
      </c>
      <c r="E67" s="10">
        <v>0</v>
      </c>
      <c r="F67" s="10">
        <v>0</v>
      </c>
      <c r="G67" s="10">
        <v>0</v>
      </c>
      <c r="H67" s="10">
        <v>0</v>
      </c>
      <c r="I67" s="10" t="s">
        <v>418</v>
      </c>
      <c r="J67" s="10">
        <f t="shared" si="5"/>
        <v>63</v>
      </c>
      <c r="K67" s="10">
        <f t="shared" si="1"/>
        <v>63</v>
      </c>
      <c r="L67" s="10">
        <f t="shared" si="2"/>
        <v>62</v>
      </c>
      <c r="M67" s="10" t="s">
        <v>2173</v>
      </c>
      <c r="N67" s="10" t="s">
        <v>324</v>
      </c>
      <c r="O67" s="10">
        <v>0</v>
      </c>
      <c r="P67" s="10"/>
    </row>
    <row r="68" spans="2:16" ht="15.6" x14ac:dyDescent="0.3">
      <c r="B68" s="10" t="s">
        <v>2203</v>
      </c>
      <c r="C68" s="10" t="s">
        <v>2076</v>
      </c>
      <c r="D68" s="10">
        <v>1</v>
      </c>
      <c r="E68" s="10">
        <v>0</v>
      </c>
      <c r="F68" s="10">
        <v>0</v>
      </c>
      <c r="G68" s="10">
        <v>0</v>
      </c>
      <c r="H68" s="10">
        <v>0</v>
      </c>
      <c r="I68" s="10" t="s">
        <v>418</v>
      </c>
      <c r="J68" s="10">
        <f t="shared" si="5"/>
        <v>64</v>
      </c>
      <c r="K68" s="10">
        <f t="shared" si="1"/>
        <v>64</v>
      </c>
      <c r="L68" s="10">
        <f t="shared" si="2"/>
        <v>63</v>
      </c>
      <c r="M68" s="10" t="s">
        <v>2173</v>
      </c>
      <c r="N68" s="10" t="s">
        <v>324</v>
      </c>
      <c r="O68" s="10">
        <v>0</v>
      </c>
      <c r="P68" s="10"/>
    </row>
  </sheetData>
  <mergeCells count="2">
    <mergeCell ref="B3:P3"/>
    <mergeCell ref="B36:P36"/>
  </mergeCells>
  <conditionalFormatting sqref="A2 Q2:XFD2">
    <cfRule type="cellIs" dxfId="1114" priority="93" stopIfTrue="1" operator="notEqual">
      <formula>INDIRECT("Dummy_for_Comparison6!"&amp;ADDRESS(ROW(),COLUMN()))</formula>
    </cfRule>
  </conditionalFormatting>
  <conditionalFormatting sqref="A15:A36 Q15:XFD36">
    <cfRule type="cellIs" dxfId="1113" priority="43" stopIfTrue="1" operator="notEqual">
      <formula>INDIRECT("Dummy_for_Comparison6!"&amp;ADDRESS(ROW(),COLUMN()))</formula>
    </cfRule>
  </conditionalFormatting>
  <conditionalFormatting sqref="B2:L2">
    <cfRule type="cellIs" dxfId="1112" priority="6" stopIfTrue="1" operator="notEqual">
      <formula>INDIRECT("Dummy_for_Comparison2!"&amp;ADDRESS(ROW(),COLUMN()))</formula>
    </cfRule>
  </conditionalFormatting>
  <conditionalFormatting sqref="B3:P3 Q3:XFD14">
    <cfRule type="cellIs" dxfId="1111" priority="98" stopIfTrue="1" operator="notEqual">
      <formula>INDIRECT("Dummy_for_Comparison8!"&amp;ADDRESS(ROW(),COLUMN()))</formula>
    </cfRule>
  </conditionalFormatting>
  <conditionalFormatting sqref="B4:P35">
    <cfRule type="cellIs" dxfId="1110" priority="1" stopIfTrue="1" operator="notEqual">
      <formula>INDIRECT("Dummy_for_Comparison2!"&amp;ADDRESS(ROW(),COLUMN()))</formula>
    </cfRule>
  </conditionalFormatting>
  <conditionalFormatting sqref="B36:P36">
    <cfRule type="cellIs" dxfId="1109" priority="42" stopIfTrue="1" operator="notEqual">
      <formula>INDIRECT("Dummy_for_Comparison8!"&amp;ADDRESS(ROW(),COLUMN()))</formula>
    </cfRule>
  </conditionalFormatting>
  <conditionalFormatting sqref="B37:P68">
    <cfRule type="cellIs" dxfId="1108" priority="5" stopIfTrue="1" operator="notEqual">
      <formula>INDIRECT("Dummy_for_Comparison2!"&amp;ADDRESS(ROW(),COLUMN()))</formula>
    </cfRule>
  </conditionalFormatting>
  <conditionalFormatting sqref="M2:N2">
    <cfRule type="cellIs" dxfId="1107" priority="14" stopIfTrue="1" operator="notEqual">
      <formula>INDIRECT("Dummy_for_Comparison6!"&amp;ADDRESS(ROW(),COLUMN()))</formula>
    </cfRule>
  </conditionalFormatting>
  <conditionalFormatting sqref="O2:P2">
    <cfRule type="cellIs" dxfId="1106" priority="15" stopIfTrue="1" operator="notEqual">
      <formula>INDIRECT("Dummy_for_Comparison2!"&amp;ADDRESS(ROW(),COLUMN()))</formula>
    </cfRule>
  </conditionalFormatting>
  <pageMargins left="0.7" right="0.7" top="0.75" bottom="0.75" header="0.3" footer="0.3"/>
  <headerFooter>
    <oddFooter>&amp;C_x000D_&amp;1#&amp;"Calibri"&amp;6&amp;K626469 General</oddFooter>
  </headerFooter>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V738"/>
  <sheetViews>
    <sheetView zoomScale="70" zoomScaleNormal="70" workbookViewId="0">
      <pane xSplit="1" ySplit="2" topLeftCell="B319" activePane="bottomRight" state="frozen"/>
      <selection pane="topRight" activeCell="C31" sqref="C31"/>
      <selection pane="bottomLeft" activeCell="C31" sqref="C31"/>
      <selection pane="bottomRight" activeCell="B339" sqref="B339:B347"/>
    </sheetView>
  </sheetViews>
  <sheetFormatPr defaultColWidth="9.44140625" defaultRowHeight="15.6" x14ac:dyDescent="0.3"/>
  <cols>
    <col min="1" max="1" width="9.44140625" style="6"/>
    <col min="2" max="2" width="52.21875" style="6" bestFit="1" customWidth="1"/>
    <col min="3" max="3" width="9.44140625" style="8" bestFit="1" customWidth="1"/>
    <col min="4" max="4" width="11.44140625" style="8" customWidth="1"/>
    <col min="5" max="5" width="12.5546875" style="8" customWidth="1"/>
    <col min="6" max="6" width="15.5546875" style="8" bestFit="1" customWidth="1"/>
    <col min="7" max="7" width="8.5546875" style="8" customWidth="1"/>
    <col min="8" max="8" width="11.44140625" style="8" customWidth="1"/>
    <col min="9" max="9" width="14" style="8" customWidth="1"/>
    <col min="10" max="12" width="14.44140625" style="8" customWidth="1"/>
    <col min="13" max="14" width="13.5546875" style="8" customWidth="1"/>
    <col min="15" max="15" width="10.44140625" style="8" bestFit="1" customWidth="1"/>
    <col min="16" max="16" width="8.5546875" style="8" bestFit="1" customWidth="1"/>
    <col min="17" max="20" width="9.44140625" style="6"/>
    <col min="21" max="21" width="11.44140625" style="6" bestFit="1" customWidth="1"/>
    <col min="22" max="16384" width="9.44140625" style="6"/>
  </cols>
  <sheetData>
    <row r="1" spans="2:22" ht="16.2" thickBot="1" x14ac:dyDescent="0.35"/>
    <row r="2" spans="2:22" ht="33" customHeight="1" thickBot="1" x14ac:dyDescent="0.35">
      <c r="B2" s="84" t="s">
        <v>303</v>
      </c>
      <c r="C2" s="65" t="s">
        <v>304</v>
      </c>
      <c r="D2" s="65" t="s">
        <v>2074</v>
      </c>
      <c r="E2" s="65" t="s">
        <v>307</v>
      </c>
      <c r="F2" s="65" t="s">
        <v>308</v>
      </c>
      <c r="G2" s="65" t="s">
        <v>309</v>
      </c>
      <c r="H2" s="65" t="s">
        <v>310</v>
      </c>
      <c r="I2" s="65" t="s">
        <v>311</v>
      </c>
      <c r="J2" s="65" t="s">
        <v>745</v>
      </c>
      <c r="K2" s="65" t="s">
        <v>312</v>
      </c>
      <c r="L2" s="65" t="s">
        <v>313</v>
      </c>
      <c r="M2" s="71" t="s">
        <v>314</v>
      </c>
      <c r="N2" s="71" t="s">
        <v>315</v>
      </c>
      <c r="O2" s="65" t="s">
        <v>316</v>
      </c>
      <c r="P2" s="66" t="s">
        <v>317</v>
      </c>
    </row>
    <row r="3" spans="2:22" x14ac:dyDescent="0.3">
      <c r="B3" s="496" t="s">
        <v>1935</v>
      </c>
      <c r="C3" s="496"/>
      <c r="D3" s="496"/>
      <c r="E3" s="496"/>
      <c r="F3" s="496"/>
      <c r="G3" s="496"/>
      <c r="H3" s="496"/>
      <c r="I3" s="496"/>
      <c r="J3" s="496"/>
      <c r="K3" s="496"/>
      <c r="L3" s="496"/>
      <c r="M3" s="496"/>
      <c r="N3" s="496"/>
      <c r="O3" s="496"/>
      <c r="P3" s="496"/>
    </row>
    <row r="4" spans="2:22" ht="15.75" customHeight="1" x14ac:dyDescent="0.3">
      <c r="B4" s="10" t="s">
        <v>2075</v>
      </c>
      <c r="C4" s="10" t="s">
        <v>2076</v>
      </c>
      <c r="D4" s="10">
        <v>1</v>
      </c>
      <c r="E4" s="10">
        <v>0</v>
      </c>
      <c r="F4" s="10">
        <v>1</v>
      </c>
      <c r="G4" s="10">
        <v>1</v>
      </c>
      <c r="H4" s="10">
        <v>1</v>
      </c>
      <c r="I4" s="10" t="s">
        <v>322</v>
      </c>
      <c r="J4" s="10">
        <v>10001</v>
      </c>
      <c r="K4" s="10">
        <f>J4-10000</f>
        <v>1</v>
      </c>
      <c r="L4" s="10">
        <f>K4-1</f>
        <v>0</v>
      </c>
      <c r="M4" s="10" t="s">
        <v>142</v>
      </c>
      <c r="N4" s="10" t="s">
        <v>324</v>
      </c>
      <c r="O4" s="10"/>
      <c r="P4" s="10"/>
      <c r="R4" s="13"/>
      <c r="S4" s="13"/>
      <c r="T4" s="13"/>
      <c r="U4" s="13"/>
      <c r="V4" s="33"/>
    </row>
    <row r="5" spans="2:22" ht="16.2" x14ac:dyDescent="0.3">
      <c r="B5" s="10" t="s">
        <v>2077</v>
      </c>
      <c r="C5" s="10" t="s">
        <v>2076</v>
      </c>
      <c r="D5" s="10">
        <v>1</v>
      </c>
      <c r="E5" s="10">
        <v>0</v>
      </c>
      <c r="F5" s="10">
        <v>1</v>
      </c>
      <c r="G5" s="10">
        <v>1</v>
      </c>
      <c r="H5" s="10">
        <v>1</v>
      </c>
      <c r="I5" s="10" t="s">
        <v>322</v>
      </c>
      <c r="J5" s="10">
        <f>J4+D4</f>
        <v>10002</v>
      </c>
      <c r="K5" s="10">
        <f t="shared" ref="K5:K71" si="0">J5-10000</f>
        <v>2</v>
      </c>
      <c r="L5" s="10">
        <f t="shared" ref="L5:L71" si="1">K5-1</f>
        <v>1</v>
      </c>
      <c r="M5" s="10" t="s">
        <v>142</v>
      </c>
      <c r="N5" s="10" t="s">
        <v>324</v>
      </c>
      <c r="O5" s="10"/>
      <c r="P5" s="10"/>
      <c r="R5" s="13"/>
      <c r="S5" s="13"/>
      <c r="T5" s="13"/>
      <c r="U5" s="13"/>
      <c r="V5" s="33"/>
    </row>
    <row r="6" spans="2:22" ht="16.2" x14ac:dyDescent="0.3">
      <c r="B6" s="10" t="s">
        <v>2078</v>
      </c>
      <c r="C6" s="10" t="s">
        <v>2076</v>
      </c>
      <c r="D6" s="10">
        <v>1</v>
      </c>
      <c r="E6" s="10">
        <v>0</v>
      </c>
      <c r="F6" s="10">
        <v>1</v>
      </c>
      <c r="G6" s="10">
        <v>1</v>
      </c>
      <c r="H6" s="10">
        <v>1</v>
      </c>
      <c r="I6" s="10" t="s">
        <v>322</v>
      </c>
      <c r="J6" s="10">
        <f t="shared" ref="J6:J20" si="2">J5+D5</f>
        <v>10003</v>
      </c>
      <c r="K6" s="10">
        <f t="shared" si="0"/>
        <v>3</v>
      </c>
      <c r="L6" s="10">
        <f t="shared" si="1"/>
        <v>2</v>
      </c>
      <c r="M6" s="10" t="s">
        <v>142</v>
      </c>
      <c r="N6" s="10" t="s">
        <v>324</v>
      </c>
      <c r="O6" s="10"/>
      <c r="P6" s="10"/>
      <c r="R6" s="33"/>
      <c r="S6" s="8"/>
      <c r="T6" s="8"/>
      <c r="U6" s="13"/>
      <c r="V6" s="33"/>
    </row>
    <row r="7" spans="2:22" ht="16.2" x14ac:dyDescent="0.3">
      <c r="B7" s="10" t="s">
        <v>2079</v>
      </c>
      <c r="C7" s="10" t="s">
        <v>2076</v>
      </c>
      <c r="D7" s="10">
        <v>1</v>
      </c>
      <c r="E7" s="10">
        <v>0</v>
      </c>
      <c r="F7" s="10">
        <v>1</v>
      </c>
      <c r="G7" s="10">
        <v>1</v>
      </c>
      <c r="H7" s="10">
        <v>1</v>
      </c>
      <c r="I7" s="10" t="s">
        <v>322</v>
      </c>
      <c r="J7" s="10">
        <f t="shared" si="2"/>
        <v>10004</v>
      </c>
      <c r="K7" s="10">
        <f t="shared" si="0"/>
        <v>4</v>
      </c>
      <c r="L7" s="10">
        <f t="shared" si="1"/>
        <v>3</v>
      </c>
      <c r="M7" s="10" t="s">
        <v>142</v>
      </c>
      <c r="N7" s="10" t="s">
        <v>324</v>
      </c>
      <c r="O7" s="10"/>
      <c r="P7" s="10"/>
      <c r="R7" s="33"/>
      <c r="S7" s="8"/>
      <c r="T7" s="8"/>
      <c r="U7" s="13"/>
      <c r="V7" s="33"/>
    </row>
    <row r="8" spans="2:22" x14ac:dyDescent="0.3">
      <c r="B8" s="10" t="s">
        <v>2080</v>
      </c>
      <c r="C8" s="10" t="s">
        <v>2076</v>
      </c>
      <c r="D8" s="10">
        <v>1</v>
      </c>
      <c r="E8" s="10">
        <v>0</v>
      </c>
      <c r="F8" s="10">
        <v>1</v>
      </c>
      <c r="G8" s="10">
        <v>1</v>
      </c>
      <c r="H8" s="10">
        <v>1</v>
      </c>
      <c r="I8" s="10" t="s">
        <v>322</v>
      </c>
      <c r="J8" s="10">
        <f t="shared" si="2"/>
        <v>10005</v>
      </c>
      <c r="K8" s="10">
        <f t="shared" si="0"/>
        <v>5</v>
      </c>
      <c r="L8" s="10">
        <f t="shared" si="1"/>
        <v>4</v>
      </c>
      <c r="M8" s="10" t="s">
        <v>142</v>
      </c>
      <c r="N8" s="10" t="s">
        <v>324</v>
      </c>
      <c r="O8" s="10"/>
      <c r="P8" s="10"/>
      <c r="R8" s="13"/>
      <c r="S8" s="13"/>
      <c r="T8" s="8"/>
      <c r="U8" s="21"/>
    </row>
    <row r="9" spans="2:22" x14ac:dyDescent="0.3">
      <c r="B9" s="10" t="s">
        <v>2081</v>
      </c>
      <c r="C9" s="10" t="s">
        <v>2076</v>
      </c>
      <c r="D9" s="10">
        <v>1</v>
      </c>
      <c r="E9" s="10">
        <v>0</v>
      </c>
      <c r="F9" s="10">
        <v>1</v>
      </c>
      <c r="G9" s="10">
        <v>1</v>
      </c>
      <c r="H9" s="10">
        <v>1</v>
      </c>
      <c r="I9" s="10" t="s">
        <v>322</v>
      </c>
      <c r="J9" s="10">
        <f t="shared" si="2"/>
        <v>10006</v>
      </c>
      <c r="K9" s="10">
        <f t="shared" si="0"/>
        <v>6</v>
      </c>
      <c r="L9" s="10">
        <f t="shared" si="1"/>
        <v>5</v>
      </c>
      <c r="M9" s="10" t="s">
        <v>142</v>
      </c>
      <c r="N9" s="10" t="s">
        <v>324</v>
      </c>
      <c r="O9" s="10"/>
      <c r="P9" s="10"/>
      <c r="R9" s="13"/>
      <c r="S9" s="13"/>
      <c r="T9" s="8"/>
      <c r="U9" s="21"/>
    </row>
    <row r="10" spans="2:22" x14ac:dyDescent="0.3">
      <c r="B10" s="10" t="s">
        <v>2082</v>
      </c>
      <c r="C10" s="10" t="s">
        <v>2076</v>
      </c>
      <c r="D10" s="10">
        <v>1</v>
      </c>
      <c r="E10" s="10">
        <v>0</v>
      </c>
      <c r="F10" s="10">
        <v>1</v>
      </c>
      <c r="G10" s="10">
        <v>1</v>
      </c>
      <c r="H10" s="10">
        <v>1</v>
      </c>
      <c r="I10" s="10" t="s">
        <v>322</v>
      </c>
      <c r="J10" s="10">
        <f t="shared" si="2"/>
        <v>10007</v>
      </c>
      <c r="K10" s="10">
        <f t="shared" si="0"/>
        <v>7</v>
      </c>
      <c r="L10" s="10">
        <f t="shared" si="1"/>
        <v>6</v>
      </c>
      <c r="M10" s="10" t="s">
        <v>142</v>
      </c>
      <c r="N10" s="10" t="s">
        <v>324</v>
      </c>
      <c r="O10" s="10"/>
      <c r="P10" s="10"/>
      <c r="R10" s="13"/>
      <c r="S10" s="13"/>
      <c r="T10" s="8"/>
      <c r="U10" s="13"/>
    </row>
    <row r="11" spans="2:22" x14ac:dyDescent="0.3">
      <c r="B11" s="10" t="s">
        <v>2083</v>
      </c>
      <c r="C11" s="10" t="s">
        <v>2076</v>
      </c>
      <c r="D11" s="10">
        <v>1</v>
      </c>
      <c r="E11" s="10">
        <v>0</v>
      </c>
      <c r="F11" s="10">
        <v>1</v>
      </c>
      <c r="G11" s="10">
        <v>1</v>
      </c>
      <c r="H11" s="10">
        <v>1</v>
      </c>
      <c r="I11" s="10" t="s">
        <v>322</v>
      </c>
      <c r="J11" s="10">
        <f t="shared" si="2"/>
        <v>10008</v>
      </c>
      <c r="K11" s="10">
        <f t="shared" si="0"/>
        <v>8</v>
      </c>
      <c r="L11" s="10">
        <f t="shared" si="1"/>
        <v>7</v>
      </c>
      <c r="M11" s="10" t="s">
        <v>142</v>
      </c>
      <c r="N11" s="10" t="s">
        <v>324</v>
      </c>
      <c r="O11" s="10"/>
      <c r="P11" s="10"/>
      <c r="R11" s="13"/>
      <c r="S11" s="13"/>
      <c r="T11" s="8"/>
      <c r="U11" s="13"/>
    </row>
    <row r="12" spans="2:22" x14ac:dyDescent="0.3">
      <c r="B12" s="10" t="s">
        <v>2084</v>
      </c>
      <c r="C12" s="10" t="s">
        <v>2076</v>
      </c>
      <c r="D12" s="10">
        <v>1</v>
      </c>
      <c r="E12" s="10">
        <v>0</v>
      </c>
      <c r="F12" s="10">
        <v>1</v>
      </c>
      <c r="G12" s="10">
        <v>1</v>
      </c>
      <c r="H12" s="10">
        <v>1</v>
      </c>
      <c r="I12" s="10" t="s">
        <v>322</v>
      </c>
      <c r="J12" s="10">
        <f t="shared" si="2"/>
        <v>10009</v>
      </c>
      <c r="K12" s="10">
        <f t="shared" si="0"/>
        <v>9</v>
      </c>
      <c r="L12" s="10">
        <f t="shared" si="1"/>
        <v>8</v>
      </c>
      <c r="M12" s="10" t="s">
        <v>142</v>
      </c>
      <c r="N12" s="10" t="s">
        <v>324</v>
      </c>
      <c r="O12" s="10"/>
      <c r="P12" s="10"/>
      <c r="R12" s="21"/>
      <c r="S12" s="21"/>
      <c r="T12" s="21"/>
      <c r="U12" s="21"/>
    </row>
    <row r="13" spans="2:22" x14ac:dyDescent="0.3">
      <c r="B13" s="10" t="s">
        <v>2085</v>
      </c>
      <c r="C13" s="10" t="s">
        <v>2076</v>
      </c>
      <c r="D13" s="10">
        <v>1</v>
      </c>
      <c r="E13" s="10">
        <v>0</v>
      </c>
      <c r="F13" s="10">
        <v>1</v>
      </c>
      <c r="G13" s="10">
        <v>1</v>
      </c>
      <c r="H13" s="10">
        <v>1</v>
      </c>
      <c r="I13" s="10" t="s">
        <v>322</v>
      </c>
      <c r="J13" s="10">
        <f t="shared" si="2"/>
        <v>10010</v>
      </c>
      <c r="K13" s="10">
        <f t="shared" si="0"/>
        <v>10</v>
      </c>
      <c r="L13" s="10">
        <f t="shared" si="1"/>
        <v>9</v>
      </c>
      <c r="M13" s="10" t="s">
        <v>142</v>
      </c>
      <c r="N13" s="10" t="s">
        <v>324</v>
      </c>
      <c r="O13" s="10"/>
      <c r="P13" s="10"/>
      <c r="R13" s="21"/>
      <c r="S13" s="21"/>
      <c r="T13" s="21"/>
      <c r="U13" s="21"/>
    </row>
    <row r="14" spans="2:22" x14ac:dyDescent="0.3">
      <c r="B14" s="10" t="s">
        <v>2086</v>
      </c>
      <c r="C14" s="10" t="s">
        <v>2076</v>
      </c>
      <c r="D14" s="10">
        <v>1</v>
      </c>
      <c r="E14" s="10">
        <v>0</v>
      </c>
      <c r="F14" s="10">
        <v>1</v>
      </c>
      <c r="G14" s="10">
        <v>1</v>
      </c>
      <c r="H14" s="10">
        <v>1</v>
      </c>
      <c r="I14" s="10" t="s">
        <v>322</v>
      </c>
      <c r="J14" s="10">
        <f t="shared" si="2"/>
        <v>10011</v>
      </c>
      <c r="K14" s="10">
        <f t="shared" si="0"/>
        <v>11</v>
      </c>
      <c r="L14" s="10">
        <f t="shared" si="1"/>
        <v>10</v>
      </c>
      <c r="M14" s="10" t="s">
        <v>142</v>
      </c>
      <c r="N14" s="10" t="s">
        <v>324</v>
      </c>
      <c r="O14" s="10"/>
      <c r="P14" s="10"/>
      <c r="R14" s="21"/>
      <c r="S14" s="21"/>
      <c r="T14" s="21"/>
      <c r="U14" s="21"/>
    </row>
    <row r="15" spans="2:22" x14ac:dyDescent="0.3">
      <c r="B15" s="10" t="s">
        <v>2087</v>
      </c>
      <c r="C15" s="10" t="s">
        <v>2076</v>
      </c>
      <c r="D15" s="10">
        <v>1</v>
      </c>
      <c r="E15" s="10">
        <v>0</v>
      </c>
      <c r="F15" s="10">
        <v>1</v>
      </c>
      <c r="G15" s="10">
        <v>1</v>
      </c>
      <c r="H15" s="10">
        <v>1</v>
      </c>
      <c r="I15" s="10" t="s">
        <v>322</v>
      </c>
      <c r="J15" s="10">
        <f t="shared" si="2"/>
        <v>10012</v>
      </c>
      <c r="K15" s="10">
        <f t="shared" si="0"/>
        <v>12</v>
      </c>
      <c r="L15" s="10">
        <f t="shared" si="1"/>
        <v>11</v>
      </c>
      <c r="M15" s="10" t="s">
        <v>142</v>
      </c>
      <c r="N15" s="10" t="s">
        <v>324</v>
      </c>
      <c r="O15" s="10"/>
      <c r="P15" s="10"/>
      <c r="R15" s="21"/>
      <c r="S15" s="21"/>
      <c r="T15" s="21"/>
      <c r="U15" s="21"/>
    </row>
    <row r="16" spans="2:22" x14ac:dyDescent="0.3">
      <c r="B16" s="10" t="s">
        <v>2088</v>
      </c>
      <c r="C16" s="10" t="s">
        <v>2076</v>
      </c>
      <c r="D16" s="10">
        <v>1</v>
      </c>
      <c r="E16" s="10">
        <v>0</v>
      </c>
      <c r="F16" s="10">
        <v>1</v>
      </c>
      <c r="G16" s="10">
        <v>1</v>
      </c>
      <c r="H16" s="10">
        <v>1</v>
      </c>
      <c r="I16" s="10" t="s">
        <v>322</v>
      </c>
      <c r="J16" s="10">
        <f t="shared" si="2"/>
        <v>10013</v>
      </c>
      <c r="K16" s="10">
        <f t="shared" si="0"/>
        <v>13</v>
      </c>
      <c r="L16" s="10">
        <f t="shared" si="1"/>
        <v>12</v>
      </c>
      <c r="M16" s="10" t="s">
        <v>142</v>
      </c>
      <c r="N16" s="10" t="s">
        <v>324</v>
      </c>
      <c r="O16" s="10"/>
      <c r="P16" s="10"/>
      <c r="R16" s="21"/>
      <c r="S16" s="21"/>
      <c r="T16" s="21"/>
      <c r="U16" s="21"/>
    </row>
    <row r="17" spans="2:22" x14ac:dyDescent="0.3">
      <c r="B17" s="10" t="s">
        <v>2089</v>
      </c>
      <c r="C17" s="10" t="s">
        <v>2076</v>
      </c>
      <c r="D17" s="10">
        <v>1</v>
      </c>
      <c r="E17" s="10">
        <v>0</v>
      </c>
      <c r="F17" s="10">
        <v>1</v>
      </c>
      <c r="G17" s="10">
        <v>1</v>
      </c>
      <c r="H17" s="10">
        <v>1</v>
      </c>
      <c r="I17" s="10" t="s">
        <v>322</v>
      </c>
      <c r="J17" s="10">
        <f t="shared" si="2"/>
        <v>10014</v>
      </c>
      <c r="K17" s="10">
        <f t="shared" si="0"/>
        <v>14</v>
      </c>
      <c r="L17" s="10">
        <f t="shared" si="1"/>
        <v>13</v>
      </c>
      <c r="M17" s="10" t="s">
        <v>142</v>
      </c>
      <c r="N17" s="10" t="s">
        <v>324</v>
      </c>
      <c r="O17" s="10"/>
      <c r="P17" s="10"/>
      <c r="R17" s="21"/>
      <c r="S17" s="21"/>
      <c r="T17" s="21"/>
      <c r="U17" s="21"/>
    </row>
    <row r="18" spans="2:22" x14ac:dyDescent="0.3">
      <c r="B18" s="10" t="s">
        <v>2090</v>
      </c>
      <c r="C18" s="10" t="s">
        <v>2076</v>
      </c>
      <c r="D18" s="10">
        <v>1</v>
      </c>
      <c r="E18" s="10">
        <v>0</v>
      </c>
      <c r="F18" s="10">
        <v>1</v>
      </c>
      <c r="G18" s="10">
        <v>1</v>
      </c>
      <c r="H18" s="10">
        <v>1</v>
      </c>
      <c r="I18" s="10" t="s">
        <v>322</v>
      </c>
      <c r="J18" s="10">
        <f t="shared" si="2"/>
        <v>10015</v>
      </c>
      <c r="K18" s="10">
        <f t="shared" si="0"/>
        <v>15</v>
      </c>
      <c r="L18" s="10">
        <f t="shared" si="1"/>
        <v>14</v>
      </c>
      <c r="M18" s="10" t="s">
        <v>142</v>
      </c>
      <c r="N18" s="10" t="s">
        <v>324</v>
      </c>
      <c r="O18" s="10"/>
      <c r="P18" s="10"/>
      <c r="R18" s="21"/>
      <c r="S18" s="21"/>
      <c r="T18" s="21"/>
      <c r="U18" s="21"/>
    </row>
    <row r="19" spans="2:22" x14ac:dyDescent="0.3">
      <c r="B19" s="10" t="s">
        <v>2091</v>
      </c>
      <c r="C19" s="10" t="s">
        <v>2076</v>
      </c>
      <c r="D19" s="10">
        <v>1</v>
      </c>
      <c r="E19" s="10">
        <v>0</v>
      </c>
      <c r="F19" s="10">
        <v>1</v>
      </c>
      <c r="G19" s="10">
        <v>1</v>
      </c>
      <c r="H19" s="10">
        <v>1</v>
      </c>
      <c r="I19" s="10" t="s">
        <v>322</v>
      </c>
      <c r="J19" s="10">
        <f t="shared" si="2"/>
        <v>10016</v>
      </c>
      <c r="K19" s="10">
        <f t="shared" si="0"/>
        <v>16</v>
      </c>
      <c r="L19" s="10">
        <f t="shared" si="1"/>
        <v>15</v>
      </c>
      <c r="M19" s="10" t="s">
        <v>142</v>
      </c>
      <c r="N19" s="10" t="s">
        <v>324</v>
      </c>
      <c r="O19" s="10"/>
      <c r="P19" s="10"/>
      <c r="R19" s="21"/>
      <c r="S19" s="21"/>
      <c r="T19" s="21"/>
      <c r="U19" s="21"/>
    </row>
    <row r="20" spans="2:22" ht="15.75" customHeight="1" x14ac:dyDescent="0.3">
      <c r="B20" s="10" t="s">
        <v>2092</v>
      </c>
      <c r="C20" s="10" t="s">
        <v>2076</v>
      </c>
      <c r="D20" s="10">
        <v>1</v>
      </c>
      <c r="E20" s="10">
        <v>0</v>
      </c>
      <c r="F20" s="10">
        <v>1</v>
      </c>
      <c r="G20" s="10">
        <v>1</v>
      </c>
      <c r="H20" s="10">
        <v>1</v>
      </c>
      <c r="I20" s="10" t="s">
        <v>322</v>
      </c>
      <c r="J20" s="10">
        <f t="shared" si="2"/>
        <v>10017</v>
      </c>
      <c r="K20" s="10">
        <f t="shared" si="0"/>
        <v>17</v>
      </c>
      <c r="L20" s="10">
        <f t="shared" si="1"/>
        <v>16</v>
      </c>
      <c r="M20" s="10" t="s">
        <v>142</v>
      </c>
      <c r="N20" s="10" t="s">
        <v>324</v>
      </c>
      <c r="O20" s="10"/>
      <c r="P20" s="10"/>
      <c r="R20" s="13"/>
      <c r="S20" s="13"/>
      <c r="T20" s="13"/>
      <c r="U20" s="13"/>
      <c r="V20" s="33"/>
    </row>
    <row r="21" spans="2:22" ht="16.2" x14ac:dyDescent="0.3">
      <c r="B21" s="10" t="s">
        <v>2093</v>
      </c>
      <c r="C21" s="10" t="s">
        <v>2076</v>
      </c>
      <c r="D21" s="10">
        <v>1</v>
      </c>
      <c r="E21" s="10">
        <v>0</v>
      </c>
      <c r="F21" s="10">
        <v>1</v>
      </c>
      <c r="G21" s="10">
        <v>1</v>
      </c>
      <c r="H21" s="10">
        <v>1</v>
      </c>
      <c r="I21" s="10" t="s">
        <v>322</v>
      </c>
      <c r="J21" s="10">
        <f>J20+D20</f>
        <v>10018</v>
      </c>
      <c r="K21" s="10">
        <f t="shared" si="0"/>
        <v>18</v>
      </c>
      <c r="L21" s="10">
        <f t="shared" si="1"/>
        <v>17</v>
      </c>
      <c r="M21" s="10" t="s">
        <v>142</v>
      </c>
      <c r="N21" s="10" t="s">
        <v>324</v>
      </c>
      <c r="O21" s="10"/>
      <c r="P21" s="10"/>
      <c r="R21" s="13"/>
      <c r="S21" s="13"/>
      <c r="T21" s="13"/>
      <c r="U21" s="13"/>
      <c r="V21" s="33"/>
    </row>
    <row r="22" spans="2:22" ht="16.2" x14ac:dyDescent="0.3">
      <c r="B22" s="10" t="s">
        <v>2094</v>
      </c>
      <c r="C22" s="10" t="s">
        <v>2076</v>
      </c>
      <c r="D22" s="10">
        <v>1</v>
      </c>
      <c r="E22" s="10">
        <v>0</v>
      </c>
      <c r="F22" s="10">
        <v>1</v>
      </c>
      <c r="G22" s="10">
        <v>1</v>
      </c>
      <c r="H22" s="10">
        <v>1</v>
      </c>
      <c r="I22" s="10" t="s">
        <v>322</v>
      </c>
      <c r="J22" s="10">
        <f t="shared" ref="J22:J35" si="3">J21+D21</f>
        <v>10019</v>
      </c>
      <c r="K22" s="10">
        <f t="shared" si="0"/>
        <v>19</v>
      </c>
      <c r="L22" s="10">
        <f t="shared" si="1"/>
        <v>18</v>
      </c>
      <c r="M22" s="10" t="s">
        <v>142</v>
      </c>
      <c r="N22" s="10" t="s">
        <v>324</v>
      </c>
      <c r="O22" s="10"/>
      <c r="P22" s="10"/>
      <c r="R22" s="33"/>
      <c r="S22" s="8"/>
      <c r="T22" s="8"/>
      <c r="U22" s="13"/>
      <c r="V22" s="33"/>
    </row>
    <row r="23" spans="2:22" ht="16.2" x14ac:dyDescent="0.3">
      <c r="B23" s="10" t="s">
        <v>2095</v>
      </c>
      <c r="C23" s="10" t="s">
        <v>2076</v>
      </c>
      <c r="D23" s="10">
        <v>1</v>
      </c>
      <c r="E23" s="10">
        <v>0</v>
      </c>
      <c r="F23" s="10">
        <v>1</v>
      </c>
      <c r="G23" s="10">
        <v>1</v>
      </c>
      <c r="H23" s="10">
        <v>1</v>
      </c>
      <c r="I23" s="10" t="s">
        <v>322</v>
      </c>
      <c r="J23" s="10">
        <f t="shared" si="3"/>
        <v>10020</v>
      </c>
      <c r="K23" s="10">
        <f t="shared" si="0"/>
        <v>20</v>
      </c>
      <c r="L23" s="10">
        <f t="shared" si="1"/>
        <v>19</v>
      </c>
      <c r="M23" s="10" t="s">
        <v>142</v>
      </c>
      <c r="N23" s="10" t="s">
        <v>324</v>
      </c>
      <c r="O23" s="10"/>
      <c r="P23" s="10"/>
      <c r="R23" s="33"/>
      <c r="S23" s="8"/>
      <c r="T23" s="8"/>
      <c r="U23" s="13"/>
      <c r="V23" s="33"/>
    </row>
    <row r="24" spans="2:22" x14ac:dyDescent="0.3">
      <c r="B24" s="10" t="s">
        <v>2096</v>
      </c>
      <c r="C24" s="10" t="s">
        <v>2076</v>
      </c>
      <c r="D24" s="10">
        <v>1</v>
      </c>
      <c r="E24" s="10">
        <v>0</v>
      </c>
      <c r="F24" s="10">
        <v>1</v>
      </c>
      <c r="G24" s="10">
        <v>1</v>
      </c>
      <c r="H24" s="10">
        <v>1</v>
      </c>
      <c r="I24" s="10" t="s">
        <v>322</v>
      </c>
      <c r="J24" s="10">
        <f t="shared" si="3"/>
        <v>10021</v>
      </c>
      <c r="K24" s="10">
        <f t="shared" si="0"/>
        <v>21</v>
      </c>
      <c r="L24" s="10">
        <f t="shared" si="1"/>
        <v>20</v>
      </c>
      <c r="M24" s="10" t="s">
        <v>142</v>
      </c>
      <c r="N24" s="10" t="s">
        <v>324</v>
      </c>
      <c r="O24" s="10"/>
      <c r="P24" s="10"/>
      <c r="R24" s="13"/>
      <c r="S24" s="13"/>
      <c r="T24" s="8"/>
      <c r="U24" s="21"/>
    </row>
    <row r="25" spans="2:22" x14ac:dyDescent="0.3">
      <c r="B25" s="10" t="s">
        <v>2097</v>
      </c>
      <c r="C25" s="10" t="s">
        <v>2076</v>
      </c>
      <c r="D25" s="10">
        <v>1</v>
      </c>
      <c r="E25" s="10">
        <v>0</v>
      </c>
      <c r="F25" s="10">
        <v>1</v>
      </c>
      <c r="G25" s="10">
        <v>1</v>
      </c>
      <c r="H25" s="10">
        <v>1</v>
      </c>
      <c r="I25" s="10" t="s">
        <v>322</v>
      </c>
      <c r="J25" s="10">
        <f t="shared" si="3"/>
        <v>10022</v>
      </c>
      <c r="K25" s="10">
        <f t="shared" si="0"/>
        <v>22</v>
      </c>
      <c r="L25" s="10">
        <f t="shared" si="1"/>
        <v>21</v>
      </c>
      <c r="M25" s="10" t="s">
        <v>142</v>
      </c>
      <c r="N25" s="10" t="s">
        <v>324</v>
      </c>
      <c r="O25" s="10"/>
      <c r="P25" s="10"/>
      <c r="R25" s="13"/>
      <c r="S25" s="13"/>
      <c r="T25" s="8"/>
      <c r="U25" s="21"/>
    </row>
    <row r="26" spans="2:22" x14ac:dyDescent="0.3">
      <c r="B26" s="10" t="s">
        <v>2098</v>
      </c>
      <c r="C26" s="10" t="s">
        <v>2076</v>
      </c>
      <c r="D26" s="10">
        <v>1</v>
      </c>
      <c r="E26" s="10">
        <v>0</v>
      </c>
      <c r="F26" s="10">
        <v>1</v>
      </c>
      <c r="G26" s="10">
        <v>1</v>
      </c>
      <c r="H26" s="10">
        <v>1</v>
      </c>
      <c r="I26" s="10" t="s">
        <v>322</v>
      </c>
      <c r="J26" s="10">
        <f t="shared" si="3"/>
        <v>10023</v>
      </c>
      <c r="K26" s="10">
        <f t="shared" si="0"/>
        <v>23</v>
      </c>
      <c r="L26" s="10">
        <f t="shared" si="1"/>
        <v>22</v>
      </c>
      <c r="M26" s="10" t="s">
        <v>142</v>
      </c>
      <c r="N26" s="10" t="s">
        <v>324</v>
      </c>
      <c r="O26" s="10"/>
      <c r="P26" s="10"/>
      <c r="R26" s="13"/>
      <c r="S26" s="13"/>
      <c r="T26" s="8"/>
      <c r="U26" s="13"/>
    </row>
    <row r="27" spans="2:22" x14ac:dyDescent="0.3">
      <c r="B27" s="10" t="s">
        <v>2099</v>
      </c>
      <c r="C27" s="10" t="s">
        <v>2076</v>
      </c>
      <c r="D27" s="10">
        <v>1</v>
      </c>
      <c r="E27" s="10">
        <v>0</v>
      </c>
      <c r="F27" s="10">
        <v>1</v>
      </c>
      <c r="G27" s="10">
        <v>1</v>
      </c>
      <c r="H27" s="10">
        <v>1</v>
      </c>
      <c r="I27" s="10" t="s">
        <v>322</v>
      </c>
      <c r="J27" s="10">
        <f t="shared" si="3"/>
        <v>10024</v>
      </c>
      <c r="K27" s="10">
        <f t="shared" si="0"/>
        <v>24</v>
      </c>
      <c r="L27" s="10">
        <f t="shared" si="1"/>
        <v>23</v>
      </c>
      <c r="M27" s="10" t="s">
        <v>142</v>
      </c>
      <c r="N27" s="10" t="s">
        <v>324</v>
      </c>
      <c r="O27" s="10"/>
      <c r="P27" s="10"/>
      <c r="R27" s="13"/>
      <c r="S27" s="13"/>
      <c r="T27" s="8"/>
      <c r="U27" s="13"/>
    </row>
    <row r="28" spans="2:22" x14ac:dyDescent="0.3">
      <c r="B28" s="10" t="s">
        <v>2100</v>
      </c>
      <c r="C28" s="10" t="s">
        <v>2076</v>
      </c>
      <c r="D28" s="10">
        <v>1</v>
      </c>
      <c r="E28" s="10">
        <v>0</v>
      </c>
      <c r="F28" s="10">
        <v>1</v>
      </c>
      <c r="G28" s="10">
        <v>1</v>
      </c>
      <c r="H28" s="10">
        <v>1</v>
      </c>
      <c r="I28" s="10" t="s">
        <v>322</v>
      </c>
      <c r="J28" s="10">
        <f t="shared" si="3"/>
        <v>10025</v>
      </c>
      <c r="K28" s="10">
        <f t="shared" si="0"/>
        <v>25</v>
      </c>
      <c r="L28" s="10">
        <f t="shared" si="1"/>
        <v>24</v>
      </c>
      <c r="M28" s="10" t="s">
        <v>142</v>
      </c>
      <c r="N28" s="10" t="s">
        <v>324</v>
      </c>
      <c r="O28" s="10"/>
      <c r="P28" s="10"/>
      <c r="R28" s="21"/>
      <c r="S28" s="21"/>
      <c r="T28" s="21"/>
      <c r="U28" s="21"/>
    </row>
    <row r="29" spans="2:22" x14ac:dyDescent="0.3">
      <c r="B29" s="10" t="s">
        <v>2101</v>
      </c>
      <c r="C29" s="10" t="s">
        <v>2076</v>
      </c>
      <c r="D29" s="10">
        <v>1</v>
      </c>
      <c r="E29" s="10">
        <v>0</v>
      </c>
      <c r="F29" s="10">
        <v>1</v>
      </c>
      <c r="G29" s="10">
        <v>1</v>
      </c>
      <c r="H29" s="10">
        <v>1</v>
      </c>
      <c r="I29" s="10" t="s">
        <v>322</v>
      </c>
      <c r="J29" s="10">
        <f t="shared" si="3"/>
        <v>10026</v>
      </c>
      <c r="K29" s="10">
        <f t="shared" si="0"/>
        <v>26</v>
      </c>
      <c r="L29" s="10">
        <f t="shared" si="1"/>
        <v>25</v>
      </c>
      <c r="M29" s="10" t="s">
        <v>142</v>
      </c>
      <c r="N29" s="10" t="s">
        <v>324</v>
      </c>
      <c r="O29" s="10"/>
      <c r="P29" s="10"/>
      <c r="R29" s="21"/>
      <c r="S29" s="21"/>
      <c r="T29" s="21"/>
      <c r="U29" s="21"/>
    </row>
    <row r="30" spans="2:22" x14ac:dyDescent="0.3">
      <c r="B30" s="10" t="s">
        <v>2102</v>
      </c>
      <c r="C30" s="10" t="s">
        <v>2076</v>
      </c>
      <c r="D30" s="10">
        <v>1</v>
      </c>
      <c r="E30" s="10">
        <v>0</v>
      </c>
      <c r="F30" s="10">
        <v>1</v>
      </c>
      <c r="G30" s="10">
        <v>1</v>
      </c>
      <c r="H30" s="10">
        <v>1</v>
      </c>
      <c r="I30" s="10" t="s">
        <v>322</v>
      </c>
      <c r="J30" s="10">
        <f t="shared" si="3"/>
        <v>10027</v>
      </c>
      <c r="K30" s="10">
        <f t="shared" si="0"/>
        <v>27</v>
      </c>
      <c r="L30" s="10">
        <f t="shared" si="1"/>
        <v>26</v>
      </c>
      <c r="M30" s="10" t="s">
        <v>142</v>
      </c>
      <c r="N30" s="10" t="s">
        <v>324</v>
      </c>
      <c r="O30" s="10"/>
      <c r="P30" s="10"/>
      <c r="R30" s="21"/>
      <c r="S30" s="21"/>
      <c r="T30" s="21"/>
      <c r="U30" s="21"/>
    </row>
    <row r="31" spans="2:22" x14ac:dyDescent="0.3">
      <c r="B31" s="10" t="s">
        <v>2103</v>
      </c>
      <c r="C31" s="10" t="s">
        <v>2076</v>
      </c>
      <c r="D31" s="10">
        <v>1</v>
      </c>
      <c r="E31" s="10">
        <v>0</v>
      </c>
      <c r="F31" s="10">
        <v>1</v>
      </c>
      <c r="G31" s="10">
        <v>1</v>
      </c>
      <c r="H31" s="10">
        <v>1</v>
      </c>
      <c r="I31" s="10" t="s">
        <v>322</v>
      </c>
      <c r="J31" s="10">
        <f t="shared" si="3"/>
        <v>10028</v>
      </c>
      <c r="K31" s="10">
        <f t="shared" si="0"/>
        <v>28</v>
      </c>
      <c r="L31" s="10">
        <f t="shared" si="1"/>
        <v>27</v>
      </c>
      <c r="M31" s="10" t="s">
        <v>142</v>
      </c>
      <c r="N31" s="10" t="s">
        <v>324</v>
      </c>
      <c r="O31" s="10"/>
      <c r="P31" s="10"/>
      <c r="R31" s="21"/>
      <c r="S31" s="21"/>
      <c r="T31" s="21"/>
      <c r="U31" s="21"/>
    </row>
    <row r="32" spans="2:22" x14ac:dyDescent="0.3">
      <c r="B32" s="10" t="s">
        <v>2104</v>
      </c>
      <c r="C32" s="10" t="s">
        <v>2076</v>
      </c>
      <c r="D32" s="10">
        <v>1</v>
      </c>
      <c r="E32" s="10">
        <v>0</v>
      </c>
      <c r="F32" s="10">
        <v>1</v>
      </c>
      <c r="G32" s="10">
        <v>1</v>
      </c>
      <c r="H32" s="10">
        <v>1</v>
      </c>
      <c r="I32" s="10" t="s">
        <v>322</v>
      </c>
      <c r="J32" s="10">
        <f t="shared" si="3"/>
        <v>10029</v>
      </c>
      <c r="K32" s="10">
        <f t="shared" si="0"/>
        <v>29</v>
      </c>
      <c r="L32" s="10">
        <f t="shared" si="1"/>
        <v>28</v>
      </c>
      <c r="M32" s="10" t="s">
        <v>142</v>
      </c>
      <c r="N32" s="10" t="s">
        <v>324</v>
      </c>
      <c r="O32" s="10"/>
      <c r="P32" s="10"/>
      <c r="R32" s="21"/>
      <c r="S32" s="21"/>
      <c r="T32" s="21"/>
      <c r="U32" s="21"/>
    </row>
    <row r="33" spans="2:22" x14ac:dyDescent="0.3">
      <c r="B33" s="10" t="s">
        <v>2105</v>
      </c>
      <c r="C33" s="10" t="s">
        <v>2076</v>
      </c>
      <c r="D33" s="10">
        <v>1</v>
      </c>
      <c r="E33" s="10">
        <v>0</v>
      </c>
      <c r="F33" s="10">
        <v>1</v>
      </c>
      <c r="G33" s="10">
        <v>1</v>
      </c>
      <c r="H33" s="10">
        <v>1</v>
      </c>
      <c r="I33" s="10" t="s">
        <v>322</v>
      </c>
      <c r="J33" s="10">
        <f t="shared" si="3"/>
        <v>10030</v>
      </c>
      <c r="K33" s="10">
        <f t="shared" si="0"/>
        <v>30</v>
      </c>
      <c r="L33" s="10">
        <f t="shared" si="1"/>
        <v>29</v>
      </c>
      <c r="M33" s="10" t="s">
        <v>142</v>
      </c>
      <c r="N33" s="10" t="s">
        <v>324</v>
      </c>
      <c r="O33" s="10"/>
      <c r="P33" s="10"/>
      <c r="R33" s="21"/>
      <c r="S33" s="21"/>
      <c r="T33" s="21"/>
      <c r="U33" s="21"/>
    </row>
    <row r="34" spans="2:22" x14ac:dyDescent="0.3">
      <c r="B34" s="10" t="s">
        <v>2106</v>
      </c>
      <c r="C34" s="10" t="s">
        <v>2076</v>
      </c>
      <c r="D34" s="10">
        <v>1</v>
      </c>
      <c r="E34" s="10">
        <v>0</v>
      </c>
      <c r="F34" s="10">
        <v>1</v>
      </c>
      <c r="G34" s="10">
        <v>1</v>
      </c>
      <c r="H34" s="10">
        <v>1</v>
      </c>
      <c r="I34" s="10" t="s">
        <v>322</v>
      </c>
      <c r="J34" s="10">
        <f t="shared" si="3"/>
        <v>10031</v>
      </c>
      <c r="K34" s="10">
        <f t="shared" si="0"/>
        <v>31</v>
      </c>
      <c r="L34" s="10">
        <f t="shared" si="1"/>
        <v>30</v>
      </c>
      <c r="M34" s="10" t="s">
        <v>142</v>
      </c>
      <c r="N34" s="10" t="s">
        <v>324</v>
      </c>
      <c r="O34" s="10"/>
      <c r="P34" s="10"/>
      <c r="R34" s="21"/>
      <c r="S34" s="21"/>
      <c r="T34" s="21"/>
      <c r="U34" s="21"/>
    </row>
    <row r="35" spans="2:22" x14ac:dyDescent="0.3">
      <c r="B35" s="10" t="s">
        <v>2107</v>
      </c>
      <c r="C35" s="10" t="s">
        <v>2076</v>
      </c>
      <c r="D35" s="10">
        <v>1</v>
      </c>
      <c r="E35" s="10">
        <v>0</v>
      </c>
      <c r="F35" s="10">
        <v>1</v>
      </c>
      <c r="G35" s="10">
        <v>1</v>
      </c>
      <c r="H35" s="10">
        <v>1</v>
      </c>
      <c r="I35" s="10" t="s">
        <v>322</v>
      </c>
      <c r="J35" s="10">
        <f t="shared" si="3"/>
        <v>10032</v>
      </c>
      <c r="K35" s="10">
        <f t="shared" si="0"/>
        <v>32</v>
      </c>
      <c r="L35" s="10">
        <f t="shared" si="1"/>
        <v>31</v>
      </c>
      <c r="M35" s="10" t="s">
        <v>142</v>
      </c>
      <c r="N35" s="10" t="s">
        <v>324</v>
      </c>
      <c r="O35" s="10"/>
      <c r="P35" s="10"/>
      <c r="R35" s="21"/>
      <c r="S35" s="21"/>
      <c r="T35" s="21"/>
      <c r="U35" s="21"/>
    </row>
    <row r="36" spans="2:22" x14ac:dyDescent="0.3">
      <c r="B36" s="496" t="s">
        <v>1936</v>
      </c>
      <c r="C36" s="496"/>
      <c r="D36" s="496"/>
      <c r="E36" s="496"/>
      <c r="F36" s="496"/>
      <c r="G36" s="496"/>
      <c r="H36" s="496"/>
      <c r="I36" s="496"/>
      <c r="J36" s="496"/>
      <c r="K36" s="496"/>
      <c r="L36" s="496"/>
      <c r="M36" s="496"/>
      <c r="N36" s="496"/>
      <c r="O36" s="496"/>
      <c r="P36" s="496"/>
    </row>
    <row r="37" spans="2:22" ht="15.75" customHeight="1" x14ac:dyDescent="0.3">
      <c r="B37" s="10" t="s">
        <v>2108</v>
      </c>
      <c r="C37" s="10" t="s">
        <v>2076</v>
      </c>
      <c r="D37" s="10">
        <v>1</v>
      </c>
      <c r="E37" s="10">
        <v>0</v>
      </c>
      <c r="F37" s="10">
        <v>1</v>
      </c>
      <c r="G37" s="10">
        <v>1</v>
      </c>
      <c r="H37" s="10">
        <v>1</v>
      </c>
      <c r="I37" s="10" t="s">
        <v>322</v>
      </c>
      <c r="J37" s="10">
        <f>J35+1</f>
        <v>10033</v>
      </c>
      <c r="K37" s="10">
        <f t="shared" si="0"/>
        <v>33</v>
      </c>
      <c r="L37" s="10">
        <f t="shared" si="1"/>
        <v>32</v>
      </c>
      <c r="M37" s="10" t="s">
        <v>142</v>
      </c>
      <c r="N37" s="10" t="s">
        <v>324</v>
      </c>
      <c r="O37" s="10"/>
      <c r="P37" s="10"/>
      <c r="R37" s="13"/>
      <c r="S37" s="13"/>
      <c r="T37" s="13"/>
      <c r="U37" s="13"/>
      <c r="V37" s="33"/>
    </row>
    <row r="38" spans="2:22" ht="16.2" x14ac:dyDescent="0.3">
      <c r="B38" s="10" t="s">
        <v>2109</v>
      </c>
      <c r="C38" s="10" t="s">
        <v>2076</v>
      </c>
      <c r="D38" s="10">
        <v>1</v>
      </c>
      <c r="E38" s="10">
        <v>0</v>
      </c>
      <c r="F38" s="10">
        <v>1</v>
      </c>
      <c r="G38" s="10">
        <v>1</v>
      </c>
      <c r="H38" s="10">
        <v>1</v>
      </c>
      <c r="I38" s="10" t="s">
        <v>322</v>
      </c>
      <c r="J38" s="10">
        <f>J37+D37</f>
        <v>10034</v>
      </c>
      <c r="K38" s="10">
        <f t="shared" si="0"/>
        <v>34</v>
      </c>
      <c r="L38" s="10">
        <f t="shared" si="1"/>
        <v>33</v>
      </c>
      <c r="M38" s="10" t="s">
        <v>142</v>
      </c>
      <c r="N38" s="10" t="s">
        <v>324</v>
      </c>
      <c r="O38" s="10"/>
      <c r="P38" s="10"/>
      <c r="R38" s="13"/>
      <c r="S38" s="13"/>
      <c r="T38" s="13"/>
      <c r="U38" s="13"/>
      <c r="V38" s="33"/>
    </row>
    <row r="39" spans="2:22" ht="16.2" x14ac:dyDescent="0.3">
      <c r="B39" s="10" t="s">
        <v>2110</v>
      </c>
      <c r="C39" s="10" t="s">
        <v>2076</v>
      </c>
      <c r="D39" s="10">
        <v>1</v>
      </c>
      <c r="E39" s="10">
        <v>0</v>
      </c>
      <c r="F39" s="10">
        <v>1</v>
      </c>
      <c r="G39" s="10">
        <v>1</v>
      </c>
      <c r="H39" s="10">
        <v>1</v>
      </c>
      <c r="I39" s="10" t="s">
        <v>322</v>
      </c>
      <c r="J39" s="10">
        <f t="shared" ref="J39:J53" si="4">J38+D38</f>
        <v>10035</v>
      </c>
      <c r="K39" s="10">
        <f t="shared" si="0"/>
        <v>35</v>
      </c>
      <c r="L39" s="10">
        <f t="shared" si="1"/>
        <v>34</v>
      </c>
      <c r="M39" s="10" t="s">
        <v>142</v>
      </c>
      <c r="N39" s="10" t="s">
        <v>324</v>
      </c>
      <c r="O39" s="10"/>
      <c r="P39" s="10"/>
      <c r="R39" s="33"/>
      <c r="S39" s="8"/>
      <c r="T39" s="8"/>
      <c r="U39" s="13"/>
      <c r="V39" s="33"/>
    </row>
    <row r="40" spans="2:22" ht="16.2" x14ac:dyDescent="0.3">
      <c r="B40" s="10" t="s">
        <v>2111</v>
      </c>
      <c r="C40" s="10" t="s">
        <v>2076</v>
      </c>
      <c r="D40" s="10">
        <v>1</v>
      </c>
      <c r="E40" s="10">
        <v>0</v>
      </c>
      <c r="F40" s="10">
        <v>1</v>
      </c>
      <c r="G40" s="10">
        <v>1</v>
      </c>
      <c r="H40" s="10">
        <v>1</v>
      </c>
      <c r="I40" s="10" t="s">
        <v>322</v>
      </c>
      <c r="J40" s="10">
        <f t="shared" si="4"/>
        <v>10036</v>
      </c>
      <c r="K40" s="10">
        <f t="shared" si="0"/>
        <v>36</v>
      </c>
      <c r="L40" s="10">
        <f t="shared" si="1"/>
        <v>35</v>
      </c>
      <c r="M40" s="10" t="s">
        <v>142</v>
      </c>
      <c r="N40" s="10" t="s">
        <v>324</v>
      </c>
      <c r="O40" s="10"/>
      <c r="P40" s="10"/>
      <c r="R40" s="33"/>
      <c r="S40" s="8"/>
      <c r="T40" s="8"/>
      <c r="U40" s="13"/>
      <c r="V40" s="33"/>
    </row>
    <row r="41" spans="2:22" x14ac:dyDescent="0.3">
      <c r="B41" s="10" t="s">
        <v>2112</v>
      </c>
      <c r="C41" s="10" t="s">
        <v>2076</v>
      </c>
      <c r="D41" s="10">
        <v>1</v>
      </c>
      <c r="E41" s="10">
        <v>0</v>
      </c>
      <c r="F41" s="10">
        <v>1</v>
      </c>
      <c r="G41" s="10">
        <v>1</v>
      </c>
      <c r="H41" s="10">
        <v>1</v>
      </c>
      <c r="I41" s="10" t="s">
        <v>322</v>
      </c>
      <c r="J41" s="10">
        <f t="shared" si="4"/>
        <v>10037</v>
      </c>
      <c r="K41" s="10">
        <f t="shared" si="0"/>
        <v>37</v>
      </c>
      <c r="L41" s="10">
        <f t="shared" si="1"/>
        <v>36</v>
      </c>
      <c r="M41" s="10" t="s">
        <v>142</v>
      </c>
      <c r="N41" s="10" t="s">
        <v>324</v>
      </c>
      <c r="O41" s="10"/>
      <c r="P41" s="10"/>
      <c r="R41" s="13"/>
      <c r="S41" s="13"/>
      <c r="T41" s="8"/>
      <c r="U41" s="21"/>
    </row>
    <row r="42" spans="2:22" x14ac:dyDescent="0.3">
      <c r="B42" s="10" t="s">
        <v>2113</v>
      </c>
      <c r="C42" s="10" t="s">
        <v>2076</v>
      </c>
      <c r="D42" s="10">
        <v>1</v>
      </c>
      <c r="E42" s="10">
        <v>0</v>
      </c>
      <c r="F42" s="10">
        <v>1</v>
      </c>
      <c r="G42" s="10">
        <v>1</v>
      </c>
      <c r="H42" s="10">
        <v>1</v>
      </c>
      <c r="I42" s="10" t="s">
        <v>322</v>
      </c>
      <c r="J42" s="10">
        <f t="shared" si="4"/>
        <v>10038</v>
      </c>
      <c r="K42" s="10">
        <f t="shared" si="0"/>
        <v>38</v>
      </c>
      <c r="L42" s="10">
        <f t="shared" si="1"/>
        <v>37</v>
      </c>
      <c r="M42" s="10" t="s">
        <v>142</v>
      </c>
      <c r="N42" s="10" t="s">
        <v>324</v>
      </c>
      <c r="O42" s="10"/>
      <c r="P42" s="10"/>
      <c r="R42" s="13"/>
      <c r="S42" s="13"/>
      <c r="T42" s="8"/>
      <c r="U42" s="21"/>
    </row>
    <row r="43" spans="2:22" x14ac:dyDescent="0.3">
      <c r="B43" s="10" t="s">
        <v>2114</v>
      </c>
      <c r="C43" s="10" t="s">
        <v>2076</v>
      </c>
      <c r="D43" s="10">
        <v>1</v>
      </c>
      <c r="E43" s="10">
        <v>0</v>
      </c>
      <c r="F43" s="10">
        <v>1</v>
      </c>
      <c r="G43" s="10">
        <v>1</v>
      </c>
      <c r="H43" s="10">
        <v>1</v>
      </c>
      <c r="I43" s="10" t="s">
        <v>322</v>
      </c>
      <c r="J43" s="10">
        <f t="shared" si="4"/>
        <v>10039</v>
      </c>
      <c r="K43" s="10">
        <f t="shared" si="0"/>
        <v>39</v>
      </c>
      <c r="L43" s="10">
        <f t="shared" si="1"/>
        <v>38</v>
      </c>
      <c r="M43" s="10" t="s">
        <v>142</v>
      </c>
      <c r="N43" s="10" t="s">
        <v>324</v>
      </c>
      <c r="O43" s="10"/>
      <c r="P43" s="10"/>
      <c r="R43" s="13"/>
      <c r="S43" s="13"/>
      <c r="T43" s="8"/>
      <c r="U43" s="13"/>
    </row>
    <row r="44" spans="2:22" x14ac:dyDescent="0.3">
      <c r="B44" s="10" t="s">
        <v>2115</v>
      </c>
      <c r="C44" s="10" t="s">
        <v>2076</v>
      </c>
      <c r="D44" s="10">
        <v>1</v>
      </c>
      <c r="E44" s="10">
        <v>0</v>
      </c>
      <c r="F44" s="10">
        <v>1</v>
      </c>
      <c r="G44" s="10">
        <v>1</v>
      </c>
      <c r="H44" s="10">
        <v>1</v>
      </c>
      <c r="I44" s="10" t="s">
        <v>322</v>
      </c>
      <c r="J44" s="10">
        <f t="shared" si="4"/>
        <v>10040</v>
      </c>
      <c r="K44" s="10">
        <f t="shared" si="0"/>
        <v>40</v>
      </c>
      <c r="L44" s="10">
        <f t="shared" si="1"/>
        <v>39</v>
      </c>
      <c r="M44" s="10" t="s">
        <v>142</v>
      </c>
      <c r="N44" s="10" t="s">
        <v>324</v>
      </c>
      <c r="O44" s="10"/>
      <c r="P44" s="10"/>
      <c r="R44" s="13"/>
      <c r="S44" s="13"/>
      <c r="T44" s="8"/>
      <c r="U44" s="13"/>
    </row>
    <row r="45" spans="2:22" x14ac:dyDescent="0.3">
      <c r="B45" s="10" t="s">
        <v>2116</v>
      </c>
      <c r="C45" s="10" t="s">
        <v>2076</v>
      </c>
      <c r="D45" s="10">
        <v>1</v>
      </c>
      <c r="E45" s="10">
        <v>0</v>
      </c>
      <c r="F45" s="10">
        <v>1</v>
      </c>
      <c r="G45" s="10">
        <v>1</v>
      </c>
      <c r="H45" s="10">
        <v>1</v>
      </c>
      <c r="I45" s="10" t="s">
        <v>322</v>
      </c>
      <c r="J45" s="10">
        <f t="shared" si="4"/>
        <v>10041</v>
      </c>
      <c r="K45" s="10">
        <f t="shared" si="0"/>
        <v>41</v>
      </c>
      <c r="L45" s="10">
        <f t="shared" si="1"/>
        <v>40</v>
      </c>
      <c r="M45" s="10" t="s">
        <v>142</v>
      </c>
      <c r="N45" s="10" t="s">
        <v>324</v>
      </c>
      <c r="O45" s="10"/>
      <c r="P45" s="10"/>
      <c r="R45" s="21"/>
      <c r="S45" s="21"/>
      <c r="T45" s="21"/>
      <c r="U45" s="21"/>
    </row>
    <row r="46" spans="2:22" x14ac:dyDescent="0.3">
      <c r="B46" s="10" t="s">
        <v>2117</v>
      </c>
      <c r="C46" s="10" t="s">
        <v>2076</v>
      </c>
      <c r="D46" s="10">
        <v>1</v>
      </c>
      <c r="E46" s="10">
        <v>0</v>
      </c>
      <c r="F46" s="10">
        <v>1</v>
      </c>
      <c r="G46" s="10">
        <v>1</v>
      </c>
      <c r="H46" s="10">
        <v>1</v>
      </c>
      <c r="I46" s="10" t="s">
        <v>322</v>
      </c>
      <c r="J46" s="10">
        <f t="shared" si="4"/>
        <v>10042</v>
      </c>
      <c r="K46" s="10">
        <f t="shared" si="0"/>
        <v>42</v>
      </c>
      <c r="L46" s="10">
        <f t="shared" si="1"/>
        <v>41</v>
      </c>
      <c r="M46" s="10" t="s">
        <v>142</v>
      </c>
      <c r="N46" s="10" t="s">
        <v>324</v>
      </c>
      <c r="O46" s="10"/>
      <c r="P46" s="10"/>
      <c r="R46" s="21"/>
      <c r="S46" s="21"/>
      <c r="T46" s="21"/>
      <c r="U46" s="21"/>
    </row>
    <row r="47" spans="2:22" x14ac:dyDescent="0.3">
      <c r="B47" s="10" t="s">
        <v>2118</v>
      </c>
      <c r="C47" s="10" t="s">
        <v>2076</v>
      </c>
      <c r="D47" s="10">
        <v>1</v>
      </c>
      <c r="E47" s="10">
        <v>0</v>
      </c>
      <c r="F47" s="10">
        <v>1</v>
      </c>
      <c r="G47" s="10">
        <v>1</v>
      </c>
      <c r="H47" s="10">
        <v>1</v>
      </c>
      <c r="I47" s="10" t="s">
        <v>322</v>
      </c>
      <c r="J47" s="10">
        <f t="shared" si="4"/>
        <v>10043</v>
      </c>
      <c r="K47" s="10">
        <f t="shared" si="0"/>
        <v>43</v>
      </c>
      <c r="L47" s="10">
        <f t="shared" si="1"/>
        <v>42</v>
      </c>
      <c r="M47" s="10" t="s">
        <v>142</v>
      </c>
      <c r="N47" s="10" t="s">
        <v>324</v>
      </c>
      <c r="O47" s="10"/>
      <c r="P47" s="10"/>
      <c r="R47" s="21"/>
      <c r="S47" s="21"/>
      <c r="T47" s="21"/>
      <c r="U47" s="21"/>
    </row>
    <row r="48" spans="2:22" x14ac:dyDescent="0.3">
      <c r="B48" s="10" t="s">
        <v>2119</v>
      </c>
      <c r="C48" s="10" t="s">
        <v>2076</v>
      </c>
      <c r="D48" s="10">
        <v>1</v>
      </c>
      <c r="E48" s="10">
        <v>0</v>
      </c>
      <c r="F48" s="10">
        <v>1</v>
      </c>
      <c r="G48" s="10">
        <v>1</v>
      </c>
      <c r="H48" s="10">
        <v>1</v>
      </c>
      <c r="I48" s="10" t="s">
        <v>322</v>
      </c>
      <c r="J48" s="10">
        <f t="shared" si="4"/>
        <v>10044</v>
      </c>
      <c r="K48" s="10">
        <f t="shared" si="0"/>
        <v>44</v>
      </c>
      <c r="L48" s="10">
        <f t="shared" si="1"/>
        <v>43</v>
      </c>
      <c r="M48" s="10" t="s">
        <v>142</v>
      </c>
      <c r="N48" s="10" t="s">
        <v>324</v>
      </c>
      <c r="O48" s="10"/>
      <c r="P48" s="10"/>
      <c r="R48" s="21"/>
      <c r="S48" s="21"/>
      <c r="T48" s="21"/>
      <c r="U48" s="21"/>
    </row>
    <row r="49" spans="2:22" x14ac:dyDescent="0.3">
      <c r="B49" s="10" t="s">
        <v>2120</v>
      </c>
      <c r="C49" s="10" t="s">
        <v>2076</v>
      </c>
      <c r="D49" s="10">
        <v>1</v>
      </c>
      <c r="E49" s="10">
        <v>0</v>
      </c>
      <c r="F49" s="10">
        <v>1</v>
      </c>
      <c r="G49" s="10">
        <v>1</v>
      </c>
      <c r="H49" s="10">
        <v>1</v>
      </c>
      <c r="I49" s="10" t="s">
        <v>322</v>
      </c>
      <c r="J49" s="10">
        <f t="shared" si="4"/>
        <v>10045</v>
      </c>
      <c r="K49" s="10">
        <f t="shared" si="0"/>
        <v>45</v>
      </c>
      <c r="L49" s="10">
        <f t="shared" si="1"/>
        <v>44</v>
      </c>
      <c r="M49" s="10" t="s">
        <v>142</v>
      </c>
      <c r="N49" s="10" t="s">
        <v>324</v>
      </c>
      <c r="O49" s="10"/>
      <c r="P49" s="10"/>
      <c r="R49" s="21"/>
      <c r="S49" s="21"/>
      <c r="T49" s="21"/>
      <c r="U49" s="21"/>
    </row>
    <row r="50" spans="2:22" x14ac:dyDescent="0.3">
      <c r="B50" s="10" t="s">
        <v>320</v>
      </c>
      <c r="C50" s="10" t="s">
        <v>2076</v>
      </c>
      <c r="D50" s="10">
        <v>1</v>
      </c>
      <c r="E50" s="10">
        <v>0</v>
      </c>
      <c r="F50" s="10">
        <v>1</v>
      </c>
      <c r="G50" s="10">
        <v>1</v>
      </c>
      <c r="H50" s="10">
        <v>1</v>
      </c>
      <c r="I50" s="10" t="s">
        <v>322</v>
      </c>
      <c r="J50" s="10">
        <f t="shared" si="4"/>
        <v>10046</v>
      </c>
      <c r="K50" s="10">
        <f t="shared" si="0"/>
        <v>46</v>
      </c>
      <c r="L50" s="10">
        <f t="shared" si="1"/>
        <v>45</v>
      </c>
      <c r="M50" s="10" t="s">
        <v>142</v>
      </c>
      <c r="N50" s="10" t="s">
        <v>324</v>
      </c>
      <c r="O50" s="10"/>
      <c r="P50" s="10"/>
      <c r="R50" s="21"/>
      <c r="S50" s="21"/>
      <c r="T50" s="21"/>
      <c r="U50" s="21"/>
    </row>
    <row r="51" spans="2:22" x14ac:dyDescent="0.3">
      <c r="B51" s="10" t="s">
        <v>320</v>
      </c>
      <c r="C51" s="10" t="s">
        <v>2076</v>
      </c>
      <c r="D51" s="10">
        <v>1</v>
      </c>
      <c r="E51" s="10">
        <v>0</v>
      </c>
      <c r="F51" s="10">
        <v>1</v>
      </c>
      <c r="G51" s="10">
        <v>1</v>
      </c>
      <c r="H51" s="10">
        <v>1</v>
      </c>
      <c r="I51" s="10" t="s">
        <v>322</v>
      </c>
      <c r="J51" s="10">
        <f t="shared" si="4"/>
        <v>10047</v>
      </c>
      <c r="K51" s="10">
        <f t="shared" si="0"/>
        <v>47</v>
      </c>
      <c r="L51" s="10">
        <f t="shared" si="1"/>
        <v>46</v>
      </c>
      <c r="M51" s="10" t="s">
        <v>142</v>
      </c>
      <c r="N51" s="10" t="s">
        <v>324</v>
      </c>
      <c r="O51" s="10"/>
      <c r="P51" s="10"/>
      <c r="R51" s="21"/>
      <c r="S51" s="21"/>
      <c r="T51" s="21"/>
      <c r="U51" s="21"/>
    </row>
    <row r="52" spans="2:22" x14ac:dyDescent="0.3">
      <c r="B52" s="10" t="s">
        <v>320</v>
      </c>
      <c r="C52" s="10" t="s">
        <v>2076</v>
      </c>
      <c r="D52" s="10">
        <v>1</v>
      </c>
      <c r="E52" s="10">
        <v>0</v>
      </c>
      <c r="F52" s="10">
        <v>1</v>
      </c>
      <c r="G52" s="10">
        <v>1</v>
      </c>
      <c r="H52" s="10">
        <v>1</v>
      </c>
      <c r="I52" s="10" t="s">
        <v>322</v>
      </c>
      <c r="J52" s="10">
        <f t="shared" si="4"/>
        <v>10048</v>
      </c>
      <c r="K52" s="10">
        <f t="shared" si="0"/>
        <v>48</v>
      </c>
      <c r="L52" s="10">
        <f t="shared" si="1"/>
        <v>47</v>
      </c>
      <c r="M52" s="10" t="s">
        <v>142</v>
      </c>
      <c r="N52" s="10" t="s">
        <v>324</v>
      </c>
      <c r="O52" s="10"/>
      <c r="P52" s="10"/>
      <c r="R52" s="21"/>
      <c r="S52" s="21"/>
      <c r="T52" s="21"/>
      <c r="U52" s="21"/>
    </row>
    <row r="53" spans="2:22" ht="15.75" customHeight="1" x14ac:dyDescent="0.3">
      <c r="B53" s="10" t="s">
        <v>320</v>
      </c>
      <c r="C53" s="10" t="s">
        <v>2076</v>
      </c>
      <c r="D53" s="10">
        <v>1</v>
      </c>
      <c r="E53" s="10">
        <v>0</v>
      </c>
      <c r="F53" s="10">
        <v>1</v>
      </c>
      <c r="G53" s="10">
        <v>1</v>
      </c>
      <c r="H53" s="10">
        <v>1</v>
      </c>
      <c r="I53" s="10" t="s">
        <v>322</v>
      </c>
      <c r="J53" s="10">
        <f t="shared" si="4"/>
        <v>10049</v>
      </c>
      <c r="K53" s="10">
        <f t="shared" si="0"/>
        <v>49</v>
      </c>
      <c r="L53" s="10">
        <f t="shared" si="1"/>
        <v>48</v>
      </c>
      <c r="M53" s="10" t="s">
        <v>142</v>
      </c>
      <c r="N53" s="10" t="s">
        <v>324</v>
      </c>
      <c r="O53" s="10"/>
      <c r="P53" s="10"/>
      <c r="R53" s="13"/>
      <c r="S53" s="13"/>
      <c r="T53" s="13"/>
      <c r="U53" s="13"/>
      <c r="V53" s="33"/>
    </row>
    <row r="54" spans="2:22" ht="16.2" x14ac:dyDescent="0.3">
      <c r="B54" s="10" t="s">
        <v>320</v>
      </c>
      <c r="C54" s="10" t="s">
        <v>2076</v>
      </c>
      <c r="D54" s="10">
        <v>1</v>
      </c>
      <c r="E54" s="10">
        <v>0</v>
      </c>
      <c r="F54" s="10">
        <v>1</v>
      </c>
      <c r="G54" s="10">
        <v>1</v>
      </c>
      <c r="H54" s="10">
        <v>1</v>
      </c>
      <c r="I54" s="10" t="s">
        <v>322</v>
      </c>
      <c r="J54" s="10">
        <f>J53+D53</f>
        <v>10050</v>
      </c>
      <c r="K54" s="10">
        <f t="shared" si="0"/>
        <v>50</v>
      </c>
      <c r="L54" s="10">
        <f t="shared" si="1"/>
        <v>49</v>
      </c>
      <c r="M54" s="10" t="s">
        <v>142</v>
      </c>
      <c r="N54" s="10" t="s">
        <v>324</v>
      </c>
      <c r="O54" s="10"/>
      <c r="P54" s="10"/>
      <c r="R54" s="13"/>
      <c r="S54" s="13"/>
      <c r="T54" s="13"/>
      <c r="U54" s="13"/>
      <c r="V54" s="33"/>
    </row>
    <row r="55" spans="2:22" ht="16.2" x14ac:dyDescent="0.3">
      <c r="B55" s="10" t="s">
        <v>320</v>
      </c>
      <c r="C55" s="10" t="s">
        <v>2076</v>
      </c>
      <c r="D55" s="10">
        <v>1</v>
      </c>
      <c r="E55" s="10">
        <v>0</v>
      </c>
      <c r="F55" s="10">
        <v>1</v>
      </c>
      <c r="G55" s="10">
        <v>1</v>
      </c>
      <c r="H55" s="10">
        <v>1</v>
      </c>
      <c r="I55" s="10" t="s">
        <v>322</v>
      </c>
      <c r="J55" s="10">
        <f t="shared" ref="J55:J68" si="5">J54+D54</f>
        <v>10051</v>
      </c>
      <c r="K55" s="10">
        <f t="shared" si="0"/>
        <v>51</v>
      </c>
      <c r="L55" s="10">
        <f t="shared" si="1"/>
        <v>50</v>
      </c>
      <c r="M55" s="10" t="s">
        <v>142</v>
      </c>
      <c r="N55" s="10" t="s">
        <v>324</v>
      </c>
      <c r="O55" s="10"/>
      <c r="P55" s="10"/>
      <c r="R55" s="33"/>
      <c r="S55" s="8"/>
      <c r="T55" s="8"/>
      <c r="U55" s="13"/>
      <c r="V55" s="33"/>
    </row>
    <row r="56" spans="2:22" ht="16.2" x14ac:dyDescent="0.3">
      <c r="B56" s="10" t="s">
        <v>320</v>
      </c>
      <c r="C56" s="10" t="s">
        <v>2076</v>
      </c>
      <c r="D56" s="10">
        <v>1</v>
      </c>
      <c r="E56" s="10">
        <v>0</v>
      </c>
      <c r="F56" s="10">
        <v>1</v>
      </c>
      <c r="G56" s="10">
        <v>1</v>
      </c>
      <c r="H56" s="10">
        <v>1</v>
      </c>
      <c r="I56" s="10" t="s">
        <v>322</v>
      </c>
      <c r="J56" s="10">
        <f t="shared" si="5"/>
        <v>10052</v>
      </c>
      <c r="K56" s="10">
        <f t="shared" si="0"/>
        <v>52</v>
      </c>
      <c r="L56" s="10">
        <f t="shared" si="1"/>
        <v>51</v>
      </c>
      <c r="M56" s="10" t="s">
        <v>142</v>
      </c>
      <c r="N56" s="10" t="s">
        <v>324</v>
      </c>
      <c r="O56" s="10"/>
      <c r="P56" s="10"/>
      <c r="R56" s="33"/>
      <c r="S56" s="8"/>
      <c r="T56" s="8"/>
      <c r="U56" s="13"/>
      <c r="V56" s="33"/>
    </row>
    <row r="57" spans="2:22" x14ac:dyDescent="0.3">
      <c r="B57" s="10" t="s">
        <v>320</v>
      </c>
      <c r="C57" s="10" t="s">
        <v>2076</v>
      </c>
      <c r="D57" s="10">
        <v>1</v>
      </c>
      <c r="E57" s="10">
        <v>0</v>
      </c>
      <c r="F57" s="10">
        <v>1</v>
      </c>
      <c r="G57" s="10">
        <v>1</v>
      </c>
      <c r="H57" s="10">
        <v>1</v>
      </c>
      <c r="I57" s="10" t="s">
        <v>322</v>
      </c>
      <c r="J57" s="10">
        <f t="shared" si="5"/>
        <v>10053</v>
      </c>
      <c r="K57" s="10">
        <f t="shared" si="0"/>
        <v>53</v>
      </c>
      <c r="L57" s="10">
        <f t="shared" si="1"/>
        <v>52</v>
      </c>
      <c r="M57" s="10" t="s">
        <v>142</v>
      </c>
      <c r="N57" s="10" t="s">
        <v>324</v>
      </c>
      <c r="O57" s="10"/>
      <c r="P57" s="10"/>
      <c r="R57" s="13"/>
      <c r="S57" s="13"/>
      <c r="T57" s="8"/>
      <c r="U57" s="21"/>
    </row>
    <row r="58" spans="2:22" x14ac:dyDescent="0.3">
      <c r="B58" s="10" t="s">
        <v>320</v>
      </c>
      <c r="C58" s="10" t="s">
        <v>2076</v>
      </c>
      <c r="D58" s="10">
        <v>1</v>
      </c>
      <c r="E58" s="10">
        <v>0</v>
      </c>
      <c r="F58" s="10">
        <v>1</v>
      </c>
      <c r="G58" s="10">
        <v>1</v>
      </c>
      <c r="H58" s="10">
        <v>1</v>
      </c>
      <c r="I58" s="10" t="s">
        <v>322</v>
      </c>
      <c r="J58" s="10">
        <f t="shared" si="5"/>
        <v>10054</v>
      </c>
      <c r="K58" s="10">
        <f t="shared" si="0"/>
        <v>54</v>
      </c>
      <c r="L58" s="10">
        <f t="shared" si="1"/>
        <v>53</v>
      </c>
      <c r="M58" s="10" t="s">
        <v>142</v>
      </c>
      <c r="N58" s="10" t="s">
        <v>324</v>
      </c>
      <c r="O58" s="10"/>
      <c r="P58" s="10"/>
      <c r="R58" s="13"/>
      <c r="S58" s="13"/>
      <c r="T58" s="8"/>
      <c r="U58" s="21"/>
    </row>
    <row r="59" spans="2:22" x14ac:dyDescent="0.3">
      <c r="B59" s="10" t="s">
        <v>320</v>
      </c>
      <c r="C59" s="10" t="s">
        <v>2076</v>
      </c>
      <c r="D59" s="10">
        <v>1</v>
      </c>
      <c r="E59" s="10">
        <v>0</v>
      </c>
      <c r="F59" s="10">
        <v>1</v>
      </c>
      <c r="G59" s="10">
        <v>1</v>
      </c>
      <c r="H59" s="10">
        <v>1</v>
      </c>
      <c r="I59" s="10" t="s">
        <v>322</v>
      </c>
      <c r="J59" s="10">
        <f t="shared" si="5"/>
        <v>10055</v>
      </c>
      <c r="K59" s="10">
        <f t="shared" si="0"/>
        <v>55</v>
      </c>
      <c r="L59" s="10">
        <f t="shared" si="1"/>
        <v>54</v>
      </c>
      <c r="M59" s="10" t="s">
        <v>142</v>
      </c>
      <c r="N59" s="10" t="s">
        <v>324</v>
      </c>
      <c r="O59" s="10"/>
      <c r="P59" s="10"/>
      <c r="R59" s="13"/>
      <c r="S59" s="13"/>
      <c r="T59" s="8"/>
      <c r="U59" s="13"/>
    </row>
    <row r="60" spans="2:22" x14ac:dyDescent="0.3">
      <c r="B60" s="10" t="s">
        <v>320</v>
      </c>
      <c r="C60" s="10" t="s">
        <v>2076</v>
      </c>
      <c r="D60" s="10">
        <v>1</v>
      </c>
      <c r="E60" s="10">
        <v>0</v>
      </c>
      <c r="F60" s="10">
        <v>1</v>
      </c>
      <c r="G60" s="10">
        <v>1</v>
      </c>
      <c r="H60" s="10">
        <v>1</v>
      </c>
      <c r="I60" s="10" t="s">
        <v>322</v>
      </c>
      <c r="J60" s="10">
        <f t="shared" si="5"/>
        <v>10056</v>
      </c>
      <c r="K60" s="10">
        <f t="shared" si="0"/>
        <v>56</v>
      </c>
      <c r="L60" s="10">
        <f t="shared" si="1"/>
        <v>55</v>
      </c>
      <c r="M60" s="10" t="s">
        <v>142</v>
      </c>
      <c r="N60" s="10" t="s">
        <v>324</v>
      </c>
      <c r="O60" s="10"/>
      <c r="P60" s="10"/>
      <c r="R60" s="13"/>
      <c r="S60" s="13"/>
      <c r="T60" s="8"/>
      <c r="U60" s="13"/>
    </row>
    <row r="61" spans="2:22" x14ac:dyDescent="0.3">
      <c r="B61" s="10" t="s">
        <v>320</v>
      </c>
      <c r="C61" s="10" t="s">
        <v>2076</v>
      </c>
      <c r="D61" s="10">
        <v>1</v>
      </c>
      <c r="E61" s="10">
        <v>0</v>
      </c>
      <c r="F61" s="10">
        <v>1</v>
      </c>
      <c r="G61" s="10">
        <v>1</v>
      </c>
      <c r="H61" s="10">
        <v>1</v>
      </c>
      <c r="I61" s="10" t="s">
        <v>322</v>
      </c>
      <c r="J61" s="10">
        <f t="shared" si="5"/>
        <v>10057</v>
      </c>
      <c r="K61" s="10">
        <f t="shared" si="0"/>
        <v>57</v>
      </c>
      <c r="L61" s="10">
        <f t="shared" si="1"/>
        <v>56</v>
      </c>
      <c r="M61" s="10" t="s">
        <v>142</v>
      </c>
      <c r="N61" s="10" t="s">
        <v>324</v>
      </c>
      <c r="O61" s="10"/>
      <c r="P61" s="10"/>
      <c r="R61" s="21"/>
      <c r="S61" s="21"/>
      <c r="T61" s="21"/>
      <c r="U61" s="21"/>
    </row>
    <row r="62" spans="2:22" x14ac:dyDescent="0.3">
      <c r="B62" s="10" t="s">
        <v>320</v>
      </c>
      <c r="C62" s="10" t="s">
        <v>2076</v>
      </c>
      <c r="D62" s="10">
        <v>1</v>
      </c>
      <c r="E62" s="10">
        <v>0</v>
      </c>
      <c r="F62" s="10">
        <v>1</v>
      </c>
      <c r="G62" s="10">
        <v>1</v>
      </c>
      <c r="H62" s="10">
        <v>1</v>
      </c>
      <c r="I62" s="10" t="s">
        <v>322</v>
      </c>
      <c r="J62" s="10">
        <f t="shared" si="5"/>
        <v>10058</v>
      </c>
      <c r="K62" s="10">
        <f t="shared" si="0"/>
        <v>58</v>
      </c>
      <c r="L62" s="10">
        <f t="shared" si="1"/>
        <v>57</v>
      </c>
      <c r="M62" s="10" t="s">
        <v>142</v>
      </c>
      <c r="N62" s="10" t="s">
        <v>324</v>
      </c>
      <c r="O62" s="10"/>
      <c r="P62" s="10"/>
      <c r="R62" s="21"/>
      <c r="S62" s="21"/>
      <c r="T62" s="21"/>
      <c r="U62" s="21"/>
    </row>
    <row r="63" spans="2:22" x14ac:dyDescent="0.3">
      <c r="B63" s="10" t="s">
        <v>320</v>
      </c>
      <c r="C63" s="10" t="s">
        <v>2076</v>
      </c>
      <c r="D63" s="10">
        <v>1</v>
      </c>
      <c r="E63" s="10">
        <v>0</v>
      </c>
      <c r="F63" s="10">
        <v>1</v>
      </c>
      <c r="G63" s="10">
        <v>1</v>
      </c>
      <c r="H63" s="10">
        <v>1</v>
      </c>
      <c r="I63" s="10" t="s">
        <v>322</v>
      </c>
      <c r="J63" s="10">
        <f t="shared" si="5"/>
        <v>10059</v>
      </c>
      <c r="K63" s="10">
        <f t="shared" si="0"/>
        <v>59</v>
      </c>
      <c r="L63" s="10">
        <f t="shared" si="1"/>
        <v>58</v>
      </c>
      <c r="M63" s="10" t="s">
        <v>142</v>
      </c>
      <c r="N63" s="10" t="s">
        <v>324</v>
      </c>
      <c r="O63" s="10"/>
      <c r="P63" s="10"/>
      <c r="R63" s="21"/>
      <c r="S63" s="21"/>
      <c r="T63" s="21"/>
      <c r="U63" s="21"/>
    </row>
    <row r="64" spans="2:22" x14ac:dyDescent="0.3">
      <c r="B64" s="10" t="s">
        <v>320</v>
      </c>
      <c r="C64" s="10" t="s">
        <v>2076</v>
      </c>
      <c r="D64" s="10">
        <v>1</v>
      </c>
      <c r="E64" s="10">
        <v>0</v>
      </c>
      <c r="F64" s="10">
        <v>1</v>
      </c>
      <c r="G64" s="10">
        <v>1</v>
      </c>
      <c r="H64" s="10">
        <v>1</v>
      </c>
      <c r="I64" s="10" t="s">
        <v>322</v>
      </c>
      <c r="J64" s="10">
        <f t="shared" si="5"/>
        <v>10060</v>
      </c>
      <c r="K64" s="10">
        <f t="shared" si="0"/>
        <v>60</v>
      </c>
      <c r="L64" s="10">
        <f t="shared" si="1"/>
        <v>59</v>
      </c>
      <c r="M64" s="10" t="s">
        <v>142</v>
      </c>
      <c r="N64" s="10" t="s">
        <v>324</v>
      </c>
      <c r="O64" s="10"/>
      <c r="P64" s="10"/>
      <c r="R64" s="21"/>
      <c r="S64" s="21"/>
      <c r="T64" s="21"/>
      <c r="U64" s="21"/>
    </row>
    <row r="65" spans="2:21" x14ac:dyDescent="0.3">
      <c r="B65" s="10" t="s">
        <v>320</v>
      </c>
      <c r="C65" s="10" t="s">
        <v>2076</v>
      </c>
      <c r="D65" s="10">
        <v>1</v>
      </c>
      <c r="E65" s="10">
        <v>0</v>
      </c>
      <c r="F65" s="10">
        <v>1</v>
      </c>
      <c r="G65" s="10">
        <v>1</v>
      </c>
      <c r="H65" s="10">
        <v>1</v>
      </c>
      <c r="I65" s="10" t="s">
        <v>322</v>
      </c>
      <c r="J65" s="10">
        <f t="shared" si="5"/>
        <v>10061</v>
      </c>
      <c r="K65" s="10">
        <f t="shared" si="0"/>
        <v>61</v>
      </c>
      <c r="L65" s="10">
        <f t="shared" si="1"/>
        <v>60</v>
      </c>
      <c r="M65" s="10" t="s">
        <v>142</v>
      </c>
      <c r="N65" s="10" t="s">
        <v>324</v>
      </c>
      <c r="O65" s="10"/>
      <c r="P65" s="10"/>
      <c r="R65" s="21"/>
      <c r="S65" s="21"/>
      <c r="T65" s="21"/>
      <c r="U65" s="21"/>
    </row>
    <row r="66" spans="2:21" x14ac:dyDescent="0.3">
      <c r="B66" s="10" t="s">
        <v>320</v>
      </c>
      <c r="C66" s="10" t="s">
        <v>2076</v>
      </c>
      <c r="D66" s="10">
        <v>1</v>
      </c>
      <c r="E66" s="10">
        <v>0</v>
      </c>
      <c r="F66" s="10">
        <v>1</v>
      </c>
      <c r="G66" s="10">
        <v>1</v>
      </c>
      <c r="H66" s="10">
        <v>1</v>
      </c>
      <c r="I66" s="10" t="s">
        <v>322</v>
      </c>
      <c r="J66" s="10">
        <f t="shared" si="5"/>
        <v>10062</v>
      </c>
      <c r="K66" s="10">
        <f t="shared" si="0"/>
        <v>62</v>
      </c>
      <c r="L66" s="10">
        <f t="shared" si="1"/>
        <v>61</v>
      </c>
      <c r="M66" s="10" t="s">
        <v>142</v>
      </c>
      <c r="N66" s="10" t="s">
        <v>324</v>
      </c>
      <c r="O66" s="10"/>
      <c r="P66" s="10"/>
      <c r="R66" s="21"/>
      <c r="S66" s="21"/>
      <c r="T66" s="21"/>
      <c r="U66" s="21"/>
    </row>
    <row r="67" spans="2:21" x14ac:dyDescent="0.3">
      <c r="B67" s="10" t="s">
        <v>320</v>
      </c>
      <c r="C67" s="10" t="s">
        <v>2076</v>
      </c>
      <c r="D67" s="10">
        <v>1</v>
      </c>
      <c r="E67" s="10">
        <v>0</v>
      </c>
      <c r="F67" s="10">
        <v>1</v>
      </c>
      <c r="G67" s="10">
        <v>1</v>
      </c>
      <c r="H67" s="10">
        <v>1</v>
      </c>
      <c r="I67" s="10" t="s">
        <v>322</v>
      </c>
      <c r="J67" s="10">
        <f t="shared" si="5"/>
        <v>10063</v>
      </c>
      <c r="K67" s="10">
        <f t="shared" si="0"/>
        <v>63</v>
      </c>
      <c r="L67" s="10">
        <f t="shared" si="1"/>
        <v>62</v>
      </c>
      <c r="M67" s="10" t="s">
        <v>142</v>
      </c>
      <c r="N67" s="10" t="s">
        <v>324</v>
      </c>
      <c r="O67" s="10"/>
      <c r="P67" s="10"/>
      <c r="R67" s="21"/>
      <c r="S67" s="21"/>
      <c r="T67" s="21"/>
      <c r="U67" s="21"/>
    </row>
    <row r="68" spans="2:21" x14ac:dyDescent="0.3">
      <c r="B68" s="10" t="s">
        <v>320</v>
      </c>
      <c r="C68" s="10" t="s">
        <v>2076</v>
      </c>
      <c r="D68" s="10">
        <v>1</v>
      </c>
      <c r="E68" s="10">
        <v>0</v>
      </c>
      <c r="F68" s="10">
        <v>1</v>
      </c>
      <c r="G68" s="10">
        <v>1</v>
      </c>
      <c r="H68" s="10">
        <v>1</v>
      </c>
      <c r="I68" s="10" t="s">
        <v>322</v>
      </c>
      <c r="J68" s="10">
        <f t="shared" si="5"/>
        <v>10064</v>
      </c>
      <c r="K68" s="10">
        <f t="shared" si="0"/>
        <v>64</v>
      </c>
      <c r="L68" s="10">
        <f t="shared" si="1"/>
        <v>63</v>
      </c>
      <c r="M68" s="10" t="s">
        <v>142</v>
      </c>
      <c r="N68" s="10" t="s">
        <v>324</v>
      </c>
      <c r="O68" s="10"/>
      <c r="P68" s="10"/>
      <c r="R68" s="21"/>
      <c r="S68" s="21"/>
      <c r="T68" s="21"/>
      <c r="U68" s="21"/>
    </row>
    <row r="69" spans="2:21" x14ac:dyDescent="0.3">
      <c r="B69" s="496" t="s">
        <v>2121</v>
      </c>
      <c r="C69" s="496"/>
      <c r="D69" s="496"/>
      <c r="E69" s="496"/>
      <c r="F69" s="496"/>
      <c r="G69" s="496"/>
      <c r="H69" s="496"/>
      <c r="I69" s="496"/>
      <c r="J69" s="496"/>
      <c r="K69" s="496"/>
      <c r="L69" s="496"/>
      <c r="M69" s="496"/>
      <c r="N69" s="496"/>
      <c r="O69" s="496"/>
      <c r="P69" s="496"/>
    </row>
    <row r="70" spans="2:21" x14ac:dyDescent="0.3">
      <c r="B70" s="10" t="s">
        <v>1243</v>
      </c>
      <c r="C70" s="10" t="s">
        <v>2076</v>
      </c>
      <c r="D70" s="10">
        <v>1</v>
      </c>
      <c r="E70" s="10">
        <v>0</v>
      </c>
      <c r="F70" s="10">
        <v>1</v>
      </c>
      <c r="G70" s="10">
        <v>1</v>
      </c>
      <c r="H70" s="10">
        <v>1</v>
      </c>
      <c r="I70" s="10" t="s">
        <v>322</v>
      </c>
      <c r="J70" s="10">
        <f>J68+1</f>
        <v>10065</v>
      </c>
      <c r="K70" s="10">
        <f t="shared" si="0"/>
        <v>65</v>
      </c>
      <c r="L70" s="10">
        <f t="shared" si="1"/>
        <v>64</v>
      </c>
      <c r="M70" s="10" t="s">
        <v>142</v>
      </c>
      <c r="N70" s="10" t="s">
        <v>324</v>
      </c>
      <c r="O70" s="59"/>
      <c r="P70" s="59"/>
    </row>
    <row r="71" spans="2:21" x14ac:dyDescent="0.3">
      <c r="B71" s="10" t="s">
        <v>1245</v>
      </c>
      <c r="C71" s="10" t="s">
        <v>2076</v>
      </c>
      <c r="D71" s="10">
        <v>1</v>
      </c>
      <c r="E71" s="10">
        <v>0</v>
      </c>
      <c r="F71" s="10">
        <v>1</v>
      </c>
      <c r="G71" s="10">
        <v>1</v>
      </c>
      <c r="H71" s="10">
        <v>1</v>
      </c>
      <c r="I71" s="10" t="s">
        <v>322</v>
      </c>
      <c r="J71" s="10">
        <f>J70+D70</f>
        <v>10066</v>
      </c>
      <c r="K71" s="10">
        <f t="shared" si="0"/>
        <v>66</v>
      </c>
      <c r="L71" s="10">
        <f t="shared" si="1"/>
        <v>65</v>
      </c>
      <c r="M71" s="10" t="s">
        <v>142</v>
      </c>
      <c r="N71" s="10" t="s">
        <v>324</v>
      </c>
      <c r="O71" s="59"/>
      <c r="P71" s="59"/>
    </row>
    <row r="72" spans="2:21" x14ac:dyDescent="0.3">
      <c r="B72" s="10" t="s">
        <v>1244</v>
      </c>
      <c r="C72" s="10" t="s">
        <v>2076</v>
      </c>
      <c r="D72" s="10">
        <v>1</v>
      </c>
      <c r="E72" s="10">
        <v>0</v>
      </c>
      <c r="F72" s="10">
        <v>1</v>
      </c>
      <c r="G72" s="10">
        <v>1</v>
      </c>
      <c r="H72" s="10">
        <v>1</v>
      </c>
      <c r="I72" s="10" t="s">
        <v>322</v>
      </c>
      <c r="J72" s="10">
        <f t="shared" ref="J72:J85" si="6">J71+D71</f>
        <v>10067</v>
      </c>
      <c r="K72" s="10">
        <f t="shared" ref="K72:K138" si="7">J72-10000</f>
        <v>67</v>
      </c>
      <c r="L72" s="10">
        <f t="shared" ref="L72:L138" si="8">K72-1</f>
        <v>66</v>
      </c>
      <c r="M72" s="10" t="s">
        <v>142</v>
      </c>
      <c r="N72" s="10" t="s">
        <v>324</v>
      </c>
      <c r="O72" s="59"/>
      <c r="P72" s="59"/>
    </row>
    <row r="73" spans="2:21" x14ac:dyDescent="0.3">
      <c r="B73" s="10" t="s">
        <v>2122</v>
      </c>
      <c r="C73" s="10" t="s">
        <v>2076</v>
      </c>
      <c r="D73" s="10">
        <v>1</v>
      </c>
      <c r="E73" s="10">
        <v>0</v>
      </c>
      <c r="F73" s="10">
        <v>1</v>
      </c>
      <c r="G73" s="10">
        <v>1</v>
      </c>
      <c r="H73" s="10">
        <v>1</v>
      </c>
      <c r="I73" s="10" t="s">
        <v>322</v>
      </c>
      <c r="J73" s="10">
        <f t="shared" si="6"/>
        <v>10068</v>
      </c>
      <c r="K73" s="10">
        <f t="shared" si="7"/>
        <v>68</v>
      </c>
      <c r="L73" s="10">
        <f t="shared" si="8"/>
        <v>67</v>
      </c>
      <c r="M73" s="10" t="s">
        <v>142</v>
      </c>
      <c r="N73" s="10" t="s">
        <v>324</v>
      </c>
      <c r="O73" s="59"/>
      <c r="P73" s="59"/>
    </row>
    <row r="74" spans="2:21" x14ac:dyDescent="0.3">
      <c r="B74" s="10" t="s">
        <v>1246</v>
      </c>
      <c r="C74" s="10" t="s">
        <v>2076</v>
      </c>
      <c r="D74" s="10">
        <v>1</v>
      </c>
      <c r="E74" s="10">
        <v>0</v>
      </c>
      <c r="F74" s="10">
        <v>1</v>
      </c>
      <c r="G74" s="10">
        <v>1</v>
      </c>
      <c r="H74" s="10">
        <v>1</v>
      </c>
      <c r="I74" s="10" t="s">
        <v>322</v>
      </c>
      <c r="J74" s="10">
        <f t="shared" si="6"/>
        <v>10069</v>
      </c>
      <c r="K74" s="10">
        <f t="shared" si="7"/>
        <v>69</v>
      </c>
      <c r="L74" s="10">
        <f t="shared" si="8"/>
        <v>68</v>
      </c>
      <c r="M74" s="10" t="s">
        <v>142</v>
      </c>
      <c r="N74" s="10" t="s">
        <v>324</v>
      </c>
      <c r="O74" s="59"/>
      <c r="P74" s="59"/>
    </row>
    <row r="75" spans="2:21" x14ac:dyDescent="0.3">
      <c r="B75" s="10" t="s">
        <v>1247</v>
      </c>
      <c r="C75" s="10" t="s">
        <v>2076</v>
      </c>
      <c r="D75" s="10">
        <v>1</v>
      </c>
      <c r="E75" s="10">
        <v>0</v>
      </c>
      <c r="F75" s="10">
        <v>1</v>
      </c>
      <c r="G75" s="10">
        <v>1</v>
      </c>
      <c r="H75" s="10">
        <v>1</v>
      </c>
      <c r="I75" s="10" t="s">
        <v>322</v>
      </c>
      <c r="J75" s="10">
        <f t="shared" si="6"/>
        <v>10070</v>
      </c>
      <c r="K75" s="10">
        <f t="shared" si="7"/>
        <v>70</v>
      </c>
      <c r="L75" s="10">
        <f t="shared" si="8"/>
        <v>69</v>
      </c>
      <c r="M75" s="10" t="s">
        <v>142</v>
      </c>
      <c r="N75" s="10" t="s">
        <v>324</v>
      </c>
      <c r="O75" s="59"/>
      <c r="P75" s="59"/>
    </row>
    <row r="76" spans="2:21" x14ac:dyDescent="0.3">
      <c r="B76" s="10" t="s">
        <v>1248</v>
      </c>
      <c r="C76" s="10" t="s">
        <v>2076</v>
      </c>
      <c r="D76" s="10">
        <v>1</v>
      </c>
      <c r="E76" s="10">
        <v>0</v>
      </c>
      <c r="F76" s="10">
        <v>1</v>
      </c>
      <c r="G76" s="10">
        <v>1</v>
      </c>
      <c r="H76" s="10">
        <v>1</v>
      </c>
      <c r="I76" s="10" t="s">
        <v>322</v>
      </c>
      <c r="J76" s="10">
        <f t="shared" si="6"/>
        <v>10071</v>
      </c>
      <c r="K76" s="10">
        <f t="shared" si="7"/>
        <v>71</v>
      </c>
      <c r="L76" s="10">
        <f t="shared" si="8"/>
        <v>70</v>
      </c>
      <c r="M76" s="10" t="s">
        <v>142</v>
      </c>
      <c r="N76" s="10" t="s">
        <v>324</v>
      </c>
      <c r="O76" s="59"/>
      <c r="P76" s="59"/>
    </row>
    <row r="77" spans="2:21" x14ac:dyDescent="0.3">
      <c r="B77" s="10" t="s">
        <v>1250</v>
      </c>
      <c r="C77" s="10" t="s">
        <v>2076</v>
      </c>
      <c r="D77" s="10">
        <v>1</v>
      </c>
      <c r="E77" s="10">
        <v>0</v>
      </c>
      <c r="F77" s="10">
        <v>1</v>
      </c>
      <c r="G77" s="10">
        <v>1</v>
      </c>
      <c r="H77" s="10">
        <v>1</v>
      </c>
      <c r="I77" s="10" t="s">
        <v>322</v>
      </c>
      <c r="J77" s="10">
        <f t="shared" si="6"/>
        <v>10072</v>
      </c>
      <c r="K77" s="10">
        <f t="shared" si="7"/>
        <v>72</v>
      </c>
      <c r="L77" s="10">
        <f t="shared" si="8"/>
        <v>71</v>
      </c>
      <c r="M77" s="10" t="s">
        <v>142</v>
      </c>
      <c r="N77" s="10" t="s">
        <v>324</v>
      </c>
      <c r="O77" s="59"/>
      <c r="P77" s="59"/>
    </row>
    <row r="78" spans="2:21" x14ac:dyDescent="0.3">
      <c r="B78" s="10" t="s">
        <v>1249</v>
      </c>
      <c r="C78" s="10" t="s">
        <v>2076</v>
      </c>
      <c r="D78" s="10">
        <v>1</v>
      </c>
      <c r="E78" s="10">
        <v>0</v>
      </c>
      <c r="F78" s="10">
        <v>1</v>
      </c>
      <c r="G78" s="10">
        <v>1</v>
      </c>
      <c r="H78" s="10">
        <v>1</v>
      </c>
      <c r="I78" s="10" t="s">
        <v>322</v>
      </c>
      <c r="J78" s="10">
        <f t="shared" si="6"/>
        <v>10073</v>
      </c>
      <c r="K78" s="10">
        <f t="shared" si="7"/>
        <v>73</v>
      </c>
      <c r="L78" s="10">
        <f t="shared" si="8"/>
        <v>72</v>
      </c>
      <c r="M78" s="10" t="s">
        <v>142</v>
      </c>
      <c r="N78" s="10" t="s">
        <v>324</v>
      </c>
      <c r="O78" s="59"/>
      <c r="P78" s="59"/>
    </row>
    <row r="79" spans="2:21" x14ac:dyDescent="0.3">
      <c r="B79" s="10" t="s">
        <v>2123</v>
      </c>
      <c r="C79" s="10" t="s">
        <v>2076</v>
      </c>
      <c r="D79" s="10">
        <v>1</v>
      </c>
      <c r="E79" s="10">
        <v>0</v>
      </c>
      <c r="F79" s="10">
        <v>1</v>
      </c>
      <c r="G79" s="10">
        <v>1</v>
      </c>
      <c r="H79" s="10">
        <v>1</v>
      </c>
      <c r="I79" s="10" t="s">
        <v>322</v>
      </c>
      <c r="J79" s="10">
        <f t="shared" si="6"/>
        <v>10074</v>
      </c>
      <c r="K79" s="10">
        <f t="shared" si="7"/>
        <v>74</v>
      </c>
      <c r="L79" s="10">
        <f t="shared" si="8"/>
        <v>73</v>
      </c>
      <c r="M79" s="10" t="s">
        <v>142</v>
      </c>
      <c r="N79" s="10" t="s">
        <v>324</v>
      </c>
      <c r="O79" s="59"/>
      <c r="P79" s="59"/>
    </row>
    <row r="80" spans="2:21" x14ac:dyDescent="0.3">
      <c r="B80" s="10" t="s">
        <v>1251</v>
      </c>
      <c r="C80" s="10" t="s">
        <v>2076</v>
      </c>
      <c r="D80" s="10">
        <v>1</v>
      </c>
      <c r="E80" s="10">
        <v>0</v>
      </c>
      <c r="F80" s="10">
        <v>1</v>
      </c>
      <c r="G80" s="10">
        <v>1</v>
      </c>
      <c r="H80" s="10">
        <v>1</v>
      </c>
      <c r="I80" s="10" t="s">
        <v>322</v>
      </c>
      <c r="J80" s="10">
        <f t="shared" si="6"/>
        <v>10075</v>
      </c>
      <c r="K80" s="10">
        <f t="shared" si="7"/>
        <v>75</v>
      </c>
      <c r="L80" s="10">
        <f t="shared" si="8"/>
        <v>74</v>
      </c>
      <c r="M80" s="10" t="s">
        <v>142</v>
      </c>
      <c r="N80" s="10" t="s">
        <v>324</v>
      </c>
      <c r="O80" s="59"/>
      <c r="P80" s="59"/>
    </row>
    <row r="81" spans="2:16" x14ac:dyDescent="0.3">
      <c r="B81" s="10" t="s">
        <v>1252</v>
      </c>
      <c r="C81" s="10" t="s">
        <v>2076</v>
      </c>
      <c r="D81" s="10">
        <v>1</v>
      </c>
      <c r="E81" s="10">
        <v>0</v>
      </c>
      <c r="F81" s="10">
        <v>1</v>
      </c>
      <c r="G81" s="10">
        <v>1</v>
      </c>
      <c r="H81" s="10">
        <v>1</v>
      </c>
      <c r="I81" s="10" t="s">
        <v>322</v>
      </c>
      <c r="J81" s="10">
        <f t="shared" si="6"/>
        <v>10076</v>
      </c>
      <c r="K81" s="10">
        <f t="shared" si="7"/>
        <v>76</v>
      </c>
      <c r="L81" s="10">
        <f t="shared" si="8"/>
        <v>75</v>
      </c>
      <c r="M81" s="10" t="s">
        <v>142</v>
      </c>
      <c r="N81" s="10" t="s">
        <v>324</v>
      </c>
      <c r="O81" s="59"/>
      <c r="P81" s="59"/>
    </row>
    <row r="82" spans="2:16" x14ac:dyDescent="0.3">
      <c r="B82" s="10" t="s">
        <v>2124</v>
      </c>
      <c r="C82" s="10" t="s">
        <v>2076</v>
      </c>
      <c r="D82" s="10">
        <v>1</v>
      </c>
      <c r="E82" s="10">
        <v>0</v>
      </c>
      <c r="F82" s="10">
        <v>1</v>
      </c>
      <c r="G82" s="10">
        <v>1</v>
      </c>
      <c r="H82" s="10">
        <v>1</v>
      </c>
      <c r="I82" s="10" t="s">
        <v>322</v>
      </c>
      <c r="J82" s="10">
        <f t="shared" si="6"/>
        <v>10077</v>
      </c>
      <c r="K82" s="10">
        <f t="shared" si="7"/>
        <v>77</v>
      </c>
      <c r="L82" s="10">
        <f t="shared" si="8"/>
        <v>76</v>
      </c>
      <c r="M82" s="10" t="s">
        <v>142</v>
      </c>
      <c r="N82" s="10" t="s">
        <v>324</v>
      </c>
      <c r="O82" s="59"/>
      <c r="P82" s="59"/>
    </row>
    <row r="83" spans="2:16" x14ac:dyDescent="0.3">
      <c r="B83" s="10" t="s">
        <v>2125</v>
      </c>
      <c r="C83" s="10" t="s">
        <v>2076</v>
      </c>
      <c r="D83" s="10">
        <v>1</v>
      </c>
      <c r="E83" s="10">
        <v>0</v>
      </c>
      <c r="F83" s="10">
        <v>1</v>
      </c>
      <c r="G83" s="10">
        <v>1</v>
      </c>
      <c r="H83" s="10">
        <v>1</v>
      </c>
      <c r="I83" s="10" t="s">
        <v>322</v>
      </c>
      <c r="J83" s="10">
        <f t="shared" si="6"/>
        <v>10078</v>
      </c>
      <c r="K83" s="10">
        <f t="shared" si="7"/>
        <v>78</v>
      </c>
      <c r="L83" s="10">
        <f t="shared" si="8"/>
        <v>77</v>
      </c>
      <c r="M83" s="10" t="s">
        <v>142</v>
      </c>
      <c r="N83" s="10" t="s">
        <v>324</v>
      </c>
      <c r="O83" s="59"/>
      <c r="P83" s="59"/>
    </row>
    <row r="84" spans="2:16" x14ac:dyDescent="0.3">
      <c r="B84" s="10" t="s">
        <v>2126</v>
      </c>
      <c r="C84" s="10" t="s">
        <v>2076</v>
      </c>
      <c r="D84" s="10">
        <v>1</v>
      </c>
      <c r="E84" s="10">
        <v>0</v>
      </c>
      <c r="F84" s="10">
        <v>1</v>
      </c>
      <c r="G84" s="10">
        <v>1</v>
      </c>
      <c r="H84" s="10">
        <v>1</v>
      </c>
      <c r="I84" s="10" t="s">
        <v>322</v>
      </c>
      <c r="J84" s="10">
        <f t="shared" si="6"/>
        <v>10079</v>
      </c>
      <c r="K84" s="10">
        <f t="shared" si="7"/>
        <v>79</v>
      </c>
      <c r="L84" s="10">
        <f t="shared" si="8"/>
        <v>78</v>
      </c>
      <c r="M84" s="10" t="s">
        <v>142</v>
      </c>
      <c r="N84" s="10" t="s">
        <v>324</v>
      </c>
      <c r="O84" s="59"/>
      <c r="P84" s="59"/>
    </row>
    <row r="85" spans="2:16" x14ac:dyDescent="0.3">
      <c r="B85" s="10" t="s">
        <v>2126</v>
      </c>
      <c r="C85" s="10" t="s">
        <v>2076</v>
      </c>
      <c r="D85" s="10">
        <v>1</v>
      </c>
      <c r="E85" s="10">
        <v>0</v>
      </c>
      <c r="F85" s="10">
        <v>1</v>
      </c>
      <c r="G85" s="10">
        <v>1</v>
      </c>
      <c r="H85" s="10">
        <v>1</v>
      </c>
      <c r="I85" s="10" t="s">
        <v>322</v>
      </c>
      <c r="J85" s="10">
        <f t="shared" si="6"/>
        <v>10080</v>
      </c>
      <c r="K85" s="10">
        <f t="shared" si="7"/>
        <v>80</v>
      </c>
      <c r="L85" s="10">
        <f t="shared" si="8"/>
        <v>79</v>
      </c>
      <c r="M85" s="10" t="s">
        <v>142</v>
      </c>
      <c r="N85" s="10" t="s">
        <v>324</v>
      </c>
      <c r="O85" s="59"/>
      <c r="P85" s="59"/>
    </row>
    <row r="86" spans="2:16" x14ac:dyDescent="0.3">
      <c r="B86" s="498" t="s">
        <v>320</v>
      </c>
      <c r="C86" s="498"/>
      <c r="D86" s="498"/>
      <c r="E86" s="498"/>
      <c r="F86" s="498"/>
      <c r="G86" s="498"/>
      <c r="H86" s="498"/>
      <c r="I86" s="498"/>
      <c r="J86" s="498"/>
      <c r="K86" s="498"/>
      <c r="L86" s="498"/>
      <c r="M86" s="498"/>
      <c r="N86" s="498"/>
      <c r="O86" s="498"/>
      <c r="P86" s="498"/>
    </row>
    <row r="87" spans="2:16" x14ac:dyDescent="0.3">
      <c r="B87" s="10" t="s">
        <v>320</v>
      </c>
      <c r="C87" s="10" t="s">
        <v>2076</v>
      </c>
      <c r="D87" s="10">
        <v>1</v>
      </c>
      <c r="E87" s="10">
        <v>0</v>
      </c>
      <c r="F87" s="10">
        <v>1</v>
      </c>
      <c r="G87" s="10">
        <v>1</v>
      </c>
      <c r="H87" s="10">
        <v>1</v>
      </c>
      <c r="I87" s="10" t="s">
        <v>322</v>
      </c>
      <c r="J87" s="10">
        <f>J85+D85</f>
        <v>10081</v>
      </c>
      <c r="K87" s="10">
        <f t="shared" si="7"/>
        <v>81</v>
      </c>
      <c r="L87" s="10">
        <f t="shared" si="8"/>
        <v>80</v>
      </c>
      <c r="M87" s="10" t="s">
        <v>142</v>
      </c>
      <c r="N87" s="10" t="s">
        <v>324</v>
      </c>
      <c r="O87" s="59"/>
      <c r="P87" s="59"/>
    </row>
    <row r="88" spans="2:16" x14ac:dyDescent="0.3">
      <c r="B88" s="10" t="s">
        <v>320</v>
      </c>
      <c r="C88" s="10" t="s">
        <v>2076</v>
      </c>
      <c r="D88" s="10">
        <v>1</v>
      </c>
      <c r="E88" s="10">
        <v>0</v>
      </c>
      <c r="F88" s="10">
        <v>1</v>
      </c>
      <c r="G88" s="10">
        <v>1</v>
      </c>
      <c r="H88" s="10">
        <v>1</v>
      </c>
      <c r="I88" s="10" t="s">
        <v>322</v>
      </c>
      <c r="J88" s="10">
        <f>J87+D87</f>
        <v>10082</v>
      </c>
      <c r="K88" s="10">
        <f t="shared" si="7"/>
        <v>82</v>
      </c>
      <c r="L88" s="10">
        <f t="shared" si="8"/>
        <v>81</v>
      </c>
      <c r="M88" s="10" t="s">
        <v>142</v>
      </c>
      <c r="N88" s="10" t="s">
        <v>324</v>
      </c>
      <c r="O88" s="59"/>
      <c r="P88" s="59"/>
    </row>
    <row r="89" spans="2:16" x14ac:dyDescent="0.3">
      <c r="B89" s="10" t="s">
        <v>320</v>
      </c>
      <c r="C89" s="10" t="s">
        <v>2076</v>
      </c>
      <c r="D89" s="10">
        <v>1</v>
      </c>
      <c r="E89" s="10">
        <v>0</v>
      </c>
      <c r="F89" s="10">
        <v>1</v>
      </c>
      <c r="G89" s="10">
        <v>1</v>
      </c>
      <c r="H89" s="10">
        <v>1</v>
      </c>
      <c r="I89" s="10" t="s">
        <v>322</v>
      </c>
      <c r="J89" s="10">
        <f t="shared" ref="J89:J102" si="9">J88+D88</f>
        <v>10083</v>
      </c>
      <c r="K89" s="10">
        <f t="shared" si="7"/>
        <v>83</v>
      </c>
      <c r="L89" s="10">
        <f t="shared" si="8"/>
        <v>82</v>
      </c>
      <c r="M89" s="10" t="s">
        <v>142</v>
      </c>
      <c r="N89" s="10" t="s">
        <v>324</v>
      </c>
      <c r="O89" s="59"/>
      <c r="P89" s="59"/>
    </row>
    <row r="90" spans="2:16" x14ac:dyDescent="0.3">
      <c r="B90" s="10" t="s">
        <v>320</v>
      </c>
      <c r="C90" s="10" t="s">
        <v>2076</v>
      </c>
      <c r="D90" s="10">
        <v>1</v>
      </c>
      <c r="E90" s="10">
        <v>0</v>
      </c>
      <c r="F90" s="10">
        <v>1</v>
      </c>
      <c r="G90" s="10">
        <v>1</v>
      </c>
      <c r="H90" s="10">
        <v>1</v>
      </c>
      <c r="I90" s="10" t="s">
        <v>322</v>
      </c>
      <c r="J90" s="10">
        <f t="shared" si="9"/>
        <v>10084</v>
      </c>
      <c r="K90" s="10">
        <f t="shared" si="7"/>
        <v>84</v>
      </c>
      <c r="L90" s="10">
        <f t="shared" si="8"/>
        <v>83</v>
      </c>
      <c r="M90" s="10" t="s">
        <v>142</v>
      </c>
      <c r="N90" s="10" t="s">
        <v>324</v>
      </c>
      <c r="O90" s="59"/>
      <c r="P90" s="59"/>
    </row>
    <row r="91" spans="2:16" x14ac:dyDescent="0.3">
      <c r="B91" s="10" t="s">
        <v>320</v>
      </c>
      <c r="C91" s="10" t="s">
        <v>2076</v>
      </c>
      <c r="D91" s="10">
        <v>1</v>
      </c>
      <c r="E91" s="10">
        <v>0</v>
      </c>
      <c r="F91" s="10">
        <v>1</v>
      </c>
      <c r="G91" s="10">
        <v>1</v>
      </c>
      <c r="H91" s="10">
        <v>1</v>
      </c>
      <c r="I91" s="10" t="s">
        <v>322</v>
      </c>
      <c r="J91" s="10">
        <f t="shared" si="9"/>
        <v>10085</v>
      </c>
      <c r="K91" s="10">
        <f t="shared" si="7"/>
        <v>85</v>
      </c>
      <c r="L91" s="10">
        <f t="shared" si="8"/>
        <v>84</v>
      </c>
      <c r="M91" s="10" t="s">
        <v>142</v>
      </c>
      <c r="N91" s="10" t="s">
        <v>324</v>
      </c>
      <c r="O91" s="59"/>
      <c r="P91" s="59"/>
    </row>
    <row r="92" spans="2:16" x14ac:dyDescent="0.3">
      <c r="B92" s="10" t="s">
        <v>320</v>
      </c>
      <c r="C92" s="10" t="s">
        <v>2076</v>
      </c>
      <c r="D92" s="10">
        <v>1</v>
      </c>
      <c r="E92" s="10">
        <v>0</v>
      </c>
      <c r="F92" s="10">
        <v>1</v>
      </c>
      <c r="G92" s="10">
        <v>1</v>
      </c>
      <c r="H92" s="10">
        <v>1</v>
      </c>
      <c r="I92" s="10" t="s">
        <v>322</v>
      </c>
      <c r="J92" s="10">
        <f t="shared" si="9"/>
        <v>10086</v>
      </c>
      <c r="K92" s="10">
        <f t="shared" si="7"/>
        <v>86</v>
      </c>
      <c r="L92" s="10">
        <f t="shared" si="8"/>
        <v>85</v>
      </c>
      <c r="M92" s="10" t="s">
        <v>142</v>
      </c>
      <c r="N92" s="10" t="s">
        <v>324</v>
      </c>
      <c r="O92" s="59"/>
      <c r="P92" s="59"/>
    </row>
    <row r="93" spans="2:16" x14ac:dyDescent="0.3">
      <c r="B93" s="10" t="s">
        <v>320</v>
      </c>
      <c r="C93" s="10" t="s">
        <v>2076</v>
      </c>
      <c r="D93" s="10">
        <v>1</v>
      </c>
      <c r="E93" s="10">
        <v>0</v>
      </c>
      <c r="F93" s="10">
        <v>1</v>
      </c>
      <c r="G93" s="10">
        <v>1</v>
      </c>
      <c r="H93" s="10">
        <v>1</v>
      </c>
      <c r="I93" s="10" t="s">
        <v>322</v>
      </c>
      <c r="J93" s="10">
        <f t="shared" si="9"/>
        <v>10087</v>
      </c>
      <c r="K93" s="10">
        <f t="shared" si="7"/>
        <v>87</v>
      </c>
      <c r="L93" s="10">
        <f t="shared" si="8"/>
        <v>86</v>
      </c>
      <c r="M93" s="10" t="s">
        <v>142</v>
      </c>
      <c r="N93" s="10" t="s">
        <v>324</v>
      </c>
      <c r="O93" s="59"/>
      <c r="P93" s="59"/>
    </row>
    <row r="94" spans="2:16" x14ac:dyDescent="0.3">
      <c r="B94" s="10" t="s">
        <v>320</v>
      </c>
      <c r="C94" s="10" t="s">
        <v>2076</v>
      </c>
      <c r="D94" s="10">
        <v>1</v>
      </c>
      <c r="E94" s="10">
        <v>0</v>
      </c>
      <c r="F94" s="10">
        <v>1</v>
      </c>
      <c r="G94" s="10">
        <v>1</v>
      </c>
      <c r="H94" s="10">
        <v>1</v>
      </c>
      <c r="I94" s="10" t="s">
        <v>322</v>
      </c>
      <c r="J94" s="10">
        <f t="shared" si="9"/>
        <v>10088</v>
      </c>
      <c r="K94" s="10">
        <f t="shared" si="7"/>
        <v>88</v>
      </c>
      <c r="L94" s="10">
        <f t="shared" si="8"/>
        <v>87</v>
      </c>
      <c r="M94" s="10" t="s">
        <v>142</v>
      </c>
      <c r="N94" s="10" t="s">
        <v>324</v>
      </c>
      <c r="O94" s="59"/>
      <c r="P94" s="59"/>
    </row>
    <row r="95" spans="2:16" x14ac:dyDescent="0.3">
      <c r="B95" s="10" t="s">
        <v>320</v>
      </c>
      <c r="C95" s="10" t="s">
        <v>2076</v>
      </c>
      <c r="D95" s="10">
        <v>1</v>
      </c>
      <c r="E95" s="10">
        <v>0</v>
      </c>
      <c r="F95" s="10">
        <v>1</v>
      </c>
      <c r="G95" s="10">
        <v>1</v>
      </c>
      <c r="H95" s="10">
        <v>1</v>
      </c>
      <c r="I95" s="10" t="s">
        <v>322</v>
      </c>
      <c r="J95" s="10">
        <f t="shared" si="9"/>
        <v>10089</v>
      </c>
      <c r="K95" s="10">
        <f t="shared" si="7"/>
        <v>89</v>
      </c>
      <c r="L95" s="10">
        <f t="shared" si="8"/>
        <v>88</v>
      </c>
      <c r="M95" s="10" t="s">
        <v>142</v>
      </c>
      <c r="N95" s="10" t="s">
        <v>324</v>
      </c>
      <c r="O95" s="59"/>
      <c r="P95" s="59"/>
    </row>
    <row r="96" spans="2:16" x14ac:dyDescent="0.3">
      <c r="B96" s="10" t="s">
        <v>320</v>
      </c>
      <c r="C96" s="10" t="s">
        <v>2076</v>
      </c>
      <c r="D96" s="10">
        <v>1</v>
      </c>
      <c r="E96" s="10">
        <v>0</v>
      </c>
      <c r="F96" s="10">
        <v>1</v>
      </c>
      <c r="G96" s="10">
        <v>1</v>
      </c>
      <c r="H96" s="10">
        <v>1</v>
      </c>
      <c r="I96" s="10" t="s">
        <v>322</v>
      </c>
      <c r="J96" s="10">
        <f t="shared" si="9"/>
        <v>10090</v>
      </c>
      <c r="K96" s="10">
        <f t="shared" si="7"/>
        <v>90</v>
      </c>
      <c r="L96" s="10">
        <f t="shared" si="8"/>
        <v>89</v>
      </c>
      <c r="M96" s="10" t="s">
        <v>142</v>
      </c>
      <c r="N96" s="10" t="s">
        <v>324</v>
      </c>
      <c r="O96" s="59"/>
      <c r="P96" s="59"/>
    </row>
    <row r="97" spans="2:16" x14ac:dyDescent="0.3">
      <c r="B97" s="10" t="s">
        <v>320</v>
      </c>
      <c r="C97" s="10" t="s">
        <v>2076</v>
      </c>
      <c r="D97" s="10">
        <v>1</v>
      </c>
      <c r="E97" s="10">
        <v>0</v>
      </c>
      <c r="F97" s="10">
        <v>1</v>
      </c>
      <c r="G97" s="10">
        <v>1</v>
      </c>
      <c r="H97" s="10">
        <v>1</v>
      </c>
      <c r="I97" s="10" t="s">
        <v>322</v>
      </c>
      <c r="J97" s="10">
        <f t="shared" si="9"/>
        <v>10091</v>
      </c>
      <c r="K97" s="10">
        <f t="shared" si="7"/>
        <v>91</v>
      </c>
      <c r="L97" s="10">
        <f t="shared" si="8"/>
        <v>90</v>
      </c>
      <c r="M97" s="10" t="s">
        <v>142</v>
      </c>
      <c r="N97" s="10" t="s">
        <v>324</v>
      </c>
      <c r="O97" s="59"/>
      <c r="P97" s="59"/>
    </row>
    <row r="98" spans="2:16" x14ac:dyDescent="0.3">
      <c r="B98" s="10" t="s">
        <v>320</v>
      </c>
      <c r="C98" s="10" t="s">
        <v>2076</v>
      </c>
      <c r="D98" s="10">
        <v>1</v>
      </c>
      <c r="E98" s="10">
        <v>0</v>
      </c>
      <c r="F98" s="10">
        <v>1</v>
      </c>
      <c r="G98" s="10">
        <v>1</v>
      </c>
      <c r="H98" s="10">
        <v>1</v>
      </c>
      <c r="I98" s="10" t="s">
        <v>322</v>
      </c>
      <c r="J98" s="10">
        <f t="shared" si="9"/>
        <v>10092</v>
      </c>
      <c r="K98" s="10">
        <f t="shared" si="7"/>
        <v>92</v>
      </c>
      <c r="L98" s="10">
        <f t="shared" si="8"/>
        <v>91</v>
      </c>
      <c r="M98" s="10" t="s">
        <v>142</v>
      </c>
      <c r="N98" s="10" t="s">
        <v>324</v>
      </c>
      <c r="O98" s="59"/>
      <c r="P98" s="59"/>
    </row>
    <row r="99" spans="2:16" x14ac:dyDescent="0.3">
      <c r="B99" s="10" t="s">
        <v>320</v>
      </c>
      <c r="C99" s="10" t="s">
        <v>2076</v>
      </c>
      <c r="D99" s="10">
        <v>1</v>
      </c>
      <c r="E99" s="10">
        <v>0</v>
      </c>
      <c r="F99" s="10">
        <v>1</v>
      </c>
      <c r="G99" s="10">
        <v>1</v>
      </c>
      <c r="H99" s="10">
        <v>1</v>
      </c>
      <c r="I99" s="10" t="s">
        <v>322</v>
      </c>
      <c r="J99" s="10">
        <f t="shared" si="9"/>
        <v>10093</v>
      </c>
      <c r="K99" s="10">
        <f t="shared" si="7"/>
        <v>93</v>
      </c>
      <c r="L99" s="10">
        <f t="shared" si="8"/>
        <v>92</v>
      </c>
      <c r="M99" s="10" t="s">
        <v>142</v>
      </c>
      <c r="N99" s="10" t="s">
        <v>324</v>
      </c>
      <c r="O99" s="59"/>
      <c r="P99" s="59"/>
    </row>
    <row r="100" spans="2:16" x14ac:dyDescent="0.3">
      <c r="B100" s="10" t="s">
        <v>320</v>
      </c>
      <c r="C100" s="10" t="s">
        <v>2076</v>
      </c>
      <c r="D100" s="10">
        <v>1</v>
      </c>
      <c r="E100" s="10">
        <v>0</v>
      </c>
      <c r="F100" s="10">
        <v>1</v>
      </c>
      <c r="G100" s="10">
        <v>1</v>
      </c>
      <c r="H100" s="10">
        <v>1</v>
      </c>
      <c r="I100" s="10" t="s">
        <v>322</v>
      </c>
      <c r="J100" s="10">
        <f t="shared" si="9"/>
        <v>10094</v>
      </c>
      <c r="K100" s="10">
        <f t="shared" si="7"/>
        <v>94</v>
      </c>
      <c r="L100" s="10">
        <f t="shared" si="8"/>
        <v>93</v>
      </c>
      <c r="M100" s="10" t="s">
        <v>142</v>
      </c>
      <c r="N100" s="10" t="s">
        <v>324</v>
      </c>
      <c r="O100" s="59"/>
      <c r="P100" s="59"/>
    </row>
    <row r="101" spans="2:16" x14ac:dyDescent="0.3">
      <c r="B101" s="10" t="s">
        <v>320</v>
      </c>
      <c r="C101" s="10" t="s">
        <v>2076</v>
      </c>
      <c r="D101" s="10">
        <v>1</v>
      </c>
      <c r="E101" s="10">
        <v>0</v>
      </c>
      <c r="F101" s="10">
        <v>1</v>
      </c>
      <c r="G101" s="10">
        <v>1</v>
      </c>
      <c r="H101" s="10">
        <v>1</v>
      </c>
      <c r="I101" s="10" t="s">
        <v>322</v>
      </c>
      <c r="J101" s="10">
        <f t="shared" si="9"/>
        <v>10095</v>
      </c>
      <c r="K101" s="10">
        <f t="shared" si="7"/>
        <v>95</v>
      </c>
      <c r="L101" s="10">
        <f t="shared" si="8"/>
        <v>94</v>
      </c>
      <c r="M101" s="10" t="s">
        <v>142</v>
      </c>
      <c r="N101" s="10" t="s">
        <v>324</v>
      </c>
      <c r="O101" s="59"/>
      <c r="P101" s="59"/>
    </row>
    <row r="102" spans="2:16" x14ac:dyDescent="0.3">
      <c r="B102" s="10" t="s">
        <v>320</v>
      </c>
      <c r="C102" s="10" t="s">
        <v>2076</v>
      </c>
      <c r="D102" s="10">
        <v>1</v>
      </c>
      <c r="E102" s="10">
        <v>0</v>
      </c>
      <c r="F102" s="10">
        <v>1</v>
      </c>
      <c r="G102" s="10">
        <v>1</v>
      </c>
      <c r="H102" s="10">
        <v>1</v>
      </c>
      <c r="I102" s="10" t="s">
        <v>322</v>
      </c>
      <c r="J102" s="10">
        <f t="shared" si="9"/>
        <v>10096</v>
      </c>
      <c r="K102" s="10">
        <f t="shared" si="7"/>
        <v>96</v>
      </c>
      <c r="L102" s="10">
        <f t="shared" si="8"/>
        <v>95</v>
      </c>
      <c r="M102" s="10" t="s">
        <v>142</v>
      </c>
      <c r="N102" s="10" t="s">
        <v>324</v>
      </c>
      <c r="O102" s="59"/>
      <c r="P102" s="59"/>
    </row>
    <row r="103" spans="2:16" x14ac:dyDescent="0.3">
      <c r="B103" s="496" t="s">
        <v>2127</v>
      </c>
      <c r="C103" s="496"/>
      <c r="D103" s="496"/>
      <c r="E103" s="496"/>
      <c r="F103" s="496"/>
      <c r="G103" s="496"/>
      <c r="H103" s="496"/>
      <c r="I103" s="496"/>
      <c r="J103" s="496"/>
      <c r="K103" s="496"/>
      <c r="L103" s="496"/>
      <c r="M103" s="496"/>
      <c r="N103" s="496"/>
      <c r="O103" s="496"/>
      <c r="P103" s="496"/>
    </row>
    <row r="104" spans="2:16" x14ac:dyDescent="0.3">
      <c r="B104" s="69" t="s">
        <v>1557</v>
      </c>
      <c r="C104" s="10" t="s">
        <v>2076</v>
      </c>
      <c r="D104" s="10">
        <v>1</v>
      </c>
      <c r="E104" s="10">
        <v>0</v>
      </c>
      <c r="F104" s="10">
        <v>1</v>
      </c>
      <c r="G104" s="10">
        <v>1</v>
      </c>
      <c r="H104" s="10">
        <v>1</v>
      </c>
      <c r="I104" s="10" t="s">
        <v>322</v>
      </c>
      <c r="J104" s="69">
        <f>J102+D102</f>
        <v>10097</v>
      </c>
      <c r="K104" s="10">
        <f t="shared" si="7"/>
        <v>97</v>
      </c>
      <c r="L104" s="10">
        <f t="shared" si="8"/>
        <v>96</v>
      </c>
      <c r="M104" s="10" t="s">
        <v>142</v>
      </c>
      <c r="N104" s="10" t="s">
        <v>324</v>
      </c>
      <c r="O104" s="7"/>
      <c r="P104" s="7"/>
    </row>
    <row r="105" spans="2:16" x14ac:dyDescent="0.3">
      <c r="B105" s="69" t="s">
        <v>1558</v>
      </c>
      <c r="C105" s="10" t="s">
        <v>2076</v>
      </c>
      <c r="D105" s="10">
        <v>1</v>
      </c>
      <c r="E105" s="10">
        <v>0</v>
      </c>
      <c r="F105" s="10">
        <v>1</v>
      </c>
      <c r="G105" s="10">
        <v>1</v>
      </c>
      <c r="H105" s="10">
        <v>1</v>
      </c>
      <c r="I105" s="10" t="s">
        <v>322</v>
      </c>
      <c r="J105" s="69">
        <f>J104+D104</f>
        <v>10098</v>
      </c>
      <c r="K105" s="10">
        <f t="shared" si="7"/>
        <v>98</v>
      </c>
      <c r="L105" s="10">
        <f t="shared" si="8"/>
        <v>97</v>
      </c>
      <c r="M105" s="10" t="s">
        <v>142</v>
      </c>
      <c r="N105" s="10" t="s">
        <v>324</v>
      </c>
      <c r="O105" s="7"/>
      <c r="P105" s="7"/>
    </row>
    <row r="106" spans="2:16" x14ac:dyDescent="0.3">
      <c r="B106" s="10" t="s">
        <v>320</v>
      </c>
      <c r="C106" s="10" t="s">
        <v>2076</v>
      </c>
      <c r="D106" s="10">
        <v>1</v>
      </c>
      <c r="E106" s="10">
        <v>0</v>
      </c>
      <c r="F106" s="10">
        <v>1</v>
      </c>
      <c r="G106" s="10">
        <v>1</v>
      </c>
      <c r="H106" s="10">
        <v>1</v>
      </c>
      <c r="I106" s="10" t="s">
        <v>322</v>
      </c>
      <c r="J106" s="69">
        <f t="shared" ref="J106:J169" si="10">J105+D105</f>
        <v>10099</v>
      </c>
      <c r="K106" s="10">
        <f t="shared" si="7"/>
        <v>99</v>
      </c>
      <c r="L106" s="10">
        <f t="shared" si="8"/>
        <v>98</v>
      </c>
      <c r="M106" s="10" t="s">
        <v>142</v>
      </c>
      <c r="N106" s="10" t="s">
        <v>324</v>
      </c>
      <c r="O106" s="7"/>
      <c r="P106" s="7"/>
    </row>
    <row r="107" spans="2:16" x14ac:dyDescent="0.3">
      <c r="B107" s="10" t="s">
        <v>320</v>
      </c>
      <c r="C107" s="10" t="s">
        <v>2076</v>
      </c>
      <c r="D107" s="10">
        <v>1</v>
      </c>
      <c r="E107" s="10">
        <v>0</v>
      </c>
      <c r="F107" s="10">
        <v>1</v>
      </c>
      <c r="G107" s="10">
        <v>1</v>
      </c>
      <c r="H107" s="10">
        <v>1</v>
      </c>
      <c r="I107" s="10" t="s">
        <v>322</v>
      </c>
      <c r="J107" s="69">
        <f t="shared" si="10"/>
        <v>10100</v>
      </c>
      <c r="K107" s="10">
        <f t="shared" si="7"/>
        <v>100</v>
      </c>
      <c r="L107" s="10">
        <f t="shared" si="8"/>
        <v>99</v>
      </c>
      <c r="M107" s="10" t="s">
        <v>142</v>
      </c>
      <c r="N107" s="10" t="s">
        <v>324</v>
      </c>
      <c r="O107" s="7"/>
      <c r="P107" s="7"/>
    </row>
    <row r="108" spans="2:16" x14ac:dyDescent="0.3">
      <c r="B108" s="10" t="s">
        <v>320</v>
      </c>
      <c r="C108" s="10" t="s">
        <v>2076</v>
      </c>
      <c r="D108" s="10">
        <v>1</v>
      </c>
      <c r="E108" s="10">
        <v>0</v>
      </c>
      <c r="F108" s="10">
        <v>1</v>
      </c>
      <c r="G108" s="10">
        <v>1</v>
      </c>
      <c r="H108" s="10">
        <v>1</v>
      </c>
      <c r="I108" s="10" t="s">
        <v>322</v>
      </c>
      <c r="J108" s="69">
        <f t="shared" si="10"/>
        <v>10101</v>
      </c>
      <c r="K108" s="10">
        <f t="shared" si="7"/>
        <v>101</v>
      </c>
      <c r="L108" s="10">
        <f t="shared" si="8"/>
        <v>100</v>
      </c>
      <c r="M108" s="10" t="s">
        <v>142</v>
      </c>
      <c r="N108" s="10" t="s">
        <v>324</v>
      </c>
      <c r="O108" s="7"/>
      <c r="P108" s="7"/>
    </row>
    <row r="109" spans="2:16" x14ac:dyDescent="0.3">
      <c r="B109" s="10" t="s">
        <v>320</v>
      </c>
      <c r="C109" s="10" t="s">
        <v>2076</v>
      </c>
      <c r="D109" s="10">
        <v>1</v>
      </c>
      <c r="E109" s="10">
        <v>0</v>
      </c>
      <c r="F109" s="10">
        <v>1</v>
      </c>
      <c r="G109" s="10">
        <v>1</v>
      </c>
      <c r="H109" s="10">
        <v>1</v>
      </c>
      <c r="I109" s="10" t="s">
        <v>322</v>
      </c>
      <c r="J109" s="69">
        <f t="shared" si="10"/>
        <v>10102</v>
      </c>
      <c r="K109" s="10">
        <f t="shared" si="7"/>
        <v>102</v>
      </c>
      <c r="L109" s="10">
        <f t="shared" si="8"/>
        <v>101</v>
      </c>
      <c r="M109" s="10" t="s">
        <v>142</v>
      </c>
      <c r="N109" s="10" t="s">
        <v>324</v>
      </c>
      <c r="O109" s="7"/>
      <c r="P109" s="7"/>
    </row>
    <row r="110" spans="2:16" x14ac:dyDescent="0.3">
      <c r="B110" s="10" t="s">
        <v>320</v>
      </c>
      <c r="C110" s="10" t="s">
        <v>2076</v>
      </c>
      <c r="D110" s="10">
        <v>1</v>
      </c>
      <c r="E110" s="10">
        <v>0</v>
      </c>
      <c r="F110" s="10">
        <v>1</v>
      </c>
      <c r="G110" s="10">
        <v>1</v>
      </c>
      <c r="H110" s="10">
        <v>1</v>
      </c>
      <c r="I110" s="10" t="s">
        <v>322</v>
      </c>
      <c r="J110" s="69">
        <f t="shared" si="10"/>
        <v>10103</v>
      </c>
      <c r="K110" s="10">
        <f t="shared" si="7"/>
        <v>103</v>
      </c>
      <c r="L110" s="10">
        <f t="shared" si="8"/>
        <v>102</v>
      </c>
      <c r="M110" s="10" t="s">
        <v>142</v>
      </c>
      <c r="N110" s="10" t="s">
        <v>324</v>
      </c>
      <c r="O110" s="7"/>
      <c r="P110" s="7"/>
    </row>
    <row r="111" spans="2:16" x14ac:dyDescent="0.3">
      <c r="B111" s="10" t="s">
        <v>320</v>
      </c>
      <c r="C111" s="10" t="s">
        <v>2076</v>
      </c>
      <c r="D111" s="10">
        <v>1</v>
      </c>
      <c r="E111" s="10">
        <v>0</v>
      </c>
      <c r="F111" s="10">
        <v>1</v>
      </c>
      <c r="G111" s="10">
        <v>1</v>
      </c>
      <c r="H111" s="10">
        <v>1</v>
      </c>
      <c r="I111" s="10" t="s">
        <v>322</v>
      </c>
      <c r="J111" s="69">
        <f t="shared" si="10"/>
        <v>10104</v>
      </c>
      <c r="K111" s="10">
        <f t="shared" si="7"/>
        <v>104</v>
      </c>
      <c r="L111" s="10">
        <f t="shared" si="8"/>
        <v>103</v>
      </c>
      <c r="M111" s="10" t="s">
        <v>142</v>
      </c>
      <c r="N111" s="10" t="s">
        <v>324</v>
      </c>
      <c r="O111" s="7"/>
      <c r="P111" s="7"/>
    </row>
    <row r="112" spans="2:16" x14ac:dyDescent="0.3">
      <c r="B112" s="69" t="s">
        <v>1559</v>
      </c>
      <c r="C112" s="10" t="s">
        <v>2076</v>
      </c>
      <c r="D112" s="10">
        <v>1</v>
      </c>
      <c r="E112" s="10">
        <v>0</v>
      </c>
      <c r="F112" s="10">
        <v>1</v>
      </c>
      <c r="G112" s="10">
        <v>1</v>
      </c>
      <c r="H112" s="10">
        <v>1</v>
      </c>
      <c r="I112" s="10" t="s">
        <v>322</v>
      </c>
      <c r="J112" s="69">
        <f t="shared" si="10"/>
        <v>10105</v>
      </c>
      <c r="K112" s="10">
        <f t="shared" si="7"/>
        <v>105</v>
      </c>
      <c r="L112" s="10">
        <f t="shared" si="8"/>
        <v>104</v>
      </c>
      <c r="M112" s="10" t="s">
        <v>142</v>
      </c>
      <c r="N112" s="10" t="s">
        <v>324</v>
      </c>
      <c r="O112" s="7"/>
      <c r="P112" s="7"/>
    </row>
    <row r="113" spans="2:16" x14ac:dyDescent="0.3">
      <c r="B113" s="69" t="s">
        <v>1560</v>
      </c>
      <c r="C113" s="10" t="s">
        <v>2076</v>
      </c>
      <c r="D113" s="10">
        <v>1</v>
      </c>
      <c r="E113" s="10">
        <v>0</v>
      </c>
      <c r="F113" s="10">
        <v>1</v>
      </c>
      <c r="G113" s="10">
        <v>1</v>
      </c>
      <c r="H113" s="10">
        <v>1</v>
      </c>
      <c r="I113" s="10" t="s">
        <v>322</v>
      </c>
      <c r="J113" s="69">
        <f t="shared" si="10"/>
        <v>10106</v>
      </c>
      <c r="K113" s="10">
        <f t="shared" si="7"/>
        <v>106</v>
      </c>
      <c r="L113" s="10">
        <f t="shared" si="8"/>
        <v>105</v>
      </c>
      <c r="M113" s="10" t="s">
        <v>142</v>
      </c>
      <c r="N113" s="10" t="s">
        <v>324</v>
      </c>
      <c r="O113" s="7"/>
      <c r="P113" s="7"/>
    </row>
    <row r="114" spans="2:16" x14ac:dyDescent="0.3">
      <c r="B114" s="69" t="s">
        <v>1561</v>
      </c>
      <c r="C114" s="10" t="s">
        <v>2076</v>
      </c>
      <c r="D114" s="10">
        <v>1</v>
      </c>
      <c r="E114" s="10">
        <v>0</v>
      </c>
      <c r="F114" s="10">
        <v>1</v>
      </c>
      <c r="G114" s="10">
        <v>1</v>
      </c>
      <c r="H114" s="10">
        <v>1</v>
      </c>
      <c r="I114" s="10" t="s">
        <v>322</v>
      </c>
      <c r="J114" s="69">
        <f t="shared" si="10"/>
        <v>10107</v>
      </c>
      <c r="K114" s="10">
        <f t="shared" si="7"/>
        <v>107</v>
      </c>
      <c r="L114" s="10">
        <f t="shared" si="8"/>
        <v>106</v>
      </c>
      <c r="M114" s="10" t="s">
        <v>142</v>
      </c>
      <c r="N114" s="10" t="s">
        <v>324</v>
      </c>
      <c r="O114" s="7"/>
      <c r="P114" s="7"/>
    </row>
    <row r="115" spans="2:16" x14ac:dyDescent="0.3">
      <c r="B115" s="69" t="s">
        <v>1562</v>
      </c>
      <c r="C115" s="10" t="s">
        <v>2076</v>
      </c>
      <c r="D115" s="10">
        <v>1</v>
      </c>
      <c r="E115" s="10">
        <v>0</v>
      </c>
      <c r="F115" s="10">
        <v>1</v>
      </c>
      <c r="G115" s="10">
        <v>1</v>
      </c>
      <c r="H115" s="10">
        <v>1</v>
      </c>
      <c r="I115" s="10" t="s">
        <v>322</v>
      </c>
      <c r="J115" s="69">
        <f t="shared" si="10"/>
        <v>10108</v>
      </c>
      <c r="K115" s="10">
        <f t="shared" si="7"/>
        <v>108</v>
      </c>
      <c r="L115" s="10">
        <f t="shared" si="8"/>
        <v>107</v>
      </c>
      <c r="M115" s="10" t="s">
        <v>142</v>
      </c>
      <c r="N115" s="10" t="s">
        <v>324</v>
      </c>
      <c r="O115" s="7"/>
      <c r="P115" s="7"/>
    </row>
    <row r="116" spans="2:16" x14ac:dyDescent="0.3">
      <c r="B116" s="69" t="s">
        <v>1563</v>
      </c>
      <c r="C116" s="10" t="s">
        <v>2076</v>
      </c>
      <c r="D116" s="10">
        <v>1</v>
      </c>
      <c r="E116" s="10">
        <v>0</v>
      </c>
      <c r="F116" s="10">
        <v>1</v>
      </c>
      <c r="G116" s="10">
        <v>1</v>
      </c>
      <c r="H116" s="10">
        <v>1</v>
      </c>
      <c r="I116" s="10" t="s">
        <v>322</v>
      </c>
      <c r="J116" s="69">
        <f t="shared" si="10"/>
        <v>10109</v>
      </c>
      <c r="K116" s="10">
        <f t="shared" si="7"/>
        <v>109</v>
      </c>
      <c r="L116" s="10">
        <f t="shared" si="8"/>
        <v>108</v>
      </c>
      <c r="M116" s="10" t="s">
        <v>142</v>
      </c>
      <c r="N116" s="10" t="s">
        <v>324</v>
      </c>
      <c r="O116" s="7"/>
      <c r="P116" s="7"/>
    </row>
    <row r="117" spans="2:16" x14ac:dyDescent="0.3">
      <c r="B117" s="69" t="s">
        <v>1564</v>
      </c>
      <c r="C117" s="10" t="s">
        <v>2076</v>
      </c>
      <c r="D117" s="10">
        <v>1</v>
      </c>
      <c r="E117" s="10">
        <v>0</v>
      </c>
      <c r="F117" s="10">
        <v>1</v>
      </c>
      <c r="G117" s="10">
        <v>1</v>
      </c>
      <c r="H117" s="10">
        <v>1</v>
      </c>
      <c r="I117" s="10" t="s">
        <v>322</v>
      </c>
      <c r="J117" s="69">
        <f t="shared" si="10"/>
        <v>10110</v>
      </c>
      <c r="K117" s="10">
        <f t="shared" si="7"/>
        <v>110</v>
      </c>
      <c r="L117" s="10">
        <f t="shared" si="8"/>
        <v>109</v>
      </c>
      <c r="M117" s="10" t="s">
        <v>142</v>
      </c>
      <c r="N117" s="10" t="s">
        <v>324</v>
      </c>
      <c r="O117" s="7"/>
      <c r="P117" s="7"/>
    </row>
    <row r="118" spans="2:16" x14ac:dyDescent="0.3">
      <c r="B118" s="69" t="s">
        <v>1565</v>
      </c>
      <c r="C118" s="10" t="s">
        <v>2076</v>
      </c>
      <c r="D118" s="10">
        <v>1</v>
      </c>
      <c r="E118" s="10">
        <v>0</v>
      </c>
      <c r="F118" s="10">
        <v>1</v>
      </c>
      <c r="G118" s="10">
        <v>1</v>
      </c>
      <c r="H118" s="10">
        <v>1</v>
      </c>
      <c r="I118" s="10" t="s">
        <v>322</v>
      </c>
      <c r="J118" s="69">
        <f t="shared" si="10"/>
        <v>10111</v>
      </c>
      <c r="K118" s="10">
        <f t="shared" si="7"/>
        <v>111</v>
      </c>
      <c r="L118" s="10">
        <f t="shared" si="8"/>
        <v>110</v>
      </c>
      <c r="M118" s="10" t="s">
        <v>142</v>
      </c>
      <c r="N118" s="10" t="s">
        <v>324</v>
      </c>
      <c r="O118" s="7"/>
      <c r="P118" s="7"/>
    </row>
    <row r="119" spans="2:16" x14ac:dyDescent="0.3">
      <c r="B119" s="69" t="s">
        <v>1566</v>
      </c>
      <c r="C119" s="10" t="s">
        <v>2076</v>
      </c>
      <c r="D119" s="10">
        <v>1</v>
      </c>
      <c r="E119" s="10">
        <v>0</v>
      </c>
      <c r="F119" s="10">
        <v>1</v>
      </c>
      <c r="G119" s="10">
        <v>1</v>
      </c>
      <c r="H119" s="10">
        <v>1</v>
      </c>
      <c r="I119" s="10" t="s">
        <v>322</v>
      </c>
      <c r="J119" s="69">
        <f t="shared" si="10"/>
        <v>10112</v>
      </c>
      <c r="K119" s="10">
        <f t="shared" si="7"/>
        <v>112</v>
      </c>
      <c r="L119" s="10">
        <f t="shared" si="8"/>
        <v>111</v>
      </c>
      <c r="M119" s="10" t="s">
        <v>142</v>
      </c>
      <c r="N119" s="10" t="s">
        <v>324</v>
      </c>
      <c r="O119" s="7"/>
      <c r="P119" s="7"/>
    </row>
    <row r="120" spans="2:16" x14ac:dyDescent="0.3">
      <c r="B120" s="69" t="s">
        <v>1567</v>
      </c>
      <c r="C120" s="10" t="s">
        <v>2076</v>
      </c>
      <c r="D120" s="10">
        <v>1</v>
      </c>
      <c r="E120" s="10">
        <v>0</v>
      </c>
      <c r="F120" s="10">
        <v>1</v>
      </c>
      <c r="G120" s="10">
        <v>1</v>
      </c>
      <c r="H120" s="10">
        <v>1</v>
      </c>
      <c r="I120" s="10" t="s">
        <v>322</v>
      </c>
      <c r="J120" s="69">
        <f t="shared" si="10"/>
        <v>10113</v>
      </c>
      <c r="K120" s="10">
        <f t="shared" si="7"/>
        <v>113</v>
      </c>
      <c r="L120" s="10">
        <f t="shared" si="8"/>
        <v>112</v>
      </c>
      <c r="M120" s="10" t="s">
        <v>142</v>
      </c>
      <c r="N120" s="10" t="s">
        <v>324</v>
      </c>
      <c r="O120" s="7"/>
      <c r="P120" s="7"/>
    </row>
    <row r="121" spans="2:16" x14ac:dyDescent="0.3">
      <c r="B121" s="69" t="s">
        <v>1568</v>
      </c>
      <c r="C121" s="10" t="s">
        <v>2076</v>
      </c>
      <c r="D121" s="10">
        <v>1</v>
      </c>
      <c r="E121" s="10">
        <v>0</v>
      </c>
      <c r="F121" s="10">
        <v>1</v>
      </c>
      <c r="G121" s="10">
        <v>1</v>
      </c>
      <c r="H121" s="10">
        <v>1</v>
      </c>
      <c r="I121" s="10" t="s">
        <v>322</v>
      </c>
      <c r="J121" s="69">
        <f t="shared" si="10"/>
        <v>10114</v>
      </c>
      <c r="K121" s="10">
        <f t="shared" si="7"/>
        <v>114</v>
      </c>
      <c r="L121" s="10">
        <f t="shared" si="8"/>
        <v>113</v>
      </c>
      <c r="M121" s="10" t="s">
        <v>142</v>
      </c>
      <c r="N121" s="10" t="s">
        <v>324</v>
      </c>
      <c r="O121" s="7"/>
      <c r="P121" s="7"/>
    </row>
    <row r="122" spans="2:16" x14ac:dyDescent="0.3">
      <c r="B122" s="200" t="s">
        <v>1569</v>
      </c>
      <c r="C122" s="10" t="s">
        <v>2076</v>
      </c>
      <c r="D122" s="10">
        <v>1</v>
      </c>
      <c r="E122" s="10">
        <v>0</v>
      </c>
      <c r="F122" s="10">
        <v>1</v>
      </c>
      <c r="G122" s="10">
        <v>1</v>
      </c>
      <c r="H122" s="10">
        <v>1</v>
      </c>
      <c r="I122" s="10" t="s">
        <v>322</v>
      </c>
      <c r="J122" s="69">
        <f t="shared" si="10"/>
        <v>10115</v>
      </c>
      <c r="K122" s="10">
        <f t="shared" si="7"/>
        <v>115</v>
      </c>
      <c r="L122" s="10">
        <f t="shared" si="8"/>
        <v>114</v>
      </c>
      <c r="M122" s="10" t="s">
        <v>142</v>
      </c>
      <c r="N122" s="10" t="s">
        <v>324</v>
      </c>
      <c r="O122" s="7"/>
      <c r="P122" s="7"/>
    </row>
    <row r="123" spans="2:16" x14ac:dyDescent="0.3">
      <c r="B123" s="200" t="s">
        <v>1570</v>
      </c>
      <c r="C123" s="10" t="s">
        <v>2076</v>
      </c>
      <c r="D123" s="10">
        <v>1</v>
      </c>
      <c r="E123" s="10">
        <v>0</v>
      </c>
      <c r="F123" s="10">
        <v>1</v>
      </c>
      <c r="G123" s="10">
        <v>1</v>
      </c>
      <c r="H123" s="10">
        <v>1</v>
      </c>
      <c r="I123" s="10" t="s">
        <v>322</v>
      </c>
      <c r="J123" s="69">
        <f t="shared" si="10"/>
        <v>10116</v>
      </c>
      <c r="K123" s="10">
        <f t="shared" si="7"/>
        <v>116</v>
      </c>
      <c r="L123" s="10">
        <f t="shared" si="8"/>
        <v>115</v>
      </c>
      <c r="M123" s="10" t="s">
        <v>142</v>
      </c>
      <c r="N123" s="10" t="s">
        <v>324</v>
      </c>
      <c r="O123" s="7"/>
      <c r="P123" s="7"/>
    </row>
    <row r="124" spans="2:16" x14ac:dyDescent="0.3">
      <c r="B124" s="10" t="s">
        <v>320</v>
      </c>
      <c r="C124" s="10" t="s">
        <v>2076</v>
      </c>
      <c r="D124" s="10">
        <v>1</v>
      </c>
      <c r="E124" s="10">
        <v>0</v>
      </c>
      <c r="F124" s="10">
        <v>1</v>
      </c>
      <c r="G124" s="10">
        <v>1</v>
      </c>
      <c r="H124" s="10">
        <v>1</v>
      </c>
      <c r="I124" s="10" t="s">
        <v>322</v>
      </c>
      <c r="J124" s="69">
        <f t="shared" si="10"/>
        <v>10117</v>
      </c>
      <c r="K124" s="10">
        <f t="shared" si="7"/>
        <v>117</v>
      </c>
      <c r="L124" s="10">
        <f t="shared" si="8"/>
        <v>116</v>
      </c>
      <c r="M124" s="10" t="s">
        <v>142</v>
      </c>
      <c r="N124" s="10" t="s">
        <v>324</v>
      </c>
      <c r="O124" s="7"/>
      <c r="P124" s="7"/>
    </row>
    <row r="125" spans="2:16" x14ac:dyDescent="0.3">
      <c r="B125" s="10" t="s">
        <v>320</v>
      </c>
      <c r="C125" s="10" t="s">
        <v>2076</v>
      </c>
      <c r="D125" s="10">
        <v>1</v>
      </c>
      <c r="E125" s="10">
        <v>0</v>
      </c>
      <c r="F125" s="10">
        <v>1</v>
      </c>
      <c r="G125" s="10">
        <v>1</v>
      </c>
      <c r="H125" s="10">
        <v>1</v>
      </c>
      <c r="I125" s="10" t="s">
        <v>322</v>
      </c>
      <c r="J125" s="69">
        <f t="shared" si="10"/>
        <v>10118</v>
      </c>
      <c r="K125" s="10">
        <f t="shared" si="7"/>
        <v>118</v>
      </c>
      <c r="L125" s="10">
        <f t="shared" si="8"/>
        <v>117</v>
      </c>
      <c r="M125" s="10" t="s">
        <v>142</v>
      </c>
      <c r="N125" s="10" t="s">
        <v>324</v>
      </c>
      <c r="O125" s="7"/>
      <c r="P125" s="7"/>
    </row>
    <row r="126" spans="2:16" x14ac:dyDescent="0.3">
      <c r="B126" s="10" t="s">
        <v>320</v>
      </c>
      <c r="C126" s="10" t="s">
        <v>2076</v>
      </c>
      <c r="D126" s="10">
        <v>1</v>
      </c>
      <c r="E126" s="10">
        <v>0</v>
      </c>
      <c r="F126" s="10">
        <v>1</v>
      </c>
      <c r="G126" s="10">
        <v>1</v>
      </c>
      <c r="H126" s="10">
        <v>1</v>
      </c>
      <c r="I126" s="10" t="s">
        <v>322</v>
      </c>
      <c r="J126" s="69">
        <f t="shared" si="10"/>
        <v>10119</v>
      </c>
      <c r="K126" s="10">
        <f t="shared" si="7"/>
        <v>119</v>
      </c>
      <c r="L126" s="10">
        <f t="shared" si="8"/>
        <v>118</v>
      </c>
      <c r="M126" s="10" t="s">
        <v>142</v>
      </c>
      <c r="N126" s="10" t="s">
        <v>324</v>
      </c>
      <c r="O126" s="7"/>
      <c r="P126" s="7"/>
    </row>
    <row r="127" spans="2:16" x14ac:dyDescent="0.3">
      <c r="B127" s="10" t="s">
        <v>320</v>
      </c>
      <c r="C127" s="10" t="s">
        <v>2076</v>
      </c>
      <c r="D127" s="10">
        <v>1</v>
      </c>
      <c r="E127" s="10">
        <v>0</v>
      </c>
      <c r="F127" s="10">
        <v>1</v>
      </c>
      <c r="G127" s="10">
        <v>1</v>
      </c>
      <c r="H127" s="10">
        <v>1</v>
      </c>
      <c r="I127" s="10" t="s">
        <v>322</v>
      </c>
      <c r="J127" s="69">
        <f t="shared" si="10"/>
        <v>10120</v>
      </c>
      <c r="K127" s="10">
        <f t="shared" si="7"/>
        <v>120</v>
      </c>
      <c r="L127" s="10">
        <f t="shared" si="8"/>
        <v>119</v>
      </c>
      <c r="M127" s="10" t="s">
        <v>142</v>
      </c>
      <c r="N127" s="10" t="s">
        <v>324</v>
      </c>
      <c r="O127" s="7"/>
      <c r="P127" s="7"/>
    </row>
    <row r="128" spans="2:16" x14ac:dyDescent="0.3">
      <c r="B128" s="69" t="s">
        <v>1571</v>
      </c>
      <c r="C128" s="10" t="s">
        <v>2076</v>
      </c>
      <c r="D128" s="10">
        <v>1</v>
      </c>
      <c r="E128" s="10">
        <v>0</v>
      </c>
      <c r="F128" s="10">
        <v>1</v>
      </c>
      <c r="G128" s="10">
        <v>1</v>
      </c>
      <c r="H128" s="10">
        <v>1</v>
      </c>
      <c r="I128" s="10" t="s">
        <v>322</v>
      </c>
      <c r="J128" s="69">
        <f t="shared" si="10"/>
        <v>10121</v>
      </c>
      <c r="K128" s="10">
        <f t="shared" si="7"/>
        <v>121</v>
      </c>
      <c r="L128" s="10">
        <f t="shared" si="8"/>
        <v>120</v>
      </c>
      <c r="M128" s="10" t="s">
        <v>142</v>
      </c>
      <c r="N128" s="10" t="s">
        <v>324</v>
      </c>
      <c r="O128" s="7"/>
      <c r="P128" s="7"/>
    </row>
    <row r="129" spans="2:16" x14ac:dyDescent="0.3">
      <c r="B129" s="69" t="s">
        <v>1572</v>
      </c>
      <c r="C129" s="10" t="s">
        <v>2076</v>
      </c>
      <c r="D129" s="10">
        <v>1</v>
      </c>
      <c r="E129" s="10">
        <v>0</v>
      </c>
      <c r="F129" s="10">
        <v>1</v>
      </c>
      <c r="G129" s="10">
        <v>1</v>
      </c>
      <c r="H129" s="10">
        <v>1</v>
      </c>
      <c r="I129" s="10" t="s">
        <v>322</v>
      </c>
      <c r="J129" s="69">
        <f t="shared" si="10"/>
        <v>10122</v>
      </c>
      <c r="K129" s="10">
        <f t="shared" si="7"/>
        <v>122</v>
      </c>
      <c r="L129" s="10">
        <f t="shared" si="8"/>
        <v>121</v>
      </c>
      <c r="M129" s="10" t="s">
        <v>142</v>
      </c>
      <c r="N129" s="10" t="s">
        <v>324</v>
      </c>
      <c r="O129" s="7"/>
      <c r="P129" s="7"/>
    </row>
    <row r="130" spans="2:16" x14ac:dyDescent="0.3">
      <c r="B130" s="69" t="s">
        <v>1573</v>
      </c>
      <c r="C130" s="10" t="s">
        <v>2076</v>
      </c>
      <c r="D130" s="10">
        <v>1</v>
      </c>
      <c r="E130" s="10">
        <v>0</v>
      </c>
      <c r="F130" s="10">
        <v>1</v>
      </c>
      <c r="G130" s="10">
        <v>1</v>
      </c>
      <c r="H130" s="10">
        <v>1</v>
      </c>
      <c r="I130" s="10" t="s">
        <v>322</v>
      </c>
      <c r="J130" s="69">
        <f t="shared" si="10"/>
        <v>10123</v>
      </c>
      <c r="K130" s="10">
        <f t="shared" si="7"/>
        <v>123</v>
      </c>
      <c r="L130" s="10">
        <f t="shared" si="8"/>
        <v>122</v>
      </c>
      <c r="M130" s="10" t="s">
        <v>142</v>
      </c>
      <c r="N130" s="10" t="s">
        <v>324</v>
      </c>
      <c r="O130" s="7"/>
      <c r="P130" s="7"/>
    </row>
    <row r="131" spans="2:16" x14ac:dyDescent="0.3">
      <c r="B131" s="69" t="s">
        <v>1574</v>
      </c>
      <c r="C131" s="10" t="s">
        <v>2076</v>
      </c>
      <c r="D131" s="10">
        <v>1</v>
      </c>
      <c r="E131" s="10">
        <v>0</v>
      </c>
      <c r="F131" s="10">
        <v>1</v>
      </c>
      <c r="G131" s="10">
        <v>1</v>
      </c>
      <c r="H131" s="10">
        <v>1</v>
      </c>
      <c r="I131" s="10" t="s">
        <v>322</v>
      </c>
      <c r="J131" s="69">
        <f t="shared" si="10"/>
        <v>10124</v>
      </c>
      <c r="K131" s="10">
        <f t="shared" si="7"/>
        <v>124</v>
      </c>
      <c r="L131" s="10">
        <f t="shared" si="8"/>
        <v>123</v>
      </c>
      <c r="M131" s="10" t="s">
        <v>142</v>
      </c>
      <c r="N131" s="10" t="s">
        <v>324</v>
      </c>
      <c r="O131" s="7"/>
      <c r="P131" s="7"/>
    </row>
    <row r="132" spans="2:16" x14ac:dyDescent="0.3">
      <c r="B132" s="69" t="s">
        <v>1575</v>
      </c>
      <c r="C132" s="10" t="s">
        <v>2076</v>
      </c>
      <c r="D132" s="10">
        <v>1</v>
      </c>
      <c r="E132" s="10">
        <v>0</v>
      </c>
      <c r="F132" s="10">
        <v>1</v>
      </c>
      <c r="G132" s="10">
        <v>1</v>
      </c>
      <c r="H132" s="10">
        <v>1</v>
      </c>
      <c r="I132" s="10" t="s">
        <v>322</v>
      </c>
      <c r="J132" s="69">
        <f t="shared" si="10"/>
        <v>10125</v>
      </c>
      <c r="K132" s="10">
        <f t="shared" si="7"/>
        <v>125</v>
      </c>
      <c r="L132" s="10">
        <f t="shared" si="8"/>
        <v>124</v>
      </c>
      <c r="M132" s="10" t="s">
        <v>142</v>
      </c>
      <c r="N132" s="10" t="s">
        <v>324</v>
      </c>
      <c r="O132" s="7"/>
      <c r="P132" s="7"/>
    </row>
    <row r="133" spans="2:16" x14ac:dyDescent="0.3">
      <c r="B133" s="69" t="s">
        <v>1576</v>
      </c>
      <c r="C133" s="10" t="s">
        <v>2076</v>
      </c>
      <c r="D133" s="10">
        <v>1</v>
      </c>
      <c r="E133" s="10">
        <v>0</v>
      </c>
      <c r="F133" s="10">
        <v>1</v>
      </c>
      <c r="G133" s="10">
        <v>1</v>
      </c>
      <c r="H133" s="10">
        <v>1</v>
      </c>
      <c r="I133" s="10" t="s">
        <v>322</v>
      </c>
      <c r="J133" s="69">
        <f t="shared" si="10"/>
        <v>10126</v>
      </c>
      <c r="K133" s="10">
        <f t="shared" si="7"/>
        <v>126</v>
      </c>
      <c r="L133" s="10">
        <f t="shared" si="8"/>
        <v>125</v>
      </c>
      <c r="M133" s="10" t="s">
        <v>142</v>
      </c>
      <c r="N133" s="10" t="s">
        <v>324</v>
      </c>
      <c r="O133" s="7"/>
      <c r="P133" s="7"/>
    </row>
    <row r="134" spans="2:16" x14ac:dyDescent="0.3">
      <c r="B134" s="69" t="s">
        <v>1577</v>
      </c>
      <c r="C134" s="10" t="s">
        <v>2076</v>
      </c>
      <c r="D134" s="10">
        <v>1</v>
      </c>
      <c r="E134" s="10">
        <v>0</v>
      </c>
      <c r="F134" s="10">
        <v>1</v>
      </c>
      <c r="G134" s="10">
        <v>1</v>
      </c>
      <c r="H134" s="10">
        <v>1</v>
      </c>
      <c r="I134" s="10" t="s">
        <v>322</v>
      </c>
      <c r="J134" s="69">
        <f t="shared" si="10"/>
        <v>10127</v>
      </c>
      <c r="K134" s="10">
        <f t="shared" si="7"/>
        <v>127</v>
      </c>
      <c r="L134" s="10">
        <f t="shared" si="8"/>
        <v>126</v>
      </c>
      <c r="M134" s="10" t="s">
        <v>142</v>
      </c>
      <c r="N134" s="10" t="s">
        <v>324</v>
      </c>
      <c r="O134" s="7"/>
      <c r="P134" s="7"/>
    </row>
    <row r="135" spans="2:16" x14ac:dyDescent="0.3">
      <c r="B135" s="69" t="s">
        <v>1578</v>
      </c>
      <c r="C135" s="10" t="s">
        <v>2076</v>
      </c>
      <c r="D135" s="10">
        <v>1</v>
      </c>
      <c r="E135" s="10">
        <v>0</v>
      </c>
      <c r="F135" s="10">
        <v>1</v>
      </c>
      <c r="G135" s="10">
        <v>1</v>
      </c>
      <c r="H135" s="10">
        <v>1</v>
      </c>
      <c r="I135" s="10" t="s">
        <v>322</v>
      </c>
      <c r="J135" s="69">
        <f t="shared" si="10"/>
        <v>10128</v>
      </c>
      <c r="K135" s="10">
        <f t="shared" si="7"/>
        <v>128</v>
      </c>
      <c r="L135" s="10">
        <f t="shared" si="8"/>
        <v>127</v>
      </c>
      <c r="M135" s="10" t="s">
        <v>142</v>
      </c>
      <c r="N135" s="10" t="s">
        <v>324</v>
      </c>
      <c r="O135" s="7"/>
      <c r="P135" s="7"/>
    </row>
    <row r="136" spans="2:16" x14ac:dyDescent="0.3">
      <c r="B136" s="496" t="s">
        <v>2128</v>
      </c>
      <c r="C136" s="496"/>
      <c r="D136" s="496"/>
      <c r="E136" s="496"/>
      <c r="F136" s="496"/>
      <c r="G136" s="496"/>
      <c r="H136" s="496"/>
      <c r="I136" s="496"/>
      <c r="J136" s="496"/>
      <c r="K136" s="496"/>
      <c r="L136" s="496"/>
      <c r="M136" s="496"/>
      <c r="N136" s="496"/>
      <c r="O136" s="496"/>
      <c r="P136" s="496"/>
    </row>
    <row r="137" spans="2:16" x14ac:dyDescent="0.3">
      <c r="B137" s="10" t="s">
        <v>1579</v>
      </c>
      <c r="C137" s="10" t="s">
        <v>2076</v>
      </c>
      <c r="D137" s="10">
        <v>1</v>
      </c>
      <c r="E137" s="10">
        <v>0</v>
      </c>
      <c r="F137" s="10">
        <v>1</v>
      </c>
      <c r="G137" s="10">
        <v>1</v>
      </c>
      <c r="H137" s="10">
        <v>1</v>
      </c>
      <c r="I137" s="10" t="s">
        <v>322</v>
      </c>
      <c r="J137" s="69">
        <f>J135+D135</f>
        <v>10129</v>
      </c>
      <c r="K137" s="10">
        <f t="shared" si="7"/>
        <v>129</v>
      </c>
      <c r="L137" s="10">
        <f t="shared" si="8"/>
        <v>128</v>
      </c>
      <c r="M137" s="10" t="s">
        <v>142</v>
      </c>
      <c r="N137" s="10" t="s">
        <v>324</v>
      </c>
      <c r="O137" s="7"/>
      <c r="P137" s="7"/>
    </row>
    <row r="138" spans="2:16" x14ac:dyDescent="0.3">
      <c r="B138" s="10" t="s">
        <v>1580</v>
      </c>
      <c r="C138" s="10" t="s">
        <v>2076</v>
      </c>
      <c r="D138" s="10">
        <v>1</v>
      </c>
      <c r="E138" s="10">
        <v>0</v>
      </c>
      <c r="F138" s="10">
        <v>1</v>
      </c>
      <c r="G138" s="10">
        <v>1</v>
      </c>
      <c r="H138" s="10">
        <v>1</v>
      </c>
      <c r="I138" s="10" t="s">
        <v>322</v>
      </c>
      <c r="J138" s="69">
        <f t="shared" si="10"/>
        <v>10130</v>
      </c>
      <c r="K138" s="10">
        <f t="shared" si="7"/>
        <v>130</v>
      </c>
      <c r="L138" s="10">
        <f t="shared" si="8"/>
        <v>129</v>
      </c>
      <c r="M138" s="10" t="s">
        <v>142</v>
      </c>
      <c r="N138" s="10" t="s">
        <v>324</v>
      </c>
      <c r="O138" s="7"/>
      <c r="P138" s="7"/>
    </row>
    <row r="139" spans="2:16" x14ac:dyDescent="0.3">
      <c r="B139" s="10" t="s">
        <v>1581</v>
      </c>
      <c r="C139" s="10" t="s">
        <v>2076</v>
      </c>
      <c r="D139" s="10">
        <v>1</v>
      </c>
      <c r="E139" s="10">
        <v>0</v>
      </c>
      <c r="F139" s="10">
        <v>1</v>
      </c>
      <c r="G139" s="10">
        <v>1</v>
      </c>
      <c r="H139" s="10">
        <v>1</v>
      </c>
      <c r="I139" s="10" t="s">
        <v>322</v>
      </c>
      <c r="J139" s="69">
        <f t="shared" si="10"/>
        <v>10131</v>
      </c>
      <c r="K139" s="10">
        <f t="shared" ref="K139:K202" si="11">J139-10000</f>
        <v>131</v>
      </c>
      <c r="L139" s="10">
        <f t="shared" ref="L139:L202" si="12">K139-1</f>
        <v>130</v>
      </c>
      <c r="M139" s="10" t="s">
        <v>142</v>
      </c>
      <c r="N139" s="10" t="s">
        <v>324</v>
      </c>
      <c r="O139" s="7"/>
      <c r="P139" s="7"/>
    </row>
    <row r="140" spans="2:16" x14ac:dyDescent="0.3">
      <c r="B140" s="10" t="s">
        <v>1582</v>
      </c>
      <c r="C140" s="10" t="s">
        <v>2076</v>
      </c>
      <c r="D140" s="10">
        <v>1</v>
      </c>
      <c r="E140" s="10">
        <v>0</v>
      </c>
      <c r="F140" s="10">
        <v>1</v>
      </c>
      <c r="G140" s="10">
        <v>1</v>
      </c>
      <c r="H140" s="10">
        <v>1</v>
      </c>
      <c r="I140" s="10" t="s">
        <v>322</v>
      </c>
      <c r="J140" s="69">
        <f t="shared" si="10"/>
        <v>10132</v>
      </c>
      <c r="K140" s="10">
        <f t="shared" si="11"/>
        <v>132</v>
      </c>
      <c r="L140" s="10">
        <f t="shared" si="12"/>
        <v>131</v>
      </c>
      <c r="M140" s="10" t="s">
        <v>142</v>
      </c>
      <c r="N140" s="10" t="s">
        <v>324</v>
      </c>
      <c r="O140" s="7"/>
      <c r="P140" s="7"/>
    </row>
    <row r="141" spans="2:16" x14ac:dyDescent="0.3">
      <c r="B141" s="10" t="s">
        <v>320</v>
      </c>
      <c r="C141" s="10" t="s">
        <v>2076</v>
      </c>
      <c r="D141" s="10">
        <v>1</v>
      </c>
      <c r="E141" s="10">
        <v>0</v>
      </c>
      <c r="F141" s="10">
        <v>1</v>
      </c>
      <c r="G141" s="10">
        <v>1</v>
      </c>
      <c r="H141" s="10">
        <v>1</v>
      </c>
      <c r="I141" s="10" t="s">
        <v>322</v>
      </c>
      <c r="J141" s="69">
        <f t="shared" si="10"/>
        <v>10133</v>
      </c>
      <c r="K141" s="10">
        <f t="shared" si="11"/>
        <v>133</v>
      </c>
      <c r="L141" s="10">
        <f t="shared" si="12"/>
        <v>132</v>
      </c>
      <c r="M141" s="10" t="s">
        <v>142</v>
      </c>
      <c r="N141" s="10" t="s">
        <v>324</v>
      </c>
      <c r="O141" s="7"/>
      <c r="P141" s="7"/>
    </row>
    <row r="142" spans="2:16" x14ac:dyDescent="0.3">
      <c r="B142" s="10" t="s">
        <v>320</v>
      </c>
      <c r="C142" s="10" t="s">
        <v>2076</v>
      </c>
      <c r="D142" s="10">
        <v>1</v>
      </c>
      <c r="E142" s="10">
        <v>0</v>
      </c>
      <c r="F142" s="10">
        <v>1</v>
      </c>
      <c r="G142" s="10">
        <v>1</v>
      </c>
      <c r="H142" s="10">
        <v>1</v>
      </c>
      <c r="I142" s="10" t="s">
        <v>322</v>
      </c>
      <c r="J142" s="69">
        <f t="shared" si="10"/>
        <v>10134</v>
      </c>
      <c r="K142" s="10">
        <f t="shared" si="11"/>
        <v>134</v>
      </c>
      <c r="L142" s="10">
        <f t="shared" si="12"/>
        <v>133</v>
      </c>
      <c r="M142" s="10" t="s">
        <v>142</v>
      </c>
      <c r="N142" s="10" t="s">
        <v>324</v>
      </c>
      <c r="O142" s="7"/>
      <c r="P142" s="7"/>
    </row>
    <row r="143" spans="2:16" x14ac:dyDescent="0.3">
      <c r="B143" s="10" t="s">
        <v>320</v>
      </c>
      <c r="C143" s="10" t="s">
        <v>2076</v>
      </c>
      <c r="D143" s="10">
        <v>1</v>
      </c>
      <c r="E143" s="10">
        <v>0</v>
      </c>
      <c r="F143" s="10">
        <v>1</v>
      </c>
      <c r="G143" s="10">
        <v>1</v>
      </c>
      <c r="H143" s="10">
        <v>1</v>
      </c>
      <c r="I143" s="10" t="s">
        <v>322</v>
      </c>
      <c r="J143" s="69">
        <f t="shared" si="10"/>
        <v>10135</v>
      </c>
      <c r="K143" s="10">
        <f t="shared" si="11"/>
        <v>135</v>
      </c>
      <c r="L143" s="10">
        <f t="shared" si="12"/>
        <v>134</v>
      </c>
      <c r="M143" s="10" t="s">
        <v>142</v>
      </c>
      <c r="N143" s="10" t="s">
        <v>324</v>
      </c>
      <c r="O143" s="7"/>
      <c r="P143" s="7"/>
    </row>
    <row r="144" spans="2:16" x14ac:dyDescent="0.3">
      <c r="B144" s="10" t="s">
        <v>320</v>
      </c>
      <c r="C144" s="10" t="s">
        <v>2076</v>
      </c>
      <c r="D144" s="10">
        <v>1</v>
      </c>
      <c r="E144" s="10">
        <v>0</v>
      </c>
      <c r="F144" s="10">
        <v>1</v>
      </c>
      <c r="G144" s="10">
        <v>1</v>
      </c>
      <c r="H144" s="10">
        <v>1</v>
      </c>
      <c r="I144" s="10" t="s">
        <v>322</v>
      </c>
      <c r="J144" s="69">
        <f t="shared" si="10"/>
        <v>10136</v>
      </c>
      <c r="K144" s="10">
        <f t="shared" si="11"/>
        <v>136</v>
      </c>
      <c r="L144" s="10">
        <f t="shared" si="12"/>
        <v>135</v>
      </c>
      <c r="M144" s="10" t="s">
        <v>142</v>
      </c>
      <c r="N144" s="10" t="s">
        <v>324</v>
      </c>
      <c r="O144" s="7"/>
      <c r="P144" s="7"/>
    </row>
    <row r="145" spans="2:16" x14ac:dyDescent="0.3">
      <c r="B145" s="10" t="s">
        <v>320</v>
      </c>
      <c r="C145" s="10" t="s">
        <v>2076</v>
      </c>
      <c r="D145" s="10">
        <v>1</v>
      </c>
      <c r="E145" s="10">
        <v>0</v>
      </c>
      <c r="F145" s="10">
        <v>1</v>
      </c>
      <c r="G145" s="10">
        <v>1</v>
      </c>
      <c r="H145" s="10">
        <v>1</v>
      </c>
      <c r="I145" s="10" t="s">
        <v>322</v>
      </c>
      <c r="J145" s="69">
        <f t="shared" si="10"/>
        <v>10137</v>
      </c>
      <c r="K145" s="10">
        <f t="shared" si="11"/>
        <v>137</v>
      </c>
      <c r="L145" s="10">
        <f t="shared" si="12"/>
        <v>136</v>
      </c>
      <c r="M145" s="10" t="s">
        <v>142</v>
      </c>
      <c r="N145" s="10" t="s">
        <v>324</v>
      </c>
      <c r="O145" s="7"/>
      <c r="P145" s="7"/>
    </row>
    <row r="146" spans="2:16" x14ac:dyDescent="0.3">
      <c r="B146" s="10" t="s">
        <v>320</v>
      </c>
      <c r="C146" s="10" t="s">
        <v>2076</v>
      </c>
      <c r="D146" s="10">
        <v>1</v>
      </c>
      <c r="E146" s="10">
        <v>0</v>
      </c>
      <c r="F146" s="10">
        <v>1</v>
      </c>
      <c r="G146" s="10">
        <v>1</v>
      </c>
      <c r="H146" s="10">
        <v>1</v>
      </c>
      <c r="I146" s="10" t="s">
        <v>322</v>
      </c>
      <c r="J146" s="69">
        <f t="shared" si="10"/>
        <v>10138</v>
      </c>
      <c r="K146" s="10">
        <f t="shared" si="11"/>
        <v>138</v>
      </c>
      <c r="L146" s="10">
        <f t="shared" si="12"/>
        <v>137</v>
      </c>
      <c r="M146" s="10" t="s">
        <v>142</v>
      </c>
      <c r="N146" s="10" t="s">
        <v>324</v>
      </c>
      <c r="O146" s="7"/>
      <c r="P146" s="7"/>
    </row>
    <row r="147" spans="2:16" x14ac:dyDescent="0.3">
      <c r="B147" s="10" t="s">
        <v>320</v>
      </c>
      <c r="C147" s="10" t="s">
        <v>2076</v>
      </c>
      <c r="D147" s="10">
        <v>1</v>
      </c>
      <c r="E147" s="10">
        <v>0</v>
      </c>
      <c r="F147" s="10">
        <v>1</v>
      </c>
      <c r="G147" s="10">
        <v>1</v>
      </c>
      <c r="H147" s="10">
        <v>1</v>
      </c>
      <c r="I147" s="10" t="s">
        <v>322</v>
      </c>
      <c r="J147" s="69">
        <f t="shared" si="10"/>
        <v>10139</v>
      </c>
      <c r="K147" s="10">
        <f t="shared" si="11"/>
        <v>139</v>
      </c>
      <c r="L147" s="10">
        <f t="shared" si="12"/>
        <v>138</v>
      </c>
      <c r="M147" s="10" t="s">
        <v>142</v>
      </c>
      <c r="N147" s="10" t="s">
        <v>324</v>
      </c>
      <c r="O147" s="7"/>
      <c r="P147" s="7"/>
    </row>
    <row r="148" spans="2:16" x14ac:dyDescent="0.3">
      <c r="B148" s="10" t="s">
        <v>320</v>
      </c>
      <c r="C148" s="10" t="s">
        <v>2076</v>
      </c>
      <c r="D148" s="10">
        <v>1</v>
      </c>
      <c r="E148" s="10">
        <v>0</v>
      </c>
      <c r="F148" s="10">
        <v>1</v>
      </c>
      <c r="G148" s="10">
        <v>1</v>
      </c>
      <c r="H148" s="10">
        <v>1</v>
      </c>
      <c r="I148" s="10" t="s">
        <v>322</v>
      </c>
      <c r="J148" s="69">
        <f t="shared" si="10"/>
        <v>10140</v>
      </c>
      <c r="K148" s="10">
        <f t="shared" si="11"/>
        <v>140</v>
      </c>
      <c r="L148" s="10">
        <f t="shared" si="12"/>
        <v>139</v>
      </c>
      <c r="M148" s="10" t="s">
        <v>142</v>
      </c>
      <c r="N148" s="10" t="s">
        <v>324</v>
      </c>
      <c r="O148" s="7"/>
      <c r="P148" s="7"/>
    </row>
    <row r="149" spans="2:16" x14ac:dyDescent="0.3">
      <c r="B149" s="10" t="s">
        <v>320</v>
      </c>
      <c r="C149" s="10" t="s">
        <v>2076</v>
      </c>
      <c r="D149" s="10">
        <v>1</v>
      </c>
      <c r="E149" s="10">
        <v>0</v>
      </c>
      <c r="F149" s="10">
        <v>1</v>
      </c>
      <c r="G149" s="10">
        <v>1</v>
      </c>
      <c r="H149" s="10">
        <v>1</v>
      </c>
      <c r="I149" s="10" t="s">
        <v>322</v>
      </c>
      <c r="J149" s="69">
        <f t="shared" si="10"/>
        <v>10141</v>
      </c>
      <c r="K149" s="10">
        <f t="shared" si="11"/>
        <v>141</v>
      </c>
      <c r="L149" s="10">
        <f t="shared" si="12"/>
        <v>140</v>
      </c>
      <c r="M149" s="10" t="s">
        <v>142</v>
      </c>
      <c r="N149" s="10" t="s">
        <v>324</v>
      </c>
      <c r="O149" s="7"/>
      <c r="P149" s="7"/>
    </row>
    <row r="150" spans="2:16" x14ac:dyDescent="0.3">
      <c r="B150" s="10" t="s">
        <v>320</v>
      </c>
      <c r="C150" s="10" t="s">
        <v>2076</v>
      </c>
      <c r="D150" s="10">
        <v>1</v>
      </c>
      <c r="E150" s="10">
        <v>0</v>
      </c>
      <c r="F150" s="10">
        <v>1</v>
      </c>
      <c r="G150" s="10">
        <v>1</v>
      </c>
      <c r="H150" s="10">
        <v>1</v>
      </c>
      <c r="I150" s="10" t="s">
        <v>322</v>
      </c>
      <c r="J150" s="69">
        <f t="shared" si="10"/>
        <v>10142</v>
      </c>
      <c r="K150" s="10">
        <f t="shared" si="11"/>
        <v>142</v>
      </c>
      <c r="L150" s="10">
        <f t="shared" si="12"/>
        <v>141</v>
      </c>
      <c r="M150" s="10" t="s">
        <v>142</v>
      </c>
      <c r="N150" s="10" t="s">
        <v>324</v>
      </c>
      <c r="O150" s="7"/>
      <c r="P150" s="7"/>
    </row>
    <row r="151" spans="2:16" x14ac:dyDescent="0.3">
      <c r="B151" s="10" t="s">
        <v>320</v>
      </c>
      <c r="C151" s="10" t="s">
        <v>2076</v>
      </c>
      <c r="D151" s="10">
        <v>1</v>
      </c>
      <c r="E151" s="10">
        <v>0</v>
      </c>
      <c r="F151" s="10">
        <v>1</v>
      </c>
      <c r="G151" s="10">
        <v>1</v>
      </c>
      <c r="H151" s="10">
        <v>1</v>
      </c>
      <c r="I151" s="10" t="s">
        <v>322</v>
      </c>
      <c r="J151" s="69">
        <f t="shared" si="10"/>
        <v>10143</v>
      </c>
      <c r="K151" s="10">
        <f t="shared" si="11"/>
        <v>143</v>
      </c>
      <c r="L151" s="10">
        <f t="shared" si="12"/>
        <v>142</v>
      </c>
      <c r="M151" s="10" t="s">
        <v>142</v>
      </c>
      <c r="N151" s="10" t="s">
        <v>324</v>
      </c>
      <c r="O151" s="7"/>
      <c r="P151" s="7"/>
    </row>
    <row r="152" spans="2:16" x14ac:dyDescent="0.3">
      <c r="B152" s="10" t="s">
        <v>320</v>
      </c>
      <c r="C152" s="10" t="s">
        <v>2076</v>
      </c>
      <c r="D152" s="10">
        <v>1</v>
      </c>
      <c r="E152" s="10">
        <v>0</v>
      </c>
      <c r="F152" s="10">
        <v>1</v>
      </c>
      <c r="G152" s="10">
        <v>1</v>
      </c>
      <c r="H152" s="10">
        <v>1</v>
      </c>
      <c r="I152" s="10" t="s">
        <v>322</v>
      </c>
      <c r="J152" s="69">
        <f t="shared" si="10"/>
        <v>10144</v>
      </c>
      <c r="K152" s="10">
        <f t="shared" si="11"/>
        <v>144</v>
      </c>
      <c r="L152" s="10">
        <f t="shared" si="12"/>
        <v>143</v>
      </c>
      <c r="M152" s="10" t="s">
        <v>142</v>
      </c>
      <c r="N152" s="10" t="s">
        <v>324</v>
      </c>
      <c r="O152" s="7"/>
      <c r="P152" s="7"/>
    </row>
    <row r="153" spans="2:16" x14ac:dyDescent="0.3">
      <c r="B153" s="496" t="s">
        <v>2129</v>
      </c>
      <c r="C153" s="496"/>
      <c r="D153" s="496"/>
      <c r="E153" s="496"/>
      <c r="F153" s="496"/>
      <c r="G153" s="496"/>
      <c r="H153" s="496"/>
      <c r="I153" s="496"/>
      <c r="J153" s="496"/>
      <c r="K153" s="496"/>
      <c r="L153" s="496"/>
      <c r="M153" s="496"/>
      <c r="N153" s="496"/>
      <c r="O153" s="496"/>
      <c r="P153" s="496"/>
    </row>
    <row r="154" spans="2:16" x14ac:dyDescent="0.3">
      <c r="B154" s="10" t="s">
        <v>1583</v>
      </c>
      <c r="C154" s="10" t="s">
        <v>2076</v>
      </c>
      <c r="D154" s="10">
        <v>1</v>
      </c>
      <c r="E154" s="10">
        <v>0</v>
      </c>
      <c r="F154" s="10">
        <v>1</v>
      </c>
      <c r="G154" s="10">
        <v>1</v>
      </c>
      <c r="H154" s="10">
        <v>1</v>
      </c>
      <c r="I154" s="10" t="s">
        <v>322</v>
      </c>
      <c r="J154" s="69">
        <f>J152+D152</f>
        <v>10145</v>
      </c>
      <c r="K154" s="10">
        <f t="shared" si="11"/>
        <v>145</v>
      </c>
      <c r="L154" s="10">
        <f t="shared" si="12"/>
        <v>144</v>
      </c>
      <c r="M154" s="10" t="s">
        <v>142</v>
      </c>
      <c r="N154" s="10" t="s">
        <v>324</v>
      </c>
      <c r="O154" s="7"/>
      <c r="P154" s="7"/>
    </row>
    <row r="155" spans="2:16" x14ac:dyDescent="0.3">
      <c r="B155" s="10" t="s">
        <v>1584</v>
      </c>
      <c r="C155" s="10" t="s">
        <v>2076</v>
      </c>
      <c r="D155" s="10">
        <v>1</v>
      </c>
      <c r="E155" s="10">
        <v>0</v>
      </c>
      <c r="F155" s="10">
        <v>1</v>
      </c>
      <c r="G155" s="10">
        <v>1</v>
      </c>
      <c r="H155" s="10">
        <v>1</v>
      </c>
      <c r="I155" s="10" t="s">
        <v>322</v>
      </c>
      <c r="J155" s="69">
        <f t="shared" si="10"/>
        <v>10146</v>
      </c>
      <c r="K155" s="10">
        <f t="shared" si="11"/>
        <v>146</v>
      </c>
      <c r="L155" s="10">
        <f t="shared" si="12"/>
        <v>145</v>
      </c>
      <c r="M155" s="10" t="s">
        <v>142</v>
      </c>
      <c r="N155" s="10" t="s">
        <v>324</v>
      </c>
      <c r="O155" s="7"/>
      <c r="P155" s="7"/>
    </row>
    <row r="156" spans="2:16" x14ac:dyDescent="0.3">
      <c r="B156" s="10" t="s">
        <v>1585</v>
      </c>
      <c r="C156" s="10" t="s">
        <v>2076</v>
      </c>
      <c r="D156" s="10">
        <v>1</v>
      </c>
      <c r="E156" s="10">
        <v>0</v>
      </c>
      <c r="F156" s="10">
        <v>1</v>
      </c>
      <c r="G156" s="10">
        <v>1</v>
      </c>
      <c r="H156" s="10">
        <v>1</v>
      </c>
      <c r="I156" s="10" t="s">
        <v>322</v>
      </c>
      <c r="J156" s="69">
        <f t="shared" si="10"/>
        <v>10147</v>
      </c>
      <c r="K156" s="10">
        <f t="shared" si="11"/>
        <v>147</v>
      </c>
      <c r="L156" s="10">
        <f t="shared" si="12"/>
        <v>146</v>
      </c>
      <c r="M156" s="10" t="s">
        <v>142</v>
      </c>
      <c r="N156" s="10" t="s">
        <v>324</v>
      </c>
      <c r="O156" s="7"/>
      <c r="P156" s="7"/>
    </row>
    <row r="157" spans="2:16" x14ac:dyDescent="0.3">
      <c r="B157" s="10" t="s">
        <v>1586</v>
      </c>
      <c r="C157" s="10" t="s">
        <v>2076</v>
      </c>
      <c r="D157" s="10">
        <v>1</v>
      </c>
      <c r="E157" s="10">
        <v>0</v>
      </c>
      <c r="F157" s="10">
        <v>1</v>
      </c>
      <c r="G157" s="10">
        <v>1</v>
      </c>
      <c r="H157" s="10">
        <v>1</v>
      </c>
      <c r="I157" s="10" t="s">
        <v>322</v>
      </c>
      <c r="J157" s="69">
        <f t="shared" si="10"/>
        <v>10148</v>
      </c>
      <c r="K157" s="10">
        <f t="shared" si="11"/>
        <v>148</v>
      </c>
      <c r="L157" s="10">
        <f t="shared" si="12"/>
        <v>147</v>
      </c>
      <c r="M157" s="10" t="s">
        <v>142</v>
      </c>
      <c r="N157" s="10" t="s">
        <v>324</v>
      </c>
      <c r="O157" s="7"/>
      <c r="P157" s="7"/>
    </row>
    <row r="158" spans="2:16" x14ac:dyDescent="0.3">
      <c r="B158" s="10" t="s">
        <v>320</v>
      </c>
      <c r="C158" s="10" t="s">
        <v>2076</v>
      </c>
      <c r="D158" s="10">
        <v>1</v>
      </c>
      <c r="E158" s="10">
        <v>0</v>
      </c>
      <c r="F158" s="10">
        <v>1</v>
      </c>
      <c r="G158" s="10">
        <v>1</v>
      </c>
      <c r="H158" s="10">
        <v>1</v>
      </c>
      <c r="I158" s="10" t="s">
        <v>322</v>
      </c>
      <c r="J158" s="69">
        <f t="shared" si="10"/>
        <v>10149</v>
      </c>
      <c r="K158" s="10">
        <f t="shared" si="11"/>
        <v>149</v>
      </c>
      <c r="L158" s="10">
        <f t="shared" si="12"/>
        <v>148</v>
      </c>
      <c r="M158" s="10" t="s">
        <v>142</v>
      </c>
      <c r="N158" s="10" t="s">
        <v>324</v>
      </c>
      <c r="O158" s="7"/>
      <c r="P158" s="7"/>
    </row>
    <row r="159" spans="2:16" x14ac:dyDescent="0.3">
      <c r="B159" s="10" t="s">
        <v>320</v>
      </c>
      <c r="C159" s="10" t="s">
        <v>2076</v>
      </c>
      <c r="D159" s="10">
        <v>1</v>
      </c>
      <c r="E159" s="10">
        <v>0</v>
      </c>
      <c r="F159" s="10">
        <v>1</v>
      </c>
      <c r="G159" s="10">
        <v>1</v>
      </c>
      <c r="H159" s="10">
        <v>1</v>
      </c>
      <c r="I159" s="10" t="s">
        <v>322</v>
      </c>
      <c r="J159" s="69">
        <f t="shared" si="10"/>
        <v>10150</v>
      </c>
      <c r="K159" s="10">
        <f t="shared" si="11"/>
        <v>150</v>
      </c>
      <c r="L159" s="10">
        <f t="shared" si="12"/>
        <v>149</v>
      </c>
      <c r="M159" s="10" t="s">
        <v>142</v>
      </c>
      <c r="N159" s="10" t="s">
        <v>324</v>
      </c>
      <c r="O159" s="7"/>
      <c r="P159" s="7"/>
    </row>
    <row r="160" spans="2:16" x14ac:dyDescent="0.3">
      <c r="B160" s="10" t="s">
        <v>320</v>
      </c>
      <c r="C160" s="10" t="s">
        <v>2076</v>
      </c>
      <c r="D160" s="10">
        <v>1</v>
      </c>
      <c r="E160" s="10">
        <v>0</v>
      </c>
      <c r="F160" s="10">
        <v>1</v>
      </c>
      <c r="G160" s="10">
        <v>1</v>
      </c>
      <c r="H160" s="10">
        <v>1</v>
      </c>
      <c r="I160" s="10" t="s">
        <v>322</v>
      </c>
      <c r="J160" s="69">
        <f t="shared" si="10"/>
        <v>10151</v>
      </c>
      <c r="K160" s="10">
        <f t="shared" si="11"/>
        <v>151</v>
      </c>
      <c r="L160" s="10">
        <f t="shared" si="12"/>
        <v>150</v>
      </c>
      <c r="M160" s="10" t="s">
        <v>142</v>
      </c>
      <c r="N160" s="10" t="s">
        <v>324</v>
      </c>
      <c r="O160" s="7"/>
      <c r="P160" s="7"/>
    </row>
    <row r="161" spans="2:16" x14ac:dyDescent="0.3">
      <c r="B161" s="10" t="s">
        <v>320</v>
      </c>
      <c r="C161" s="10" t="s">
        <v>2076</v>
      </c>
      <c r="D161" s="10">
        <v>1</v>
      </c>
      <c r="E161" s="10">
        <v>0</v>
      </c>
      <c r="F161" s="10">
        <v>1</v>
      </c>
      <c r="G161" s="10">
        <v>1</v>
      </c>
      <c r="H161" s="10">
        <v>1</v>
      </c>
      <c r="I161" s="10" t="s">
        <v>322</v>
      </c>
      <c r="J161" s="69">
        <f t="shared" si="10"/>
        <v>10152</v>
      </c>
      <c r="K161" s="10">
        <f t="shared" si="11"/>
        <v>152</v>
      </c>
      <c r="L161" s="10">
        <f t="shared" si="12"/>
        <v>151</v>
      </c>
      <c r="M161" s="10" t="s">
        <v>142</v>
      </c>
      <c r="N161" s="10" t="s">
        <v>324</v>
      </c>
      <c r="O161" s="7"/>
      <c r="P161" s="7"/>
    </row>
    <row r="162" spans="2:16" x14ac:dyDescent="0.3">
      <c r="B162" s="10" t="s">
        <v>320</v>
      </c>
      <c r="C162" s="10" t="s">
        <v>2076</v>
      </c>
      <c r="D162" s="10">
        <v>1</v>
      </c>
      <c r="E162" s="10">
        <v>0</v>
      </c>
      <c r="F162" s="10">
        <v>1</v>
      </c>
      <c r="G162" s="10">
        <v>1</v>
      </c>
      <c r="H162" s="10">
        <v>1</v>
      </c>
      <c r="I162" s="10" t="s">
        <v>322</v>
      </c>
      <c r="J162" s="69">
        <f t="shared" si="10"/>
        <v>10153</v>
      </c>
      <c r="K162" s="10">
        <f t="shared" si="11"/>
        <v>153</v>
      </c>
      <c r="L162" s="10">
        <f t="shared" si="12"/>
        <v>152</v>
      </c>
      <c r="M162" s="10" t="s">
        <v>142</v>
      </c>
      <c r="N162" s="10" t="s">
        <v>324</v>
      </c>
      <c r="O162" s="7"/>
      <c r="P162" s="7"/>
    </row>
    <row r="163" spans="2:16" x14ac:dyDescent="0.3">
      <c r="B163" s="10" t="s">
        <v>320</v>
      </c>
      <c r="C163" s="10" t="s">
        <v>2076</v>
      </c>
      <c r="D163" s="10">
        <v>1</v>
      </c>
      <c r="E163" s="10">
        <v>0</v>
      </c>
      <c r="F163" s="10">
        <v>1</v>
      </c>
      <c r="G163" s="10">
        <v>1</v>
      </c>
      <c r="H163" s="10">
        <v>1</v>
      </c>
      <c r="I163" s="10" t="s">
        <v>322</v>
      </c>
      <c r="J163" s="69">
        <f t="shared" si="10"/>
        <v>10154</v>
      </c>
      <c r="K163" s="10">
        <f t="shared" si="11"/>
        <v>154</v>
      </c>
      <c r="L163" s="10">
        <f t="shared" si="12"/>
        <v>153</v>
      </c>
      <c r="M163" s="10" t="s">
        <v>142</v>
      </c>
      <c r="N163" s="10" t="s">
        <v>324</v>
      </c>
      <c r="O163" s="7"/>
      <c r="P163" s="7"/>
    </row>
    <row r="164" spans="2:16" x14ac:dyDescent="0.3">
      <c r="B164" s="10" t="s">
        <v>320</v>
      </c>
      <c r="C164" s="10" t="s">
        <v>2076</v>
      </c>
      <c r="D164" s="10">
        <v>1</v>
      </c>
      <c r="E164" s="10">
        <v>0</v>
      </c>
      <c r="F164" s="10">
        <v>1</v>
      </c>
      <c r="G164" s="10">
        <v>1</v>
      </c>
      <c r="H164" s="10">
        <v>1</v>
      </c>
      <c r="I164" s="10" t="s">
        <v>322</v>
      </c>
      <c r="J164" s="69">
        <f t="shared" si="10"/>
        <v>10155</v>
      </c>
      <c r="K164" s="10">
        <f t="shared" si="11"/>
        <v>155</v>
      </c>
      <c r="L164" s="10">
        <f t="shared" si="12"/>
        <v>154</v>
      </c>
      <c r="M164" s="10" t="s">
        <v>142</v>
      </c>
      <c r="N164" s="10" t="s">
        <v>324</v>
      </c>
      <c r="O164" s="7"/>
      <c r="P164" s="7"/>
    </row>
    <row r="165" spans="2:16" x14ac:dyDescent="0.3">
      <c r="B165" s="10" t="s">
        <v>320</v>
      </c>
      <c r="C165" s="10" t="s">
        <v>2076</v>
      </c>
      <c r="D165" s="10">
        <v>1</v>
      </c>
      <c r="E165" s="10">
        <v>0</v>
      </c>
      <c r="F165" s="10">
        <v>1</v>
      </c>
      <c r="G165" s="10">
        <v>1</v>
      </c>
      <c r="H165" s="10">
        <v>1</v>
      </c>
      <c r="I165" s="10" t="s">
        <v>322</v>
      </c>
      <c r="J165" s="69">
        <f t="shared" si="10"/>
        <v>10156</v>
      </c>
      <c r="K165" s="10">
        <f t="shared" si="11"/>
        <v>156</v>
      </c>
      <c r="L165" s="10">
        <f t="shared" si="12"/>
        <v>155</v>
      </c>
      <c r="M165" s="10" t="s">
        <v>142</v>
      </c>
      <c r="N165" s="10" t="s">
        <v>324</v>
      </c>
      <c r="O165" s="7"/>
      <c r="P165" s="7"/>
    </row>
    <row r="166" spans="2:16" x14ac:dyDescent="0.3">
      <c r="B166" s="10" t="s">
        <v>320</v>
      </c>
      <c r="C166" s="10" t="s">
        <v>2076</v>
      </c>
      <c r="D166" s="10">
        <v>1</v>
      </c>
      <c r="E166" s="10">
        <v>0</v>
      </c>
      <c r="F166" s="10">
        <v>1</v>
      </c>
      <c r="G166" s="10">
        <v>1</v>
      </c>
      <c r="H166" s="10">
        <v>1</v>
      </c>
      <c r="I166" s="10" t="s">
        <v>322</v>
      </c>
      <c r="J166" s="69">
        <f t="shared" si="10"/>
        <v>10157</v>
      </c>
      <c r="K166" s="10">
        <f t="shared" si="11"/>
        <v>157</v>
      </c>
      <c r="L166" s="10">
        <f t="shared" si="12"/>
        <v>156</v>
      </c>
      <c r="M166" s="10" t="s">
        <v>142</v>
      </c>
      <c r="N166" s="10" t="s">
        <v>324</v>
      </c>
      <c r="O166" s="7"/>
      <c r="P166" s="7"/>
    </row>
    <row r="167" spans="2:16" x14ac:dyDescent="0.3">
      <c r="B167" s="10" t="s">
        <v>320</v>
      </c>
      <c r="C167" s="10" t="s">
        <v>2076</v>
      </c>
      <c r="D167" s="10">
        <v>1</v>
      </c>
      <c r="E167" s="10">
        <v>0</v>
      </c>
      <c r="F167" s="10">
        <v>1</v>
      </c>
      <c r="G167" s="10">
        <v>1</v>
      </c>
      <c r="H167" s="10">
        <v>1</v>
      </c>
      <c r="I167" s="10" t="s">
        <v>322</v>
      </c>
      <c r="J167" s="69">
        <f t="shared" si="10"/>
        <v>10158</v>
      </c>
      <c r="K167" s="10">
        <f t="shared" si="11"/>
        <v>158</v>
      </c>
      <c r="L167" s="10">
        <f t="shared" si="12"/>
        <v>157</v>
      </c>
      <c r="M167" s="10" t="s">
        <v>142</v>
      </c>
      <c r="N167" s="10" t="s">
        <v>324</v>
      </c>
      <c r="O167" s="7"/>
      <c r="P167" s="7"/>
    </row>
    <row r="168" spans="2:16" x14ac:dyDescent="0.3">
      <c r="B168" s="10" t="s">
        <v>320</v>
      </c>
      <c r="C168" s="10" t="s">
        <v>2076</v>
      </c>
      <c r="D168" s="10">
        <v>1</v>
      </c>
      <c r="E168" s="10">
        <v>0</v>
      </c>
      <c r="F168" s="10">
        <v>1</v>
      </c>
      <c r="G168" s="10">
        <v>1</v>
      </c>
      <c r="H168" s="10">
        <v>1</v>
      </c>
      <c r="I168" s="10" t="s">
        <v>322</v>
      </c>
      <c r="J168" s="69">
        <f t="shared" si="10"/>
        <v>10159</v>
      </c>
      <c r="K168" s="10">
        <f t="shared" si="11"/>
        <v>159</v>
      </c>
      <c r="L168" s="10">
        <f t="shared" si="12"/>
        <v>158</v>
      </c>
      <c r="M168" s="10" t="s">
        <v>142</v>
      </c>
      <c r="N168" s="10" t="s">
        <v>324</v>
      </c>
      <c r="O168" s="7"/>
      <c r="P168" s="7"/>
    </row>
    <row r="169" spans="2:16" x14ac:dyDescent="0.3">
      <c r="B169" s="10" t="s">
        <v>320</v>
      </c>
      <c r="C169" s="10" t="s">
        <v>2076</v>
      </c>
      <c r="D169" s="10">
        <v>1</v>
      </c>
      <c r="E169" s="10">
        <v>0</v>
      </c>
      <c r="F169" s="10">
        <v>1</v>
      </c>
      <c r="G169" s="10">
        <v>1</v>
      </c>
      <c r="H169" s="10">
        <v>1</v>
      </c>
      <c r="I169" s="10" t="s">
        <v>322</v>
      </c>
      <c r="J169" s="69">
        <f t="shared" si="10"/>
        <v>10160</v>
      </c>
      <c r="K169" s="10">
        <f t="shared" si="11"/>
        <v>160</v>
      </c>
      <c r="L169" s="10">
        <f t="shared" si="12"/>
        <v>159</v>
      </c>
      <c r="M169" s="10" t="s">
        <v>142</v>
      </c>
      <c r="N169" s="10" t="s">
        <v>324</v>
      </c>
      <c r="O169" s="7"/>
      <c r="P169" s="7"/>
    </row>
    <row r="170" spans="2:16" x14ac:dyDescent="0.3">
      <c r="B170" s="496" t="s">
        <v>2130</v>
      </c>
      <c r="C170" s="496"/>
      <c r="D170" s="496"/>
      <c r="E170" s="496"/>
      <c r="F170" s="496"/>
      <c r="G170" s="496"/>
      <c r="H170" s="496"/>
      <c r="I170" s="496"/>
      <c r="J170" s="496"/>
      <c r="K170" s="496"/>
      <c r="L170" s="496"/>
      <c r="M170" s="496"/>
      <c r="N170" s="496"/>
      <c r="O170" s="496"/>
      <c r="P170" s="496"/>
    </row>
    <row r="171" spans="2:16" x14ac:dyDescent="0.3">
      <c r="B171" s="10" t="s">
        <v>1587</v>
      </c>
      <c r="C171" s="10" t="s">
        <v>2076</v>
      </c>
      <c r="D171" s="10">
        <v>1</v>
      </c>
      <c r="E171" s="10">
        <v>0</v>
      </c>
      <c r="F171" s="10">
        <v>1</v>
      </c>
      <c r="G171" s="10">
        <v>1</v>
      </c>
      <c r="H171" s="10">
        <v>1</v>
      </c>
      <c r="I171" s="10" t="s">
        <v>322</v>
      </c>
      <c r="J171" s="69">
        <f>J169+D169</f>
        <v>10161</v>
      </c>
      <c r="K171" s="10">
        <f t="shared" si="11"/>
        <v>161</v>
      </c>
      <c r="L171" s="10">
        <f t="shared" si="12"/>
        <v>160</v>
      </c>
      <c r="M171" s="10" t="s">
        <v>142</v>
      </c>
      <c r="N171" s="10" t="s">
        <v>324</v>
      </c>
      <c r="O171" s="7"/>
      <c r="P171" s="7"/>
    </row>
    <row r="172" spans="2:16" x14ac:dyDescent="0.3">
      <c r="B172" s="10" t="s">
        <v>1588</v>
      </c>
      <c r="C172" s="10" t="s">
        <v>2076</v>
      </c>
      <c r="D172" s="10">
        <v>1</v>
      </c>
      <c r="E172" s="10">
        <v>0</v>
      </c>
      <c r="F172" s="10">
        <v>1</v>
      </c>
      <c r="G172" s="10">
        <v>1</v>
      </c>
      <c r="H172" s="10">
        <v>1</v>
      </c>
      <c r="I172" s="10" t="s">
        <v>322</v>
      </c>
      <c r="J172" s="69">
        <f t="shared" ref="J172:J235" si="13">J171+D171</f>
        <v>10162</v>
      </c>
      <c r="K172" s="10">
        <f t="shared" si="11"/>
        <v>162</v>
      </c>
      <c r="L172" s="10">
        <f t="shared" si="12"/>
        <v>161</v>
      </c>
      <c r="M172" s="10" t="s">
        <v>142</v>
      </c>
      <c r="N172" s="10" t="s">
        <v>324</v>
      </c>
      <c r="O172" s="7"/>
      <c r="P172" s="7"/>
    </row>
    <row r="173" spans="2:16" x14ac:dyDescent="0.3">
      <c r="B173" s="10" t="s">
        <v>1589</v>
      </c>
      <c r="C173" s="10" t="s">
        <v>2076</v>
      </c>
      <c r="D173" s="10">
        <v>1</v>
      </c>
      <c r="E173" s="10">
        <v>0</v>
      </c>
      <c r="F173" s="10">
        <v>1</v>
      </c>
      <c r="G173" s="10">
        <v>1</v>
      </c>
      <c r="H173" s="10">
        <v>1</v>
      </c>
      <c r="I173" s="10" t="s">
        <v>322</v>
      </c>
      <c r="J173" s="69">
        <f t="shared" si="13"/>
        <v>10163</v>
      </c>
      <c r="K173" s="10">
        <f t="shared" si="11"/>
        <v>163</v>
      </c>
      <c r="L173" s="10">
        <f t="shared" si="12"/>
        <v>162</v>
      </c>
      <c r="M173" s="10" t="s">
        <v>142</v>
      </c>
      <c r="N173" s="10" t="s">
        <v>324</v>
      </c>
      <c r="O173" s="7"/>
      <c r="P173" s="7"/>
    </row>
    <row r="174" spans="2:16" x14ac:dyDescent="0.3">
      <c r="B174" s="10" t="s">
        <v>1590</v>
      </c>
      <c r="C174" s="10" t="s">
        <v>2076</v>
      </c>
      <c r="D174" s="10">
        <v>1</v>
      </c>
      <c r="E174" s="10">
        <v>0</v>
      </c>
      <c r="F174" s="10">
        <v>1</v>
      </c>
      <c r="G174" s="10">
        <v>1</v>
      </c>
      <c r="H174" s="10">
        <v>1</v>
      </c>
      <c r="I174" s="10" t="s">
        <v>322</v>
      </c>
      <c r="J174" s="69">
        <f t="shared" si="13"/>
        <v>10164</v>
      </c>
      <c r="K174" s="10">
        <f t="shared" si="11"/>
        <v>164</v>
      </c>
      <c r="L174" s="10">
        <f t="shared" si="12"/>
        <v>163</v>
      </c>
      <c r="M174" s="10" t="s">
        <v>142</v>
      </c>
      <c r="N174" s="10" t="s">
        <v>324</v>
      </c>
      <c r="O174" s="7"/>
      <c r="P174" s="7"/>
    </row>
    <row r="175" spans="2:16" x14ac:dyDescent="0.3">
      <c r="B175" s="10" t="s">
        <v>320</v>
      </c>
      <c r="C175" s="10" t="s">
        <v>2076</v>
      </c>
      <c r="D175" s="10">
        <v>1</v>
      </c>
      <c r="E175" s="10">
        <v>0</v>
      </c>
      <c r="F175" s="10">
        <v>1</v>
      </c>
      <c r="G175" s="10">
        <v>1</v>
      </c>
      <c r="H175" s="10">
        <v>1</v>
      </c>
      <c r="I175" s="10" t="s">
        <v>322</v>
      </c>
      <c r="J175" s="69">
        <f t="shared" si="13"/>
        <v>10165</v>
      </c>
      <c r="K175" s="10">
        <f t="shared" si="11"/>
        <v>165</v>
      </c>
      <c r="L175" s="10">
        <f t="shared" si="12"/>
        <v>164</v>
      </c>
      <c r="M175" s="10" t="s">
        <v>142</v>
      </c>
      <c r="N175" s="10" t="s">
        <v>324</v>
      </c>
      <c r="O175" s="7"/>
      <c r="P175" s="7"/>
    </row>
    <row r="176" spans="2:16" x14ac:dyDescent="0.3">
      <c r="B176" s="10" t="s">
        <v>320</v>
      </c>
      <c r="C176" s="10" t="s">
        <v>2076</v>
      </c>
      <c r="D176" s="10">
        <v>1</v>
      </c>
      <c r="E176" s="10">
        <v>0</v>
      </c>
      <c r="F176" s="10">
        <v>1</v>
      </c>
      <c r="G176" s="10">
        <v>1</v>
      </c>
      <c r="H176" s="10">
        <v>1</v>
      </c>
      <c r="I176" s="10" t="s">
        <v>322</v>
      </c>
      <c r="J176" s="69">
        <f t="shared" si="13"/>
        <v>10166</v>
      </c>
      <c r="K176" s="10">
        <f t="shared" si="11"/>
        <v>166</v>
      </c>
      <c r="L176" s="10">
        <f t="shared" si="12"/>
        <v>165</v>
      </c>
      <c r="M176" s="10" t="s">
        <v>142</v>
      </c>
      <c r="N176" s="10" t="s">
        <v>324</v>
      </c>
      <c r="O176" s="7"/>
      <c r="P176" s="7"/>
    </row>
    <row r="177" spans="2:16" x14ac:dyDescent="0.3">
      <c r="B177" s="10" t="s">
        <v>320</v>
      </c>
      <c r="C177" s="10" t="s">
        <v>2076</v>
      </c>
      <c r="D177" s="10">
        <v>1</v>
      </c>
      <c r="E177" s="10">
        <v>0</v>
      </c>
      <c r="F177" s="10">
        <v>1</v>
      </c>
      <c r="G177" s="10">
        <v>1</v>
      </c>
      <c r="H177" s="10">
        <v>1</v>
      </c>
      <c r="I177" s="10" t="s">
        <v>322</v>
      </c>
      <c r="J177" s="69">
        <f t="shared" si="13"/>
        <v>10167</v>
      </c>
      <c r="K177" s="10">
        <f t="shared" si="11"/>
        <v>167</v>
      </c>
      <c r="L177" s="10">
        <f t="shared" si="12"/>
        <v>166</v>
      </c>
      <c r="M177" s="10" t="s">
        <v>142</v>
      </c>
      <c r="N177" s="10" t="s">
        <v>324</v>
      </c>
      <c r="O177" s="7"/>
      <c r="P177" s="7"/>
    </row>
    <row r="178" spans="2:16" x14ac:dyDescent="0.3">
      <c r="B178" s="10" t="s">
        <v>320</v>
      </c>
      <c r="C178" s="10" t="s">
        <v>2076</v>
      </c>
      <c r="D178" s="10">
        <v>1</v>
      </c>
      <c r="E178" s="10">
        <v>0</v>
      </c>
      <c r="F178" s="10">
        <v>1</v>
      </c>
      <c r="G178" s="10">
        <v>1</v>
      </c>
      <c r="H178" s="10">
        <v>1</v>
      </c>
      <c r="I178" s="10" t="s">
        <v>322</v>
      </c>
      <c r="J178" s="69">
        <f t="shared" si="13"/>
        <v>10168</v>
      </c>
      <c r="K178" s="10">
        <f t="shared" si="11"/>
        <v>168</v>
      </c>
      <c r="L178" s="10">
        <f t="shared" si="12"/>
        <v>167</v>
      </c>
      <c r="M178" s="10" t="s">
        <v>142</v>
      </c>
      <c r="N178" s="10" t="s">
        <v>324</v>
      </c>
      <c r="O178" s="7"/>
      <c r="P178" s="7"/>
    </row>
    <row r="179" spans="2:16" x14ac:dyDescent="0.3">
      <c r="B179" s="10" t="s">
        <v>320</v>
      </c>
      <c r="C179" s="10" t="s">
        <v>2076</v>
      </c>
      <c r="D179" s="10">
        <v>1</v>
      </c>
      <c r="E179" s="10">
        <v>0</v>
      </c>
      <c r="F179" s="10">
        <v>1</v>
      </c>
      <c r="G179" s="10">
        <v>1</v>
      </c>
      <c r="H179" s="10">
        <v>1</v>
      </c>
      <c r="I179" s="10" t="s">
        <v>322</v>
      </c>
      <c r="J179" s="69">
        <f t="shared" si="13"/>
        <v>10169</v>
      </c>
      <c r="K179" s="10">
        <f t="shared" si="11"/>
        <v>169</v>
      </c>
      <c r="L179" s="10">
        <f t="shared" si="12"/>
        <v>168</v>
      </c>
      <c r="M179" s="10" t="s">
        <v>142</v>
      </c>
      <c r="N179" s="10" t="s">
        <v>324</v>
      </c>
      <c r="O179" s="7"/>
      <c r="P179" s="7"/>
    </row>
    <row r="180" spans="2:16" x14ac:dyDescent="0.3">
      <c r="B180" s="10" t="s">
        <v>320</v>
      </c>
      <c r="C180" s="10" t="s">
        <v>2076</v>
      </c>
      <c r="D180" s="10">
        <v>1</v>
      </c>
      <c r="E180" s="10">
        <v>0</v>
      </c>
      <c r="F180" s="10">
        <v>1</v>
      </c>
      <c r="G180" s="10">
        <v>1</v>
      </c>
      <c r="H180" s="10">
        <v>1</v>
      </c>
      <c r="I180" s="10" t="s">
        <v>322</v>
      </c>
      <c r="J180" s="69">
        <f t="shared" si="13"/>
        <v>10170</v>
      </c>
      <c r="K180" s="10">
        <f t="shared" si="11"/>
        <v>170</v>
      </c>
      <c r="L180" s="10">
        <f t="shared" si="12"/>
        <v>169</v>
      </c>
      <c r="M180" s="10" t="s">
        <v>142</v>
      </c>
      <c r="N180" s="10" t="s">
        <v>324</v>
      </c>
      <c r="O180" s="7"/>
      <c r="P180" s="7"/>
    </row>
    <row r="181" spans="2:16" x14ac:dyDescent="0.3">
      <c r="B181" s="10" t="s">
        <v>320</v>
      </c>
      <c r="C181" s="10" t="s">
        <v>2076</v>
      </c>
      <c r="D181" s="10">
        <v>1</v>
      </c>
      <c r="E181" s="10">
        <v>0</v>
      </c>
      <c r="F181" s="10">
        <v>1</v>
      </c>
      <c r="G181" s="10">
        <v>1</v>
      </c>
      <c r="H181" s="10">
        <v>1</v>
      </c>
      <c r="I181" s="10" t="s">
        <v>322</v>
      </c>
      <c r="J181" s="69">
        <f t="shared" si="13"/>
        <v>10171</v>
      </c>
      <c r="K181" s="10">
        <f t="shared" si="11"/>
        <v>171</v>
      </c>
      <c r="L181" s="10">
        <f t="shared" si="12"/>
        <v>170</v>
      </c>
      <c r="M181" s="10" t="s">
        <v>142</v>
      </c>
      <c r="N181" s="10" t="s">
        <v>324</v>
      </c>
      <c r="O181" s="7"/>
      <c r="P181" s="7"/>
    </row>
    <row r="182" spans="2:16" x14ac:dyDescent="0.3">
      <c r="B182" s="10" t="s">
        <v>320</v>
      </c>
      <c r="C182" s="10" t="s">
        <v>2076</v>
      </c>
      <c r="D182" s="10">
        <v>1</v>
      </c>
      <c r="E182" s="10">
        <v>0</v>
      </c>
      <c r="F182" s="10">
        <v>1</v>
      </c>
      <c r="G182" s="10">
        <v>1</v>
      </c>
      <c r="H182" s="10">
        <v>1</v>
      </c>
      <c r="I182" s="10" t="s">
        <v>322</v>
      </c>
      <c r="J182" s="69">
        <f t="shared" si="13"/>
        <v>10172</v>
      </c>
      <c r="K182" s="10">
        <f t="shared" si="11"/>
        <v>172</v>
      </c>
      <c r="L182" s="10">
        <f t="shared" si="12"/>
        <v>171</v>
      </c>
      <c r="M182" s="10" t="s">
        <v>142</v>
      </c>
      <c r="N182" s="10" t="s">
        <v>324</v>
      </c>
      <c r="O182" s="7"/>
      <c r="P182" s="7"/>
    </row>
    <row r="183" spans="2:16" x14ac:dyDescent="0.3">
      <c r="B183" s="10" t="s">
        <v>320</v>
      </c>
      <c r="C183" s="10" t="s">
        <v>2076</v>
      </c>
      <c r="D183" s="10">
        <v>1</v>
      </c>
      <c r="E183" s="10">
        <v>0</v>
      </c>
      <c r="F183" s="10">
        <v>1</v>
      </c>
      <c r="G183" s="10">
        <v>1</v>
      </c>
      <c r="H183" s="10">
        <v>1</v>
      </c>
      <c r="I183" s="10" t="s">
        <v>322</v>
      </c>
      <c r="J183" s="69">
        <f t="shared" si="13"/>
        <v>10173</v>
      </c>
      <c r="K183" s="10">
        <f t="shared" si="11"/>
        <v>173</v>
      </c>
      <c r="L183" s="10">
        <f t="shared" si="12"/>
        <v>172</v>
      </c>
      <c r="M183" s="10" t="s">
        <v>142</v>
      </c>
      <c r="N183" s="10" t="s">
        <v>324</v>
      </c>
      <c r="O183" s="7"/>
      <c r="P183" s="7"/>
    </row>
    <row r="184" spans="2:16" x14ac:dyDescent="0.3">
      <c r="B184" s="10" t="s">
        <v>320</v>
      </c>
      <c r="C184" s="10" t="s">
        <v>2076</v>
      </c>
      <c r="D184" s="10">
        <v>1</v>
      </c>
      <c r="E184" s="10">
        <v>0</v>
      </c>
      <c r="F184" s="10">
        <v>1</v>
      </c>
      <c r="G184" s="10">
        <v>1</v>
      </c>
      <c r="H184" s="10">
        <v>1</v>
      </c>
      <c r="I184" s="10" t="s">
        <v>322</v>
      </c>
      <c r="J184" s="69">
        <f t="shared" si="13"/>
        <v>10174</v>
      </c>
      <c r="K184" s="10">
        <f t="shared" si="11"/>
        <v>174</v>
      </c>
      <c r="L184" s="10">
        <f t="shared" si="12"/>
        <v>173</v>
      </c>
      <c r="M184" s="10" t="s">
        <v>142</v>
      </c>
      <c r="N184" s="10" t="s">
        <v>324</v>
      </c>
      <c r="O184" s="7"/>
      <c r="P184" s="7"/>
    </row>
    <row r="185" spans="2:16" x14ac:dyDescent="0.3">
      <c r="B185" s="10" t="s">
        <v>320</v>
      </c>
      <c r="C185" s="10" t="s">
        <v>2076</v>
      </c>
      <c r="D185" s="10">
        <v>1</v>
      </c>
      <c r="E185" s="10">
        <v>0</v>
      </c>
      <c r="F185" s="10">
        <v>1</v>
      </c>
      <c r="G185" s="10">
        <v>1</v>
      </c>
      <c r="H185" s="10">
        <v>1</v>
      </c>
      <c r="I185" s="10" t="s">
        <v>322</v>
      </c>
      <c r="J185" s="69">
        <f t="shared" si="13"/>
        <v>10175</v>
      </c>
      <c r="K185" s="10">
        <f t="shared" si="11"/>
        <v>175</v>
      </c>
      <c r="L185" s="10">
        <f t="shared" si="12"/>
        <v>174</v>
      </c>
      <c r="M185" s="10" t="s">
        <v>142</v>
      </c>
      <c r="N185" s="10" t="s">
        <v>324</v>
      </c>
      <c r="O185" s="7"/>
      <c r="P185" s="7"/>
    </row>
    <row r="186" spans="2:16" x14ac:dyDescent="0.3">
      <c r="B186" s="10" t="s">
        <v>320</v>
      </c>
      <c r="C186" s="10" t="s">
        <v>2076</v>
      </c>
      <c r="D186" s="10">
        <v>1</v>
      </c>
      <c r="E186" s="10">
        <v>0</v>
      </c>
      <c r="F186" s="10">
        <v>1</v>
      </c>
      <c r="G186" s="10">
        <v>1</v>
      </c>
      <c r="H186" s="10">
        <v>1</v>
      </c>
      <c r="I186" s="10" t="s">
        <v>322</v>
      </c>
      <c r="J186" s="69">
        <f t="shared" si="13"/>
        <v>10176</v>
      </c>
      <c r="K186" s="10">
        <f t="shared" si="11"/>
        <v>176</v>
      </c>
      <c r="L186" s="10">
        <f t="shared" si="12"/>
        <v>175</v>
      </c>
      <c r="M186" s="10" t="s">
        <v>142</v>
      </c>
      <c r="N186" s="10" t="s">
        <v>324</v>
      </c>
      <c r="O186" s="7"/>
      <c r="P186" s="7"/>
    </row>
    <row r="187" spans="2:16" x14ac:dyDescent="0.3">
      <c r="B187" s="496" t="s">
        <v>2131</v>
      </c>
      <c r="C187" s="496"/>
      <c r="D187" s="496"/>
      <c r="E187" s="496"/>
      <c r="F187" s="496"/>
      <c r="G187" s="496"/>
      <c r="H187" s="496"/>
      <c r="I187" s="496"/>
      <c r="J187" s="496"/>
      <c r="K187" s="496"/>
      <c r="L187" s="496"/>
      <c r="M187" s="496"/>
      <c r="N187" s="496"/>
      <c r="O187" s="496"/>
      <c r="P187" s="496"/>
    </row>
    <row r="188" spans="2:16" x14ac:dyDescent="0.3">
      <c r="B188" s="10" t="s">
        <v>1591</v>
      </c>
      <c r="C188" s="10" t="s">
        <v>2076</v>
      </c>
      <c r="D188" s="10">
        <v>1</v>
      </c>
      <c r="E188" s="10">
        <v>0</v>
      </c>
      <c r="F188" s="10">
        <v>1</v>
      </c>
      <c r="G188" s="10">
        <v>1</v>
      </c>
      <c r="H188" s="10">
        <v>1</v>
      </c>
      <c r="I188" s="10" t="s">
        <v>322</v>
      </c>
      <c r="J188" s="69">
        <f>J186+D186</f>
        <v>10177</v>
      </c>
      <c r="K188" s="10">
        <f t="shared" si="11"/>
        <v>177</v>
      </c>
      <c r="L188" s="10">
        <f t="shared" si="12"/>
        <v>176</v>
      </c>
      <c r="M188" s="10" t="s">
        <v>142</v>
      </c>
      <c r="N188" s="10" t="s">
        <v>324</v>
      </c>
      <c r="O188" s="7"/>
      <c r="P188" s="7"/>
    </row>
    <row r="189" spans="2:16" x14ac:dyDescent="0.3">
      <c r="B189" s="10" t="s">
        <v>1592</v>
      </c>
      <c r="C189" s="10" t="s">
        <v>2076</v>
      </c>
      <c r="D189" s="10">
        <v>1</v>
      </c>
      <c r="E189" s="10">
        <v>0</v>
      </c>
      <c r="F189" s="10">
        <v>1</v>
      </c>
      <c r="G189" s="10">
        <v>1</v>
      </c>
      <c r="H189" s="10">
        <v>1</v>
      </c>
      <c r="I189" s="10" t="s">
        <v>322</v>
      </c>
      <c r="J189" s="69">
        <f t="shared" si="13"/>
        <v>10178</v>
      </c>
      <c r="K189" s="10">
        <f t="shared" si="11"/>
        <v>178</v>
      </c>
      <c r="L189" s="10">
        <f t="shared" si="12"/>
        <v>177</v>
      </c>
      <c r="M189" s="10" t="s">
        <v>142</v>
      </c>
      <c r="N189" s="10" t="s">
        <v>324</v>
      </c>
      <c r="O189" s="7"/>
      <c r="P189" s="7"/>
    </row>
    <row r="190" spans="2:16" x14ac:dyDescent="0.3">
      <c r="B190" s="10" t="s">
        <v>1593</v>
      </c>
      <c r="C190" s="10" t="s">
        <v>2076</v>
      </c>
      <c r="D190" s="10">
        <v>1</v>
      </c>
      <c r="E190" s="10">
        <v>0</v>
      </c>
      <c r="F190" s="10">
        <v>1</v>
      </c>
      <c r="G190" s="10">
        <v>1</v>
      </c>
      <c r="H190" s="10">
        <v>1</v>
      </c>
      <c r="I190" s="10" t="s">
        <v>322</v>
      </c>
      <c r="J190" s="69">
        <f t="shared" si="13"/>
        <v>10179</v>
      </c>
      <c r="K190" s="10">
        <f t="shared" si="11"/>
        <v>179</v>
      </c>
      <c r="L190" s="10">
        <f t="shared" si="12"/>
        <v>178</v>
      </c>
      <c r="M190" s="10" t="s">
        <v>142</v>
      </c>
      <c r="N190" s="10" t="s">
        <v>324</v>
      </c>
      <c r="O190" s="7"/>
      <c r="P190" s="7"/>
    </row>
    <row r="191" spans="2:16" x14ac:dyDescent="0.3">
      <c r="B191" s="10" t="s">
        <v>1594</v>
      </c>
      <c r="C191" s="10" t="s">
        <v>2076</v>
      </c>
      <c r="D191" s="10">
        <v>1</v>
      </c>
      <c r="E191" s="10">
        <v>0</v>
      </c>
      <c r="F191" s="10">
        <v>1</v>
      </c>
      <c r="G191" s="10">
        <v>1</v>
      </c>
      <c r="H191" s="10">
        <v>1</v>
      </c>
      <c r="I191" s="10" t="s">
        <v>322</v>
      </c>
      <c r="J191" s="69">
        <f t="shared" si="13"/>
        <v>10180</v>
      </c>
      <c r="K191" s="10">
        <f t="shared" si="11"/>
        <v>180</v>
      </c>
      <c r="L191" s="10">
        <f t="shared" si="12"/>
        <v>179</v>
      </c>
      <c r="M191" s="10" t="s">
        <v>142</v>
      </c>
      <c r="N191" s="10" t="s">
        <v>324</v>
      </c>
      <c r="O191" s="7"/>
      <c r="P191" s="7"/>
    </row>
    <row r="192" spans="2:16" x14ac:dyDescent="0.3">
      <c r="B192" s="10" t="s">
        <v>320</v>
      </c>
      <c r="C192" s="10" t="s">
        <v>2076</v>
      </c>
      <c r="D192" s="10">
        <v>1</v>
      </c>
      <c r="E192" s="10">
        <v>0</v>
      </c>
      <c r="F192" s="10">
        <v>1</v>
      </c>
      <c r="G192" s="10">
        <v>1</v>
      </c>
      <c r="H192" s="10">
        <v>1</v>
      </c>
      <c r="I192" s="10" t="s">
        <v>322</v>
      </c>
      <c r="J192" s="69">
        <f t="shared" si="13"/>
        <v>10181</v>
      </c>
      <c r="K192" s="10">
        <f t="shared" si="11"/>
        <v>181</v>
      </c>
      <c r="L192" s="10">
        <f t="shared" si="12"/>
        <v>180</v>
      </c>
      <c r="M192" s="10" t="s">
        <v>142</v>
      </c>
      <c r="N192" s="10" t="s">
        <v>324</v>
      </c>
      <c r="O192" s="7"/>
      <c r="P192" s="7"/>
    </row>
    <row r="193" spans="2:16" x14ac:dyDescent="0.3">
      <c r="B193" s="10" t="s">
        <v>320</v>
      </c>
      <c r="C193" s="10" t="s">
        <v>2076</v>
      </c>
      <c r="D193" s="10">
        <v>1</v>
      </c>
      <c r="E193" s="10">
        <v>0</v>
      </c>
      <c r="F193" s="10">
        <v>1</v>
      </c>
      <c r="G193" s="10">
        <v>1</v>
      </c>
      <c r="H193" s="10">
        <v>1</v>
      </c>
      <c r="I193" s="10" t="s">
        <v>322</v>
      </c>
      <c r="J193" s="69">
        <f t="shared" si="13"/>
        <v>10182</v>
      </c>
      <c r="K193" s="10">
        <f t="shared" si="11"/>
        <v>182</v>
      </c>
      <c r="L193" s="10">
        <f t="shared" si="12"/>
        <v>181</v>
      </c>
      <c r="M193" s="10" t="s">
        <v>142</v>
      </c>
      <c r="N193" s="10" t="s">
        <v>324</v>
      </c>
      <c r="O193" s="7"/>
      <c r="P193" s="7"/>
    </row>
    <row r="194" spans="2:16" x14ac:dyDescent="0.3">
      <c r="B194" s="10" t="s">
        <v>320</v>
      </c>
      <c r="C194" s="10" t="s">
        <v>2076</v>
      </c>
      <c r="D194" s="10">
        <v>1</v>
      </c>
      <c r="E194" s="10">
        <v>0</v>
      </c>
      <c r="F194" s="10">
        <v>1</v>
      </c>
      <c r="G194" s="10">
        <v>1</v>
      </c>
      <c r="H194" s="10">
        <v>1</v>
      </c>
      <c r="I194" s="10" t="s">
        <v>322</v>
      </c>
      <c r="J194" s="69">
        <f t="shared" si="13"/>
        <v>10183</v>
      </c>
      <c r="K194" s="10">
        <f t="shared" si="11"/>
        <v>183</v>
      </c>
      <c r="L194" s="10">
        <f t="shared" si="12"/>
        <v>182</v>
      </c>
      <c r="M194" s="10" t="s">
        <v>142</v>
      </c>
      <c r="N194" s="10" t="s">
        <v>324</v>
      </c>
      <c r="O194" s="7"/>
      <c r="P194" s="7"/>
    </row>
    <row r="195" spans="2:16" x14ac:dyDescent="0.3">
      <c r="B195" s="10" t="s">
        <v>320</v>
      </c>
      <c r="C195" s="10" t="s">
        <v>2076</v>
      </c>
      <c r="D195" s="10">
        <v>1</v>
      </c>
      <c r="E195" s="10">
        <v>0</v>
      </c>
      <c r="F195" s="10">
        <v>1</v>
      </c>
      <c r="G195" s="10">
        <v>1</v>
      </c>
      <c r="H195" s="10">
        <v>1</v>
      </c>
      <c r="I195" s="10" t="s">
        <v>322</v>
      </c>
      <c r="J195" s="69">
        <f t="shared" si="13"/>
        <v>10184</v>
      </c>
      <c r="K195" s="10">
        <f t="shared" si="11"/>
        <v>184</v>
      </c>
      <c r="L195" s="10">
        <f t="shared" si="12"/>
        <v>183</v>
      </c>
      <c r="M195" s="10" t="s">
        <v>142</v>
      </c>
      <c r="N195" s="10" t="s">
        <v>324</v>
      </c>
      <c r="O195" s="7"/>
      <c r="P195" s="7"/>
    </row>
    <row r="196" spans="2:16" x14ac:dyDescent="0.3">
      <c r="B196" s="10" t="s">
        <v>320</v>
      </c>
      <c r="C196" s="10" t="s">
        <v>2076</v>
      </c>
      <c r="D196" s="10">
        <v>1</v>
      </c>
      <c r="E196" s="10">
        <v>0</v>
      </c>
      <c r="F196" s="10">
        <v>1</v>
      </c>
      <c r="G196" s="10">
        <v>1</v>
      </c>
      <c r="H196" s="10">
        <v>1</v>
      </c>
      <c r="I196" s="10" t="s">
        <v>322</v>
      </c>
      <c r="J196" s="69">
        <f t="shared" si="13"/>
        <v>10185</v>
      </c>
      <c r="K196" s="10">
        <f t="shared" si="11"/>
        <v>185</v>
      </c>
      <c r="L196" s="10">
        <f t="shared" si="12"/>
        <v>184</v>
      </c>
      <c r="M196" s="10" t="s">
        <v>142</v>
      </c>
      <c r="N196" s="10" t="s">
        <v>324</v>
      </c>
      <c r="O196" s="7"/>
      <c r="P196" s="7"/>
    </row>
    <row r="197" spans="2:16" x14ac:dyDescent="0.3">
      <c r="B197" s="10" t="s">
        <v>320</v>
      </c>
      <c r="C197" s="10" t="s">
        <v>2076</v>
      </c>
      <c r="D197" s="10">
        <v>1</v>
      </c>
      <c r="E197" s="10">
        <v>0</v>
      </c>
      <c r="F197" s="10">
        <v>1</v>
      </c>
      <c r="G197" s="10">
        <v>1</v>
      </c>
      <c r="H197" s="10">
        <v>1</v>
      </c>
      <c r="I197" s="10" t="s">
        <v>322</v>
      </c>
      <c r="J197" s="69">
        <f t="shared" si="13"/>
        <v>10186</v>
      </c>
      <c r="K197" s="10">
        <f t="shared" si="11"/>
        <v>186</v>
      </c>
      <c r="L197" s="10">
        <f t="shared" si="12"/>
        <v>185</v>
      </c>
      <c r="M197" s="10" t="s">
        <v>142</v>
      </c>
      <c r="N197" s="10" t="s">
        <v>324</v>
      </c>
      <c r="O197" s="7"/>
      <c r="P197" s="7"/>
    </row>
    <row r="198" spans="2:16" x14ac:dyDescent="0.3">
      <c r="B198" s="10" t="s">
        <v>320</v>
      </c>
      <c r="C198" s="10" t="s">
        <v>2076</v>
      </c>
      <c r="D198" s="10">
        <v>1</v>
      </c>
      <c r="E198" s="10">
        <v>0</v>
      </c>
      <c r="F198" s="10">
        <v>1</v>
      </c>
      <c r="G198" s="10">
        <v>1</v>
      </c>
      <c r="H198" s="10">
        <v>1</v>
      </c>
      <c r="I198" s="10" t="s">
        <v>322</v>
      </c>
      <c r="J198" s="69">
        <f t="shared" si="13"/>
        <v>10187</v>
      </c>
      <c r="K198" s="10">
        <f t="shared" si="11"/>
        <v>187</v>
      </c>
      <c r="L198" s="10">
        <f t="shared" si="12"/>
        <v>186</v>
      </c>
      <c r="M198" s="10" t="s">
        <v>142</v>
      </c>
      <c r="N198" s="10" t="s">
        <v>324</v>
      </c>
      <c r="O198" s="7"/>
      <c r="P198" s="7"/>
    </row>
    <row r="199" spans="2:16" x14ac:dyDescent="0.3">
      <c r="B199" s="10" t="s">
        <v>320</v>
      </c>
      <c r="C199" s="10" t="s">
        <v>2076</v>
      </c>
      <c r="D199" s="10">
        <v>1</v>
      </c>
      <c r="E199" s="10">
        <v>0</v>
      </c>
      <c r="F199" s="10">
        <v>1</v>
      </c>
      <c r="G199" s="10">
        <v>1</v>
      </c>
      <c r="H199" s="10">
        <v>1</v>
      </c>
      <c r="I199" s="10" t="s">
        <v>322</v>
      </c>
      <c r="J199" s="69">
        <f t="shared" si="13"/>
        <v>10188</v>
      </c>
      <c r="K199" s="10">
        <f t="shared" si="11"/>
        <v>188</v>
      </c>
      <c r="L199" s="10">
        <f t="shared" si="12"/>
        <v>187</v>
      </c>
      <c r="M199" s="10" t="s">
        <v>142</v>
      </c>
      <c r="N199" s="10" t="s">
        <v>324</v>
      </c>
      <c r="O199" s="7"/>
      <c r="P199" s="7"/>
    </row>
    <row r="200" spans="2:16" x14ac:dyDescent="0.3">
      <c r="B200" s="10" t="s">
        <v>320</v>
      </c>
      <c r="C200" s="10" t="s">
        <v>2076</v>
      </c>
      <c r="D200" s="10">
        <v>1</v>
      </c>
      <c r="E200" s="10">
        <v>0</v>
      </c>
      <c r="F200" s="10">
        <v>1</v>
      </c>
      <c r="G200" s="10">
        <v>1</v>
      </c>
      <c r="H200" s="10">
        <v>1</v>
      </c>
      <c r="I200" s="10" t="s">
        <v>322</v>
      </c>
      <c r="J200" s="69">
        <f t="shared" si="13"/>
        <v>10189</v>
      </c>
      <c r="K200" s="10">
        <f t="shared" si="11"/>
        <v>189</v>
      </c>
      <c r="L200" s="10">
        <f t="shared" si="12"/>
        <v>188</v>
      </c>
      <c r="M200" s="10" t="s">
        <v>142</v>
      </c>
      <c r="N200" s="10" t="s">
        <v>324</v>
      </c>
      <c r="O200" s="7"/>
      <c r="P200" s="7"/>
    </row>
    <row r="201" spans="2:16" x14ac:dyDescent="0.3">
      <c r="B201" s="10" t="s">
        <v>320</v>
      </c>
      <c r="C201" s="10" t="s">
        <v>2076</v>
      </c>
      <c r="D201" s="10">
        <v>1</v>
      </c>
      <c r="E201" s="10">
        <v>0</v>
      </c>
      <c r="F201" s="10">
        <v>1</v>
      </c>
      <c r="G201" s="10">
        <v>1</v>
      </c>
      <c r="H201" s="10">
        <v>1</v>
      </c>
      <c r="I201" s="10" t="s">
        <v>322</v>
      </c>
      <c r="J201" s="69">
        <f t="shared" si="13"/>
        <v>10190</v>
      </c>
      <c r="K201" s="10">
        <f t="shared" si="11"/>
        <v>190</v>
      </c>
      <c r="L201" s="10">
        <f t="shared" si="12"/>
        <v>189</v>
      </c>
      <c r="M201" s="10" t="s">
        <v>142</v>
      </c>
      <c r="N201" s="10" t="s">
        <v>324</v>
      </c>
      <c r="O201" s="7"/>
      <c r="P201" s="7"/>
    </row>
    <row r="202" spans="2:16" x14ac:dyDescent="0.3">
      <c r="B202" s="10" t="s">
        <v>320</v>
      </c>
      <c r="C202" s="10" t="s">
        <v>2076</v>
      </c>
      <c r="D202" s="10">
        <v>1</v>
      </c>
      <c r="E202" s="10">
        <v>0</v>
      </c>
      <c r="F202" s="10">
        <v>1</v>
      </c>
      <c r="G202" s="10">
        <v>1</v>
      </c>
      <c r="H202" s="10">
        <v>1</v>
      </c>
      <c r="I202" s="10" t="s">
        <v>322</v>
      </c>
      <c r="J202" s="69">
        <f t="shared" si="13"/>
        <v>10191</v>
      </c>
      <c r="K202" s="10">
        <f t="shared" si="11"/>
        <v>191</v>
      </c>
      <c r="L202" s="10">
        <f t="shared" si="12"/>
        <v>190</v>
      </c>
      <c r="M202" s="10" t="s">
        <v>142</v>
      </c>
      <c r="N202" s="10" t="s">
        <v>324</v>
      </c>
      <c r="O202" s="7"/>
      <c r="P202" s="7"/>
    </row>
    <row r="203" spans="2:16" x14ac:dyDescent="0.3">
      <c r="B203" s="10" t="s">
        <v>320</v>
      </c>
      <c r="C203" s="10" t="s">
        <v>2076</v>
      </c>
      <c r="D203" s="10">
        <v>1</v>
      </c>
      <c r="E203" s="10">
        <v>0</v>
      </c>
      <c r="F203" s="10">
        <v>1</v>
      </c>
      <c r="G203" s="10">
        <v>1</v>
      </c>
      <c r="H203" s="10">
        <v>1</v>
      </c>
      <c r="I203" s="10" t="s">
        <v>322</v>
      </c>
      <c r="J203" s="69">
        <f t="shared" si="13"/>
        <v>10192</v>
      </c>
      <c r="K203" s="10">
        <f t="shared" ref="K203" si="14">J203-10000</f>
        <v>192</v>
      </c>
      <c r="L203" s="10">
        <f t="shared" ref="L203" si="15">K203-1</f>
        <v>191</v>
      </c>
      <c r="M203" s="10" t="s">
        <v>142</v>
      </c>
      <c r="N203" s="10" t="s">
        <v>324</v>
      </c>
      <c r="O203" s="7"/>
      <c r="P203" s="7"/>
    </row>
    <row r="204" spans="2:16" x14ac:dyDescent="0.3">
      <c r="B204" s="496" t="s">
        <v>2132</v>
      </c>
      <c r="C204" s="496"/>
      <c r="D204" s="496"/>
      <c r="E204" s="496"/>
      <c r="F204" s="496"/>
      <c r="G204" s="496"/>
      <c r="H204" s="496"/>
      <c r="I204" s="496"/>
      <c r="J204" s="496"/>
      <c r="K204" s="496"/>
      <c r="L204" s="496"/>
      <c r="M204" s="496"/>
      <c r="N204" s="496"/>
      <c r="O204" s="496"/>
      <c r="P204" s="496"/>
    </row>
    <row r="205" spans="2:16" x14ac:dyDescent="0.3">
      <c r="B205" s="193" t="s">
        <v>1595</v>
      </c>
      <c r="C205" s="10" t="s">
        <v>2076</v>
      </c>
      <c r="D205" s="10">
        <v>1</v>
      </c>
      <c r="E205" s="10">
        <v>0</v>
      </c>
      <c r="F205" s="10">
        <v>1</v>
      </c>
      <c r="G205" s="10">
        <v>1</v>
      </c>
      <c r="H205" s="10">
        <v>1</v>
      </c>
      <c r="I205" s="10" t="s">
        <v>322</v>
      </c>
      <c r="J205" s="69">
        <f>J203+D203</f>
        <v>10193</v>
      </c>
      <c r="K205" s="10">
        <f t="shared" ref="K205:K220" si="16">J205-10000</f>
        <v>193</v>
      </c>
      <c r="L205" s="10">
        <f t="shared" ref="L205:L220" si="17">K205-1</f>
        <v>192</v>
      </c>
      <c r="M205" s="10" t="s">
        <v>142</v>
      </c>
      <c r="N205" s="10" t="s">
        <v>324</v>
      </c>
      <c r="O205" s="7"/>
      <c r="P205" s="7"/>
    </row>
    <row r="206" spans="2:16" x14ac:dyDescent="0.3">
      <c r="B206" s="193" t="s">
        <v>1596</v>
      </c>
      <c r="C206" s="10" t="s">
        <v>2076</v>
      </c>
      <c r="D206" s="10">
        <v>1</v>
      </c>
      <c r="E206" s="10">
        <v>0</v>
      </c>
      <c r="F206" s="10">
        <v>1</v>
      </c>
      <c r="G206" s="10">
        <v>1</v>
      </c>
      <c r="H206" s="10">
        <v>1</v>
      </c>
      <c r="I206" s="10" t="s">
        <v>322</v>
      </c>
      <c r="J206" s="69">
        <f t="shared" si="13"/>
        <v>10194</v>
      </c>
      <c r="K206" s="10">
        <f t="shared" si="16"/>
        <v>194</v>
      </c>
      <c r="L206" s="10">
        <f t="shared" si="17"/>
        <v>193</v>
      </c>
      <c r="M206" s="10" t="s">
        <v>142</v>
      </c>
      <c r="N206" s="10" t="s">
        <v>324</v>
      </c>
      <c r="O206" s="7"/>
      <c r="P206" s="7"/>
    </row>
    <row r="207" spans="2:16" x14ac:dyDescent="0.3">
      <c r="B207" s="193" t="s">
        <v>1597</v>
      </c>
      <c r="C207" s="10" t="s">
        <v>2076</v>
      </c>
      <c r="D207" s="10">
        <v>1</v>
      </c>
      <c r="E207" s="10">
        <v>0</v>
      </c>
      <c r="F207" s="10">
        <v>1</v>
      </c>
      <c r="G207" s="10">
        <v>1</v>
      </c>
      <c r="H207" s="10">
        <v>1</v>
      </c>
      <c r="I207" s="10" t="s">
        <v>322</v>
      </c>
      <c r="J207" s="69">
        <f t="shared" si="13"/>
        <v>10195</v>
      </c>
      <c r="K207" s="10">
        <f t="shared" si="16"/>
        <v>195</v>
      </c>
      <c r="L207" s="10">
        <f t="shared" si="17"/>
        <v>194</v>
      </c>
      <c r="M207" s="10" t="s">
        <v>142</v>
      </c>
      <c r="N207" s="10" t="s">
        <v>324</v>
      </c>
      <c r="O207" s="7"/>
      <c r="P207" s="7"/>
    </row>
    <row r="208" spans="2:16" x14ac:dyDescent="0.3">
      <c r="B208" s="193" t="s">
        <v>1598</v>
      </c>
      <c r="C208" s="10" t="s">
        <v>2076</v>
      </c>
      <c r="D208" s="10">
        <v>1</v>
      </c>
      <c r="E208" s="10">
        <v>0</v>
      </c>
      <c r="F208" s="10">
        <v>1</v>
      </c>
      <c r="G208" s="10">
        <v>1</v>
      </c>
      <c r="H208" s="10">
        <v>1</v>
      </c>
      <c r="I208" s="10" t="s">
        <v>322</v>
      </c>
      <c r="J208" s="69">
        <f t="shared" si="13"/>
        <v>10196</v>
      </c>
      <c r="K208" s="10">
        <f t="shared" si="16"/>
        <v>196</v>
      </c>
      <c r="L208" s="10">
        <f t="shared" si="17"/>
        <v>195</v>
      </c>
      <c r="M208" s="10" t="s">
        <v>142</v>
      </c>
      <c r="N208" s="10" t="s">
        <v>324</v>
      </c>
      <c r="O208" s="7"/>
      <c r="P208" s="7"/>
    </row>
    <row r="209" spans="2:16" x14ac:dyDescent="0.3">
      <c r="B209" s="10" t="s">
        <v>320</v>
      </c>
      <c r="C209" s="10" t="s">
        <v>2076</v>
      </c>
      <c r="D209" s="10">
        <v>1</v>
      </c>
      <c r="E209" s="10">
        <v>0</v>
      </c>
      <c r="F209" s="10">
        <v>1</v>
      </c>
      <c r="G209" s="10">
        <v>1</v>
      </c>
      <c r="H209" s="10">
        <v>1</v>
      </c>
      <c r="I209" s="10" t="s">
        <v>322</v>
      </c>
      <c r="J209" s="69">
        <f t="shared" si="13"/>
        <v>10197</v>
      </c>
      <c r="K209" s="10">
        <f t="shared" si="16"/>
        <v>197</v>
      </c>
      <c r="L209" s="10">
        <f t="shared" si="17"/>
        <v>196</v>
      </c>
      <c r="M209" s="10" t="s">
        <v>142</v>
      </c>
      <c r="N209" s="10" t="s">
        <v>324</v>
      </c>
      <c r="O209" s="7"/>
      <c r="P209" s="7"/>
    </row>
    <row r="210" spans="2:16" x14ac:dyDescent="0.3">
      <c r="B210" s="10" t="s">
        <v>320</v>
      </c>
      <c r="C210" s="10" t="s">
        <v>2076</v>
      </c>
      <c r="D210" s="10">
        <v>1</v>
      </c>
      <c r="E210" s="10">
        <v>0</v>
      </c>
      <c r="F210" s="10">
        <v>1</v>
      </c>
      <c r="G210" s="10">
        <v>1</v>
      </c>
      <c r="H210" s="10">
        <v>1</v>
      </c>
      <c r="I210" s="10" t="s">
        <v>322</v>
      </c>
      <c r="J210" s="69">
        <f t="shared" si="13"/>
        <v>10198</v>
      </c>
      <c r="K210" s="10">
        <f t="shared" si="16"/>
        <v>198</v>
      </c>
      <c r="L210" s="10">
        <f t="shared" si="17"/>
        <v>197</v>
      </c>
      <c r="M210" s="10" t="s">
        <v>142</v>
      </c>
      <c r="N210" s="10" t="s">
        <v>324</v>
      </c>
      <c r="O210" s="7"/>
      <c r="P210" s="7"/>
    </row>
    <row r="211" spans="2:16" x14ac:dyDescent="0.3">
      <c r="B211" s="10" t="s">
        <v>320</v>
      </c>
      <c r="C211" s="10" t="s">
        <v>2076</v>
      </c>
      <c r="D211" s="10">
        <v>1</v>
      </c>
      <c r="E211" s="10">
        <v>0</v>
      </c>
      <c r="F211" s="10">
        <v>1</v>
      </c>
      <c r="G211" s="10">
        <v>1</v>
      </c>
      <c r="H211" s="10">
        <v>1</v>
      </c>
      <c r="I211" s="10" t="s">
        <v>322</v>
      </c>
      <c r="J211" s="69">
        <f t="shared" si="13"/>
        <v>10199</v>
      </c>
      <c r="K211" s="10">
        <f t="shared" si="16"/>
        <v>199</v>
      </c>
      <c r="L211" s="10">
        <f t="shared" si="17"/>
        <v>198</v>
      </c>
      <c r="M211" s="10" t="s">
        <v>142</v>
      </c>
      <c r="N211" s="10" t="s">
        <v>324</v>
      </c>
      <c r="O211" s="7"/>
      <c r="P211" s="7"/>
    </row>
    <row r="212" spans="2:16" x14ac:dyDescent="0.3">
      <c r="B212" s="10" t="s">
        <v>320</v>
      </c>
      <c r="C212" s="10" t="s">
        <v>2076</v>
      </c>
      <c r="D212" s="10">
        <v>1</v>
      </c>
      <c r="E212" s="10">
        <v>0</v>
      </c>
      <c r="F212" s="10">
        <v>1</v>
      </c>
      <c r="G212" s="10">
        <v>1</v>
      </c>
      <c r="H212" s="10">
        <v>1</v>
      </c>
      <c r="I212" s="10" t="s">
        <v>322</v>
      </c>
      <c r="J212" s="69">
        <f t="shared" si="13"/>
        <v>10200</v>
      </c>
      <c r="K212" s="10">
        <f t="shared" si="16"/>
        <v>200</v>
      </c>
      <c r="L212" s="10">
        <f t="shared" si="17"/>
        <v>199</v>
      </c>
      <c r="M212" s="10" t="s">
        <v>142</v>
      </c>
      <c r="N212" s="10" t="s">
        <v>324</v>
      </c>
      <c r="O212" s="7"/>
      <c r="P212" s="7"/>
    </row>
    <row r="213" spans="2:16" x14ac:dyDescent="0.3">
      <c r="B213" s="10" t="s">
        <v>320</v>
      </c>
      <c r="C213" s="10" t="s">
        <v>2076</v>
      </c>
      <c r="D213" s="10">
        <v>1</v>
      </c>
      <c r="E213" s="10">
        <v>0</v>
      </c>
      <c r="F213" s="10">
        <v>1</v>
      </c>
      <c r="G213" s="10">
        <v>1</v>
      </c>
      <c r="H213" s="10">
        <v>1</v>
      </c>
      <c r="I213" s="10" t="s">
        <v>322</v>
      </c>
      <c r="J213" s="69">
        <f t="shared" si="13"/>
        <v>10201</v>
      </c>
      <c r="K213" s="10">
        <f t="shared" si="16"/>
        <v>201</v>
      </c>
      <c r="L213" s="10">
        <f t="shared" si="17"/>
        <v>200</v>
      </c>
      <c r="M213" s="10" t="s">
        <v>142</v>
      </c>
      <c r="N213" s="10" t="s">
        <v>324</v>
      </c>
      <c r="O213" s="7"/>
      <c r="P213" s="7"/>
    </row>
    <row r="214" spans="2:16" x14ac:dyDescent="0.3">
      <c r="B214" s="10" t="s">
        <v>320</v>
      </c>
      <c r="C214" s="10" t="s">
        <v>2076</v>
      </c>
      <c r="D214" s="10">
        <v>1</v>
      </c>
      <c r="E214" s="10">
        <v>0</v>
      </c>
      <c r="F214" s="10">
        <v>1</v>
      </c>
      <c r="G214" s="10">
        <v>1</v>
      </c>
      <c r="H214" s="10">
        <v>1</v>
      </c>
      <c r="I214" s="10" t="s">
        <v>322</v>
      </c>
      <c r="J214" s="69">
        <f t="shared" si="13"/>
        <v>10202</v>
      </c>
      <c r="K214" s="10">
        <f t="shared" si="16"/>
        <v>202</v>
      </c>
      <c r="L214" s="10">
        <f t="shared" si="17"/>
        <v>201</v>
      </c>
      <c r="M214" s="10" t="s">
        <v>142</v>
      </c>
      <c r="N214" s="10" t="s">
        <v>324</v>
      </c>
      <c r="O214" s="7"/>
      <c r="P214" s="7"/>
    </row>
    <row r="215" spans="2:16" x14ac:dyDescent="0.3">
      <c r="B215" s="10" t="s">
        <v>320</v>
      </c>
      <c r="C215" s="10" t="s">
        <v>2076</v>
      </c>
      <c r="D215" s="10">
        <v>1</v>
      </c>
      <c r="E215" s="10">
        <v>0</v>
      </c>
      <c r="F215" s="10">
        <v>1</v>
      </c>
      <c r="G215" s="10">
        <v>1</v>
      </c>
      <c r="H215" s="10">
        <v>1</v>
      </c>
      <c r="I215" s="10" t="s">
        <v>322</v>
      </c>
      <c r="J215" s="69">
        <f t="shared" si="13"/>
        <v>10203</v>
      </c>
      <c r="K215" s="10">
        <f t="shared" si="16"/>
        <v>203</v>
      </c>
      <c r="L215" s="10">
        <f t="shared" si="17"/>
        <v>202</v>
      </c>
      <c r="M215" s="10" t="s">
        <v>142</v>
      </c>
      <c r="N215" s="10" t="s">
        <v>324</v>
      </c>
      <c r="O215" s="7"/>
      <c r="P215" s="7"/>
    </row>
    <row r="216" spans="2:16" x14ac:dyDescent="0.3">
      <c r="B216" s="10" t="s">
        <v>320</v>
      </c>
      <c r="C216" s="10" t="s">
        <v>2076</v>
      </c>
      <c r="D216" s="10">
        <v>1</v>
      </c>
      <c r="E216" s="10">
        <v>0</v>
      </c>
      <c r="F216" s="10">
        <v>1</v>
      </c>
      <c r="G216" s="10">
        <v>1</v>
      </c>
      <c r="H216" s="10">
        <v>1</v>
      </c>
      <c r="I216" s="10" t="s">
        <v>322</v>
      </c>
      <c r="J216" s="69">
        <f t="shared" si="13"/>
        <v>10204</v>
      </c>
      <c r="K216" s="10">
        <f t="shared" si="16"/>
        <v>204</v>
      </c>
      <c r="L216" s="10">
        <f t="shared" si="17"/>
        <v>203</v>
      </c>
      <c r="M216" s="10" t="s">
        <v>142</v>
      </c>
      <c r="N216" s="10" t="s">
        <v>324</v>
      </c>
      <c r="O216" s="7"/>
      <c r="P216" s="7"/>
    </row>
    <row r="217" spans="2:16" x14ac:dyDescent="0.3">
      <c r="B217" s="10" t="s">
        <v>320</v>
      </c>
      <c r="C217" s="10" t="s">
        <v>2076</v>
      </c>
      <c r="D217" s="10">
        <v>1</v>
      </c>
      <c r="E217" s="10">
        <v>0</v>
      </c>
      <c r="F217" s="10">
        <v>1</v>
      </c>
      <c r="G217" s="10">
        <v>1</v>
      </c>
      <c r="H217" s="10">
        <v>1</v>
      </c>
      <c r="I217" s="10" t="s">
        <v>322</v>
      </c>
      <c r="J217" s="69">
        <f t="shared" si="13"/>
        <v>10205</v>
      </c>
      <c r="K217" s="10">
        <f t="shared" si="16"/>
        <v>205</v>
      </c>
      <c r="L217" s="10">
        <f t="shared" si="17"/>
        <v>204</v>
      </c>
      <c r="M217" s="10" t="s">
        <v>142</v>
      </c>
      <c r="N217" s="10" t="s">
        <v>324</v>
      </c>
      <c r="O217" s="7"/>
      <c r="P217" s="7"/>
    </row>
    <row r="218" spans="2:16" x14ac:dyDescent="0.3">
      <c r="B218" s="10" t="s">
        <v>320</v>
      </c>
      <c r="C218" s="10" t="s">
        <v>2076</v>
      </c>
      <c r="D218" s="10">
        <v>1</v>
      </c>
      <c r="E218" s="10">
        <v>0</v>
      </c>
      <c r="F218" s="10">
        <v>1</v>
      </c>
      <c r="G218" s="10">
        <v>1</v>
      </c>
      <c r="H218" s="10">
        <v>1</v>
      </c>
      <c r="I218" s="10" t="s">
        <v>322</v>
      </c>
      <c r="J218" s="69">
        <f t="shared" si="13"/>
        <v>10206</v>
      </c>
      <c r="K218" s="10">
        <f t="shared" si="16"/>
        <v>206</v>
      </c>
      <c r="L218" s="10">
        <f t="shared" si="17"/>
        <v>205</v>
      </c>
      <c r="M218" s="10" t="s">
        <v>142</v>
      </c>
      <c r="N218" s="10" t="s">
        <v>324</v>
      </c>
      <c r="O218" s="7"/>
      <c r="P218" s="7"/>
    </row>
    <row r="219" spans="2:16" x14ac:dyDescent="0.3">
      <c r="B219" s="10" t="s">
        <v>320</v>
      </c>
      <c r="C219" s="10" t="s">
        <v>2076</v>
      </c>
      <c r="D219" s="10">
        <v>1</v>
      </c>
      <c r="E219" s="10">
        <v>0</v>
      </c>
      <c r="F219" s="10">
        <v>1</v>
      </c>
      <c r="G219" s="10">
        <v>1</v>
      </c>
      <c r="H219" s="10">
        <v>1</v>
      </c>
      <c r="I219" s="10" t="s">
        <v>322</v>
      </c>
      <c r="J219" s="69">
        <f t="shared" si="13"/>
        <v>10207</v>
      </c>
      <c r="K219" s="10">
        <f t="shared" si="16"/>
        <v>207</v>
      </c>
      <c r="L219" s="10">
        <f t="shared" si="17"/>
        <v>206</v>
      </c>
      <c r="M219" s="10" t="s">
        <v>142</v>
      </c>
      <c r="N219" s="10" t="s">
        <v>324</v>
      </c>
      <c r="O219" s="7"/>
      <c r="P219" s="7"/>
    </row>
    <row r="220" spans="2:16" x14ac:dyDescent="0.3">
      <c r="B220" s="10" t="s">
        <v>320</v>
      </c>
      <c r="C220" s="10" t="s">
        <v>2076</v>
      </c>
      <c r="D220" s="10">
        <v>1</v>
      </c>
      <c r="E220" s="10">
        <v>0</v>
      </c>
      <c r="F220" s="10">
        <v>1</v>
      </c>
      <c r="G220" s="10">
        <v>1</v>
      </c>
      <c r="H220" s="10">
        <v>1</v>
      </c>
      <c r="I220" s="10" t="s">
        <v>322</v>
      </c>
      <c r="J220" s="69">
        <f t="shared" si="13"/>
        <v>10208</v>
      </c>
      <c r="K220" s="10">
        <f t="shared" si="16"/>
        <v>208</v>
      </c>
      <c r="L220" s="10">
        <f t="shared" si="17"/>
        <v>207</v>
      </c>
      <c r="M220" s="10" t="s">
        <v>142</v>
      </c>
      <c r="N220" s="10" t="s">
        <v>324</v>
      </c>
      <c r="O220" s="7"/>
      <c r="P220" s="7"/>
    </row>
    <row r="221" spans="2:16" x14ac:dyDescent="0.3">
      <c r="B221" s="496" t="s">
        <v>320</v>
      </c>
      <c r="C221" s="496"/>
      <c r="D221" s="496"/>
      <c r="E221" s="496"/>
      <c r="F221" s="496"/>
      <c r="G221" s="496"/>
      <c r="H221" s="496"/>
      <c r="I221" s="496"/>
      <c r="J221" s="496"/>
      <c r="K221" s="496"/>
      <c r="L221" s="496"/>
      <c r="M221" s="496"/>
      <c r="N221" s="496"/>
      <c r="O221" s="496"/>
      <c r="P221" s="496"/>
    </row>
    <row r="222" spans="2:16" x14ac:dyDescent="0.3">
      <c r="B222" s="10" t="s">
        <v>320</v>
      </c>
      <c r="C222" s="10" t="s">
        <v>2076</v>
      </c>
      <c r="D222" s="10">
        <v>1</v>
      </c>
      <c r="E222" s="10">
        <v>0</v>
      </c>
      <c r="F222" s="10">
        <v>1</v>
      </c>
      <c r="G222" s="10">
        <v>1</v>
      </c>
      <c r="H222" s="10">
        <v>1</v>
      </c>
      <c r="I222" s="10" t="s">
        <v>322</v>
      </c>
      <c r="J222" s="69">
        <f>J220+D220</f>
        <v>10209</v>
      </c>
      <c r="K222" s="10">
        <f t="shared" ref="K222:K237" si="18">J222-10000</f>
        <v>209</v>
      </c>
      <c r="L222" s="10">
        <f t="shared" ref="L222:L237" si="19">K222-1</f>
        <v>208</v>
      </c>
      <c r="M222" s="10" t="s">
        <v>142</v>
      </c>
      <c r="N222" s="10" t="s">
        <v>324</v>
      </c>
      <c r="O222" s="7"/>
      <c r="P222" s="7"/>
    </row>
    <row r="223" spans="2:16" x14ac:dyDescent="0.3">
      <c r="B223" s="10" t="s">
        <v>320</v>
      </c>
      <c r="C223" s="10" t="s">
        <v>2076</v>
      </c>
      <c r="D223" s="10">
        <v>1</v>
      </c>
      <c r="E223" s="10">
        <v>0</v>
      </c>
      <c r="F223" s="10">
        <v>1</v>
      </c>
      <c r="G223" s="10">
        <v>1</v>
      </c>
      <c r="H223" s="10">
        <v>1</v>
      </c>
      <c r="I223" s="10" t="s">
        <v>322</v>
      </c>
      <c r="J223" s="69">
        <f t="shared" si="13"/>
        <v>10210</v>
      </c>
      <c r="K223" s="10">
        <f t="shared" si="18"/>
        <v>210</v>
      </c>
      <c r="L223" s="10">
        <f t="shared" si="19"/>
        <v>209</v>
      </c>
      <c r="M223" s="10" t="s">
        <v>142</v>
      </c>
      <c r="N223" s="10" t="s">
        <v>324</v>
      </c>
      <c r="O223" s="7"/>
      <c r="P223" s="7"/>
    </row>
    <row r="224" spans="2:16" x14ac:dyDescent="0.3">
      <c r="B224" s="10" t="s">
        <v>320</v>
      </c>
      <c r="C224" s="10" t="s">
        <v>2076</v>
      </c>
      <c r="D224" s="10">
        <v>1</v>
      </c>
      <c r="E224" s="10">
        <v>0</v>
      </c>
      <c r="F224" s="10">
        <v>1</v>
      </c>
      <c r="G224" s="10">
        <v>1</v>
      </c>
      <c r="H224" s="10">
        <v>1</v>
      </c>
      <c r="I224" s="10" t="s">
        <v>322</v>
      </c>
      <c r="J224" s="69">
        <f t="shared" si="13"/>
        <v>10211</v>
      </c>
      <c r="K224" s="10">
        <f t="shared" si="18"/>
        <v>211</v>
      </c>
      <c r="L224" s="10">
        <f t="shared" si="19"/>
        <v>210</v>
      </c>
      <c r="M224" s="10" t="s">
        <v>142</v>
      </c>
      <c r="N224" s="10" t="s">
        <v>324</v>
      </c>
      <c r="O224" s="7"/>
      <c r="P224" s="7"/>
    </row>
    <row r="225" spans="2:16" x14ac:dyDescent="0.3">
      <c r="B225" s="10" t="s">
        <v>320</v>
      </c>
      <c r="C225" s="10" t="s">
        <v>2076</v>
      </c>
      <c r="D225" s="10">
        <v>1</v>
      </c>
      <c r="E225" s="10">
        <v>0</v>
      </c>
      <c r="F225" s="10">
        <v>1</v>
      </c>
      <c r="G225" s="10">
        <v>1</v>
      </c>
      <c r="H225" s="10">
        <v>1</v>
      </c>
      <c r="I225" s="10" t="s">
        <v>322</v>
      </c>
      <c r="J225" s="69">
        <f t="shared" si="13"/>
        <v>10212</v>
      </c>
      <c r="K225" s="10">
        <f t="shared" si="18"/>
        <v>212</v>
      </c>
      <c r="L225" s="10">
        <f t="shared" si="19"/>
        <v>211</v>
      </c>
      <c r="M225" s="10" t="s">
        <v>142</v>
      </c>
      <c r="N225" s="10" t="s">
        <v>324</v>
      </c>
      <c r="O225" s="7"/>
      <c r="P225" s="7"/>
    </row>
    <row r="226" spans="2:16" x14ac:dyDescent="0.3">
      <c r="B226" s="10" t="s">
        <v>320</v>
      </c>
      <c r="C226" s="10" t="s">
        <v>2076</v>
      </c>
      <c r="D226" s="10">
        <v>1</v>
      </c>
      <c r="E226" s="10">
        <v>0</v>
      </c>
      <c r="F226" s="10">
        <v>1</v>
      </c>
      <c r="G226" s="10">
        <v>1</v>
      </c>
      <c r="H226" s="10">
        <v>1</v>
      </c>
      <c r="I226" s="10" t="s">
        <v>322</v>
      </c>
      <c r="J226" s="69">
        <f t="shared" si="13"/>
        <v>10213</v>
      </c>
      <c r="K226" s="10">
        <f t="shared" si="18"/>
        <v>213</v>
      </c>
      <c r="L226" s="10">
        <f t="shared" si="19"/>
        <v>212</v>
      </c>
      <c r="M226" s="10" t="s">
        <v>142</v>
      </c>
      <c r="N226" s="10" t="s">
        <v>324</v>
      </c>
      <c r="O226" s="7"/>
      <c r="P226" s="7"/>
    </row>
    <row r="227" spans="2:16" x14ac:dyDescent="0.3">
      <c r="B227" s="10" t="s">
        <v>320</v>
      </c>
      <c r="C227" s="10" t="s">
        <v>2076</v>
      </c>
      <c r="D227" s="10">
        <v>1</v>
      </c>
      <c r="E227" s="10">
        <v>0</v>
      </c>
      <c r="F227" s="10">
        <v>1</v>
      </c>
      <c r="G227" s="10">
        <v>1</v>
      </c>
      <c r="H227" s="10">
        <v>1</v>
      </c>
      <c r="I227" s="10" t="s">
        <v>322</v>
      </c>
      <c r="J227" s="69">
        <f t="shared" si="13"/>
        <v>10214</v>
      </c>
      <c r="K227" s="10">
        <f t="shared" si="18"/>
        <v>214</v>
      </c>
      <c r="L227" s="10">
        <f t="shared" si="19"/>
        <v>213</v>
      </c>
      <c r="M227" s="10" t="s">
        <v>142</v>
      </c>
      <c r="N227" s="10" t="s">
        <v>324</v>
      </c>
      <c r="O227" s="7"/>
      <c r="P227" s="7"/>
    </row>
    <row r="228" spans="2:16" x14ac:dyDescent="0.3">
      <c r="B228" s="10" t="s">
        <v>320</v>
      </c>
      <c r="C228" s="10" t="s">
        <v>2076</v>
      </c>
      <c r="D228" s="10">
        <v>1</v>
      </c>
      <c r="E228" s="10">
        <v>0</v>
      </c>
      <c r="F228" s="10">
        <v>1</v>
      </c>
      <c r="G228" s="10">
        <v>1</v>
      </c>
      <c r="H228" s="10">
        <v>1</v>
      </c>
      <c r="I228" s="10" t="s">
        <v>322</v>
      </c>
      <c r="J228" s="69">
        <f t="shared" si="13"/>
        <v>10215</v>
      </c>
      <c r="K228" s="10">
        <f t="shared" si="18"/>
        <v>215</v>
      </c>
      <c r="L228" s="10">
        <f t="shared" si="19"/>
        <v>214</v>
      </c>
      <c r="M228" s="10" t="s">
        <v>142</v>
      </c>
      <c r="N228" s="10" t="s">
        <v>324</v>
      </c>
      <c r="O228" s="7"/>
      <c r="P228" s="7"/>
    </row>
    <row r="229" spans="2:16" x14ac:dyDescent="0.3">
      <c r="B229" s="10" t="s">
        <v>320</v>
      </c>
      <c r="C229" s="10" t="s">
        <v>2076</v>
      </c>
      <c r="D229" s="10">
        <v>1</v>
      </c>
      <c r="E229" s="10">
        <v>0</v>
      </c>
      <c r="F229" s="10">
        <v>1</v>
      </c>
      <c r="G229" s="10">
        <v>1</v>
      </c>
      <c r="H229" s="10">
        <v>1</v>
      </c>
      <c r="I229" s="10" t="s">
        <v>322</v>
      </c>
      <c r="J229" s="69">
        <f t="shared" si="13"/>
        <v>10216</v>
      </c>
      <c r="K229" s="10">
        <f t="shared" si="18"/>
        <v>216</v>
      </c>
      <c r="L229" s="10">
        <f t="shared" si="19"/>
        <v>215</v>
      </c>
      <c r="M229" s="10" t="s">
        <v>142</v>
      </c>
      <c r="N229" s="10" t="s">
        <v>324</v>
      </c>
      <c r="O229" s="7"/>
      <c r="P229" s="7"/>
    </row>
    <row r="230" spans="2:16" x14ac:dyDescent="0.3">
      <c r="B230" s="10" t="s">
        <v>320</v>
      </c>
      <c r="C230" s="10" t="s">
        <v>2076</v>
      </c>
      <c r="D230" s="10">
        <v>1</v>
      </c>
      <c r="E230" s="10">
        <v>0</v>
      </c>
      <c r="F230" s="10">
        <v>1</v>
      </c>
      <c r="G230" s="10">
        <v>1</v>
      </c>
      <c r="H230" s="10">
        <v>1</v>
      </c>
      <c r="I230" s="10" t="s">
        <v>322</v>
      </c>
      <c r="J230" s="69">
        <f t="shared" si="13"/>
        <v>10217</v>
      </c>
      <c r="K230" s="10">
        <f t="shared" si="18"/>
        <v>217</v>
      </c>
      <c r="L230" s="10">
        <f t="shared" si="19"/>
        <v>216</v>
      </c>
      <c r="M230" s="10" t="s">
        <v>142</v>
      </c>
      <c r="N230" s="10" t="s">
        <v>324</v>
      </c>
      <c r="O230" s="7"/>
      <c r="P230" s="7"/>
    </row>
    <row r="231" spans="2:16" x14ac:dyDescent="0.3">
      <c r="B231" s="10" t="s">
        <v>320</v>
      </c>
      <c r="C231" s="10" t="s">
        <v>2076</v>
      </c>
      <c r="D231" s="10">
        <v>1</v>
      </c>
      <c r="E231" s="10">
        <v>0</v>
      </c>
      <c r="F231" s="10">
        <v>1</v>
      </c>
      <c r="G231" s="10">
        <v>1</v>
      </c>
      <c r="H231" s="10">
        <v>1</v>
      </c>
      <c r="I231" s="10" t="s">
        <v>322</v>
      </c>
      <c r="J231" s="69">
        <f t="shared" si="13"/>
        <v>10218</v>
      </c>
      <c r="K231" s="10">
        <f t="shared" si="18"/>
        <v>218</v>
      </c>
      <c r="L231" s="10">
        <f t="shared" si="19"/>
        <v>217</v>
      </c>
      <c r="M231" s="10" t="s">
        <v>142</v>
      </c>
      <c r="N231" s="10" t="s">
        <v>324</v>
      </c>
      <c r="O231" s="7"/>
      <c r="P231" s="7"/>
    </row>
    <row r="232" spans="2:16" x14ac:dyDescent="0.3">
      <c r="B232" s="10" t="s">
        <v>320</v>
      </c>
      <c r="C232" s="10" t="s">
        <v>2076</v>
      </c>
      <c r="D232" s="10">
        <v>1</v>
      </c>
      <c r="E232" s="10">
        <v>0</v>
      </c>
      <c r="F232" s="10">
        <v>1</v>
      </c>
      <c r="G232" s="10">
        <v>1</v>
      </c>
      <c r="H232" s="10">
        <v>1</v>
      </c>
      <c r="I232" s="10" t="s">
        <v>322</v>
      </c>
      <c r="J232" s="69">
        <f t="shared" si="13"/>
        <v>10219</v>
      </c>
      <c r="K232" s="10">
        <f t="shared" si="18"/>
        <v>219</v>
      </c>
      <c r="L232" s="10">
        <f t="shared" si="19"/>
        <v>218</v>
      </c>
      <c r="M232" s="10" t="s">
        <v>142</v>
      </c>
      <c r="N232" s="10" t="s">
        <v>324</v>
      </c>
      <c r="O232" s="7"/>
      <c r="P232" s="7"/>
    </row>
    <row r="233" spans="2:16" x14ac:dyDescent="0.3">
      <c r="B233" s="10" t="s">
        <v>320</v>
      </c>
      <c r="C233" s="10" t="s">
        <v>2076</v>
      </c>
      <c r="D233" s="10">
        <v>1</v>
      </c>
      <c r="E233" s="10">
        <v>0</v>
      </c>
      <c r="F233" s="10">
        <v>1</v>
      </c>
      <c r="G233" s="10">
        <v>1</v>
      </c>
      <c r="H233" s="10">
        <v>1</v>
      </c>
      <c r="I233" s="10" t="s">
        <v>322</v>
      </c>
      <c r="J233" s="69">
        <f t="shared" si="13"/>
        <v>10220</v>
      </c>
      <c r="K233" s="10">
        <f t="shared" si="18"/>
        <v>220</v>
      </c>
      <c r="L233" s="10">
        <f t="shared" si="19"/>
        <v>219</v>
      </c>
      <c r="M233" s="10" t="s">
        <v>142</v>
      </c>
      <c r="N233" s="10" t="s">
        <v>324</v>
      </c>
      <c r="O233" s="7"/>
      <c r="P233" s="7"/>
    </row>
    <row r="234" spans="2:16" x14ac:dyDescent="0.3">
      <c r="B234" s="10" t="s">
        <v>320</v>
      </c>
      <c r="C234" s="10" t="s">
        <v>2076</v>
      </c>
      <c r="D234" s="10">
        <v>1</v>
      </c>
      <c r="E234" s="10">
        <v>0</v>
      </c>
      <c r="F234" s="10">
        <v>1</v>
      </c>
      <c r="G234" s="10">
        <v>1</v>
      </c>
      <c r="H234" s="10">
        <v>1</v>
      </c>
      <c r="I234" s="10" t="s">
        <v>322</v>
      </c>
      <c r="J234" s="69">
        <f t="shared" si="13"/>
        <v>10221</v>
      </c>
      <c r="K234" s="10">
        <f t="shared" si="18"/>
        <v>221</v>
      </c>
      <c r="L234" s="10">
        <f t="shared" si="19"/>
        <v>220</v>
      </c>
      <c r="M234" s="10" t="s">
        <v>142</v>
      </c>
      <c r="N234" s="10" t="s">
        <v>324</v>
      </c>
      <c r="O234" s="7"/>
      <c r="P234" s="7"/>
    </row>
    <row r="235" spans="2:16" x14ac:dyDescent="0.3">
      <c r="B235" s="10" t="s">
        <v>320</v>
      </c>
      <c r="C235" s="10" t="s">
        <v>2076</v>
      </c>
      <c r="D235" s="10">
        <v>1</v>
      </c>
      <c r="E235" s="10">
        <v>0</v>
      </c>
      <c r="F235" s="10">
        <v>1</v>
      </c>
      <c r="G235" s="10">
        <v>1</v>
      </c>
      <c r="H235" s="10">
        <v>1</v>
      </c>
      <c r="I235" s="10" t="s">
        <v>322</v>
      </c>
      <c r="J235" s="69">
        <f t="shared" si="13"/>
        <v>10222</v>
      </c>
      <c r="K235" s="10">
        <f t="shared" si="18"/>
        <v>222</v>
      </c>
      <c r="L235" s="10">
        <f t="shared" si="19"/>
        <v>221</v>
      </c>
      <c r="M235" s="10" t="s">
        <v>142</v>
      </c>
      <c r="N235" s="10" t="s">
        <v>324</v>
      </c>
      <c r="O235" s="7"/>
      <c r="P235" s="7"/>
    </row>
    <row r="236" spans="2:16" x14ac:dyDescent="0.3">
      <c r="B236" s="10" t="s">
        <v>320</v>
      </c>
      <c r="C236" s="10" t="s">
        <v>2076</v>
      </c>
      <c r="D236" s="10">
        <v>1</v>
      </c>
      <c r="E236" s="10">
        <v>0</v>
      </c>
      <c r="F236" s="10">
        <v>1</v>
      </c>
      <c r="G236" s="10">
        <v>1</v>
      </c>
      <c r="H236" s="10">
        <v>1</v>
      </c>
      <c r="I236" s="10" t="s">
        <v>322</v>
      </c>
      <c r="J236" s="69">
        <f t="shared" ref="J236:J299" si="20">J235+D235</f>
        <v>10223</v>
      </c>
      <c r="K236" s="10">
        <f t="shared" si="18"/>
        <v>223</v>
      </c>
      <c r="L236" s="10">
        <f t="shared" si="19"/>
        <v>222</v>
      </c>
      <c r="M236" s="10" t="s">
        <v>142</v>
      </c>
      <c r="N236" s="10" t="s">
        <v>324</v>
      </c>
      <c r="O236" s="7"/>
      <c r="P236" s="7"/>
    </row>
    <row r="237" spans="2:16" x14ac:dyDescent="0.3">
      <c r="B237" s="10" t="s">
        <v>320</v>
      </c>
      <c r="C237" s="10" t="s">
        <v>2076</v>
      </c>
      <c r="D237" s="10">
        <v>1</v>
      </c>
      <c r="E237" s="10">
        <v>0</v>
      </c>
      <c r="F237" s="10">
        <v>1</v>
      </c>
      <c r="G237" s="10">
        <v>1</v>
      </c>
      <c r="H237" s="10">
        <v>1</v>
      </c>
      <c r="I237" s="10" t="s">
        <v>322</v>
      </c>
      <c r="J237" s="69">
        <f t="shared" si="20"/>
        <v>10224</v>
      </c>
      <c r="K237" s="10">
        <f t="shared" si="18"/>
        <v>224</v>
      </c>
      <c r="L237" s="10">
        <f t="shared" si="19"/>
        <v>223</v>
      </c>
      <c r="M237" s="10" t="s">
        <v>142</v>
      </c>
      <c r="N237" s="10" t="s">
        <v>324</v>
      </c>
      <c r="O237" s="7"/>
      <c r="P237" s="7"/>
    </row>
    <row r="238" spans="2:16" x14ac:dyDescent="0.3">
      <c r="B238" s="496" t="s">
        <v>2133</v>
      </c>
      <c r="C238" s="496"/>
      <c r="D238" s="496"/>
      <c r="E238" s="496"/>
      <c r="F238" s="496"/>
      <c r="G238" s="496"/>
      <c r="H238" s="496"/>
      <c r="I238" s="496"/>
      <c r="J238" s="496"/>
      <c r="K238" s="496"/>
      <c r="L238" s="496"/>
      <c r="M238" s="496"/>
      <c r="N238" s="496"/>
      <c r="O238" s="496"/>
      <c r="P238" s="496"/>
    </row>
    <row r="239" spans="2:16" x14ac:dyDescent="0.3">
      <c r="B239" s="10" t="s">
        <v>2134</v>
      </c>
      <c r="C239" s="10" t="s">
        <v>2076</v>
      </c>
      <c r="D239" s="10">
        <v>1</v>
      </c>
      <c r="E239" s="10">
        <v>0</v>
      </c>
      <c r="F239" s="10">
        <v>1</v>
      </c>
      <c r="G239" s="10">
        <v>1</v>
      </c>
      <c r="H239" s="10">
        <v>1</v>
      </c>
      <c r="I239" s="10" t="s">
        <v>322</v>
      </c>
      <c r="J239" s="69">
        <f>J237+D237</f>
        <v>10225</v>
      </c>
      <c r="K239" s="10">
        <f t="shared" ref="K239:K254" si="21">J239-10000</f>
        <v>225</v>
      </c>
      <c r="L239" s="10">
        <f t="shared" ref="L239:L254" si="22">K239-1</f>
        <v>224</v>
      </c>
      <c r="M239" s="10" t="s">
        <v>142</v>
      </c>
      <c r="N239" s="10" t="s">
        <v>324</v>
      </c>
      <c r="O239" s="7"/>
      <c r="P239" s="7"/>
    </row>
    <row r="240" spans="2:16" x14ac:dyDescent="0.3">
      <c r="B240" s="10" t="s">
        <v>2135</v>
      </c>
      <c r="C240" s="10" t="s">
        <v>2076</v>
      </c>
      <c r="D240" s="10">
        <v>1</v>
      </c>
      <c r="E240" s="10">
        <v>0</v>
      </c>
      <c r="F240" s="10">
        <v>1</v>
      </c>
      <c r="G240" s="10">
        <v>1</v>
      </c>
      <c r="H240" s="10">
        <v>1</v>
      </c>
      <c r="I240" s="10" t="s">
        <v>322</v>
      </c>
      <c r="J240" s="69">
        <f t="shared" si="20"/>
        <v>10226</v>
      </c>
      <c r="K240" s="10">
        <f t="shared" si="21"/>
        <v>226</v>
      </c>
      <c r="L240" s="10">
        <f t="shared" si="22"/>
        <v>225</v>
      </c>
      <c r="M240" s="10" t="s">
        <v>142</v>
      </c>
      <c r="N240" s="10" t="s">
        <v>324</v>
      </c>
      <c r="O240" s="7"/>
      <c r="P240" s="7"/>
    </row>
    <row r="241" spans="2:16" x14ac:dyDescent="0.3">
      <c r="B241" s="10" t="s">
        <v>1601</v>
      </c>
      <c r="C241" s="10" t="s">
        <v>2076</v>
      </c>
      <c r="D241" s="10">
        <v>1</v>
      </c>
      <c r="E241" s="10">
        <v>0</v>
      </c>
      <c r="F241" s="10">
        <v>1</v>
      </c>
      <c r="G241" s="10">
        <v>1</v>
      </c>
      <c r="H241" s="10">
        <v>1</v>
      </c>
      <c r="I241" s="10" t="s">
        <v>322</v>
      </c>
      <c r="J241" s="69">
        <f t="shared" si="20"/>
        <v>10227</v>
      </c>
      <c r="K241" s="10">
        <f t="shared" si="21"/>
        <v>227</v>
      </c>
      <c r="L241" s="10">
        <f t="shared" si="22"/>
        <v>226</v>
      </c>
      <c r="M241" s="10" t="s">
        <v>142</v>
      </c>
      <c r="N241" s="10" t="s">
        <v>324</v>
      </c>
      <c r="O241" s="7"/>
      <c r="P241" s="7"/>
    </row>
    <row r="242" spans="2:16" x14ac:dyDescent="0.3">
      <c r="B242" s="10" t="s">
        <v>2136</v>
      </c>
      <c r="C242" s="10" t="s">
        <v>2076</v>
      </c>
      <c r="D242" s="10">
        <v>1</v>
      </c>
      <c r="E242" s="10">
        <v>0</v>
      </c>
      <c r="F242" s="10">
        <v>1</v>
      </c>
      <c r="G242" s="10">
        <v>1</v>
      </c>
      <c r="H242" s="10">
        <v>1</v>
      </c>
      <c r="I242" s="10" t="s">
        <v>322</v>
      </c>
      <c r="J242" s="69">
        <f t="shared" si="20"/>
        <v>10228</v>
      </c>
      <c r="K242" s="10">
        <f t="shared" si="21"/>
        <v>228</v>
      </c>
      <c r="L242" s="10">
        <f t="shared" si="22"/>
        <v>227</v>
      </c>
      <c r="M242" s="10" t="s">
        <v>142</v>
      </c>
      <c r="N242" s="10" t="s">
        <v>324</v>
      </c>
      <c r="O242" s="7"/>
      <c r="P242" s="7"/>
    </row>
    <row r="243" spans="2:16" x14ac:dyDescent="0.3">
      <c r="B243" s="193" t="s">
        <v>320</v>
      </c>
      <c r="C243" s="10" t="s">
        <v>2076</v>
      </c>
      <c r="D243" s="10">
        <v>1</v>
      </c>
      <c r="E243" s="10">
        <v>0</v>
      </c>
      <c r="F243" s="10">
        <v>1</v>
      </c>
      <c r="G243" s="10">
        <v>1</v>
      </c>
      <c r="H243" s="10">
        <v>1</v>
      </c>
      <c r="I243" s="10" t="s">
        <v>322</v>
      </c>
      <c r="J243" s="69">
        <f t="shared" si="20"/>
        <v>10229</v>
      </c>
      <c r="K243" s="10">
        <f t="shared" si="21"/>
        <v>229</v>
      </c>
      <c r="L243" s="10">
        <f t="shared" si="22"/>
        <v>228</v>
      </c>
      <c r="M243" s="10" t="s">
        <v>142</v>
      </c>
      <c r="N243" s="10" t="s">
        <v>324</v>
      </c>
      <c r="O243" s="7"/>
      <c r="P243" s="7"/>
    </row>
    <row r="244" spans="2:16" x14ac:dyDescent="0.3">
      <c r="B244" s="193" t="s">
        <v>836</v>
      </c>
      <c r="C244" s="10" t="s">
        <v>2076</v>
      </c>
      <c r="D244" s="10">
        <v>1</v>
      </c>
      <c r="E244" s="10">
        <v>0</v>
      </c>
      <c r="F244" s="10">
        <v>1</v>
      </c>
      <c r="G244" s="10">
        <v>1</v>
      </c>
      <c r="H244" s="10">
        <v>1</v>
      </c>
      <c r="I244" s="10" t="s">
        <v>322</v>
      </c>
      <c r="J244" s="69">
        <f t="shared" si="20"/>
        <v>10230</v>
      </c>
      <c r="K244" s="10">
        <f t="shared" si="21"/>
        <v>230</v>
      </c>
      <c r="L244" s="10">
        <f t="shared" si="22"/>
        <v>229</v>
      </c>
      <c r="M244" s="10" t="s">
        <v>142</v>
      </c>
      <c r="N244" s="10" t="s">
        <v>324</v>
      </c>
      <c r="O244" s="7"/>
      <c r="P244" s="7"/>
    </row>
    <row r="245" spans="2:16" x14ac:dyDescent="0.3">
      <c r="B245" s="117" t="s">
        <v>2137</v>
      </c>
      <c r="C245" s="10" t="s">
        <v>2076</v>
      </c>
      <c r="D245" s="10">
        <v>1</v>
      </c>
      <c r="E245" s="10">
        <v>0</v>
      </c>
      <c r="F245" s="10">
        <v>1</v>
      </c>
      <c r="G245" s="10">
        <v>1</v>
      </c>
      <c r="H245" s="10">
        <v>1</v>
      </c>
      <c r="I245" s="10" t="s">
        <v>322</v>
      </c>
      <c r="J245" s="69">
        <f t="shared" si="20"/>
        <v>10231</v>
      </c>
      <c r="K245" s="10">
        <f t="shared" si="21"/>
        <v>231</v>
      </c>
      <c r="L245" s="10">
        <f t="shared" si="22"/>
        <v>230</v>
      </c>
      <c r="M245" s="10" t="s">
        <v>142</v>
      </c>
      <c r="N245" s="10" t="s">
        <v>324</v>
      </c>
      <c r="O245" s="7"/>
      <c r="P245" s="7"/>
    </row>
    <row r="246" spans="2:16" x14ac:dyDescent="0.3">
      <c r="B246" s="117" t="s">
        <v>2138</v>
      </c>
      <c r="C246" s="10" t="s">
        <v>2076</v>
      </c>
      <c r="D246" s="10">
        <v>1</v>
      </c>
      <c r="E246" s="10">
        <v>0</v>
      </c>
      <c r="F246" s="10">
        <v>1</v>
      </c>
      <c r="G246" s="10">
        <v>1</v>
      </c>
      <c r="H246" s="10">
        <v>1</v>
      </c>
      <c r="I246" s="10" t="s">
        <v>322</v>
      </c>
      <c r="J246" s="69">
        <f t="shared" si="20"/>
        <v>10232</v>
      </c>
      <c r="K246" s="10">
        <f t="shared" si="21"/>
        <v>232</v>
      </c>
      <c r="L246" s="10">
        <f t="shared" si="22"/>
        <v>231</v>
      </c>
      <c r="M246" s="10" t="s">
        <v>142</v>
      </c>
      <c r="N246" s="10" t="s">
        <v>324</v>
      </c>
      <c r="O246" s="7"/>
      <c r="P246" s="7"/>
    </row>
    <row r="247" spans="2:16" x14ac:dyDescent="0.3">
      <c r="B247" s="117" t="s">
        <v>2139</v>
      </c>
      <c r="C247" s="10" t="s">
        <v>2076</v>
      </c>
      <c r="D247" s="10">
        <v>1</v>
      </c>
      <c r="E247" s="10">
        <v>0</v>
      </c>
      <c r="F247" s="10">
        <v>1</v>
      </c>
      <c r="G247" s="10">
        <v>1</v>
      </c>
      <c r="H247" s="10">
        <v>1</v>
      </c>
      <c r="I247" s="10" t="s">
        <v>322</v>
      </c>
      <c r="J247" s="69">
        <f t="shared" si="20"/>
        <v>10233</v>
      </c>
      <c r="K247" s="10">
        <f t="shared" si="21"/>
        <v>233</v>
      </c>
      <c r="L247" s="10">
        <f t="shared" si="22"/>
        <v>232</v>
      </c>
      <c r="M247" s="10" t="s">
        <v>142</v>
      </c>
      <c r="N247" s="10" t="s">
        <v>324</v>
      </c>
      <c r="O247" s="7"/>
      <c r="P247" s="7"/>
    </row>
    <row r="248" spans="2:16" x14ac:dyDescent="0.3">
      <c r="B248" s="10" t="s">
        <v>320</v>
      </c>
      <c r="C248" s="10" t="s">
        <v>2076</v>
      </c>
      <c r="D248" s="10">
        <v>1</v>
      </c>
      <c r="E248" s="10">
        <v>0</v>
      </c>
      <c r="F248" s="10">
        <v>1</v>
      </c>
      <c r="G248" s="10">
        <v>1</v>
      </c>
      <c r="H248" s="10">
        <v>1</v>
      </c>
      <c r="I248" s="10" t="s">
        <v>322</v>
      </c>
      <c r="J248" s="69">
        <f t="shared" si="20"/>
        <v>10234</v>
      </c>
      <c r="K248" s="10">
        <f t="shared" si="21"/>
        <v>234</v>
      </c>
      <c r="L248" s="10">
        <f t="shared" si="22"/>
        <v>233</v>
      </c>
      <c r="M248" s="10" t="s">
        <v>142</v>
      </c>
      <c r="N248" s="10" t="s">
        <v>324</v>
      </c>
      <c r="O248" s="7"/>
      <c r="P248" s="7"/>
    </row>
    <row r="249" spans="2:16" x14ac:dyDescent="0.3">
      <c r="B249" s="10" t="s">
        <v>320</v>
      </c>
      <c r="C249" s="10" t="s">
        <v>2076</v>
      </c>
      <c r="D249" s="10">
        <v>1</v>
      </c>
      <c r="E249" s="10">
        <v>0</v>
      </c>
      <c r="F249" s="10">
        <v>1</v>
      </c>
      <c r="G249" s="10">
        <v>1</v>
      </c>
      <c r="H249" s="10">
        <v>1</v>
      </c>
      <c r="I249" s="10" t="s">
        <v>322</v>
      </c>
      <c r="J249" s="69">
        <f t="shared" si="20"/>
        <v>10235</v>
      </c>
      <c r="K249" s="10">
        <f t="shared" si="21"/>
        <v>235</v>
      </c>
      <c r="L249" s="10">
        <f t="shared" si="22"/>
        <v>234</v>
      </c>
      <c r="M249" s="10" t="s">
        <v>142</v>
      </c>
      <c r="N249" s="10" t="s">
        <v>324</v>
      </c>
      <c r="O249" s="7"/>
      <c r="P249" s="7"/>
    </row>
    <row r="250" spans="2:16" x14ac:dyDescent="0.3">
      <c r="B250" s="10" t="s">
        <v>320</v>
      </c>
      <c r="C250" s="10" t="s">
        <v>2076</v>
      </c>
      <c r="D250" s="10">
        <v>1</v>
      </c>
      <c r="E250" s="10">
        <v>0</v>
      </c>
      <c r="F250" s="10">
        <v>1</v>
      </c>
      <c r="G250" s="10">
        <v>1</v>
      </c>
      <c r="H250" s="10">
        <v>1</v>
      </c>
      <c r="I250" s="10" t="s">
        <v>322</v>
      </c>
      <c r="J250" s="69">
        <f t="shared" si="20"/>
        <v>10236</v>
      </c>
      <c r="K250" s="10">
        <f t="shared" si="21"/>
        <v>236</v>
      </c>
      <c r="L250" s="10">
        <f t="shared" si="22"/>
        <v>235</v>
      </c>
      <c r="M250" s="10" t="s">
        <v>142</v>
      </c>
      <c r="N250" s="10" t="s">
        <v>324</v>
      </c>
      <c r="O250" s="7"/>
      <c r="P250" s="7"/>
    </row>
    <row r="251" spans="2:16" x14ac:dyDescent="0.3">
      <c r="B251" s="10" t="s">
        <v>320</v>
      </c>
      <c r="C251" s="10" t="s">
        <v>2076</v>
      </c>
      <c r="D251" s="10">
        <v>1</v>
      </c>
      <c r="E251" s="10">
        <v>0</v>
      </c>
      <c r="F251" s="10">
        <v>1</v>
      </c>
      <c r="G251" s="10">
        <v>1</v>
      </c>
      <c r="H251" s="10">
        <v>1</v>
      </c>
      <c r="I251" s="10" t="s">
        <v>322</v>
      </c>
      <c r="J251" s="69">
        <f t="shared" si="20"/>
        <v>10237</v>
      </c>
      <c r="K251" s="10">
        <f t="shared" si="21"/>
        <v>237</v>
      </c>
      <c r="L251" s="10">
        <f t="shared" si="22"/>
        <v>236</v>
      </c>
      <c r="M251" s="10" t="s">
        <v>142</v>
      </c>
      <c r="N251" s="10" t="s">
        <v>324</v>
      </c>
      <c r="O251" s="7"/>
      <c r="P251" s="7"/>
    </row>
    <row r="252" spans="2:16" x14ac:dyDescent="0.3">
      <c r="B252" s="10" t="s">
        <v>320</v>
      </c>
      <c r="C252" s="10" t="s">
        <v>2076</v>
      </c>
      <c r="D252" s="10">
        <v>1</v>
      </c>
      <c r="E252" s="10">
        <v>0</v>
      </c>
      <c r="F252" s="10">
        <v>1</v>
      </c>
      <c r="G252" s="10">
        <v>1</v>
      </c>
      <c r="H252" s="10">
        <v>1</v>
      </c>
      <c r="I252" s="10" t="s">
        <v>322</v>
      </c>
      <c r="J252" s="69">
        <f t="shared" si="20"/>
        <v>10238</v>
      </c>
      <c r="K252" s="10">
        <f t="shared" si="21"/>
        <v>238</v>
      </c>
      <c r="L252" s="10">
        <f t="shared" si="22"/>
        <v>237</v>
      </c>
      <c r="M252" s="10" t="s">
        <v>142</v>
      </c>
      <c r="N252" s="10" t="s">
        <v>324</v>
      </c>
      <c r="O252" s="7"/>
      <c r="P252" s="7"/>
    </row>
    <row r="253" spans="2:16" x14ac:dyDescent="0.3">
      <c r="B253" s="10" t="s">
        <v>320</v>
      </c>
      <c r="C253" s="10" t="s">
        <v>2076</v>
      </c>
      <c r="D253" s="10">
        <v>1</v>
      </c>
      <c r="E253" s="10">
        <v>0</v>
      </c>
      <c r="F253" s="10">
        <v>1</v>
      </c>
      <c r="G253" s="10">
        <v>1</v>
      </c>
      <c r="H253" s="10">
        <v>1</v>
      </c>
      <c r="I253" s="10" t="s">
        <v>322</v>
      </c>
      <c r="J253" s="69">
        <f t="shared" si="20"/>
        <v>10239</v>
      </c>
      <c r="K253" s="10">
        <f t="shared" si="21"/>
        <v>239</v>
      </c>
      <c r="L253" s="10">
        <f t="shared" si="22"/>
        <v>238</v>
      </c>
      <c r="M253" s="10" t="s">
        <v>142</v>
      </c>
      <c r="N253" s="10" t="s">
        <v>324</v>
      </c>
      <c r="O253" s="7"/>
      <c r="P253" s="7"/>
    </row>
    <row r="254" spans="2:16" x14ac:dyDescent="0.3">
      <c r="B254" s="10" t="s">
        <v>320</v>
      </c>
      <c r="C254" s="10" t="s">
        <v>2076</v>
      </c>
      <c r="D254" s="10">
        <v>1</v>
      </c>
      <c r="E254" s="10">
        <v>0</v>
      </c>
      <c r="F254" s="10">
        <v>1</v>
      </c>
      <c r="G254" s="10">
        <v>1</v>
      </c>
      <c r="H254" s="10">
        <v>1</v>
      </c>
      <c r="I254" s="10" t="s">
        <v>322</v>
      </c>
      <c r="J254" s="69">
        <f t="shared" si="20"/>
        <v>10240</v>
      </c>
      <c r="K254" s="10">
        <f t="shared" si="21"/>
        <v>240</v>
      </c>
      <c r="L254" s="10">
        <f t="shared" si="22"/>
        <v>239</v>
      </c>
      <c r="M254" s="10" t="s">
        <v>142</v>
      </c>
      <c r="N254" s="10" t="s">
        <v>324</v>
      </c>
      <c r="O254" s="7"/>
      <c r="P254" s="7"/>
    </row>
    <row r="255" spans="2:16" x14ac:dyDescent="0.3">
      <c r="B255" s="496" t="s">
        <v>2140</v>
      </c>
      <c r="C255" s="496"/>
      <c r="D255" s="496"/>
      <c r="E255" s="496"/>
      <c r="F255" s="496"/>
      <c r="G255" s="496"/>
      <c r="H255" s="496"/>
      <c r="I255" s="496"/>
      <c r="J255" s="496"/>
      <c r="K255" s="496"/>
      <c r="L255" s="496"/>
      <c r="M255" s="496"/>
      <c r="N255" s="496"/>
      <c r="O255" s="496"/>
      <c r="P255" s="496"/>
    </row>
    <row r="256" spans="2:16" x14ac:dyDescent="0.3">
      <c r="B256" s="10" t="s">
        <v>1602</v>
      </c>
      <c r="C256" s="10" t="s">
        <v>2076</v>
      </c>
      <c r="D256" s="10">
        <v>1</v>
      </c>
      <c r="E256" s="10">
        <v>0</v>
      </c>
      <c r="F256" s="10">
        <v>1</v>
      </c>
      <c r="G256" s="10">
        <v>1</v>
      </c>
      <c r="H256" s="10">
        <v>1</v>
      </c>
      <c r="I256" s="10" t="s">
        <v>322</v>
      </c>
      <c r="J256" s="69">
        <f>J254+D254</f>
        <v>10241</v>
      </c>
      <c r="K256" s="10">
        <f t="shared" ref="K256:K271" si="23">J256-10000</f>
        <v>241</v>
      </c>
      <c r="L256" s="10">
        <f t="shared" ref="L256:L271" si="24">K256-1</f>
        <v>240</v>
      </c>
      <c r="M256" s="10" t="s">
        <v>142</v>
      </c>
      <c r="N256" s="10" t="s">
        <v>324</v>
      </c>
      <c r="O256" s="7"/>
      <c r="P256" s="7"/>
    </row>
    <row r="257" spans="2:16" x14ac:dyDescent="0.3">
      <c r="B257" s="10" t="s">
        <v>1603</v>
      </c>
      <c r="C257" s="10" t="s">
        <v>2076</v>
      </c>
      <c r="D257" s="10">
        <v>1</v>
      </c>
      <c r="E257" s="10">
        <v>0</v>
      </c>
      <c r="F257" s="10">
        <v>1</v>
      </c>
      <c r="G257" s="10">
        <v>1</v>
      </c>
      <c r="H257" s="10">
        <v>1</v>
      </c>
      <c r="I257" s="10" t="s">
        <v>322</v>
      </c>
      <c r="J257" s="69">
        <f t="shared" si="20"/>
        <v>10242</v>
      </c>
      <c r="K257" s="10">
        <f t="shared" si="23"/>
        <v>242</v>
      </c>
      <c r="L257" s="10">
        <f t="shared" si="24"/>
        <v>241</v>
      </c>
      <c r="M257" s="10" t="s">
        <v>142</v>
      </c>
      <c r="N257" s="10" t="s">
        <v>324</v>
      </c>
      <c r="O257" s="7"/>
      <c r="P257" s="7"/>
    </row>
    <row r="258" spans="2:16" x14ac:dyDescent="0.3">
      <c r="B258" s="10" t="s">
        <v>1604</v>
      </c>
      <c r="C258" s="10" t="s">
        <v>2076</v>
      </c>
      <c r="D258" s="10">
        <v>1</v>
      </c>
      <c r="E258" s="10">
        <v>0</v>
      </c>
      <c r="F258" s="10">
        <v>1</v>
      </c>
      <c r="G258" s="10">
        <v>1</v>
      </c>
      <c r="H258" s="10">
        <v>1</v>
      </c>
      <c r="I258" s="10" t="s">
        <v>322</v>
      </c>
      <c r="J258" s="69">
        <f t="shared" si="20"/>
        <v>10243</v>
      </c>
      <c r="K258" s="10">
        <f t="shared" si="23"/>
        <v>243</v>
      </c>
      <c r="L258" s="10">
        <f t="shared" si="24"/>
        <v>242</v>
      </c>
      <c r="M258" s="10" t="s">
        <v>142</v>
      </c>
      <c r="N258" s="10" t="s">
        <v>324</v>
      </c>
      <c r="O258" s="7"/>
      <c r="P258" s="7"/>
    </row>
    <row r="259" spans="2:16" x14ac:dyDescent="0.3">
      <c r="B259" s="10" t="s">
        <v>1605</v>
      </c>
      <c r="C259" s="10" t="s">
        <v>2076</v>
      </c>
      <c r="D259" s="10">
        <v>1</v>
      </c>
      <c r="E259" s="10">
        <v>0</v>
      </c>
      <c r="F259" s="10">
        <v>1</v>
      </c>
      <c r="G259" s="10">
        <v>1</v>
      </c>
      <c r="H259" s="10">
        <v>1</v>
      </c>
      <c r="I259" s="10" t="s">
        <v>322</v>
      </c>
      <c r="J259" s="69">
        <f t="shared" si="20"/>
        <v>10244</v>
      </c>
      <c r="K259" s="10">
        <f t="shared" si="23"/>
        <v>244</v>
      </c>
      <c r="L259" s="10">
        <f t="shared" si="24"/>
        <v>243</v>
      </c>
      <c r="M259" s="10" t="s">
        <v>142</v>
      </c>
      <c r="N259" s="10" t="s">
        <v>324</v>
      </c>
      <c r="O259" s="7"/>
      <c r="P259" s="7"/>
    </row>
    <row r="260" spans="2:16" x14ac:dyDescent="0.3">
      <c r="B260" s="10" t="s">
        <v>2141</v>
      </c>
      <c r="C260" s="10" t="s">
        <v>2076</v>
      </c>
      <c r="D260" s="10">
        <v>1</v>
      </c>
      <c r="E260" s="10">
        <v>0</v>
      </c>
      <c r="F260" s="10">
        <v>1</v>
      </c>
      <c r="G260" s="10">
        <v>1</v>
      </c>
      <c r="H260" s="10">
        <v>1</v>
      </c>
      <c r="I260" s="10" t="s">
        <v>322</v>
      </c>
      <c r="J260" s="69">
        <f t="shared" si="20"/>
        <v>10245</v>
      </c>
      <c r="K260" s="10">
        <f t="shared" si="23"/>
        <v>245</v>
      </c>
      <c r="L260" s="10">
        <f t="shared" si="24"/>
        <v>244</v>
      </c>
      <c r="M260" s="10" t="s">
        <v>142</v>
      </c>
      <c r="N260" s="10" t="s">
        <v>324</v>
      </c>
      <c r="O260" s="7"/>
      <c r="P260" s="7"/>
    </row>
    <row r="261" spans="2:16" x14ac:dyDescent="0.3">
      <c r="B261" s="10" t="s">
        <v>320</v>
      </c>
      <c r="C261" s="10" t="s">
        <v>2076</v>
      </c>
      <c r="D261" s="10">
        <v>1</v>
      </c>
      <c r="E261" s="10">
        <v>0</v>
      </c>
      <c r="F261" s="10">
        <v>1</v>
      </c>
      <c r="G261" s="10">
        <v>1</v>
      </c>
      <c r="H261" s="10">
        <v>1</v>
      </c>
      <c r="I261" s="10" t="s">
        <v>322</v>
      </c>
      <c r="J261" s="69">
        <f t="shared" si="20"/>
        <v>10246</v>
      </c>
      <c r="K261" s="10">
        <f t="shared" si="23"/>
        <v>246</v>
      </c>
      <c r="L261" s="10">
        <f t="shared" si="24"/>
        <v>245</v>
      </c>
      <c r="M261" s="10" t="s">
        <v>142</v>
      </c>
      <c r="N261" s="10" t="s">
        <v>324</v>
      </c>
      <c r="O261" s="7"/>
      <c r="P261" s="7"/>
    </row>
    <row r="262" spans="2:16" x14ac:dyDescent="0.3">
      <c r="B262" s="10" t="s">
        <v>320</v>
      </c>
      <c r="C262" s="10" t="s">
        <v>2076</v>
      </c>
      <c r="D262" s="10">
        <v>1</v>
      </c>
      <c r="E262" s="10">
        <v>0</v>
      </c>
      <c r="F262" s="10">
        <v>1</v>
      </c>
      <c r="G262" s="10">
        <v>1</v>
      </c>
      <c r="H262" s="10">
        <v>1</v>
      </c>
      <c r="I262" s="10" t="s">
        <v>322</v>
      </c>
      <c r="J262" s="69">
        <f t="shared" si="20"/>
        <v>10247</v>
      </c>
      <c r="K262" s="10">
        <f t="shared" si="23"/>
        <v>247</v>
      </c>
      <c r="L262" s="10">
        <f t="shared" si="24"/>
        <v>246</v>
      </c>
      <c r="M262" s="10" t="s">
        <v>142</v>
      </c>
      <c r="N262" s="10" t="s">
        <v>324</v>
      </c>
      <c r="O262" s="7"/>
      <c r="P262" s="7"/>
    </row>
    <row r="263" spans="2:16" x14ac:dyDescent="0.3">
      <c r="B263" s="10" t="s">
        <v>320</v>
      </c>
      <c r="C263" s="10" t="s">
        <v>2076</v>
      </c>
      <c r="D263" s="10">
        <v>1</v>
      </c>
      <c r="E263" s="10">
        <v>0</v>
      </c>
      <c r="F263" s="10">
        <v>1</v>
      </c>
      <c r="G263" s="10">
        <v>1</v>
      </c>
      <c r="H263" s="10">
        <v>1</v>
      </c>
      <c r="I263" s="10" t="s">
        <v>322</v>
      </c>
      <c r="J263" s="69">
        <f t="shared" si="20"/>
        <v>10248</v>
      </c>
      <c r="K263" s="10">
        <f t="shared" si="23"/>
        <v>248</v>
      </c>
      <c r="L263" s="10">
        <f t="shared" si="24"/>
        <v>247</v>
      </c>
      <c r="M263" s="10" t="s">
        <v>142</v>
      </c>
      <c r="N263" s="10" t="s">
        <v>324</v>
      </c>
      <c r="O263" s="7"/>
      <c r="P263" s="7"/>
    </row>
    <row r="264" spans="2:16" x14ac:dyDescent="0.3">
      <c r="B264" s="10" t="s">
        <v>320</v>
      </c>
      <c r="C264" s="10" t="s">
        <v>2076</v>
      </c>
      <c r="D264" s="10">
        <v>1</v>
      </c>
      <c r="E264" s="10">
        <v>0</v>
      </c>
      <c r="F264" s="10">
        <v>1</v>
      </c>
      <c r="G264" s="10">
        <v>1</v>
      </c>
      <c r="H264" s="10">
        <v>1</v>
      </c>
      <c r="I264" s="10" t="s">
        <v>322</v>
      </c>
      <c r="J264" s="69">
        <f t="shared" si="20"/>
        <v>10249</v>
      </c>
      <c r="K264" s="10">
        <f t="shared" si="23"/>
        <v>249</v>
      </c>
      <c r="L264" s="10">
        <f t="shared" si="24"/>
        <v>248</v>
      </c>
      <c r="M264" s="10" t="s">
        <v>142</v>
      </c>
      <c r="N264" s="10" t="s">
        <v>324</v>
      </c>
      <c r="O264" s="7"/>
      <c r="P264" s="7"/>
    </row>
    <row r="265" spans="2:16" x14ac:dyDescent="0.3">
      <c r="B265" s="10" t="s">
        <v>320</v>
      </c>
      <c r="C265" s="10" t="s">
        <v>2076</v>
      </c>
      <c r="D265" s="10">
        <v>1</v>
      </c>
      <c r="E265" s="10">
        <v>0</v>
      </c>
      <c r="F265" s="10">
        <v>1</v>
      </c>
      <c r="G265" s="10">
        <v>1</v>
      </c>
      <c r="H265" s="10">
        <v>1</v>
      </c>
      <c r="I265" s="10" t="s">
        <v>322</v>
      </c>
      <c r="J265" s="69">
        <f t="shared" si="20"/>
        <v>10250</v>
      </c>
      <c r="K265" s="10">
        <f t="shared" si="23"/>
        <v>250</v>
      </c>
      <c r="L265" s="10">
        <f t="shared" si="24"/>
        <v>249</v>
      </c>
      <c r="M265" s="10" t="s">
        <v>142</v>
      </c>
      <c r="N265" s="10" t="s">
        <v>324</v>
      </c>
      <c r="O265" s="7"/>
      <c r="P265" s="7"/>
    </row>
    <row r="266" spans="2:16" x14ac:dyDescent="0.3">
      <c r="B266" s="10" t="s">
        <v>320</v>
      </c>
      <c r="C266" s="10" t="s">
        <v>2076</v>
      </c>
      <c r="D266" s="10">
        <v>1</v>
      </c>
      <c r="E266" s="10">
        <v>0</v>
      </c>
      <c r="F266" s="10">
        <v>1</v>
      </c>
      <c r="G266" s="10">
        <v>1</v>
      </c>
      <c r="H266" s="10">
        <v>1</v>
      </c>
      <c r="I266" s="10" t="s">
        <v>322</v>
      </c>
      <c r="J266" s="69">
        <f t="shared" si="20"/>
        <v>10251</v>
      </c>
      <c r="K266" s="10">
        <f t="shared" si="23"/>
        <v>251</v>
      </c>
      <c r="L266" s="10">
        <f t="shared" si="24"/>
        <v>250</v>
      </c>
      <c r="M266" s="10" t="s">
        <v>142</v>
      </c>
      <c r="N266" s="10" t="s">
        <v>324</v>
      </c>
      <c r="O266" s="7"/>
      <c r="P266" s="7"/>
    </row>
    <row r="267" spans="2:16" x14ac:dyDescent="0.3">
      <c r="B267" s="10" t="s">
        <v>320</v>
      </c>
      <c r="C267" s="10" t="s">
        <v>2076</v>
      </c>
      <c r="D267" s="10">
        <v>1</v>
      </c>
      <c r="E267" s="10">
        <v>0</v>
      </c>
      <c r="F267" s="10">
        <v>1</v>
      </c>
      <c r="G267" s="10">
        <v>1</v>
      </c>
      <c r="H267" s="10">
        <v>1</v>
      </c>
      <c r="I267" s="10" t="s">
        <v>322</v>
      </c>
      <c r="J267" s="69">
        <f t="shared" si="20"/>
        <v>10252</v>
      </c>
      <c r="K267" s="10">
        <f t="shared" si="23"/>
        <v>252</v>
      </c>
      <c r="L267" s="10">
        <f t="shared" si="24"/>
        <v>251</v>
      </c>
      <c r="M267" s="10" t="s">
        <v>142</v>
      </c>
      <c r="N267" s="10" t="s">
        <v>324</v>
      </c>
      <c r="O267" s="7"/>
      <c r="P267" s="7"/>
    </row>
    <row r="268" spans="2:16" x14ac:dyDescent="0.3">
      <c r="B268" s="10" t="s">
        <v>320</v>
      </c>
      <c r="C268" s="10" t="s">
        <v>2076</v>
      </c>
      <c r="D268" s="10">
        <v>1</v>
      </c>
      <c r="E268" s="10">
        <v>0</v>
      </c>
      <c r="F268" s="10">
        <v>1</v>
      </c>
      <c r="G268" s="10">
        <v>1</v>
      </c>
      <c r="H268" s="10">
        <v>1</v>
      </c>
      <c r="I268" s="10" t="s">
        <v>322</v>
      </c>
      <c r="J268" s="69">
        <f t="shared" si="20"/>
        <v>10253</v>
      </c>
      <c r="K268" s="10">
        <f t="shared" si="23"/>
        <v>253</v>
      </c>
      <c r="L268" s="10">
        <f t="shared" si="24"/>
        <v>252</v>
      </c>
      <c r="M268" s="10" t="s">
        <v>142</v>
      </c>
      <c r="N268" s="10" t="s">
        <v>324</v>
      </c>
      <c r="O268" s="7"/>
      <c r="P268" s="7"/>
    </row>
    <row r="269" spans="2:16" x14ac:dyDescent="0.3">
      <c r="B269" s="10" t="s">
        <v>320</v>
      </c>
      <c r="C269" s="10" t="s">
        <v>2076</v>
      </c>
      <c r="D269" s="10">
        <v>1</v>
      </c>
      <c r="E269" s="10">
        <v>0</v>
      </c>
      <c r="F269" s="10">
        <v>1</v>
      </c>
      <c r="G269" s="10">
        <v>1</v>
      </c>
      <c r="H269" s="10">
        <v>1</v>
      </c>
      <c r="I269" s="10" t="s">
        <v>322</v>
      </c>
      <c r="J269" s="69">
        <f t="shared" si="20"/>
        <v>10254</v>
      </c>
      <c r="K269" s="10">
        <f t="shared" si="23"/>
        <v>254</v>
      </c>
      <c r="L269" s="10">
        <f t="shared" si="24"/>
        <v>253</v>
      </c>
      <c r="M269" s="10" t="s">
        <v>142</v>
      </c>
      <c r="N269" s="10" t="s">
        <v>324</v>
      </c>
      <c r="O269" s="7"/>
      <c r="P269" s="7"/>
    </row>
    <row r="270" spans="2:16" x14ac:dyDescent="0.3">
      <c r="B270" s="10" t="s">
        <v>320</v>
      </c>
      <c r="C270" s="10" t="s">
        <v>2076</v>
      </c>
      <c r="D270" s="10">
        <v>1</v>
      </c>
      <c r="E270" s="10">
        <v>0</v>
      </c>
      <c r="F270" s="10">
        <v>1</v>
      </c>
      <c r="G270" s="10">
        <v>1</v>
      </c>
      <c r="H270" s="10">
        <v>1</v>
      </c>
      <c r="I270" s="10" t="s">
        <v>322</v>
      </c>
      <c r="J270" s="69">
        <f t="shared" si="20"/>
        <v>10255</v>
      </c>
      <c r="K270" s="10">
        <f t="shared" si="23"/>
        <v>255</v>
      </c>
      <c r="L270" s="10">
        <f t="shared" si="24"/>
        <v>254</v>
      </c>
      <c r="M270" s="10" t="s">
        <v>142</v>
      </c>
      <c r="N270" s="10" t="s">
        <v>324</v>
      </c>
      <c r="O270" s="7"/>
      <c r="P270" s="7"/>
    </row>
    <row r="271" spans="2:16" x14ac:dyDescent="0.3">
      <c r="B271" s="10" t="s">
        <v>320</v>
      </c>
      <c r="C271" s="10" t="s">
        <v>2076</v>
      </c>
      <c r="D271" s="10">
        <v>1</v>
      </c>
      <c r="E271" s="10">
        <v>0</v>
      </c>
      <c r="F271" s="10">
        <v>1</v>
      </c>
      <c r="G271" s="10">
        <v>1</v>
      </c>
      <c r="H271" s="10">
        <v>1</v>
      </c>
      <c r="I271" s="10" t="s">
        <v>322</v>
      </c>
      <c r="J271" s="69">
        <f t="shared" si="20"/>
        <v>10256</v>
      </c>
      <c r="K271" s="10">
        <f t="shared" si="23"/>
        <v>256</v>
      </c>
      <c r="L271" s="10">
        <f t="shared" si="24"/>
        <v>255</v>
      </c>
      <c r="M271" s="10" t="s">
        <v>142</v>
      </c>
      <c r="N271" s="10" t="s">
        <v>324</v>
      </c>
      <c r="O271" s="7"/>
      <c r="P271" s="7"/>
    </row>
    <row r="272" spans="2:16" x14ac:dyDescent="0.3">
      <c r="B272" s="496" t="s">
        <v>2142</v>
      </c>
      <c r="C272" s="496"/>
      <c r="D272" s="496"/>
      <c r="E272" s="496"/>
      <c r="F272" s="496"/>
      <c r="G272" s="496"/>
      <c r="H272" s="496"/>
      <c r="I272" s="496"/>
      <c r="J272" s="496"/>
      <c r="K272" s="496"/>
      <c r="L272" s="496"/>
      <c r="M272" s="496"/>
      <c r="N272" s="496"/>
      <c r="O272" s="496"/>
      <c r="P272" s="496"/>
    </row>
    <row r="273" spans="2:16" x14ac:dyDescent="0.3">
      <c r="B273" s="10" t="s">
        <v>1606</v>
      </c>
      <c r="C273" s="10" t="s">
        <v>2076</v>
      </c>
      <c r="D273" s="10">
        <v>1</v>
      </c>
      <c r="E273" s="10">
        <v>0</v>
      </c>
      <c r="F273" s="10">
        <v>1</v>
      </c>
      <c r="G273" s="10">
        <v>1</v>
      </c>
      <c r="H273" s="10">
        <v>1</v>
      </c>
      <c r="I273" s="10" t="s">
        <v>322</v>
      </c>
      <c r="J273" s="69">
        <f>J271+D271</f>
        <v>10257</v>
      </c>
      <c r="K273" s="10">
        <f t="shared" ref="K273:K336" si="25">J273-10000</f>
        <v>257</v>
      </c>
      <c r="L273" s="10">
        <f t="shared" ref="L273:L336" si="26">K273-1</f>
        <v>256</v>
      </c>
      <c r="M273" s="10" t="s">
        <v>142</v>
      </c>
      <c r="N273" s="10" t="s">
        <v>324</v>
      </c>
      <c r="O273" s="7"/>
      <c r="P273" s="7"/>
    </row>
    <row r="274" spans="2:16" x14ac:dyDescent="0.3">
      <c r="B274" s="10" t="s">
        <v>1607</v>
      </c>
      <c r="C274" s="10" t="s">
        <v>2076</v>
      </c>
      <c r="D274" s="10">
        <v>1</v>
      </c>
      <c r="E274" s="10">
        <v>0</v>
      </c>
      <c r="F274" s="10">
        <v>1</v>
      </c>
      <c r="G274" s="10">
        <v>1</v>
      </c>
      <c r="H274" s="10">
        <v>1</v>
      </c>
      <c r="I274" s="10" t="s">
        <v>322</v>
      </c>
      <c r="J274" s="69">
        <f t="shared" si="20"/>
        <v>10258</v>
      </c>
      <c r="K274" s="10">
        <f t="shared" si="25"/>
        <v>258</v>
      </c>
      <c r="L274" s="10">
        <f t="shared" si="26"/>
        <v>257</v>
      </c>
      <c r="M274" s="10" t="s">
        <v>142</v>
      </c>
      <c r="N274" s="10" t="s">
        <v>324</v>
      </c>
      <c r="O274" s="7"/>
      <c r="P274" s="7"/>
    </row>
    <row r="275" spans="2:16" x14ac:dyDescent="0.3">
      <c r="B275" s="10" t="s">
        <v>1608</v>
      </c>
      <c r="C275" s="10" t="s">
        <v>2076</v>
      </c>
      <c r="D275" s="10">
        <v>1</v>
      </c>
      <c r="E275" s="10">
        <v>0</v>
      </c>
      <c r="F275" s="10">
        <v>1</v>
      </c>
      <c r="G275" s="10">
        <v>1</v>
      </c>
      <c r="H275" s="10">
        <v>1</v>
      </c>
      <c r="I275" s="10" t="s">
        <v>322</v>
      </c>
      <c r="J275" s="69">
        <f t="shared" si="20"/>
        <v>10259</v>
      </c>
      <c r="K275" s="10">
        <f t="shared" si="25"/>
        <v>259</v>
      </c>
      <c r="L275" s="10">
        <f t="shared" si="26"/>
        <v>258</v>
      </c>
      <c r="M275" s="10" t="s">
        <v>142</v>
      </c>
      <c r="N275" s="10" t="s">
        <v>324</v>
      </c>
      <c r="O275" s="7"/>
      <c r="P275" s="7"/>
    </row>
    <row r="276" spans="2:16" x14ac:dyDescent="0.3">
      <c r="B276" s="10" t="s">
        <v>1609</v>
      </c>
      <c r="C276" s="10" t="s">
        <v>2076</v>
      </c>
      <c r="D276" s="10">
        <v>1</v>
      </c>
      <c r="E276" s="10">
        <v>0</v>
      </c>
      <c r="F276" s="10">
        <v>1</v>
      </c>
      <c r="G276" s="10">
        <v>1</v>
      </c>
      <c r="H276" s="10">
        <v>1</v>
      </c>
      <c r="I276" s="10" t="s">
        <v>322</v>
      </c>
      <c r="J276" s="69">
        <f t="shared" si="20"/>
        <v>10260</v>
      </c>
      <c r="K276" s="10">
        <f t="shared" si="25"/>
        <v>260</v>
      </c>
      <c r="L276" s="10">
        <f t="shared" si="26"/>
        <v>259</v>
      </c>
      <c r="M276" s="10" t="s">
        <v>142</v>
      </c>
      <c r="N276" s="10" t="s">
        <v>324</v>
      </c>
      <c r="O276" s="7"/>
      <c r="P276" s="7"/>
    </row>
    <row r="277" spans="2:16" x14ac:dyDescent="0.3">
      <c r="B277" s="10" t="s">
        <v>1610</v>
      </c>
      <c r="C277" s="10" t="s">
        <v>2076</v>
      </c>
      <c r="D277" s="10">
        <v>1</v>
      </c>
      <c r="E277" s="10">
        <v>0</v>
      </c>
      <c r="F277" s="10">
        <v>1</v>
      </c>
      <c r="G277" s="10">
        <v>1</v>
      </c>
      <c r="H277" s="10">
        <v>1</v>
      </c>
      <c r="I277" s="10" t="s">
        <v>322</v>
      </c>
      <c r="J277" s="69">
        <f t="shared" si="20"/>
        <v>10261</v>
      </c>
      <c r="K277" s="10">
        <f t="shared" si="25"/>
        <v>261</v>
      </c>
      <c r="L277" s="10">
        <f t="shared" si="26"/>
        <v>260</v>
      </c>
      <c r="M277" s="10" t="s">
        <v>142</v>
      </c>
      <c r="N277" s="10" t="s">
        <v>324</v>
      </c>
      <c r="O277" s="7"/>
      <c r="P277" s="7"/>
    </row>
    <row r="278" spans="2:16" x14ac:dyDescent="0.3">
      <c r="B278" s="10" t="s">
        <v>1611</v>
      </c>
      <c r="C278" s="10" t="s">
        <v>2076</v>
      </c>
      <c r="D278" s="10">
        <v>1</v>
      </c>
      <c r="E278" s="10">
        <v>0</v>
      </c>
      <c r="F278" s="10">
        <v>1</v>
      </c>
      <c r="G278" s="10">
        <v>1</v>
      </c>
      <c r="H278" s="10">
        <v>1</v>
      </c>
      <c r="I278" s="10" t="s">
        <v>322</v>
      </c>
      <c r="J278" s="69">
        <f t="shared" si="20"/>
        <v>10262</v>
      </c>
      <c r="K278" s="10">
        <f t="shared" si="25"/>
        <v>262</v>
      </c>
      <c r="L278" s="10">
        <f t="shared" si="26"/>
        <v>261</v>
      </c>
      <c r="M278" s="10" t="s">
        <v>142</v>
      </c>
      <c r="N278" s="10" t="s">
        <v>324</v>
      </c>
      <c r="O278" s="7"/>
      <c r="P278" s="7"/>
    </row>
    <row r="279" spans="2:16" x14ac:dyDescent="0.3">
      <c r="B279" s="10" t="s">
        <v>1612</v>
      </c>
      <c r="C279" s="10" t="s">
        <v>2076</v>
      </c>
      <c r="D279" s="10">
        <v>1</v>
      </c>
      <c r="E279" s="10">
        <v>0</v>
      </c>
      <c r="F279" s="10">
        <v>1</v>
      </c>
      <c r="G279" s="10">
        <v>1</v>
      </c>
      <c r="H279" s="10">
        <v>1</v>
      </c>
      <c r="I279" s="10" t="s">
        <v>322</v>
      </c>
      <c r="J279" s="69">
        <f t="shared" si="20"/>
        <v>10263</v>
      </c>
      <c r="K279" s="10">
        <f t="shared" si="25"/>
        <v>263</v>
      </c>
      <c r="L279" s="10">
        <f t="shared" si="26"/>
        <v>262</v>
      </c>
      <c r="M279" s="10" t="s">
        <v>142</v>
      </c>
      <c r="N279" s="10" t="s">
        <v>324</v>
      </c>
      <c r="O279" s="7"/>
      <c r="P279" s="7"/>
    </row>
    <row r="280" spans="2:16" x14ac:dyDescent="0.3">
      <c r="B280" s="10" t="s">
        <v>1613</v>
      </c>
      <c r="C280" s="10" t="s">
        <v>2076</v>
      </c>
      <c r="D280" s="10">
        <v>1</v>
      </c>
      <c r="E280" s="10">
        <v>0</v>
      </c>
      <c r="F280" s="10">
        <v>1</v>
      </c>
      <c r="G280" s="10">
        <v>1</v>
      </c>
      <c r="H280" s="10">
        <v>1</v>
      </c>
      <c r="I280" s="10" t="s">
        <v>322</v>
      </c>
      <c r="J280" s="69">
        <f t="shared" si="20"/>
        <v>10264</v>
      </c>
      <c r="K280" s="10">
        <f t="shared" si="25"/>
        <v>264</v>
      </c>
      <c r="L280" s="10">
        <f t="shared" si="26"/>
        <v>263</v>
      </c>
      <c r="M280" s="10" t="s">
        <v>142</v>
      </c>
      <c r="N280" s="10" t="s">
        <v>324</v>
      </c>
      <c r="O280" s="7"/>
      <c r="P280" s="7"/>
    </row>
    <row r="281" spans="2:16" x14ac:dyDescent="0.3">
      <c r="B281" s="10" t="s">
        <v>1614</v>
      </c>
      <c r="C281" s="10" t="s">
        <v>2076</v>
      </c>
      <c r="D281" s="10">
        <v>1</v>
      </c>
      <c r="E281" s="10">
        <v>0</v>
      </c>
      <c r="F281" s="10">
        <v>1</v>
      </c>
      <c r="G281" s="10">
        <v>1</v>
      </c>
      <c r="H281" s="10">
        <v>1</v>
      </c>
      <c r="I281" s="10" t="s">
        <v>322</v>
      </c>
      <c r="J281" s="69">
        <f t="shared" si="20"/>
        <v>10265</v>
      </c>
      <c r="K281" s="10">
        <f t="shared" si="25"/>
        <v>265</v>
      </c>
      <c r="L281" s="10">
        <f t="shared" si="26"/>
        <v>264</v>
      </c>
      <c r="M281" s="10" t="s">
        <v>142</v>
      </c>
      <c r="N281" s="10" t="s">
        <v>324</v>
      </c>
      <c r="O281" s="7"/>
      <c r="P281" s="7"/>
    </row>
    <row r="282" spans="2:16" x14ac:dyDescent="0.3">
      <c r="B282" s="10" t="s">
        <v>1615</v>
      </c>
      <c r="C282" s="10" t="s">
        <v>2076</v>
      </c>
      <c r="D282" s="10">
        <v>1</v>
      </c>
      <c r="E282" s="10">
        <v>0</v>
      </c>
      <c r="F282" s="10">
        <v>1</v>
      </c>
      <c r="G282" s="10">
        <v>1</v>
      </c>
      <c r="H282" s="10">
        <v>1</v>
      </c>
      <c r="I282" s="10" t="s">
        <v>322</v>
      </c>
      <c r="J282" s="69">
        <f t="shared" si="20"/>
        <v>10266</v>
      </c>
      <c r="K282" s="10">
        <f t="shared" si="25"/>
        <v>266</v>
      </c>
      <c r="L282" s="10">
        <f t="shared" si="26"/>
        <v>265</v>
      </c>
      <c r="M282" s="10" t="s">
        <v>142</v>
      </c>
      <c r="N282" s="10" t="s">
        <v>324</v>
      </c>
      <c r="O282" s="7"/>
      <c r="P282" s="7"/>
    </row>
    <row r="283" spans="2:16" x14ac:dyDescent="0.3">
      <c r="B283" s="10" t="s">
        <v>1616</v>
      </c>
      <c r="C283" s="10" t="s">
        <v>2076</v>
      </c>
      <c r="D283" s="10">
        <v>1</v>
      </c>
      <c r="E283" s="10">
        <v>0</v>
      </c>
      <c r="F283" s="10">
        <v>1</v>
      </c>
      <c r="G283" s="10">
        <v>1</v>
      </c>
      <c r="H283" s="10">
        <v>1</v>
      </c>
      <c r="I283" s="10" t="s">
        <v>322</v>
      </c>
      <c r="J283" s="69">
        <f t="shared" si="20"/>
        <v>10267</v>
      </c>
      <c r="K283" s="10">
        <f t="shared" si="25"/>
        <v>267</v>
      </c>
      <c r="L283" s="10">
        <f t="shared" si="26"/>
        <v>266</v>
      </c>
      <c r="M283" s="10" t="s">
        <v>142</v>
      </c>
      <c r="N283" s="10" t="s">
        <v>324</v>
      </c>
      <c r="O283" s="7"/>
      <c r="P283" s="7"/>
    </row>
    <row r="284" spans="2:16" x14ac:dyDescent="0.3">
      <c r="B284" s="10" t="s">
        <v>1617</v>
      </c>
      <c r="C284" s="10" t="s">
        <v>2076</v>
      </c>
      <c r="D284" s="10">
        <v>1</v>
      </c>
      <c r="E284" s="10">
        <v>0</v>
      </c>
      <c r="F284" s="10">
        <v>1</v>
      </c>
      <c r="G284" s="10">
        <v>1</v>
      </c>
      <c r="H284" s="10">
        <v>1</v>
      </c>
      <c r="I284" s="10" t="s">
        <v>322</v>
      </c>
      <c r="J284" s="69">
        <f t="shared" si="20"/>
        <v>10268</v>
      </c>
      <c r="K284" s="10">
        <f t="shared" si="25"/>
        <v>268</v>
      </c>
      <c r="L284" s="10">
        <f t="shared" si="26"/>
        <v>267</v>
      </c>
      <c r="M284" s="10" t="s">
        <v>142</v>
      </c>
      <c r="N284" s="10" t="s">
        <v>324</v>
      </c>
      <c r="O284" s="7"/>
      <c r="P284" s="7"/>
    </row>
    <row r="285" spans="2:16" x14ac:dyDescent="0.3">
      <c r="B285" s="10" t="s">
        <v>1618</v>
      </c>
      <c r="C285" s="10" t="s">
        <v>2076</v>
      </c>
      <c r="D285" s="10">
        <v>1</v>
      </c>
      <c r="E285" s="10">
        <v>0</v>
      </c>
      <c r="F285" s="10">
        <v>1</v>
      </c>
      <c r="G285" s="10">
        <v>1</v>
      </c>
      <c r="H285" s="10">
        <v>1</v>
      </c>
      <c r="I285" s="10" t="s">
        <v>322</v>
      </c>
      <c r="J285" s="69">
        <f t="shared" si="20"/>
        <v>10269</v>
      </c>
      <c r="K285" s="10">
        <f t="shared" si="25"/>
        <v>269</v>
      </c>
      <c r="L285" s="10">
        <f t="shared" si="26"/>
        <v>268</v>
      </c>
      <c r="M285" s="10" t="s">
        <v>142</v>
      </c>
      <c r="N285" s="10" t="s">
        <v>324</v>
      </c>
      <c r="O285" s="7"/>
      <c r="P285" s="7"/>
    </row>
    <row r="286" spans="2:16" x14ac:dyDescent="0.3">
      <c r="B286" s="10" t="s">
        <v>1619</v>
      </c>
      <c r="C286" s="10" t="s">
        <v>2076</v>
      </c>
      <c r="D286" s="10">
        <v>1</v>
      </c>
      <c r="E286" s="10">
        <v>0</v>
      </c>
      <c r="F286" s="10">
        <v>1</v>
      </c>
      <c r="G286" s="10">
        <v>1</v>
      </c>
      <c r="H286" s="10">
        <v>1</v>
      </c>
      <c r="I286" s="10" t="s">
        <v>322</v>
      </c>
      <c r="J286" s="69">
        <f t="shared" si="20"/>
        <v>10270</v>
      </c>
      <c r="K286" s="10">
        <f t="shared" si="25"/>
        <v>270</v>
      </c>
      <c r="L286" s="10">
        <f t="shared" si="26"/>
        <v>269</v>
      </c>
      <c r="M286" s="10" t="s">
        <v>142</v>
      </c>
      <c r="N286" s="10" t="s">
        <v>324</v>
      </c>
      <c r="O286" s="7"/>
      <c r="P286" s="7"/>
    </row>
    <row r="287" spans="2:16" x14ac:dyDescent="0.3">
      <c r="B287" s="10" t="s">
        <v>1620</v>
      </c>
      <c r="C287" s="10" t="s">
        <v>2076</v>
      </c>
      <c r="D287" s="10">
        <v>1</v>
      </c>
      <c r="E287" s="10">
        <v>0</v>
      </c>
      <c r="F287" s="10">
        <v>1</v>
      </c>
      <c r="G287" s="10">
        <v>1</v>
      </c>
      <c r="H287" s="10">
        <v>1</v>
      </c>
      <c r="I287" s="10" t="s">
        <v>322</v>
      </c>
      <c r="J287" s="69">
        <f t="shared" si="20"/>
        <v>10271</v>
      </c>
      <c r="K287" s="10">
        <f t="shared" si="25"/>
        <v>271</v>
      </c>
      <c r="L287" s="10">
        <f t="shared" si="26"/>
        <v>270</v>
      </c>
      <c r="M287" s="10" t="s">
        <v>142</v>
      </c>
      <c r="N287" s="10" t="s">
        <v>324</v>
      </c>
      <c r="O287" s="7"/>
      <c r="P287" s="7"/>
    </row>
    <row r="288" spans="2:16" x14ac:dyDescent="0.3">
      <c r="B288" s="10" t="s">
        <v>1621</v>
      </c>
      <c r="C288" s="10" t="s">
        <v>2076</v>
      </c>
      <c r="D288" s="10">
        <v>1</v>
      </c>
      <c r="E288" s="10">
        <v>0</v>
      </c>
      <c r="F288" s="10">
        <v>1</v>
      </c>
      <c r="G288" s="10">
        <v>1</v>
      </c>
      <c r="H288" s="10">
        <v>1</v>
      </c>
      <c r="I288" s="10" t="s">
        <v>322</v>
      </c>
      <c r="J288" s="69">
        <f t="shared" si="20"/>
        <v>10272</v>
      </c>
      <c r="K288" s="10">
        <f t="shared" si="25"/>
        <v>272</v>
      </c>
      <c r="L288" s="10">
        <f t="shared" si="26"/>
        <v>271</v>
      </c>
      <c r="M288" s="10" t="s">
        <v>142</v>
      </c>
      <c r="N288" s="10" t="s">
        <v>324</v>
      </c>
      <c r="O288" s="7"/>
      <c r="P288" s="7"/>
    </row>
    <row r="289" spans="2:16" x14ac:dyDescent="0.3">
      <c r="B289" s="10" t="s">
        <v>1622</v>
      </c>
      <c r="C289" s="10" t="s">
        <v>2076</v>
      </c>
      <c r="D289" s="10">
        <v>1</v>
      </c>
      <c r="E289" s="10">
        <v>0</v>
      </c>
      <c r="F289" s="10">
        <v>1</v>
      </c>
      <c r="G289" s="10">
        <v>1</v>
      </c>
      <c r="H289" s="10">
        <v>1</v>
      </c>
      <c r="I289" s="10" t="s">
        <v>322</v>
      </c>
      <c r="J289" s="69">
        <f t="shared" si="20"/>
        <v>10273</v>
      </c>
      <c r="K289" s="10">
        <f t="shared" si="25"/>
        <v>273</v>
      </c>
      <c r="L289" s="10">
        <f t="shared" si="26"/>
        <v>272</v>
      </c>
      <c r="M289" s="10" t="s">
        <v>142</v>
      </c>
      <c r="N289" s="10" t="s">
        <v>324</v>
      </c>
      <c r="O289" s="7"/>
      <c r="P289" s="7"/>
    </row>
    <row r="290" spans="2:16" x14ac:dyDescent="0.3">
      <c r="B290" s="10" t="s">
        <v>1623</v>
      </c>
      <c r="C290" s="10" t="s">
        <v>2076</v>
      </c>
      <c r="D290" s="10">
        <v>1</v>
      </c>
      <c r="E290" s="10">
        <v>0</v>
      </c>
      <c r="F290" s="10">
        <v>1</v>
      </c>
      <c r="G290" s="10">
        <v>1</v>
      </c>
      <c r="H290" s="10">
        <v>1</v>
      </c>
      <c r="I290" s="10" t="s">
        <v>322</v>
      </c>
      <c r="J290" s="69">
        <f t="shared" si="20"/>
        <v>10274</v>
      </c>
      <c r="K290" s="10">
        <f t="shared" si="25"/>
        <v>274</v>
      </c>
      <c r="L290" s="10">
        <f t="shared" si="26"/>
        <v>273</v>
      </c>
      <c r="M290" s="10" t="s">
        <v>142</v>
      </c>
      <c r="N290" s="10" t="s">
        <v>324</v>
      </c>
      <c r="O290" s="7"/>
      <c r="P290" s="7"/>
    </row>
    <row r="291" spans="2:16" x14ac:dyDescent="0.3">
      <c r="B291" s="10" t="s">
        <v>1624</v>
      </c>
      <c r="C291" s="10" t="s">
        <v>2076</v>
      </c>
      <c r="D291" s="10">
        <v>1</v>
      </c>
      <c r="E291" s="10">
        <v>0</v>
      </c>
      <c r="F291" s="10">
        <v>1</v>
      </c>
      <c r="G291" s="10">
        <v>1</v>
      </c>
      <c r="H291" s="10">
        <v>1</v>
      </c>
      <c r="I291" s="10" t="s">
        <v>322</v>
      </c>
      <c r="J291" s="69">
        <f t="shared" si="20"/>
        <v>10275</v>
      </c>
      <c r="K291" s="10">
        <f t="shared" si="25"/>
        <v>275</v>
      </c>
      <c r="L291" s="10">
        <f t="shared" si="26"/>
        <v>274</v>
      </c>
      <c r="M291" s="10" t="s">
        <v>142</v>
      </c>
      <c r="N291" s="10" t="s">
        <v>324</v>
      </c>
      <c r="O291" s="7"/>
      <c r="P291" s="7"/>
    </row>
    <row r="292" spans="2:16" x14ac:dyDescent="0.3">
      <c r="B292" s="10" t="s">
        <v>320</v>
      </c>
      <c r="C292" s="10" t="s">
        <v>2076</v>
      </c>
      <c r="D292" s="10">
        <v>1</v>
      </c>
      <c r="E292" s="10">
        <v>0</v>
      </c>
      <c r="F292" s="10">
        <v>1</v>
      </c>
      <c r="G292" s="10">
        <v>1</v>
      </c>
      <c r="H292" s="10">
        <v>1</v>
      </c>
      <c r="I292" s="10" t="s">
        <v>322</v>
      </c>
      <c r="J292" s="69">
        <f t="shared" si="20"/>
        <v>10276</v>
      </c>
      <c r="K292" s="10">
        <f t="shared" si="25"/>
        <v>276</v>
      </c>
      <c r="L292" s="10">
        <f t="shared" si="26"/>
        <v>275</v>
      </c>
      <c r="M292" s="10" t="s">
        <v>142</v>
      </c>
      <c r="N292" s="10" t="s">
        <v>324</v>
      </c>
      <c r="O292" s="7"/>
      <c r="P292" s="7"/>
    </row>
    <row r="293" spans="2:16" x14ac:dyDescent="0.3">
      <c r="B293" s="10" t="s">
        <v>1625</v>
      </c>
      <c r="C293" s="10" t="s">
        <v>2076</v>
      </c>
      <c r="D293" s="10">
        <v>1</v>
      </c>
      <c r="E293" s="10">
        <v>0</v>
      </c>
      <c r="F293" s="10">
        <v>1</v>
      </c>
      <c r="G293" s="10">
        <v>1</v>
      </c>
      <c r="H293" s="10">
        <v>1</v>
      </c>
      <c r="I293" s="10" t="s">
        <v>322</v>
      </c>
      <c r="J293" s="69">
        <f t="shared" si="20"/>
        <v>10277</v>
      </c>
      <c r="K293" s="10">
        <f t="shared" si="25"/>
        <v>277</v>
      </c>
      <c r="L293" s="10">
        <f t="shared" si="26"/>
        <v>276</v>
      </c>
      <c r="M293" s="10" t="s">
        <v>142</v>
      </c>
      <c r="N293" s="10" t="s">
        <v>324</v>
      </c>
      <c r="O293" s="7"/>
      <c r="P293" s="7"/>
    </row>
    <row r="294" spans="2:16" x14ac:dyDescent="0.3">
      <c r="B294" s="10" t="s">
        <v>1626</v>
      </c>
      <c r="C294" s="10" t="s">
        <v>2076</v>
      </c>
      <c r="D294" s="10">
        <v>1</v>
      </c>
      <c r="E294" s="10">
        <v>0</v>
      </c>
      <c r="F294" s="10">
        <v>1</v>
      </c>
      <c r="G294" s="10">
        <v>1</v>
      </c>
      <c r="H294" s="10">
        <v>1</v>
      </c>
      <c r="I294" s="10" t="s">
        <v>322</v>
      </c>
      <c r="J294" s="69">
        <f t="shared" si="20"/>
        <v>10278</v>
      </c>
      <c r="K294" s="10">
        <f t="shared" si="25"/>
        <v>278</v>
      </c>
      <c r="L294" s="10">
        <f t="shared" si="26"/>
        <v>277</v>
      </c>
      <c r="M294" s="10" t="s">
        <v>142</v>
      </c>
      <c r="N294" s="10" t="s">
        <v>324</v>
      </c>
      <c r="O294" s="7"/>
      <c r="P294" s="7"/>
    </row>
    <row r="295" spans="2:16" x14ac:dyDescent="0.3">
      <c r="B295" s="10" t="s">
        <v>1627</v>
      </c>
      <c r="C295" s="10" t="s">
        <v>2076</v>
      </c>
      <c r="D295" s="10">
        <v>1</v>
      </c>
      <c r="E295" s="10">
        <v>0</v>
      </c>
      <c r="F295" s="10">
        <v>1</v>
      </c>
      <c r="G295" s="10">
        <v>1</v>
      </c>
      <c r="H295" s="10">
        <v>1</v>
      </c>
      <c r="I295" s="10" t="s">
        <v>322</v>
      </c>
      <c r="J295" s="69">
        <f t="shared" si="20"/>
        <v>10279</v>
      </c>
      <c r="K295" s="10">
        <f t="shared" si="25"/>
        <v>279</v>
      </c>
      <c r="L295" s="10">
        <f t="shared" si="26"/>
        <v>278</v>
      </c>
      <c r="M295" s="10" t="s">
        <v>142</v>
      </c>
      <c r="N295" s="10" t="s">
        <v>324</v>
      </c>
      <c r="O295" s="7"/>
      <c r="P295" s="7"/>
    </row>
    <row r="296" spans="2:16" x14ac:dyDescent="0.3">
      <c r="B296" s="10" t="s">
        <v>1628</v>
      </c>
      <c r="C296" s="10" t="s">
        <v>2076</v>
      </c>
      <c r="D296" s="10">
        <v>1</v>
      </c>
      <c r="E296" s="10">
        <v>0</v>
      </c>
      <c r="F296" s="10">
        <v>1</v>
      </c>
      <c r="G296" s="10">
        <v>1</v>
      </c>
      <c r="H296" s="10">
        <v>1</v>
      </c>
      <c r="I296" s="10" t="s">
        <v>322</v>
      </c>
      <c r="J296" s="69">
        <f t="shared" si="20"/>
        <v>10280</v>
      </c>
      <c r="K296" s="10">
        <f t="shared" si="25"/>
        <v>280</v>
      </c>
      <c r="L296" s="10">
        <f t="shared" si="26"/>
        <v>279</v>
      </c>
      <c r="M296" s="10" t="s">
        <v>142</v>
      </c>
      <c r="N296" s="10" t="s">
        <v>324</v>
      </c>
      <c r="O296" s="7"/>
      <c r="P296" s="7"/>
    </row>
    <row r="297" spans="2:16" x14ac:dyDescent="0.3">
      <c r="B297" s="10" t="s">
        <v>1629</v>
      </c>
      <c r="C297" s="10" t="s">
        <v>2076</v>
      </c>
      <c r="D297" s="10">
        <v>1</v>
      </c>
      <c r="E297" s="10">
        <v>0</v>
      </c>
      <c r="F297" s="10">
        <v>1</v>
      </c>
      <c r="G297" s="10">
        <v>1</v>
      </c>
      <c r="H297" s="10">
        <v>1</v>
      </c>
      <c r="I297" s="10" t="s">
        <v>322</v>
      </c>
      <c r="J297" s="69">
        <f t="shared" si="20"/>
        <v>10281</v>
      </c>
      <c r="K297" s="10">
        <f t="shared" si="25"/>
        <v>281</v>
      </c>
      <c r="L297" s="10">
        <f t="shared" si="26"/>
        <v>280</v>
      </c>
      <c r="M297" s="10" t="s">
        <v>142</v>
      </c>
      <c r="N297" s="10" t="s">
        <v>324</v>
      </c>
      <c r="O297" s="7"/>
      <c r="P297" s="7"/>
    </row>
    <row r="298" spans="2:16" x14ac:dyDescent="0.3">
      <c r="B298" s="10" t="s">
        <v>320</v>
      </c>
      <c r="C298" s="10" t="s">
        <v>2076</v>
      </c>
      <c r="D298" s="10">
        <v>1</v>
      </c>
      <c r="E298" s="10">
        <v>0</v>
      </c>
      <c r="F298" s="10">
        <v>1</v>
      </c>
      <c r="G298" s="10">
        <v>1</v>
      </c>
      <c r="H298" s="10">
        <v>1</v>
      </c>
      <c r="I298" s="10" t="s">
        <v>322</v>
      </c>
      <c r="J298" s="69">
        <f t="shared" si="20"/>
        <v>10282</v>
      </c>
      <c r="K298" s="10">
        <f t="shared" si="25"/>
        <v>282</v>
      </c>
      <c r="L298" s="10">
        <f t="shared" si="26"/>
        <v>281</v>
      </c>
      <c r="M298" s="10" t="s">
        <v>142</v>
      </c>
      <c r="N298" s="10" t="s">
        <v>324</v>
      </c>
      <c r="O298" s="7"/>
      <c r="P298" s="7"/>
    </row>
    <row r="299" spans="2:16" x14ac:dyDescent="0.3">
      <c r="B299" s="10" t="s">
        <v>320</v>
      </c>
      <c r="C299" s="10" t="s">
        <v>2076</v>
      </c>
      <c r="D299" s="10">
        <v>1</v>
      </c>
      <c r="E299" s="10">
        <v>0</v>
      </c>
      <c r="F299" s="10">
        <v>1</v>
      </c>
      <c r="G299" s="10">
        <v>1</v>
      </c>
      <c r="H299" s="10">
        <v>1</v>
      </c>
      <c r="I299" s="10" t="s">
        <v>322</v>
      </c>
      <c r="J299" s="69">
        <f t="shared" si="20"/>
        <v>10283</v>
      </c>
      <c r="K299" s="10">
        <f t="shared" si="25"/>
        <v>283</v>
      </c>
      <c r="L299" s="10">
        <f t="shared" si="26"/>
        <v>282</v>
      </c>
      <c r="M299" s="10" t="s">
        <v>142</v>
      </c>
      <c r="N299" s="10" t="s">
        <v>324</v>
      </c>
      <c r="O299" s="7"/>
      <c r="P299" s="7"/>
    </row>
    <row r="300" spans="2:16" x14ac:dyDescent="0.3">
      <c r="B300" s="193" t="s">
        <v>2143</v>
      </c>
      <c r="C300" s="10" t="s">
        <v>2076</v>
      </c>
      <c r="D300" s="10">
        <v>1</v>
      </c>
      <c r="E300" s="10">
        <v>0</v>
      </c>
      <c r="F300" s="10">
        <v>1</v>
      </c>
      <c r="G300" s="10">
        <v>1</v>
      </c>
      <c r="H300" s="10">
        <v>1</v>
      </c>
      <c r="I300" s="10" t="s">
        <v>322</v>
      </c>
      <c r="J300" s="69">
        <f t="shared" ref="J300:J363" si="27">J299+D299</f>
        <v>10284</v>
      </c>
      <c r="K300" s="10">
        <f t="shared" si="25"/>
        <v>284</v>
      </c>
      <c r="L300" s="10">
        <f t="shared" si="26"/>
        <v>283</v>
      </c>
      <c r="M300" s="10" t="s">
        <v>142</v>
      </c>
      <c r="N300" s="10" t="s">
        <v>324</v>
      </c>
      <c r="O300" s="7"/>
      <c r="P300" s="7"/>
    </row>
    <row r="301" spans="2:16" x14ac:dyDescent="0.3">
      <c r="B301" s="10" t="s">
        <v>320</v>
      </c>
      <c r="C301" s="10" t="s">
        <v>2076</v>
      </c>
      <c r="D301" s="10">
        <v>1</v>
      </c>
      <c r="E301" s="10">
        <v>0</v>
      </c>
      <c r="F301" s="10">
        <v>1</v>
      </c>
      <c r="G301" s="10">
        <v>1</v>
      </c>
      <c r="H301" s="10">
        <v>1</v>
      </c>
      <c r="I301" s="10" t="s">
        <v>322</v>
      </c>
      <c r="J301" s="69">
        <f t="shared" si="27"/>
        <v>10285</v>
      </c>
      <c r="K301" s="10">
        <f t="shared" si="25"/>
        <v>285</v>
      </c>
      <c r="L301" s="10">
        <f t="shared" si="26"/>
        <v>284</v>
      </c>
      <c r="M301" s="10" t="s">
        <v>142</v>
      </c>
      <c r="N301" s="10" t="s">
        <v>324</v>
      </c>
      <c r="O301" s="7"/>
      <c r="P301" s="7"/>
    </row>
    <row r="302" spans="2:16" x14ac:dyDescent="0.3">
      <c r="B302" s="10" t="s">
        <v>320</v>
      </c>
      <c r="C302" s="10" t="s">
        <v>2076</v>
      </c>
      <c r="D302" s="10">
        <v>1</v>
      </c>
      <c r="E302" s="10">
        <v>0</v>
      </c>
      <c r="F302" s="10">
        <v>1</v>
      </c>
      <c r="G302" s="10">
        <v>1</v>
      </c>
      <c r="H302" s="10">
        <v>1</v>
      </c>
      <c r="I302" s="10" t="s">
        <v>322</v>
      </c>
      <c r="J302" s="69">
        <f t="shared" si="27"/>
        <v>10286</v>
      </c>
      <c r="K302" s="10">
        <f t="shared" si="25"/>
        <v>286</v>
      </c>
      <c r="L302" s="10">
        <f t="shared" si="26"/>
        <v>285</v>
      </c>
      <c r="M302" s="10" t="s">
        <v>142</v>
      </c>
      <c r="N302" s="10" t="s">
        <v>324</v>
      </c>
      <c r="O302" s="7"/>
      <c r="P302" s="7"/>
    </row>
    <row r="303" spans="2:16" x14ac:dyDescent="0.3">
      <c r="B303" s="10" t="s">
        <v>320</v>
      </c>
      <c r="C303" s="10" t="s">
        <v>2076</v>
      </c>
      <c r="D303" s="10">
        <v>1</v>
      </c>
      <c r="E303" s="10">
        <v>0</v>
      </c>
      <c r="F303" s="10">
        <v>1</v>
      </c>
      <c r="G303" s="10">
        <v>1</v>
      </c>
      <c r="H303" s="10">
        <v>1</v>
      </c>
      <c r="I303" s="10" t="s">
        <v>322</v>
      </c>
      <c r="J303" s="69">
        <f t="shared" si="27"/>
        <v>10287</v>
      </c>
      <c r="K303" s="10">
        <f t="shared" si="25"/>
        <v>287</v>
      </c>
      <c r="L303" s="10">
        <f t="shared" si="26"/>
        <v>286</v>
      </c>
      <c r="M303" s="10" t="s">
        <v>142</v>
      </c>
      <c r="N303" s="10" t="s">
        <v>324</v>
      </c>
      <c r="O303" s="7"/>
      <c r="P303" s="7"/>
    </row>
    <row r="304" spans="2:16" x14ac:dyDescent="0.3">
      <c r="B304" s="10" t="s">
        <v>320</v>
      </c>
      <c r="C304" s="10" t="s">
        <v>2076</v>
      </c>
      <c r="D304" s="10">
        <v>1</v>
      </c>
      <c r="E304" s="10">
        <v>0</v>
      </c>
      <c r="F304" s="10">
        <v>1</v>
      </c>
      <c r="G304" s="10">
        <v>1</v>
      </c>
      <c r="H304" s="10">
        <v>1</v>
      </c>
      <c r="I304" s="10" t="s">
        <v>322</v>
      </c>
      <c r="J304" s="69">
        <f t="shared" si="27"/>
        <v>10288</v>
      </c>
      <c r="K304" s="10">
        <f t="shared" si="25"/>
        <v>288</v>
      </c>
      <c r="L304" s="10">
        <f t="shared" si="26"/>
        <v>287</v>
      </c>
      <c r="M304" s="10" t="s">
        <v>142</v>
      </c>
      <c r="N304" s="10" t="s">
        <v>324</v>
      </c>
      <c r="O304" s="7"/>
      <c r="P304" s="7"/>
    </row>
    <row r="305" spans="2:16" x14ac:dyDescent="0.3">
      <c r="B305" s="496" t="s">
        <v>2144</v>
      </c>
      <c r="C305" s="496"/>
      <c r="D305" s="496"/>
      <c r="E305" s="496"/>
      <c r="F305" s="496"/>
      <c r="G305" s="496"/>
      <c r="H305" s="496"/>
      <c r="I305" s="496"/>
      <c r="J305" s="496"/>
      <c r="K305" s="496"/>
      <c r="L305" s="496"/>
      <c r="M305" s="496"/>
      <c r="N305" s="496"/>
      <c r="O305" s="496"/>
      <c r="P305" s="496"/>
    </row>
    <row r="306" spans="2:16" x14ac:dyDescent="0.3">
      <c r="B306" s="10" t="s">
        <v>1631</v>
      </c>
      <c r="C306" s="10" t="s">
        <v>2076</v>
      </c>
      <c r="D306" s="10">
        <v>1</v>
      </c>
      <c r="E306" s="10">
        <v>0</v>
      </c>
      <c r="F306" s="10">
        <v>1</v>
      </c>
      <c r="G306" s="10">
        <v>1</v>
      </c>
      <c r="H306" s="10">
        <v>1</v>
      </c>
      <c r="I306" s="10" t="s">
        <v>322</v>
      </c>
      <c r="J306" s="69">
        <f>J304+D304</f>
        <v>10289</v>
      </c>
      <c r="K306" s="10">
        <f t="shared" si="25"/>
        <v>289</v>
      </c>
      <c r="L306" s="10">
        <f t="shared" si="26"/>
        <v>288</v>
      </c>
      <c r="M306" s="10" t="s">
        <v>142</v>
      </c>
      <c r="N306" s="10" t="s">
        <v>324</v>
      </c>
      <c r="O306" s="7"/>
      <c r="P306" s="7"/>
    </row>
    <row r="307" spans="2:16" x14ac:dyDescent="0.3">
      <c r="B307" s="10" t="s">
        <v>1632</v>
      </c>
      <c r="C307" s="10" t="s">
        <v>2076</v>
      </c>
      <c r="D307" s="10">
        <v>1</v>
      </c>
      <c r="E307" s="10">
        <v>0</v>
      </c>
      <c r="F307" s="10">
        <v>1</v>
      </c>
      <c r="G307" s="10">
        <v>1</v>
      </c>
      <c r="H307" s="10">
        <v>1</v>
      </c>
      <c r="I307" s="10" t="s">
        <v>322</v>
      </c>
      <c r="J307" s="69">
        <f t="shared" si="27"/>
        <v>10290</v>
      </c>
      <c r="K307" s="10">
        <f t="shared" si="25"/>
        <v>290</v>
      </c>
      <c r="L307" s="10">
        <f t="shared" si="26"/>
        <v>289</v>
      </c>
      <c r="M307" s="10" t="s">
        <v>142</v>
      </c>
      <c r="N307" s="10" t="s">
        <v>324</v>
      </c>
      <c r="O307" s="7"/>
      <c r="P307" s="7"/>
    </row>
    <row r="308" spans="2:16" x14ac:dyDescent="0.3">
      <c r="B308" s="10" t="s">
        <v>1633</v>
      </c>
      <c r="C308" s="10" t="s">
        <v>2076</v>
      </c>
      <c r="D308" s="10">
        <v>1</v>
      </c>
      <c r="E308" s="10">
        <v>0</v>
      </c>
      <c r="F308" s="10">
        <v>1</v>
      </c>
      <c r="G308" s="10">
        <v>1</v>
      </c>
      <c r="H308" s="10">
        <v>1</v>
      </c>
      <c r="I308" s="10" t="s">
        <v>322</v>
      </c>
      <c r="J308" s="69">
        <f t="shared" si="27"/>
        <v>10291</v>
      </c>
      <c r="K308" s="10">
        <f t="shared" si="25"/>
        <v>291</v>
      </c>
      <c r="L308" s="10">
        <f t="shared" si="26"/>
        <v>290</v>
      </c>
      <c r="M308" s="10" t="s">
        <v>142</v>
      </c>
      <c r="N308" s="10" t="s">
        <v>324</v>
      </c>
      <c r="O308" s="7"/>
      <c r="P308" s="7"/>
    </row>
    <row r="309" spans="2:16" x14ac:dyDescent="0.3">
      <c r="B309" s="10" t="s">
        <v>1634</v>
      </c>
      <c r="C309" s="10" t="s">
        <v>2076</v>
      </c>
      <c r="D309" s="10">
        <v>1</v>
      </c>
      <c r="E309" s="10">
        <v>0</v>
      </c>
      <c r="F309" s="10">
        <v>1</v>
      </c>
      <c r="G309" s="10">
        <v>1</v>
      </c>
      <c r="H309" s="10">
        <v>1</v>
      </c>
      <c r="I309" s="10" t="s">
        <v>322</v>
      </c>
      <c r="J309" s="69">
        <f t="shared" si="27"/>
        <v>10292</v>
      </c>
      <c r="K309" s="10">
        <f t="shared" si="25"/>
        <v>292</v>
      </c>
      <c r="L309" s="10">
        <f t="shared" si="26"/>
        <v>291</v>
      </c>
      <c r="M309" s="10" t="s">
        <v>142</v>
      </c>
      <c r="N309" s="10" t="s">
        <v>324</v>
      </c>
      <c r="O309" s="7"/>
      <c r="P309" s="7"/>
    </row>
    <row r="310" spans="2:16" x14ac:dyDescent="0.3">
      <c r="B310" s="10" t="s">
        <v>1635</v>
      </c>
      <c r="C310" s="10" t="s">
        <v>2076</v>
      </c>
      <c r="D310" s="10">
        <v>1</v>
      </c>
      <c r="E310" s="10">
        <v>0</v>
      </c>
      <c r="F310" s="10">
        <v>1</v>
      </c>
      <c r="G310" s="10">
        <v>1</v>
      </c>
      <c r="H310" s="10">
        <v>1</v>
      </c>
      <c r="I310" s="10" t="s">
        <v>322</v>
      </c>
      <c r="J310" s="69">
        <f t="shared" si="27"/>
        <v>10293</v>
      </c>
      <c r="K310" s="10">
        <f t="shared" si="25"/>
        <v>293</v>
      </c>
      <c r="L310" s="10">
        <f t="shared" si="26"/>
        <v>292</v>
      </c>
      <c r="M310" s="10" t="s">
        <v>142</v>
      </c>
      <c r="N310" s="10" t="s">
        <v>324</v>
      </c>
      <c r="O310" s="7"/>
      <c r="P310" s="7"/>
    </row>
    <row r="311" spans="2:16" x14ac:dyDescent="0.3">
      <c r="B311" s="10" t="s">
        <v>1636</v>
      </c>
      <c r="C311" s="10" t="s">
        <v>2076</v>
      </c>
      <c r="D311" s="10">
        <v>1</v>
      </c>
      <c r="E311" s="10">
        <v>0</v>
      </c>
      <c r="F311" s="10">
        <v>1</v>
      </c>
      <c r="G311" s="10">
        <v>1</v>
      </c>
      <c r="H311" s="10">
        <v>1</v>
      </c>
      <c r="I311" s="10" t="s">
        <v>322</v>
      </c>
      <c r="J311" s="69">
        <f t="shared" si="27"/>
        <v>10294</v>
      </c>
      <c r="K311" s="10">
        <f t="shared" si="25"/>
        <v>294</v>
      </c>
      <c r="L311" s="10">
        <f t="shared" si="26"/>
        <v>293</v>
      </c>
      <c r="M311" s="10" t="s">
        <v>142</v>
      </c>
      <c r="N311" s="10" t="s">
        <v>324</v>
      </c>
      <c r="O311" s="7"/>
      <c r="P311" s="7"/>
    </row>
    <row r="312" spans="2:16" x14ac:dyDescent="0.3">
      <c r="B312" s="10" t="s">
        <v>1637</v>
      </c>
      <c r="C312" s="10" t="s">
        <v>2076</v>
      </c>
      <c r="D312" s="10">
        <v>1</v>
      </c>
      <c r="E312" s="10">
        <v>0</v>
      </c>
      <c r="F312" s="10">
        <v>1</v>
      </c>
      <c r="G312" s="10">
        <v>1</v>
      </c>
      <c r="H312" s="10">
        <v>1</v>
      </c>
      <c r="I312" s="10" t="s">
        <v>322</v>
      </c>
      <c r="J312" s="69">
        <f t="shared" si="27"/>
        <v>10295</v>
      </c>
      <c r="K312" s="10">
        <f t="shared" si="25"/>
        <v>295</v>
      </c>
      <c r="L312" s="10">
        <f t="shared" si="26"/>
        <v>294</v>
      </c>
      <c r="M312" s="10" t="s">
        <v>142</v>
      </c>
      <c r="N312" s="10" t="s">
        <v>324</v>
      </c>
      <c r="O312" s="7"/>
      <c r="P312" s="7"/>
    </row>
    <row r="313" spans="2:16" x14ac:dyDescent="0.3">
      <c r="B313" s="10" t="s">
        <v>1638</v>
      </c>
      <c r="C313" s="10" t="s">
        <v>2076</v>
      </c>
      <c r="D313" s="10">
        <v>1</v>
      </c>
      <c r="E313" s="10">
        <v>0</v>
      </c>
      <c r="F313" s="10">
        <v>1</v>
      </c>
      <c r="G313" s="10">
        <v>1</v>
      </c>
      <c r="H313" s="10">
        <v>1</v>
      </c>
      <c r="I313" s="10" t="s">
        <v>322</v>
      </c>
      <c r="J313" s="69">
        <f t="shared" si="27"/>
        <v>10296</v>
      </c>
      <c r="K313" s="10">
        <f t="shared" si="25"/>
        <v>296</v>
      </c>
      <c r="L313" s="10">
        <f t="shared" si="26"/>
        <v>295</v>
      </c>
      <c r="M313" s="10" t="s">
        <v>142</v>
      </c>
      <c r="N313" s="10" t="s">
        <v>324</v>
      </c>
      <c r="O313" s="7"/>
      <c r="P313" s="7"/>
    </row>
    <row r="314" spans="2:16" x14ac:dyDescent="0.3">
      <c r="B314" s="10" t="s">
        <v>1639</v>
      </c>
      <c r="C314" s="10" t="s">
        <v>2076</v>
      </c>
      <c r="D314" s="10">
        <v>1</v>
      </c>
      <c r="E314" s="10">
        <v>0</v>
      </c>
      <c r="F314" s="10">
        <v>1</v>
      </c>
      <c r="G314" s="10">
        <v>1</v>
      </c>
      <c r="H314" s="10">
        <v>1</v>
      </c>
      <c r="I314" s="10" t="s">
        <v>322</v>
      </c>
      <c r="J314" s="69">
        <f t="shared" si="27"/>
        <v>10297</v>
      </c>
      <c r="K314" s="10">
        <f t="shared" si="25"/>
        <v>297</v>
      </c>
      <c r="L314" s="10">
        <f t="shared" si="26"/>
        <v>296</v>
      </c>
      <c r="M314" s="10" t="s">
        <v>142</v>
      </c>
      <c r="N314" s="10" t="s">
        <v>324</v>
      </c>
      <c r="O314" s="7"/>
      <c r="P314" s="7"/>
    </row>
    <row r="315" spans="2:16" x14ac:dyDescent="0.3">
      <c r="B315" s="10" t="s">
        <v>1640</v>
      </c>
      <c r="C315" s="10" t="s">
        <v>2076</v>
      </c>
      <c r="D315" s="10">
        <v>1</v>
      </c>
      <c r="E315" s="10">
        <v>0</v>
      </c>
      <c r="F315" s="10">
        <v>1</v>
      </c>
      <c r="G315" s="10">
        <v>1</v>
      </c>
      <c r="H315" s="10">
        <v>1</v>
      </c>
      <c r="I315" s="10" t="s">
        <v>322</v>
      </c>
      <c r="J315" s="69">
        <f t="shared" si="27"/>
        <v>10298</v>
      </c>
      <c r="K315" s="10">
        <f t="shared" si="25"/>
        <v>298</v>
      </c>
      <c r="L315" s="10">
        <f t="shared" si="26"/>
        <v>297</v>
      </c>
      <c r="M315" s="10" t="s">
        <v>142</v>
      </c>
      <c r="N315" s="10" t="s">
        <v>324</v>
      </c>
      <c r="O315" s="7"/>
      <c r="P315" s="7"/>
    </row>
    <row r="316" spans="2:16" x14ac:dyDescent="0.3">
      <c r="B316" s="10" t="s">
        <v>1641</v>
      </c>
      <c r="C316" s="10" t="s">
        <v>2076</v>
      </c>
      <c r="D316" s="10">
        <v>1</v>
      </c>
      <c r="E316" s="10">
        <v>0</v>
      </c>
      <c r="F316" s="10">
        <v>1</v>
      </c>
      <c r="G316" s="10">
        <v>1</v>
      </c>
      <c r="H316" s="10">
        <v>1</v>
      </c>
      <c r="I316" s="10" t="s">
        <v>322</v>
      </c>
      <c r="J316" s="69">
        <f t="shared" si="27"/>
        <v>10299</v>
      </c>
      <c r="K316" s="10">
        <f t="shared" si="25"/>
        <v>299</v>
      </c>
      <c r="L316" s="10">
        <f t="shared" si="26"/>
        <v>298</v>
      </c>
      <c r="M316" s="10" t="s">
        <v>142</v>
      </c>
      <c r="N316" s="10" t="s">
        <v>324</v>
      </c>
      <c r="O316" s="7"/>
      <c r="P316" s="7"/>
    </row>
    <row r="317" spans="2:16" x14ac:dyDescent="0.3">
      <c r="B317" s="10" t="s">
        <v>1642</v>
      </c>
      <c r="C317" s="10" t="s">
        <v>2076</v>
      </c>
      <c r="D317" s="10">
        <v>1</v>
      </c>
      <c r="E317" s="10">
        <v>0</v>
      </c>
      <c r="F317" s="10">
        <v>1</v>
      </c>
      <c r="G317" s="10">
        <v>1</v>
      </c>
      <c r="H317" s="10">
        <v>1</v>
      </c>
      <c r="I317" s="10" t="s">
        <v>322</v>
      </c>
      <c r="J317" s="69">
        <f t="shared" si="27"/>
        <v>10300</v>
      </c>
      <c r="K317" s="10">
        <f t="shared" si="25"/>
        <v>300</v>
      </c>
      <c r="L317" s="10">
        <f t="shared" si="26"/>
        <v>299</v>
      </c>
      <c r="M317" s="10" t="s">
        <v>142</v>
      </c>
      <c r="N317" s="10" t="s">
        <v>324</v>
      </c>
      <c r="O317" s="7"/>
      <c r="P317" s="7"/>
    </row>
    <row r="318" spans="2:16" x14ac:dyDescent="0.3">
      <c r="B318" s="10" t="s">
        <v>1643</v>
      </c>
      <c r="C318" s="10" t="s">
        <v>2076</v>
      </c>
      <c r="D318" s="10">
        <v>1</v>
      </c>
      <c r="E318" s="10">
        <v>0</v>
      </c>
      <c r="F318" s="10">
        <v>1</v>
      </c>
      <c r="G318" s="10">
        <v>1</v>
      </c>
      <c r="H318" s="10">
        <v>1</v>
      </c>
      <c r="I318" s="10" t="s">
        <v>322</v>
      </c>
      <c r="J318" s="69">
        <f t="shared" si="27"/>
        <v>10301</v>
      </c>
      <c r="K318" s="10">
        <f t="shared" si="25"/>
        <v>301</v>
      </c>
      <c r="L318" s="10">
        <f t="shared" si="26"/>
        <v>300</v>
      </c>
      <c r="M318" s="10" t="s">
        <v>142</v>
      </c>
      <c r="N318" s="10" t="s">
        <v>324</v>
      </c>
      <c r="O318" s="7"/>
      <c r="P318" s="7"/>
    </row>
    <row r="319" spans="2:16" x14ac:dyDescent="0.3">
      <c r="B319" s="10" t="s">
        <v>1644</v>
      </c>
      <c r="C319" s="10" t="s">
        <v>2076</v>
      </c>
      <c r="D319" s="10">
        <v>1</v>
      </c>
      <c r="E319" s="10">
        <v>0</v>
      </c>
      <c r="F319" s="10">
        <v>1</v>
      </c>
      <c r="G319" s="10">
        <v>1</v>
      </c>
      <c r="H319" s="10">
        <v>1</v>
      </c>
      <c r="I319" s="10" t="s">
        <v>322</v>
      </c>
      <c r="J319" s="69">
        <f t="shared" si="27"/>
        <v>10302</v>
      </c>
      <c r="K319" s="10">
        <f t="shared" si="25"/>
        <v>302</v>
      </c>
      <c r="L319" s="10">
        <f t="shared" si="26"/>
        <v>301</v>
      </c>
      <c r="M319" s="10" t="s">
        <v>142</v>
      </c>
      <c r="N319" s="10" t="s">
        <v>324</v>
      </c>
      <c r="O319" s="7"/>
      <c r="P319" s="7"/>
    </row>
    <row r="320" spans="2:16" x14ac:dyDescent="0.3">
      <c r="B320" s="10" t="s">
        <v>1645</v>
      </c>
      <c r="C320" s="10" t="s">
        <v>2076</v>
      </c>
      <c r="D320" s="10">
        <v>1</v>
      </c>
      <c r="E320" s="10">
        <v>0</v>
      </c>
      <c r="F320" s="10">
        <v>1</v>
      </c>
      <c r="G320" s="10">
        <v>1</v>
      </c>
      <c r="H320" s="10">
        <v>1</v>
      </c>
      <c r="I320" s="10" t="s">
        <v>322</v>
      </c>
      <c r="J320" s="69">
        <f t="shared" si="27"/>
        <v>10303</v>
      </c>
      <c r="K320" s="10">
        <f t="shared" si="25"/>
        <v>303</v>
      </c>
      <c r="L320" s="10">
        <f t="shared" si="26"/>
        <v>302</v>
      </c>
      <c r="M320" s="10" t="s">
        <v>142</v>
      </c>
      <c r="N320" s="10" t="s">
        <v>324</v>
      </c>
      <c r="O320" s="7"/>
      <c r="P320" s="7"/>
    </row>
    <row r="321" spans="1:16" x14ac:dyDescent="0.3">
      <c r="B321" s="10" t="s">
        <v>1646</v>
      </c>
      <c r="C321" s="10" t="s">
        <v>2076</v>
      </c>
      <c r="D321" s="10">
        <v>1</v>
      </c>
      <c r="E321" s="10">
        <v>0</v>
      </c>
      <c r="F321" s="10">
        <v>1</v>
      </c>
      <c r="G321" s="10">
        <v>1</v>
      </c>
      <c r="H321" s="10">
        <v>1</v>
      </c>
      <c r="I321" s="10" t="s">
        <v>322</v>
      </c>
      <c r="J321" s="69">
        <f t="shared" si="27"/>
        <v>10304</v>
      </c>
      <c r="K321" s="10">
        <f t="shared" si="25"/>
        <v>304</v>
      </c>
      <c r="L321" s="10">
        <f t="shared" si="26"/>
        <v>303</v>
      </c>
      <c r="M321" s="10" t="s">
        <v>142</v>
      </c>
      <c r="N321" s="10" t="s">
        <v>324</v>
      </c>
      <c r="O321" s="7"/>
      <c r="P321" s="7"/>
    </row>
    <row r="322" spans="1:16" x14ac:dyDescent="0.3">
      <c r="B322" s="10" t="s">
        <v>1647</v>
      </c>
      <c r="C322" s="10" t="s">
        <v>2076</v>
      </c>
      <c r="D322" s="10">
        <v>1</v>
      </c>
      <c r="E322" s="10">
        <v>0</v>
      </c>
      <c r="F322" s="10">
        <v>1</v>
      </c>
      <c r="G322" s="10">
        <v>1</v>
      </c>
      <c r="H322" s="10">
        <v>1</v>
      </c>
      <c r="I322" s="10" t="s">
        <v>322</v>
      </c>
      <c r="J322" s="69">
        <f t="shared" si="27"/>
        <v>10305</v>
      </c>
      <c r="K322" s="10">
        <f t="shared" si="25"/>
        <v>305</v>
      </c>
      <c r="L322" s="10">
        <f t="shared" si="26"/>
        <v>304</v>
      </c>
      <c r="M322" s="10" t="s">
        <v>142</v>
      </c>
      <c r="N322" s="10" t="s">
        <v>324</v>
      </c>
      <c r="O322" s="7"/>
      <c r="P322" s="7"/>
    </row>
    <row r="323" spans="1:16" x14ac:dyDescent="0.3">
      <c r="B323" s="10" t="s">
        <v>1648</v>
      </c>
      <c r="C323" s="10" t="s">
        <v>2076</v>
      </c>
      <c r="D323" s="10">
        <v>1</v>
      </c>
      <c r="E323" s="10">
        <v>0</v>
      </c>
      <c r="F323" s="10">
        <v>1</v>
      </c>
      <c r="G323" s="10">
        <v>1</v>
      </c>
      <c r="H323" s="10">
        <v>1</v>
      </c>
      <c r="I323" s="10" t="s">
        <v>322</v>
      </c>
      <c r="J323" s="69">
        <f t="shared" si="27"/>
        <v>10306</v>
      </c>
      <c r="K323" s="10">
        <f t="shared" si="25"/>
        <v>306</v>
      </c>
      <c r="L323" s="10">
        <f t="shared" si="26"/>
        <v>305</v>
      </c>
      <c r="M323" s="10" t="s">
        <v>142</v>
      </c>
      <c r="N323" s="10" t="s">
        <v>324</v>
      </c>
      <c r="O323" s="7"/>
      <c r="P323" s="7"/>
    </row>
    <row r="324" spans="1:16" x14ac:dyDescent="0.3">
      <c r="B324" s="10" t="s">
        <v>1649</v>
      </c>
      <c r="C324" s="10" t="s">
        <v>2076</v>
      </c>
      <c r="D324" s="10">
        <v>1</v>
      </c>
      <c r="E324" s="10">
        <v>0</v>
      </c>
      <c r="F324" s="10">
        <v>1</v>
      </c>
      <c r="G324" s="10">
        <v>1</v>
      </c>
      <c r="H324" s="10">
        <v>1</v>
      </c>
      <c r="I324" s="10" t="s">
        <v>322</v>
      </c>
      <c r="J324" s="69">
        <f t="shared" si="27"/>
        <v>10307</v>
      </c>
      <c r="K324" s="10">
        <f t="shared" si="25"/>
        <v>307</v>
      </c>
      <c r="L324" s="10">
        <f t="shared" si="26"/>
        <v>306</v>
      </c>
      <c r="M324" s="10" t="s">
        <v>142</v>
      </c>
      <c r="N324" s="10" t="s">
        <v>324</v>
      </c>
      <c r="O324" s="7"/>
      <c r="P324" s="7"/>
    </row>
    <row r="325" spans="1:16" x14ac:dyDescent="0.3">
      <c r="A325" s="6" t="s">
        <v>3848</v>
      </c>
      <c r="B325" s="407" t="s">
        <v>320</v>
      </c>
      <c r="C325" s="10" t="s">
        <v>2076</v>
      </c>
      <c r="D325" s="10">
        <v>1</v>
      </c>
      <c r="E325" s="10">
        <v>0</v>
      </c>
      <c r="F325" s="10">
        <v>1</v>
      </c>
      <c r="G325" s="10">
        <v>1</v>
      </c>
      <c r="H325" s="10">
        <v>1</v>
      </c>
      <c r="I325" s="10" t="s">
        <v>322</v>
      </c>
      <c r="J325" s="69">
        <f t="shared" si="27"/>
        <v>10308</v>
      </c>
      <c r="K325" s="10">
        <f t="shared" si="25"/>
        <v>308</v>
      </c>
      <c r="L325" s="10">
        <f t="shared" si="26"/>
        <v>307</v>
      </c>
      <c r="M325" s="10" t="s">
        <v>142</v>
      </c>
      <c r="N325" s="10" t="s">
        <v>324</v>
      </c>
      <c r="O325" s="7"/>
      <c r="P325" s="7"/>
    </row>
    <row r="326" spans="1:16" x14ac:dyDescent="0.3">
      <c r="B326" s="10" t="s">
        <v>1650</v>
      </c>
      <c r="C326" s="10" t="s">
        <v>2076</v>
      </c>
      <c r="D326" s="10">
        <v>1</v>
      </c>
      <c r="E326" s="10">
        <v>0</v>
      </c>
      <c r="F326" s="10">
        <v>1</v>
      </c>
      <c r="G326" s="10">
        <v>1</v>
      </c>
      <c r="H326" s="10">
        <v>1</v>
      </c>
      <c r="I326" s="10" t="s">
        <v>322</v>
      </c>
      <c r="J326" s="69">
        <f t="shared" si="27"/>
        <v>10309</v>
      </c>
      <c r="K326" s="10">
        <f t="shared" si="25"/>
        <v>309</v>
      </c>
      <c r="L326" s="10">
        <f t="shared" si="26"/>
        <v>308</v>
      </c>
      <c r="M326" s="10" t="s">
        <v>142</v>
      </c>
      <c r="N326" s="10" t="s">
        <v>324</v>
      </c>
      <c r="O326" s="7"/>
      <c r="P326" s="7"/>
    </row>
    <row r="327" spans="1:16" x14ac:dyDescent="0.3">
      <c r="B327" s="10" t="s">
        <v>1651</v>
      </c>
      <c r="C327" s="10" t="s">
        <v>2076</v>
      </c>
      <c r="D327" s="10">
        <v>1</v>
      </c>
      <c r="E327" s="10">
        <v>0</v>
      </c>
      <c r="F327" s="10">
        <v>1</v>
      </c>
      <c r="G327" s="10">
        <v>1</v>
      </c>
      <c r="H327" s="10">
        <v>1</v>
      </c>
      <c r="I327" s="10" t="s">
        <v>322</v>
      </c>
      <c r="J327" s="69">
        <f t="shared" si="27"/>
        <v>10310</v>
      </c>
      <c r="K327" s="10">
        <f t="shared" si="25"/>
        <v>310</v>
      </c>
      <c r="L327" s="10">
        <f t="shared" si="26"/>
        <v>309</v>
      </c>
      <c r="M327" s="10" t="s">
        <v>142</v>
      </c>
      <c r="N327" s="10" t="s">
        <v>324</v>
      </c>
      <c r="O327" s="7"/>
      <c r="P327" s="7"/>
    </row>
    <row r="328" spans="1:16" x14ac:dyDescent="0.3">
      <c r="B328" s="10" t="s">
        <v>1652</v>
      </c>
      <c r="C328" s="10" t="s">
        <v>2076</v>
      </c>
      <c r="D328" s="10">
        <v>1</v>
      </c>
      <c r="E328" s="10">
        <v>0</v>
      </c>
      <c r="F328" s="10">
        <v>1</v>
      </c>
      <c r="G328" s="10">
        <v>1</v>
      </c>
      <c r="H328" s="10">
        <v>1</v>
      </c>
      <c r="I328" s="10" t="s">
        <v>322</v>
      </c>
      <c r="J328" s="69">
        <f t="shared" si="27"/>
        <v>10311</v>
      </c>
      <c r="K328" s="10">
        <f t="shared" si="25"/>
        <v>311</v>
      </c>
      <c r="L328" s="10">
        <f t="shared" si="26"/>
        <v>310</v>
      </c>
      <c r="M328" s="10" t="s">
        <v>142</v>
      </c>
      <c r="N328" s="10" t="s">
        <v>324</v>
      </c>
      <c r="O328" s="7"/>
      <c r="P328" s="7"/>
    </row>
    <row r="329" spans="1:16" x14ac:dyDescent="0.3">
      <c r="B329" s="10" t="s">
        <v>1653</v>
      </c>
      <c r="C329" s="10" t="s">
        <v>2076</v>
      </c>
      <c r="D329" s="10">
        <v>1</v>
      </c>
      <c r="E329" s="10">
        <v>0</v>
      </c>
      <c r="F329" s="10">
        <v>1</v>
      </c>
      <c r="G329" s="10">
        <v>1</v>
      </c>
      <c r="H329" s="10">
        <v>1</v>
      </c>
      <c r="I329" s="10" t="s">
        <v>322</v>
      </c>
      <c r="J329" s="69">
        <f t="shared" si="27"/>
        <v>10312</v>
      </c>
      <c r="K329" s="10">
        <f t="shared" si="25"/>
        <v>312</v>
      </c>
      <c r="L329" s="10">
        <f t="shared" si="26"/>
        <v>311</v>
      </c>
      <c r="M329" s="10" t="s">
        <v>142</v>
      </c>
      <c r="N329" s="10" t="s">
        <v>324</v>
      </c>
      <c r="O329" s="7"/>
      <c r="P329" s="7"/>
    </row>
    <row r="330" spans="1:16" x14ac:dyDescent="0.3">
      <c r="B330" s="10" t="s">
        <v>1654</v>
      </c>
      <c r="C330" s="10" t="s">
        <v>2076</v>
      </c>
      <c r="D330" s="10">
        <v>1</v>
      </c>
      <c r="E330" s="10">
        <v>0</v>
      </c>
      <c r="F330" s="10">
        <v>1</v>
      </c>
      <c r="G330" s="10">
        <v>1</v>
      </c>
      <c r="H330" s="10">
        <v>1</v>
      </c>
      <c r="I330" s="10" t="s">
        <v>322</v>
      </c>
      <c r="J330" s="69">
        <f t="shared" si="27"/>
        <v>10313</v>
      </c>
      <c r="K330" s="10">
        <f t="shared" si="25"/>
        <v>313</v>
      </c>
      <c r="L330" s="10">
        <f t="shared" si="26"/>
        <v>312</v>
      </c>
      <c r="M330" s="10" t="s">
        <v>142</v>
      </c>
      <c r="N330" s="10" t="s">
        <v>324</v>
      </c>
      <c r="O330" s="7"/>
      <c r="P330" s="7"/>
    </row>
    <row r="331" spans="1:16" x14ac:dyDescent="0.3">
      <c r="B331" s="10" t="s">
        <v>320</v>
      </c>
      <c r="C331" s="10" t="s">
        <v>2076</v>
      </c>
      <c r="D331" s="10">
        <v>1</v>
      </c>
      <c r="E331" s="10">
        <v>0</v>
      </c>
      <c r="F331" s="10">
        <v>1</v>
      </c>
      <c r="G331" s="10">
        <v>1</v>
      </c>
      <c r="H331" s="10">
        <v>1</v>
      </c>
      <c r="I331" s="10" t="s">
        <v>322</v>
      </c>
      <c r="J331" s="69">
        <f t="shared" si="27"/>
        <v>10314</v>
      </c>
      <c r="K331" s="10">
        <f t="shared" si="25"/>
        <v>314</v>
      </c>
      <c r="L331" s="10">
        <f t="shared" si="26"/>
        <v>313</v>
      </c>
      <c r="M331" s="10" t="s">
        <v>142</v>
      </c>
      <c r="N331" s="10" t="s">
        <v>324</v>
      </c>
      <c r="O331" s="7"/>
      <c r="P331" s="7"/>
    </row>
    <row r="332" spans="1:16" x14ac:dyDescent="0.3">
      <c r="B332" s="193" t="s">
        <v>2145</v>
      </c>
      <c r="C332" s="193" t="s">
        <v>2076</v>
      </c>
      <c r="D332" s="193">
        <v>1</v>
      </c>
      <c r="E332" s="193">
        <v>0</v>
      </c>
      <c r="F332" s="193">
        <v>1</v>
      </c>
      <c r="G332" s="193">
        <v>1</v>
      </c>
      <c r="H332" s="193">
        <v>1</v>
      </c>
      <c r="I332" s="193" t="s">
        <v>322</v>
      </c>
      <c r="J332" s="200">
        <f t="shared" si="27"/>
        <v>10315</v>
      </c>
      <c r="K332" s="193">
        <f t="shared" si="25"/>
        <v>315</v>
      </c>
      <c r="L332" s="193">
        <f t="shared" si="26"/>
        <v>314</v>
      </c>
      <c r="M332" s="193" t="s">
        <v>142</v>
      </c>
      <c r="N332" s="10" t="s">
        <v>324</v>
      </c>
      <c r="O332" s="7"/>
      <c r="P332" s="7"/>
    </row>
    <row r="333" spans="1:16" x14ac:dyDescent="0.3">
      <c r="B333" s="193" t="s">
        <v>1655</v>
      </c>
      <c r="C333" s="10" t="s">
        <v>2076</v>
      </c>
      <c r="D333" s="10">
        <v>1</v>
      </c>
      <c r="E333" s="10">
        <v>0</v>
      </c>
      <c r="F333" s="10">
        <v>1</v>
      </c>
      <c r="G333" s="10">
        <v>1</v>
      </c>
      <c r="H333" s="10">
        <v>1</v>
      </c>
      <c r="I333" s="10" t="s">
        <v>322</v>
      </c>
      <c r="J333" s="69">
        <f t="shared" si="27"/>
        <v>10316</v>
      </c>
      <c r="K333" s="10">
        <f t="shared" si="25"/>
        <v>316</v>
      </c>
      <c r="L333" s="10">
        <f t="shared" si="26"/>
        <v>315</v>
      </c>
      <c r="M333" s="10" t="s">
        <v>142</v>
      </c>
      <c r="N333" s="10" t="s">
        <v>324</v>
      </c>
      <c r="O333" s="7"/>
      <c r="P333" s="7"/>
    </row>
    <row r="334" spans="1:16" x14ac:dyDescent="0.3">
      <c r="B334" s="10" t="s">
        <v>320</v>
      </c>
      <c r="C334" s="10" t="s">
        <v>2076</v>
      </c>
      <c r="D334" s="10">
        <v>1</v>
      </c>
      <c r="E334" s="10">
        <v>0</v>
      </c>
      <c r="F334" s="10">
        <v>1</v>
      </c>
      <c r="G334" s="10">
        <v>1</v>
      </c>
      <c r="H334" s="10">
        <v>1</v>
      </c>
      <c r="I334" s="10" t="s">
        <v>322</v>
      </c>
      <c r="J334" s="69">
        <f t="shared" si="27"/>
        <v>10317</v>
      </c>
      <c r="K334" s="10">
        <f t="shared" si="25"/>
        <v>317</v>
      </c>
      <c r="L334" s="10">
        <f t="shared" si="26"/>
        <v>316</v>
      </c>
      <c r="M334" s="10" t="s">
        <v>142</v>
      </c>
      <c r="N334" s="10" t="s">
        <v>324</v>
      </c>
      <c r="O334" s="7"/>
      <c r="P334" s="7"/>
    </row>
    <row r="335" spans="1:16" x14ac:dyDescent="0.3">
      <c r="B335" s="10" t="s">
        <v>320</v>
      </c>
      <c r="C335" s="10" t="s">
        <v>2076</v>
      </c>
      <c r="D335" s="10">
        <v>1</v>
      </c>
      <c r="E335" s="10">
        <v>0</v>
      </c>
      <c r="F335" s="10">
        <v>1</v>
      </c>
      <c r="G335" s="10">
        <v>1</v>
      </c>
      <c r="H335" s="10">
        <v>1</v>
      </c>
      <c r="I335" s="10" t="s">
        <v>322</v>
      </c>
      <c r="J335" s="69">
        <f t="shared" si="27"/>
        <v>10318</v>
      </c>
      <c r="K335" s="10">
        <f t="shared" si="25"/>
        <v>318</v>
      </c>
      <c r="L335" s="10">
        <f t="shared" si="26"/>
        <v>317</v>
      </c>
      <c r="M335" s="10" t="s">
        <v>142</v>
      </c>
      <c r="N335" s="10" t="s">
        <v>324</v>
      </c>
      <c r="O335" s="7"/>
      <c r="P335" s="7"/>
    </row>
    <row r="336" spans="1:16" x14ac:dyDescent="0.3">
      <c r="B336" s="10" t="s">
        <v>320</v>
      </c>
      <c r="C336" s="10" t="s">
        <v>2076</v>
      </c>
      <c r="D336" s="10">
        <v>1</v>
      </c>
      <c r="E336" s="10">
        <v>0</v>
      </c>
      <c r="F336" s="10">
        <v>1</v>
      </c>
      <c r="G336" s="10">
        <v>1</v>
      </c>
      <c r="H336" s="10">
        <v>1</v>
      </c>
      <c r="I336" s="10" t="s">
        <v>322</v>
      </c>
      <c r="J336" s="69">
        <f t="shared" si="27"/>
        <v>10319</v>
      </c>
      <c r="K336" s="10">
        <f t="shared" si="25"/>
        <v>319</v>
      </c>
      <c r="L336" s="10">
        <f t="shared" si="26"/>
        <v>318</v>
      </c>
      <c r="M336" s="10" t="s">
        <v>142</v>
      </c>
      <c r="N336" s="10" t="s">
        <v>324</v>
      </c>
      <c r="O336" s="7"/>
      <c r="P336" s="7"/>
    </row>
    <row r="337" spans="2:16" x14ac:dyDescent="0.3">
      <c r="B337" s="10" t="s">
        <v>320</v>
      </c>
      <c r="C337" s="10" t="s">
        <v>2076</v>
      </c>
      <c r="D337" s="10">
        <v>1</v>
      </c>
      <c r="E337" s="10">
        <v>0</v>
      </c>
      <c r="F337" s="10">
        <v>1</v>
      </c>
      <c r="G337" s="10">
        <v>1</v>
      </c>
      <c r="H337" s="10">
        <v>1</v>
      </c>
      <c r="I337" s="10" t="s">
        <v>322</v>
      </c>
      <c r="J337" s="69">
        <f t="shared" si="27"/>
        <v>10320</v>
      </c>
      <c r="K337" s="10">
        <f t="shared" ref="K337" si="28">J337-10000</f>
        <v>320</v>
      </c>
      <c r="L337" s="10">
        <f t="shared" ref="L337" si="29">K337-1</f>
        <v>319</v>
      </c>
      <c r="M337" s="10" t="s">
        <v>142</v>
      </c>
      <c r="N337" s="10" t="s">
        <v>324</v>
      </c>
      <c r="O337" s="7"/>
      <c r="P337" s="7"/>
    </row>
    <row r="338" spans="2:16" x14ac:dyDescent="0.3">
      <c r="B338" s="496" t="s">
        <v>2146</v>
      </c>
      <c r="C338" s="496"/>
      <c r="D338" s="496"/>
      <c r="E338" s="496"/>
      <c r="F338" s="496"/>
      <c r="G338" s="496"/>
      <c r="H338" s="496"/>
      <c r="I338" s="496"/>
      <c r="J338" s="496"/>
      <c r="K338" s="496"/>
      <c r="L338" s="496"/>
      <c r="M338" s="496"/>
      <c r="N338" s="496"/>
      <c r="O338" s="496"/>
      <c r="P338" s="496"/>
    </row>
    <row r="339" spans="2:16" x14ac:dyDescent="0.3">
      <c r="B339" s="10" t="s">
        <v>1656</v>
      </c>
      <c r="C339" s="10" t="s">
        <v>2076</v>
      </c>
      <c r="D339" s="10">
        <v>1</v>
      </c>
      <c r="E339" s="10">
        <v>0</v>
      </c>
      <c r="F339" s="10">
        <v>1</v>
      </c>
      <c r="G339" s="10">
        <v>1</v>
      </c>
      <c r="H339" s="10">
        <v>1</v>
      </c>
      <c r="I339" s="10" t="s">
        <v>322</v>
      </c>
      <c r="J339" s="69">
        <f>J337+D337</f>
        <v>10321</v>
      </c>
      <c r="K339" s="10">
        <f t="shared" ref="K339:K402" si="30">J339-10000</f>
        <v>321</v>
      </c>
      <c r="L339" s="10">
        <f t="shared" ref="L339:L402" si="31">K339-1</f>
        <v>320</v>
      </c>
      <c r="M339" s="10" t="s">
        <v>142</v>
      </c>
      <c r="N339" s="10" t="s">
        <v>324</v>
      </c>
      <c r="O339" s="7"/>
      <c r="P339" s="7"/>
    </row>
    <row r="340" spans="2:16" x14ac:dyDescent="0.3">
      <c r="B340" s="10" t="s">
        <v>1657</v>
      </c>
      <c r="C340" s="10" t="s">
        <v>2076</v>
      </c>
      <c r="D340" s="10">
        <v>1</v>
      </c>
      <c r="E340" s="10">
        <v>0</v>
      </c>
      <c r="F340" s="10">
        <v>1</v>
      </c>
      <c r="G340" s="10">
        <v>1</v>
      </c>
      <c r="H340" s="10">
        <v>1</v>
      </c>
      <c r="I340" s="10" t="s">
        <v>322</v>
      </c>
      <c r="J340" s="69">
        <f t="shared" si="27"/>
        <v>10322</v>
      </c>
      <c r="K340" s="10">
        <f t="shared" si="30"/>
        <v>322</v>
      </c>
      <c r="L340" s="10">
        <f t="shared" si="31"/>
        <v>321</v>
      </c>
      <c r="M340" s="10" t="s">
        <v>142</v>
      </c>
      <c r="N340" s="10" t="s">
        <v>324</v>
      </c>
      <c r="O340" s="7"/>
      <c r="P340" s="7"/>
    </row>
    <row r="341" spans="2:16" x14ac:dyDescent="0.3">
      <c r="B341" s="10" t="s">
        <v>1658</v>
      </c>
      <c r="C341" s="10" t="s">
        <v>2076</v>
      </c>
      <c r="D341" s="10">
        <v>1</v>
      </c>
      <c r="E341" s="10">
        <v>0</v>
      </c>
      <c r="F341" s="10">
        <v>1</v>
      </c>
      <c r="G341" s="10">
        <v>1</v>
      </c>
      <c r="H341" s="10">
        <v>1</v>
      </c>
      <c r="I341" s="10" t="s">
        <v>322</v>
      </c>
      <c r="J341" s="69">
        <f t="shared" si="27"/>
        <v>10323</v>
      </c>
      <c r="K341" s="10">
        <f t="shared" si="30"/>
        <v>323</v>
      </c>
      <c r="L341" s="10">
        <f t="shared" si="31"/>
        <v>322</v>
      </c>
      <c r="M341" s="10" t="s">
        <v>142</v>
      </c>
      <c r="N341" s="10" t="s">
        <v>324</v>
      </c>
      <c r="O341" s="7"/>
      <c r="P341" s="7"/>
    </row>
    <row r="342" spans="2:16" x14ac:dyDescent="0.3">
      <c r="B342" s="10" t="s">
        <v>1659</v>
      </c>
      <c r="C342" s="10" t="s">
        <v>2076</v>
      </c>
      <c r="D342" s="10">
        <v>1</v>
      </c>
      <c r="E342" s="10">
        <v>0</v>
      </c>
      <c r="F342" s="10">
        <v>1</v>
      </c>
      <c r="G342" s="10">
        <v>1</v>
      </c>
      <c r="H342" s="10">
        <v>1</v>
      </c>
      <c r="I342" s="10" t="s">
        <v>322</v>
      </c>
      <c r="J342" s="69">
        <f t="shared" si="27"/>
        <v>10324</v>
      </c>
      <c r="K342" s="10">
        <f t="shared" si="30"/>
        <v>324</v>
      </c>
      <c r="L342" s="10">
        <f t="shared" si="31"/>
        <v>323</v>
      </c>
      <c r="M342" s="10" t="s">
        <v>142</v>
      </c>
      <c r="N342" s="10" t="s">
        <v>324</v>
      </c>
      <c r="O342" s="7"/>
      <c r="P342" s="7"/>
    </row>
    <row r="343" spans="2:16" x14ac:dyDescent="0.3">
      <c r="B343" s="10" t="s">
        <v>1660</v>
      </c>
      <c r="C343" s="10" t="s">
        <v>2076</v>
      </c>
      <c r="D343" s="10">
        <v>1</v>
      </c>
      <c r="E343" s="10">
        <v>0</v>
      </c>
      <c r="F343" s="10">
        <v>1</v>
      </c>
      <c r="G343" s="10">
        <v>1</v>
      </c>
      <c r="H343" s="10">
        <v>1</v>
      </c>
      <c r="I343" s="10" t="s">
        <v>322</v>
      </c>
      <c r="J343" s="69">
        <f t="shared" si="27"/>
        <v>10325</v>
      </c>
      <c r="K343" s="10">
        <f t="shared" si="30"/>
        <v>325</v>
      </c>
      <c r="L343" s="10">
        <f t="shared" si="31"/>
        <v>324</v>
      </c>
      <c r="M343" s="10" t="s">
        <v>142</v>
      </c>
      <c r="N343" s="10" t="s">
        <v>324</v>
      </c>
      <c r="O343" s="7"/>
      <c r="P343" s="7"/>
    </row>
    <row r="344" spans="2:16" x14ac:dyDescent="0.3">
      <c r="B344" s="10" t="s">
        <v>1661</v>
      </c>
      <c r="C344" s="10" t="s">
        <v>2076</v>
      </c>
      <c r="D344" s="10">
        <v>1</v>
      </c>
      <c r="E344" s="10">
        <v>0</v>
      </c>
      <c r="F344" s="10">
        <v>1</v>
      </c>
      <c r="G344" s="10">
        <v>1</v>
      </c>
      <c r="H344" s="10">
        <v>1</v>
      </c>
      <c r="I344" s="10" t="s">
        <v>322</v>
      </c>
      <c r="J344" s="69">
        <f t="shared" si="27"/>
        <v>10326</v>
      </c>
      <c r="K344" s="10">
        <f t="shared" si="30"/>
        <v>326</v>
      </c>
      <c r="L344" s="10">
        <f t="shared" si="31"/>
        <v>325</v>
      </c>
      <c r="M344" s="10" t="s">
        <v>142</v>
      </c>
      <c r="N344" s="10" t="s">
        <v>324</v>
      </c>
      <c r="O344" s="7"/>
      <c r="P344" s="7"/>
    </row>
    <row r="345" spans="2:16" x14ac:dyDescent="0.3">
      <c r="B345" s="10" t="s">
        <v>1662</v>
      </c>
      <c r="C345" s="10" t="s">
        <v>2076</v>
      </c>
      <c r="D345" s="10">
        <v>1</v>
      </c>
      <c r="E345" s="10">
        <v>0</v>
      </c>
      <c r="F345" s="10">
        <v>1</v>
      </c>
      <c r="G345" s="10">
        <v>1</v>
      </c>
      <c r="H345" s="10">
        <v>1</v>
      </c>
      <c r="I345" s="10" t="s">
        <v>322</v>
      </c>
      <c r="J345" s="69">
        <f t="shared" si="27"/>
        <v>10327</v>
      </c>
      <c r="K345" s="10">
        <f t="shared" si="30"/>
        <v>327</v>
      </c>
      <c r="L345" s="10">
        <f t="shared" si="31"/>
        <v>326</v>
      </c>
      <c r="M345" s="10" t="s">
        <v>142</v>
      </c>
      <c r="N345" s="10" t="s">
        <v>324</v>
      </c>
      <c r="O345" s="59"/>
      <c r="P345" s="59"/>
    </row>
    <row r="346" spans="2:16" x14ac:dyDescent="0.3">
      <c r="B346" s="10" t="s">
        <v>1663</v>
      </c>
      <c r="C346" s="10" t="s">
        <v>2076</v>
      </c>
      <c r="D346" s="10">
        <v>1</v>
      </c>
      <c r="E346" s="10">
        <v>0</v>
      </c>
      <c r="F346" s="10">
        <v>1</v>
      </c>
      <c r="G346" s="10">
        <v>1</v>
      </c>
      <c r="H346" s="10">
        <v>1</v>
      </c>
      <c r="I346" s="10" t="s">
        <v>322</v>
      </c>
      <c r="J346" s="69">
        <f t="shared" si="27"/>
        <v>10328</v>
      </c>
      <c r="K346" s="10">
        <f t="shared" si="30"/>
        <v>328</v>
      </c>
      <c r="L346" s="10">
        <f t="shared" si="31"/>
        <v>327</v>
      </c>
      <c r="M346" s="10" t="s">
        <v>142</v>
      </c>
      <c r="N346" s="10" t="s">
        <v>324</v>
      </c>
      <c r="O346" s="59"/>
      <c r="P346" s="59"/>
    </row>
    <row r="347" spans="2:16" x14ac:dyDescent="0.3">
      <c r="B347" s="10" t="s">
        <v>1664</v>
      </c>
      <c r="C347" s="10" t="s">
        <v>2076</v>
      </c>
      <c r="D347" s="10">
        <v>1</v>
      </c>
      <c r="E347" s="10">
        <v>0</v>
      </c>
      <c r="F347" s="10">
        <v>1</v>
      </c>
      <c r="G347" s="10">
        <v>1</v>
      </c>
      <c r="H347" s="10">
        <v>1</v>
      </c>
      <c r="I347" s="10" t="s">
        <v>322</v>
      </c>
      <c r="J347" s="69">
        <f t="shared" si="27"/>
        <v>10329</v>
      </c>
      <c r="K347" s="10">
        <f t="shared" si="30"/>
        <v>329</v>
      </c>
      <c r="L347" s="10">
        <f t="shared" si="31"/>
        <v>328</v>
      </c>
      <c r="M347" s="10" t="s">
        <v>142</v>
      </c>
      <c r="N347" s="10" t="s">
        <v>324</v>
      </c>
      <c r="O347" s="59"/>
      <c r="P347" s="59"/>
    </row>
    <row r="348" spans="2:16" x14ac:dyDescent="0.3">
      <c r="B348" s="10" t="s">
        <v>1665</v>
      </c>
      <c r="C348" s="10" t="s">
        <v>2076</v>
      </c>
      <c r="D348" s="10">
        <v>1</v>
      </c>
      <c r="E348" s="10">
        <v>0</v>
      </c>
      <c r="F348" s="10">
        <v>1</v>
      </c>
      <c r="G348" s="10">
        <v>1</v>
      </c>
      <c r="H348" s="10">
        <v>1</v>
      </c>
      <c r="I348" s="10" t="s">
        <v>322</v>
      </c>
      <c r="J348" s="69">
        <f t="shared" si="27"/>
        <v>10330</v>
      </c>
      <c r="K348" s="10">
        <f t="shared" si="30"/>
        <v>330</v>
      </c>
      <c r="L348" s="10">
        <f t="shared" si="31"/>
        <v>329</v>
      </c>
      <c r="M348" s="10" t="s">
        <v>142</v>
      </c>
      <c r="N348" s="10" t="s">
        <v>324</v>
      </c>
      <c r="O348" s="59"/>
      <c r="P348" s="59"/>
    </row>
    <row r="349" spans="2:16" x14ac:dyDescent="0.3">
      <c r="B349" s="10" t="s">
        <v>1666</v>
      </c>
      <c r="C349" s="10" t="s">
        <v>2076</v>
      </c>
      <c r="D349" s="10">
        <v>1</v>
      </c>
      <c r="E349" s="10">
        <v>0</v>
      </c>
      <c r="F349" s="10">
        <v>1</v>
      </c>
      <c r="G349" s="10">
        <v>1</v>
      </c>
      <c r="H349" s="10">
        <v>1</v>
      </c>
      <c r="I349" s="10" t="s">
        <v>322</v>
      </c>
      <c r="J349" s="69">
        <f t="shared" si="27"/>
        <v>10331</v>
      </c>
      <c r="K349" s="10">
        <f t="shared" si="30"/>
        <v>331</v>
      </c>
      <c r="L349" s="10">
        <f t="shared" si="31"/>
        <v>330</v>
      </c>
      <c r="M349" s="10" t="s">
        <v>142</v>
      </c>
      <c r="N349" s="10" t="s">
        <v>324</v>
      </c>
      <c r="O349" s="59"/>
      <c r="P349" s="59"/>
    </row>
    <row r="350" spans="2:16" x14ac:dyDescent="0.3">
      <c r="B350" s="10" t="s">
        <v>1667</v>
      </c>
      <c r="C350" s="10" t="s">
        <v>2076</v>
      </c>
      <c r="D350" s="10">
        <v>1</v>
      </c>
      <c r="E350" s="10">
        <v>0</v>
      </c>
      <c r="F350" s="10">
        <v>1</v>
      </c>
      <c r="G350" s="10">
        <v>1</v>
      </c>
      <c r="H350" s="10">
        <v>1</v>
      </c>
      <c r="I350" s="10" t="s">
        <v>322</v>
      </c>
      <c r="J350" s="69">
        <f t="shared" si="27"/>
        <v>10332</v>
      </c>
      <c r="K350" s="10">
        <f t="shared" si="30"/>
        <v>332</v>
      </c>
      <c r="L350" s="10">
        <f t="shared" si="31"/>
        <v>331</v>
      </c>
      <c r="M350" s="10" t="s">
        <v>142</v>
      </c>
      <c r="N350" s="10" t="s">
        <v>324</v>
      </c>
      <c r="O350" s="59"/>
      <c r="P350" s="59"/>
    </row>
    <row r="351" spans="2:16" x14ac:dyDescent="0.3">
      <c r="B351" s="10" t="s">
        <v>1668</v>
      </c>
      <c r="C351" s="10" t="s">
        <v>2076</v>
      </c>
      <c r="D351" s="10">
        <v>1</v>
      </c>
      <c r="E351" s="10">
        <v>0</v>
      </c>
      <c r="F351" s="10">
        <v>1</v>
      </c>
      <c r="G351" s="10">
        <v>1</v>
      </c>
      <c r="H351" s="10">
        <v>1</v>
      </c>
      <c r="I351" s="10" t="s">
        <v>322</v>
      </c>
      <c r="J351" s="69">
        <f t="shared" si="27"/>
        <v>10333</v>
      </c>
      <c r="K351" s="10">
        <f t="shared" si="30"/>
        <v>333</v>
      </c>
      <c r="L351" s="10">
        <f t="shared" si="31"/>
        <v>332</v>
      </c>
      <c r="M351" s="10" t="s">
        <v>142</v>
      </c>
      <c r="N351" s="10" t="s">
        <v>324</v>
      </c>
      <c r="O351" s="59"/>
      <c r="P351" s="59"/>
    </row>
    <row r="352" spans="2:16" x14ac:dyDescent="0.3">
      <c r="B352" s="10" t="s">
        <v>1669</v>
      </c>
      <c r="C352" s="10" t="s">
        <v>2076</v>
      </c>
      <c r="D352" s="10">
        <v>1</v>
      </c>
      <c r="E352" s="10">
        <v>0</v>
      </c>
      <c r="F352" s="10">
        <v>1</v>
      </c>
      <c r="G352" s="10">
        <v>1</v>
      </c>
      <c r="H352" s="10">
        <v>1</v>
      </c>
      <c r="I352" s="10" t="s">
        <v>322</v>
      </c>
      <c r="J352" s="69">
        <f t="shared" si="27"/>
        <v>10334</v>
      </c>
      <c r="K352" s="10">
        <f t="shared" si="30"/>
        <v>334</v>
      </c>
      <c r="L352" s="10">
        <f t="shared" si="31"/>
        <v>333</v>
      </c>
      <c r="M352" s="10" t="s">
        <v>142</v>
      </c>
      <c r="N352" s="10" t="s">
        <v>324</v>
      </c>
      <c r="O352" s="59"/>
      <c r="P352" s="59"/>
    </row>
    <row r="353" spans="1:16" x14ac:dyDescent="0.3">
      <c r="B353" s="10" t="s">
        <v>1670</v>
      </c>
      <c r="C353" s="10" t="s">
        <v>2076</v>
      </c>
      <c r="D353" s="10">
        <v>1</v>
      </c>
      <c r="E353" s="10">
        <v>0</v>
      </c>
      <c r="F353" s="10">
        <v>1</v>
      </c>
      <c r="G353" s="10">
        <v>1</v>
      </c>
      <c r="H353" s="10">
        <v>1</v>
      </c>
      <c r="I353" s="10" t="s">
        <v>322</v>
      </c>
      <c r="J353" s="69">
        <f t="shared" si="27"/>
        <v>10335</v>
      </c>
      <c r="K353" s="10">
        <f t="shared" si="30"/>
        <v>335</v>
      </c>
      <c r="L353" s="10">
        <f t="shared" si="31"/>
        <v>334</v>
      </c>
      <c r="M353" s="10" t="s">
        <v>142</v>
      </c>
      <c r="N353" s="10" t="s">
        <v>324</v>
      </c>
      <c r="O353" s="59"/>
      <c r="P353" s="59"/>
    </row>
    <row r="354" spans="1:16" x14ac:dyDescent="0.3">
      <c r="B354" s="10" t="s">
        <v>1671</v>
      </c>
      <c r="C354" s="10" t="s">
        <v>2076</v>
      </c>
      <c r="D354" s="10">
        <v>1</v>
      </c>
      <c r="E354" s="10">
        <v>0</v>
      </c>
      <c r="F354" s="10">
        <v>1</v>
      </c>
      <c r="G354" s="10">
        <v>1</v>
      </c>
      <c r="H354" s="10">
        <v>1</v>
      </c>
      <c r="I354" s="10" t="s">
        <v>322</v>
      </c>
      <c r="J354" s="69">
        <f t="shared" si="27"/>
        <v>10336</v>
      </c>
      <c r="K354" s="10">
        <f t="shared" si="30"/>
        <v>336</v>
      </c>
      <c r="L354" s="10">
        <f t="shared" si="31"/>
        <v>335</v>
      </c>
      <c r="M354" s="10" t="s">
        <v>142</v>
      </c>
      <c r="N354" s="10" t="s">
        <v>324</v>
      </c>
      <c r="O354" s="59"/>
      <c r="P354" s="59"/>
    </row>
    <row r="355" spans="1:16" x14ac:dyDescent="0.3">
      <c r="B355" s="10" t="s">
        <v>1672</v>
      </c>
      <c r="C355" s="10" t="s">
        <v>2076</v>
      </c>
      <c r="D355" s="10">
        <v>1</v>
      </c>
      <c r="E355" s="10">
        <v>0</v>
      </c>
      <c r="F355" s="10">
        <v>1</v>
      </c>
      <c r="G355" s="10">
        <v>1</v>
      </c>
      <c r="H355" s="10">
        <v>1</v>
      </c>
      <c r="I355" s="10" t="s">
        <v>322</v>
      </c>
      <c r="J355" s="69">
        <f t="shared" si="27"/>
        <v>10337</v>
      </c>
      <c r="K355" s="10">
        <f t="shared" si="30"/>
        <v>337</v>
      </c>
      <c r="L355" s="10">
        <f t="shared" si="31"/>
        <v>336</v>
      </c>
      <c r="M355" s="10" t="s">
        <v>142</v>
      </c>
      <c r="N355" s="10" t="s">
        <v>324</v>
      </c>
      <c r="O355" s="59"/>
      <c r="P355" s="59"/>
    </row>
    <row r="356" spans="1:16" x14ac:dyDescent="0.3">
      <c r="B356" s="10" t="s">
        <v>1673</v>
      </c>
      <c r="C356" s="10" t="s">
        <v>2076</v>
      </c>
      <c r="D356" s="10">
        <v>1</v>
      </c>
      <c r="E356" s="10">
        <v>0</v>
      </c>
      <c r="F356" s="10">
        <v>1</v>
      </c>
      <c r="G356" s="10">
        <v>1</v>
      </c>
      <c r="H356" s="10">
        <v>1</v>
      </c>
      <c r="I356" s="10" t="s">
        <v>322</v>
      </c>
      <c r="J356" s="69">
        <f t="shared" si="27"/>
        <v>10338</v>
      </c>
      <c r="K356" s="10">
        <f t="shared" si="30"/>
        <v>338</v>
      </c>
      <c r="L356" s="10">
        <f t="shared" si="31"/>
        <v>337</v>
      </c>
      <c r="M356" s="10" t="s">
        <v>142</v>
      </c>
      <c r="N356" s="10" t="s">
        <v>324</v>
      </c>
      <c r="O356" s="59"/>
      <c r="P356" s="59"/>
    </row>
    <row r="357" spans="1:16" x14ac:dyDescent="0.3">
      <c r="B357" s="10" t="s">
        <v>1674</v>
      </c>
      <c r="C357" s="10" t="s">
        <v>2076</v>
      </c>
      <c r="D357" s="10">
        <v>1</v>
      </c>
      <c r="E357" s="10">
        <v>0</v>
      </c>
      <c r="F357" s="10">
        <v>1</v>
      </c>
      <c r="G357" s="10">
        <v>1</v>
      </c>
      <c r="H357" s="10">
        <v>1</v>
      </c>
      <c r="I357" s="10" t="s">
        <v>322</v>
      </c>
      <c r="J357" s="69">
        <f t="shared" si="27"/>
        <v>10339</v>
      </c>
      <c r="K357" s="10">
        <f t="shared" si="30"/>
        <v>339</v>
      </c>
      <c r="L357" s="10">
        <f t="shared" si="31"/>
        <v>338</v>
      </c>
      <c r="M357" s="10" t="s">
        <v>142</v>
      </c>
      <c r="N357" s="10" t="s">
        <v>324</v>
      </c>
      <c r="O357" s="59"/>
      <c r="P357" s="59"/>
    </row>
    <row r="358" spans="1:16" x14ac:dyDescent="0.3">
      <c r="A358" s="6" t="s">
        <v>3846</v>
      </c>
      <c r="B358" s="407" t="s">
        <v>320</v>
      </c>
      <c r="C358" s="10" t="s">
        <v>2076</v>
      </c>
      <c r="D358" s="10">
        <v>1</v>
      </c>
      <c r="E358" s="10">
        <v>0</v>
      </c>
      <c r="F358" s="10">
        <v>1</v>
      </c>
      <c r="G358" s="10">
        <v>1</v>
      </c>
      <c r="H358" s="10">
        <v>1</v>
      </c>
      <c r="I358" s="10" t="s">
        <v>322</v>
      </c>
      <c r="J358" s="69">
        <f t="shared" si="27"/>
        <v>10340</v>
      </c>
      <c r="K358" s="10">
        <f t="shared" si="30"/>
        <v>340</v>
      </c>
      <c r="L358" s="10">
        <f t="shared" si="31"/>
        <v>339</v>
      </c>
      <c r="M358" s="10" t="s">
        <v>142</v>
      </c>
      <c r="N358" s="10" t="s">
        <v>324</v>
      </c>
      <c r="O358" s="59"/>
      <c r="P358" s="59"/>
    </row>
    <row r="359" spans="1:16" x14ac:dyDescent="0.3">
      <c r="B359" s="10" t="s">
        <v>1675</v>
      </c>
      <c r="C359" s="10" t="s">
        <v>2076</v>
      </c>
      <c r="D359" s="10">
        <v>1</v>
      </c>
      <c r="E359" s="10">
        <v>0</v>
      </c>
      <c r="F359" s="10">
        <v>1</v>
      </c>
      <c r="G359" s="10">
        <v>1</v>
      </c>
      <c r="H359" s="10">
        <v>1</v>
      </c>
      <c r="I359" s="10" t="s">
        <v>322</v>
      </c>
      <c r="J359" s="69">
        <f t="shared" si="27"/>
        <v>10341</v>
      </c>
      <c r="K359" s="10">
        <f t="shared" si="30"/>
        <v>341</v>
      </c>
      <c r="L359" s="10">
        <f t="shared" si="31"/>
        <v>340</v>
      </c>
      <c r="M359" s="10" t="s">
        <v>142</v>
      </c>
      <c r="N359" s="10" t="s">
        <v>324</v>
      </c>
      <c r="O359" s="59"/>
      <c r="P359" s="59"/>
    </row>
    <row r="360" spans="1:16" x14ac:dyDescent="0.3">
      <c r="B360" s="10" t="s">
        <v>1676</v>
      </c>
      <c r="C360" s="10" t="s">
        <v>2076</v>
      </c>
      <c r="D360" s="10">
        <v>1</v>
      </c>
      <c r="E360" s="10">
        <v>0</v>
      </c>
      <c r="F360" s="10">
        <v>1</v>
      </c>
      <c r="G360" s="10">
        <v>1</v>
      </c>
      <c r="H360" s="10">
        <v>1</v>
      </c>
      <c r="I360" s="10" t="s">
        <v>322</v>
      </c>
      <c r="J360" s="69">
        <f t="shared" si="27"/>
        <v>10342</v>
      </c>
      <c r="K360" s="10">
        <f t="shared" si="30"/>
        <v>342</v>
      </c>
      <c r="L360" s="10">
        <f t="shared" si="31"/>
        <v>341</v>
      </c>
      <c r="M360" s="10" t="s">
        <v>142</v>
      </c>
      <c r="N360" s="10" t="s">
        <v>324</v>
      </c>
      <c r="O360" s="59"/>
      <c r="P360" s="59"/>
    </row>
    <row r="361" spans="1:16" x14ac:dyDescent="0.3">
      <c r="B361" s="10" t="s">
        <v>1677</v>
      </c>
      <c r="C361" s="10" t="s">
        <v>2076</v>
      </c>
      <c r="D361" s="10">
        <v>1</v>
      </c>
      <c r="E361" s="10">
        <v>0</v>
      </c>
      <c r="F361" s="10">
        <v>1</v>
      </c>
      <c r="G361" s="10">
        <v>1</v>
      </c>
      <c r="H361" s="10">
        <v>1</v>
      </c>
      <c r="I361" s="10" t="s">
        <v>322</v>
      </c>
      <c r="J361" s="69">
        <f t="shared" si="27"/>
        <v>10343</v>
      </c>
      <c r="K361" s="10">
        <f t="shared" si="30"/>
        <v>343</v>
      </c>
      <c r="L361" s="10">
        <f t="shared" si="31"/>
        <v>342</v>
      </c>
      <c r="M361" s="10" t="s">
        <v>142</v>
      </c>
      <c r="N361" s="10" t="s">
        <v>324</v>
      </c>
      <c r="O361" s="59"/>
      <c r="P361" s="59"/>
    </row>
    <row r="362" spans="1:16" x14ac:dyDescent="0.3">
      <c r="B362" s="10" t="s">
        <v>1678</v>
      </c>
      <c r="C362" s="10" t="s">
        <v>2076</v>
      </c>
      <c r="D362" s="10">
        <v>1</v>
      </c>
      <c r="E362" s="10">
        <v>0</v>
      </c>
      <c r="F362" s="10">
        <v>1</v>
      </c>
      <c r="G362" s="10">
        <v>1</v>
      </c>
      <c r="H362" s="10">
        <v>1</v>
      </c>
      <c r="I362" s="10" t="s">
        <v>322</v>
      </c>
      <c r="J362" s="69">
        <f t="shared" si="27"/>
        <v>10344</v>
      </c>
      <c r="K362" s="10">
        <f t="shared" si="30"/>
        <v>344</v>
      </c>
      <c r="L362" s="10">
        <f t="shared" si="31"/>
        <v>343</v>
      </c>
      <c r="M362" s="10" t="s">
        <v>142</v>
      </c>
      <c r="N362" s="10" t="s">
        <v>324</v>
      </c>
      <c r="O362" s="59"/>
      <c r="P362" s="59"/>
    </row>
    <row r="363" spans="1:16" x14ac:dyDescent="0.3">
      <c r="B363" s="10" t="s">
        <v>1679</v>
      </c>
      <c r="C363" s="10" t="s">
        <v>2076</v>
      </c>
      <c r="D363" s="10">
        <v>1</v>
      </c>
      <c r="E363" s="10">
        <v>0</v>
      </c>
      <c r="F363" s="10">
        <v>1</v>
      </c>
      <c r="G363" s="10">
        <v>1</v>
      </c>
      <c r="H363" s="10">
        <v>1</v>
      </c>
      <c r="I363" s="10" t="s">
        <v>322</v>
      </c>
      <c r="J363" s="69">
        <f t="shared" si="27"/>
        <v>10345</v>
      </c>
      <c r="K363" s="10">
        <f t="shared" si="30"/>
        <v>345</v>
      </c>
      <c r="L363" s="10">
        <f t="shared" si="31"/>
        <v>344</v>
      </c>
      <c r="M363" s="10" t="s">
        <v>142</v>
      </c>
      <c r="N363" s="10" t="s">
        <v>324</v>
      </c>
      <c r="O363" s="59"/>
      <c r="P363" s="59"/>
    </row>
    <row r="364" spans="1:16" x14ac:dyDescent="0.3">
      <c r="B364" s="10" t="s">
        <v>320</v>
      </c>
      <c r="C364" s="10" t="s">
        <v>2076</v>
      </c>
      <c r="D364" s="10">
        <v>1</v>
      </c>
      <c r="E364" s="10">
        <v>0</v>
      </c>
      <c r="F364" s="10">
        <v>1</v>
      </c>
      <c r="G364" s="10">
        <v>1</v>
      </c>
      <c r="H364" s="10">
        <v>1</v>
      </c>
      <c r="I364" s="10" t="s">
        <v>322</v>
      </c>
      <c r="J364" s="69">
        <f t="shared" ref="J364:J427" si="32">J363+D363</f>
        <v>10346</v>
      </c>
      <c r="K364" s="10">
        <f t="shared" si="30"/>
        <v>346</v>
      </c>
      <c r="L364" s="10">
        <f t="shared" si="31"/>
        <v>345</v>
      </c>
      <c r="M364" s="10" t="s">
        <v>142</v>
      </c>
      <c r="N364" s="10" t="s">
        <v>324</v>
      </c>
      <c r="O364" s="59"/>
      <c r="P364" s="59"/>
    </row>
    <row r="365" spans="1:16" x14ac:dyDescent="0.3">
      <c r="B365" s="193" t="s">
        <v>2147</v>
      </c>
      <c r="C365" s="193" t="s">
        <v>2076</v>
      </c>
      <c r="D365" s="193">
        <v>1</v>
      </c>
      <c r="E365" s="193">
        <v>0</v>
      </c>
      <c r="F365" s="193">
        <v>1</v>
      </c>
      <c r="G365" s="193">
        <v>1</v>
      </c>
      <c r="H365" s="193">
        <v>1</v>
      </c>
      <c r="I365" s="193" t="s">
        <v>322</v>
      </c>
      <c r="J365" s="200">
        <f t="shared" si="32"/>
        <v>10347</v>
      </c>
      <c r="K365" s="193">
        <f t="shared" si="30"/>
        <v>347</v>
      </c>
      <c r="L365" s="193">
        <f t="shared" si="31"/>
        <v>346</v>
      </c>
      <c r="M365" s="193" t="s">
        <v>142</v>
      </c>
      <c r="N365" s="10" t="s">
        <v>324</v>
      </c>
      <c r="O365" s="59"/>
      <c r="P365" s="59"/>
    </row>
    <row r="366" spans="1:16" x14ac:dyDescent="0.3">
      <c r="B366" s="193" t="s">
        <v>2148</v>
      </c>
      <c r="C366" s="10" t="s">
        <v>2076</v>
      </c>
      <c r="D366" s="10">
        <v>1</v>
      </c>
      <c r="E366" s="10">
        <v>0</v>
      </c>
      <c r="F366" s="10">
        <v>1</v>
      </c>
      <c r="G366" s="10">
        <v>1</v>
      </c>
      <c r="H366" s="10">
        <v>1</v>
      </c>
      <c r="I366" s="10" t="s">
        <v>322</v>
      </c>
      <c r="J366" s="69">
        <f t="shared" si="32"/>
        <v>10348</v>
      </c>
      <c r="K366" s="10">
        <f t="shared" si="30"/>
        <v>348</v>
      </c>
      <c r="L366" s="10">
        <f t="shared" si="31"/>
        <v>347</v>
      </c>
      <c r="M366" s="10" t="s">
        <v>142</v>
      </c>
      <c r="N366" s="10" t="s">
        <v>324</v>
      </c>
      <c r="O366" s="59"/>
      <c r="P366" s="59"/>
    </row>
    <row r="367" spans="1:16" x14ac:dyDescent="0.3">
      <c r="B367" s="10" t="s">
        <v>320</v>
      </c>
      <c r="C367" s="10" t="s">
        <v>2076</v>
      </c>
      <c r="D367" s="10">
        <v>1</v>
      </c>
      <c r="E367" s="10">
        <v>0</v>
      </c>
      <c r="F367" s="10">
        <v>1</v>
      </c>
      <c r="G367" s="10">
        <v>1</v>
      </c>
      <c r="H367" s="10">
        <v>1</v>
      </c>
      <c r="I367" s="10" t="s">
        <v>322</v>
      </c>
      <c r="J367" s="69">
        <f t="shared" si="32"/>
        <v>10349</v>
      </c>
      <c r="K367" s="10">
        <f t="shared" si="30"/>
        <v>349</v>
      </c>
      <c r="L367" s="10">
        <f t="shared" si="31"/>
        <v>348</v>
      </c>
      <c r="M367" s="10" t="s">
        <v>142</v>
      </c>
      <c r="N367" s="10" t="s">
        <v>324</v>
      </c>
      <c r="O367" s="59"/>
      <c r="P367" s="59"/>
    </row>
    <row r="368" spans="1:16" x14ac:dyDescent="0.3">
      <c r="B368" s="10" t="s">
        <v>320</v>
      </c>
      <c r="C368" s="10" t="s">
        <v>2076</v>
      </c>
      <c r="D368" s="10">
        <v>1</v>
      </c>
      <c r="E368" s="10">
        <v>0</v>
      </c>
      <c r="F368" s="10">
        <v>1</v>
      </c>
      <c r="G368" s="10">
        <v>1</v>
      </c>
      <c r="H368" s="10">
        <v>1</v>
      </c>
      <c r="I368" s="10" t="s">
        <v>322</v>
      </c>
      <c r="J368" s="69">
        <f t="shared" si="32"/>
        <v>10350</v>
      </c>
      <c r="K368" s="10">
        <f t="shared" si="30"/>
        <v>350</v>
      </c>
      <c r="L368" s="10">
        <f t="shared" si="31"/>
        <v>349</v>
      </c>
      <c r="M368" s="10" t="s">
        <v>142</v>
      </c>
      <c r="N368" s="10" t="s">
        <v>324</v>
      </c>
      <c r="O368" s="59"/>
      <c r="P368" s="59"/>
    </row>
    <row r="369" spans="2:16" x14ac:dyDescent="0.3">
      <c r="B369" s="10" t="s">
        <v>320</v>
      </c>
      <c r="C369" s="10" t="s">
        <v>2076</v>
      </c>
      <c r="D369" s="10">
        <v>1</v>
      </c>
      <c r="E369" s="10">
        <v>0</v>
      </c>
      <c r="F369" s="10">
        <v>1</v>
      </c>
      <c r="G369" s="10">
        <v>1</v>
      </c>
      <c r="H369" s="10">
        <v>1</v>
      </c>
      <c r="I369" s="10" t="s">
        <v>322</v>
      </c>
      <c r="J369" s="69">
        <f t="shared" si="32"/>
        <v>10351</v>
      </c>
      <c r="K369" s="10">
        <f t="shared" si="30"/>
        <v>351</v>
      </c>
      <c r="L369" s="10">
        <f t="shared" si="31"/>
        <v>350</v>
      </c>
      <c r="M369" s="10" t="s">
        <v>142</v>
      </c>
      <c r="N369" s="10" t="s">
        <v>324</v>
      </c>
      <c r="O369" s="59"/>
      <c r="P369" s="59"/>
    </row>
    <row r="370" spans="2:16" x14ac:dyDescent="0.3">
      <c r="B370" s="10" t="s">
        <v>320</v>
      </c>
      <c r="C370" s="10" t="s">
        <v>2076</v>
      </c>
      <c r="D370" s="10">
        <v>1</v>
      </c>
      <c r="E370" s="10">
        <v>0</v>
      </c>
      <c r="F370" s="10">
        <v>1</v>
      </c>
      <c r="G370" s="10">
        <v>1</v>
      </c>
      <c r="H370" s="10">
        <v>1</v>
      </c>
      <c r="I370" s="10" t="s">
        <v>322</v>
      </c>
      <c r="J370" s="69">
        <f t="shared" si="32"/>
        <v>10352</v>
      </c>
      <c r="K370" s="10">
        <f t="shared" si="30"/>
        <v>352</v>
      </c>
      <c r="L370" s="10">
        <f t="shared" si="31"/>
        <v>351</v>
      </c>
      <c r="M370" s="10" t="s">
        <v>142</v>
      </c>
      <c r="N370" s="10" t="s">
        <v>324</v>
      </c>
      <c r="O370" s="59"/>
      <c r="P370" s="59"/>
    </row>
    <row r="371" spans="2:16" x14ac:dyDescent="0.3">
      <c r="B371" s="496" t="s">
        <v>2149</v>
      </c>
      <c r="C371" s="496"/>
      <c r="D371" s="496"/>
      <c r="E371" s="496"/>
      <c r="F371" s="496"/>
      <c r="G371" s="496"/>
      <c r="H371" s="496"/>
      <c r="I371" s="496"/>
      <c r="J371" s="496"/>
      <c r="K371" s="496"/>
      <c r="L371" s="496"/>
      <c r="M371" s="496"/>
      <c r="N371" s="496"/>
      <c r="O371" s="496"/>
      <c r="P371" s="496"/>
    </row>
    <row r="372" spans="2:16" x14ac:dyDescent="0.3">
      <c r="B372" s="10" t="s">
        <v>1681</v>
      </c>
      <c r="C372" s="10" t="s">
        <v>2076</v>
      </c>
      <c r="D372" s="10">
        <v>1</v>
      </c>
      <c r="E372" s="10">
        <v>0</v>
      </c>
      <c r="F372" s="10">
        <v>1</v>
      </c>
      <c r="G372" s="10">
        <v>1</v>
      </c>
      <c r="H372" s="10">
        <v>1</v>
      </c>
      <c r="I372" s="10" t="s">
        <v>322</v>
      </c>
      <c r="J372" s="69">
        <f>J370+D370</f>
        <v>10353</v>
      </c>
      <c r="K372" s="10">
        <f t="shared" si="30"/>
        <v>353</v>
      </c>
      <c r="L372" s="10">
        <f t="shared" si="31"/>
        <v>352</v>
      </c>
      <c r="M372" s="10" t="s">
        <v>142</v>
      </c>
      <c r="N372" s="10" t="s">
        <v>324</v>
      </c>
      <c r="O372" s="59"/>
      <c r="P372" s="59"/>
    </row>
    <row r="373" spans="2:16" x14ac:dyDescent="0.3">
      <c r="B373" s="10" t="s">
        <v>1682</v>
      </c>
      <c r="C373" s="10" t="s">
        <v>2076</v>
      </c>
      <c r="D373" s="10">
        <v>1</v>
      </c>
      <c r="E373" s="10">
        <v>0</v>
      </c>
      <c r="F373" s="10">
        <v>1</v>
      </c>
      <c r="G373" s="10">
        <v>1</v>
      </c>
      <c r="H373" s="10">
        <v>1</v>
      </c>
      <c r="I373" s="10" t="s">
        <v>322</v>
      </c>
      <c r="J373" s="69">
        <f t="shared" si="32"/>
        <v>10354</v>
      </c>
      <c r="K373" s="10">
        <f t="shared" si="30"/>
        <v>354</v>
      </c>
      <c r="L373" s="10">
        <f t="shared" si="31"/>
        <v>353</v>
      </c>
      <c r="M373" s="10" t="s">
        <v>142</v>
      </c>
      <c r="N373" s="10" t="s">
        <v>324</v>
      </c>
      <c r="O373" s="59"/>
      <c r="P373" s="59"/>
    </row>
    <row r="374" spans="2:16" x14ac:dyDescent="0.3">
      <c r="B374" s="10" t="s">
        <v>1683</v>
      </c>
      <c r="C374" s="10" t="s">
        <v>2076</v>
      </c>
      <c r="D374" s="10">
        <v>1</v>
      </c>
      <c r="E374" s="10">
        <v>0</v>
      </c>
      <c r="F374" s="10">
        <v>1</v>
      </c>
      <c r="G374" s="10">
        <v>1</v>
      </c>
      <c r="H374" s="10">
        <v>1</v>
      </c>
      <c r="I374" s="10" t="s">
        <v>322</v>
      </c>
      <c r="J374" s="69">
        <f t="shared" si="32"/>
        <v>10355</v>
      </c>
      <c r="K374" s="10">
        <f t="shared" si="30"/>
        <v>355</v>
      </c>
      <c r="L374" s="10">
        <f t="shared" si="31"/>
        <v>354</v>
      </c>
      <c r="M374" s="10" t="s">
        <v>142</v>
      </c>
      <c r="N374" s="10" t="s">
        <v>324</v>
      </c>
      <c r="O374" s="59"/>
      <c r="P374" s="59"/>
    </row>
    <row r="375" spans="2:16" x14ac:dyDescent="0.3">
      <c r="B375" s="10" t="s">
        <v>1684</v>
      </c>
      <c r="C375" s="10" t="s">
        <v>2076</v>
      </c>
      <c r="D375" s="10">
        <v>1</v>
      </c>
      <c r="E375" s="10">
        <v>0</v>
      </c>
      <c r="F375" s="10">
        <v>1</v>
      </c>
      <c r="G375" s="10">
        <v>1</v>
      </c>
      <c r="H375" s="10">
        <v>1</v>
      </c>
      <c r="I375" s="10" t="s">
        <v>322</v>
      </c>
      <c r="J375" s="69">
        <f t="shared" si="32"/>
        <v>10356</v>
      </c>
      <c r="K375" s="10">
        <f t="shared" si="30"/>
        <v>356</v>
      </c>
      <c r="L375" s="10">
        <f t="shared" si="31"/>
        <v>355</v>
      </c>
      <c r="M375" s="10" t="s">
        <v>142</v>
      </c>
      <c r="N375" s="10" t="s">
        <v>324</v>
      </c>
      <c r="O375" s="59"/>
      <c r="P375" s="59"/>
    </row>
    <row r="376" spans="2:16" x14ac:dyDescent="0.3">
      <c r="B376" s="10" t="s">
        <v>1685</v>
      </c>
      <c r="C376" s="10" t="s">
        <v>2076</v>
      </c>
      <c r="D376" s="10">
        <v>1</v>
      </c>
      <c r="E376" s="10">
        <v>0</v>
      </c>
      <c r="F376" s="10">
        <v>1</v>
      </c>
      <c r="G376" s="10">
        <v>1</v>
      </c>
      <c r="H376" s="10">
        <v>1</v>
      </c>
      <c r="I376" s="10" t="s">
        <v>322</v>
      </c>
      <c r="J376" s="69">
        <f t="shared" si="32"/>
        <v>10357</v>
      </c>
      <c r="K376" s="10">
        <f t="shared" si="30"/>
        <v>357</v>
      </c>
      <c r="L376" s="10">
        <f t="shared" si="31"/>
        <v>356</v>
      </c>
      <c r="M376" s="10" t="s">
        <v>142</v>
      </c>
      <c r="N376" s="10" t="s">
        <v>324</v>
      </c>
      <c r="O376" s="59"/>
      <c r="P376" s="59"/>
    </row>
    <row r="377" spans="2:16" x14ac:dyDescent="0.3">
      <c r="B377" s="10" t="s">
        <v>1686</v>
      </c>
      <c r="C377" s="10" t="s">
        <v>2076</v>
      </c>
      <c r="D377" s="10">
        <v>1</v>
      </c>
      <c r="E377" s="10">
        <v>0</v>
      </c>
      <c r="F377" s="10">
        <v>1</v>
      </c>
      <c r="G377" s="10">
        <v>1</v>
      </c>
      <c r="H377" s="10">
        <v>1</v>
      </c>
      <c r="I377" s="10" t="s">
        <v>322</v>
      </c>
      <c r="J377" s="69">
        <f t="shared" si="32"/>
        <v>10358</v>
      </c>
      <c r="K377" s="10">
        <f t="shared" si="30"/>
        <v>358</v>
      </c>
      <c r="L377" s="10">
        <f t="shared" si="31"/>
        <v>357</v>
      </c>
      <c r="M377" s="10" t="s">
        <v>142</v>
      </c>
      <c r="N377" s="10" t="s">
        <v>324</v>
      </c>
      <c r="O377" s="59"/>
      <c r="P377" s="59"/>
    </row>
    <row r="378" spans="2:16" x14ac:dyDescent="0.3">
      <c r="B378" s="10" t="s">
        <v>1687</v>
      </c>
      <c r="C378" s="10" t="s">
        <v>2076</v>
      </c>
      <c r="D378" s="10">
        <v>1</v>
      </c>
      <c r="E378" s="10">
        <v>0</v>
      </c>
      <c r="F378" s="10">
        <v>1</v>
      </c>
      <c r="G378" s="10">
        <v>1</v>
      </c>
      <c r="H378" s="10">
        <v>1</v>
      </c>
      <c r="I378" s="10" t="s">
        <v>322</v>
      </c>
      <c r="J378" s="69">
        <f t="shared" si="32"/>
        <v>10359</v>
      </c>
      <c r="K378" s="10">
        <f t="shared" si="30"/>
        <v>359</v>
      </c>
      <c r="L378" s="10">
        <f t="shared" si="31"/>
        <v>358</v>
      </c>
      <c r="M378" s="10" t="s">
        <v>142</v>
      </c>
      <c r="N378" s="10" t="s">
        <v>324</v>
      </c>
      <c r="O378" s="59"/>
      <c r="P378" s="59"/>
    </row>
    <row r="379" spans="2:16" x14ac:dyDescent="0.3">
      <c r="B379" s="10" t="s">
        <v>1688</v>
      </c>
      <c r="C379" s="10" t="s">
        <v>2076</v>
      </c>
      <c r="D379" s="10">
        <v>1</v>
      </c>
      <c r="E379" s="10">
        <v>0</v>
      </c>
      <c r="F379" s="10">
        <v>1</v>
      </c>
      <c r="G379" s="10">
        <v>1</v>
      </c>
      <c r="H379" s="10">
        <v>1</v>
      </c>
      <c r="I379" s="10" t="s">
        <v>322</v>
      </c>
      <c r="J379" s="69">
        <f t="shared" si="32"/>
        <v>10360</v>
      </c>
      <c r="K379" s="10">
        <f t="shared" si="30"/>
        <v>360</v>
      </c>
      <c r="L379" s="10">
        <f t="shared" si="31"/>
        <v>359</v>
      </c>
      <c r="M379" s="10" t="s">
        <v>142</v>
      </c>
      <c r="N379" s="10" t="s">
        <v>324</v>
      </c>
      <c r="O379" s="59"/>
      <c r="P379" s="59"/>
    </row>
    <row r="380" spans="2:16" x14ac:dyDescent="0.3">
      <c r="B380" s="10" t="s">
        <v>1689</v>
      </c>
      <c r="C380" s="10" t="s">
        <v>2076</v>
      </c>
      <c r="D380" s="10">
        <v>1</v>
      </c>
      <c r="E380" s="10">
        <v>0</v>
      </c>
      <c r="F380" s="10">
        <v>1</v>
      </c>
      <c r="G380" s="10">
        <v>1</v>
      </c>
      <c r="H380" s="10">
        <v>1</v>
      </c>
      <c r="I380" s="10" t="s">
        <v>322</v>
      </c>
      <c r="J380" s="69">
        <f t="shared" si="32"/>
        <v>10361</v>
      </c>
      <c r="K380" s="10">
        <f t="shared" si="30"/>
        <v>361</v>
      </c>
      <c r="L380" s="10">
        <f t="shared" si="31"/>
        <v>360</v>
      </c>
      <c r="M380" s="10" t="s">
        <v>142</v>
      </c>
      <c r="N380" s="10" t="s">
        <v>324</v>
      </c>
      <c r="O380" s="59"/>
      <c r="P380" s="59"/>
    </row>
    <row r="381" spans="2:16" x14ac:dyDescent="0.3">
      <c r="B381" s="10" t="s">
        <v>1690</v>
      </c>
      <c r="C381" s="10" t="s">
        <v>2076</v>
      </c>
      <c r="D381" s="10">
        <v>1</v>
      </c>
      <c r="E381" s="10">
        <v>0</v>
      </c>
      <c r="F381" s="10">
        <v>1</v>
      </c>
      <c r="G381" s="10">
        <v>1</v>
      </c>
      <c r="H381" s="10">
        <v>1</v>
      </c>
      <c r="I381" s="10" t="s">
        <v>322</v>
      </c>
      <c r="J381" s="69">
        <f t="shared" si="32"/>
        <v>10362</v>
      </c>
      <c r="K381" s="10">
        <f t="shared" si="30"/>
        <v>362</v>
      </c>
      <c r="L381" s="10">
        <f t="shared" si="31"/>
        <v>361</v>
      </c>
      <c r="M381" s="10" t="s">
        <v>142</v>
      </c>
      <c r="N381" s="10" t="s">
        <v>324</v>
      </c>
      <c r="O381" s="59"/>
      <c r="P381" s="59"/>
    </row>
    <row r="382" spans="2:16" x14ac:dyDescent="0.3">
      <c r="B382" s="10" t="s">
        <v>1691</v>
      </c>
      <c r="C382" s="10" t="s">
        <v>2076</v>
      </c>
      <c r="D382" s="10">
        <v>1</v>
      </c>
      <c r="E382" s="10">
        <v>0</v>
      </c>
      <c r="F382" s="10">
        <v>1</v>
      </c>
      <c r="G382" s="10">
        <v>1</v>
      </c>
      <c r="H382" s="10">
        <v>1</v>
      </c>
      <c r="I382" s="10" t="s">
        <v>322</v>
      </c>
      <c r="J382" s="69">
        <f t="shared" si="32"/>
        <v>10363</v>
      </c>
      <c r="K382" s="10">
        <f t="shared" si="30"/>
        <v>363</v>
      </c>
      <c r="L382" s="10">
        <f t="shared" si="31"/>
        <v>362</v>
      </c>
      <c r="M382" s="10" t="s">
        <v>142</v>
      </c>
      <c r="N382" s="10" t="s">
        <v>324</v>
      </c>
      <c r="O382" s="59"/>
      <c r="P382" s="59"/>
    </row>
    <row r="383" spans="2:16" x14ac:dyDescent="0.3">
      <c r="B383" s="10" t="s">
        <v>1692</v>
      </c>
      <c r="C383" s="10" t="s">
        <v>2076</v>
      </c>
      <c r="D383" s="10">
        <v>1</v>
      </c>
      <c r="E383" s="10">
        <v>0</v>
      </c>
      <c r="F383" s="10">
        <v>1</v>
      </c>
      <c r="G383" s="10">
        <v>1</v>
      </c>
      <c r="H383" s="10">
        <v>1</v>
      </c>
      <c r="I383" s="10" t="s">
        <v>322</v>
      </c>
      <c r="J383" s="69">
        <f t="shared" si="32"/>
        <v>10364</v>
      </c>
      <c r="K383" s="10">
        <f t="shared" si="30"/>
        <v>364</v>
      </c>
      <c r="L383" s="10">
        <f t="shared" si="31"/>
        <v>363</v>
      </c>
      <c r="M383" s="10" t="s">
        <v>142</v>
      </c>
      <c r="N383" s="10" t="s">
        <v>324</v>
      </c>
      <c r="O383" s="59"/>
      <c r="P383" s="59"/>
    </row>
    <row r="384" spans="2:16" x14ac:dyDescent="0.3">
      <c r="B384" s="10" t="s">
        <v>320</v>
      </c>
      <c r="C384" s="10" t="s">
        <v>2076</v>
      </c>
      <c r="D384" s="10">
        <v>1</v>
      </c>
      <c r="E384" s="10">
        <v>0</v>
      </c>
      <c r="F384" s="10">
        <v>1</v>
      </c>
      <c r="G384" s="10">
        <v>1</v>
      </c>
      <c r="H384" s="10">
        <v>1</v>
      </c>
      <c r="I384" s="10" t="s">
        <v>322</v>
      </c>
      <c r="J384" s="69">
        <f t="shared" si="32"/>
        <v>10365</v>
      </c>
      <c r="K384" s="10">
        <f t="shared" si="30"/>
        <v>365</v>
      </c>
      <c r="L384" s="10">
        <f t="shared" si="31"/>
        <v>364</v>
      </c>
      <c r="M384" s="10" t="s">
        <v>142</v>
      </c>
      <c r="N384" s="10" t="s">
        <v>324</v>
      </c>
      <c r="O384" s="59"/>
      <c r="P384" s="59"/>
    </row>
    <row r="385" spans="2:16" x14ac:dyDescent="0.3">
      <c r="B385" s="10" t="s">
        <v>320</v>
      </c>
      <c r="C385" s="10" t="s">
        <v>2076</v>
      </c>
      <c r="D385" s="10">
        <v>1</v>
      </c>
      <c r="E385" s="10">
        <v>0</v>
      </c>
      <c r="F385" s="10">
        <v>1</v>
      </c>
      <c r="G385" s="10">
        <v>1</v>
      </c>
      <c r="H385" s="10">
        <v>1</v>
      </c>
      <c r="I385" s="10" t="s">
        <v>322</v>
      </c>
      <c r="J385" s="69">
        <f t="shared" si="32"/>
        <v>10366</v>
      </c>
      <c r="K385" s="10">
        <f t="shared" si="30"/>
        <v>366</v>
      </c>
      <c r="L385" s="10">
        <f t="shared" si="31"/>
        <v>365</v>
      </c>
      <c r="M385" s="10" t="s">
        <v>142</v>
      </c>
      <c r="N385" s="10" t="s">
        <v>324</v>
      </c>
      <c r="O385" s="59"/>
      <c r="P385" s="59"/>
    </row>
    <row r="386" spans="2:16" x14ac:dyDescent="0.3">
      <c r="B386" s="10" t="s">
        <v>320</v>
      </c>
      <c r="C386" s="10" t="s">
        <v>2076</v>
      </c>
      <c r="D386" s="10">
        <v>1</v>
      </c>
      <c r="E386" s="10">
        <v>0</v>
      </c>
      <c r="F386" s="10">
        <v>1</v>
      </c>
      <c r="G386" s="10">
        <v>1</v>
      </c>
      <c r="H386" s="10">
        <v>1</v>
      </c>
      <c r="I386" s="10" t="s">
        <v>322</v>
      </c>
      <c r="J386" s="69">
        <f t="shared" si="32"/>
        <v>10367</v>
      </c>
      <c r="K386" s="10">
        <f t="shared" si="30"/>
        <v>367</v>
      </c>
      <c r="L386" s="10">
        <f t="shared" si="31"/>
        <v>366</v>
      </c>
      <c r="M386" s="10" t="s">
        <v>142</v>
      </c>
      <c r="N386" s="10" t="s">
        <v>324</v>
      </c>
      <c r="O386" s="59"/>
      <c r="P386" s="59"/>
    </row>
    <row r="387" spans="2:16" x14ac:dyDescent="0.3">
      <c r="B387" s="10" t="s">
        <v>320</v>
      </c>
      <c r="C387" s="10" t="s">
        <v>2076</v>
      </c>
      <c r="D387" s="10">
        <v>1</v>
      </c>
      <c r="E387" s="10">
        <v>0</v>
      </c>
      <c r="F387" s="10">
        <v>1</v>
      </c>
      <c r="G387" s="10">
        <v>1</v>
      </c>
      <c r="H387" s="10">
        <v>1</v>
      </c>
      <c r="I387" s="10" t="s">
        <v>322</v>
      </c>
      <c r="J387" s="69">
        <f t="shared" si="32"/>
        <v>10368</v>
      </c>
      <c r="K387" s="10">
        <f t="shared" si="30"/>
        <v>368</v>
      </c>
      <c r="L387" s="10">
        <f t="shared" si="31"/>
        <v>367</v>
      </c>
      <c r="M387" s="10" t="s">
        <v>142</v>
      </c>
      <c r="N387" s="10" t="s">
        <v>324</v>
      </c>
      <c r="O387" s="59"/>
      <c r="P387" s="59"/>
    </row>
    <row r="388" spans="2:16" x14ac:dyDescent="0.3">
      <c r="B388" s="496" t="s">
        <v>2150</v>
      </c>
      <c r="C388" s="496"/>
      <c r="D388" s="496"/>
      <c r="E388" s="496"/>
      <c r="F388" s="496"/>
      <c r="G388" s="496"/>
      <c r="H388" s="496"/>
      <c r="I388" s="496"/>
      <c r="J388" s="496"/>
      <c r="K388" s="496"/>
      <c r="L388" s="496"/>
      <c r="M388" s="496"/>
      <c r="N388" s="496"/>
      <c r="O388" s="496"/>
      <c r="P388" s="496"/>
    </row>
    <row r="389" spans="2:16" x14ac:dyDescent="0.3">
      <c r="B389" s="10" t="s">
        <v>1693</v>
      </c>
      <c r="C389" s="10" t="s">
        <v>2076</v>
      </c>
      <c r="D389" s="10">
        <v>1</v>
      </c>
      <c r="E389" s="10">
        <v>0</v>
      </c>
      <c r="F389" s="10">
        <v>1</v>
      </c>
      <c r="G389" s="10">
        <v>1</v>
      </c>
      <c r="H389" s="10">
        <v>1</v>
      </c>
      <c r="I389" s="10" t="s">
        <v>322</v>
      </c>
      <c r="J389" s="69">
        <f>J387+D387</f>
        <v>10369</v>
      </c>
      <c r="K389" s="10">
        <f t="shared" si="30"/>
        <v>369</v>
      </c>
      <c r="L389" s="10">
        <f t="shared" si="31"/>
        <v>368</v>
      </c>
      <c r="M389" s="10" t="s">
        <v>142</v>
      </c>
      <c r="N389" s="10" t="s">
        <v>324</v>
      </c>
      <c r="O389" s="59"/>
      <c r="P389" s="59"/>
    </row>
    <row r="390" spans="2:16" x14ac:dyDescent="0.3">
      <c r="B390" s="10" t="s">
        <v>1694</v>
      </c>
      <c r="C390" s="10" t="s">
        <v>2076</v>
      </c>
      <c r="D390" s="10">
        <v>1</v>
      </c>
      <c r="E390" s="10">
        <v>0</v>
      </c>
      <c r="F390" s="10">
        <v>1</v>
      </c>
      <c r="G390" s="10">
        <v>1</v>
      </c>
      <c r="H390" s="10">
        <v>1</v>
      </c>
      <c r="I390" s="10" t="s">
        <v>322</v>
      </c>
      <c r="J390" s="69">
        <f t="shared" si="32"/>
        <v>10370</v>
      </c>
      <c r="K390" s="10">
        <f t="shared" si="30"/>
        <v>370</v>
      </c>
      <c r="L390" s="10">
        <f t="shared" si="31"/>
        <v>369</v>
      </c>
      <c r="M390" s="10" t="s">
        <v>142</v>
      </c>
      <c r="N390" s="10" t="s">
        <v>324</v>
      </c>
      <c r="O390" s="59"/>
      <c r="P390" s="59"/>
    </row>
    <row r="391" spans="2:16" x14ac:dyDescent="0.3">
      <c r="B391" s="10" t="s">
        <v>1695</v>
      </c>
      <c r="C391" s="10" t="s">
        <v>2076</v>
      </c>
      <c r="D391" s="10">
        <v>1</v>
      </c>
      <c r="E391" s="10">
        <v>0</v>
      </c>
      <c r="F391" s="10">
        <v>1</v>
      </c>
      <c r="G391" s="10">
        <v>1</v>
      </c>
      <c r="H391" s="10">
        <v>1</v>
      </c>
      <c r="I391" s="10" t="s">
        <v>322</v>
      </c>
      <c r="J391" s="69">
        <f t="shared" si="32"/>
        <v>10371</v>
      </c>
      <c r="K391" s="10">
        <f t="shared" si="30"/>
        <v>371</v>
      </c>
      <c r="L391" s="10">
        <f t="shared" si="31"/>
        <v>370</v>
      </c>
      <c r="M391" s="10" t="s">
        <v>142</v>
      </c>
      <c r="N391" s="10" t="s">
        <v>324</v>
      </c>
      <c r="O391" s="59"/>
      <c r="P391" s="59"/>
    </row>
    <row r="392" spans="2:16" x14ac:dyDescent="0.3">
      <c r="B392" s="10" t="s">
        <v>1696</v>
      </c>
      <c r="C392" s="10" t="s">
        <v>2076</v>
      </c>
      <c r="D392" s="10">
        <v>1</v>
      </c>
      <c r="E392" s="10">
        <v>0</v>
      </c>
      <c r="F392" s="10">
        <v>1</v>
      </c>
      <c r="G392" s="10">
        <v>1</v>
      </c>
      <c r="H392" s="10">
        <v>1</v>
      </c>
      <c r="I392" s="10" t="s">
        <v>322</v>
      </c>
      <c r="J392" s="69">
        <f t="shared" si="32"/>
        <v>10372</v>
      </c>
      <c r="K392" s="10">
        <f t="shared" si="30"/>
        <v>372</v>
      </c>
      <c r="L392" s="10">
        <f t="shared" si="31"/>
        <v>371</v>
      </c>
      <c r="M392" s="10" t="s">
        <v>142</v>
      </c>
      <c r="N392" s="10" t="s">
        <v>324</v>
      </c>
      <c r="O392" s="59"/>
      <c r="P392" s="59"/>
    </row>
    <row r="393" spans="2:16" x14ac:dyDescent="0.3">
      <c r="B393" s="10" t="s">
        <v>1697</v>
      </c>
      <c r="C393" s="10" t="s">
        <v>2076</v>
      </c>
      <c r="D393" s="10">
        <v>1</v>
      </c>
      <c r="E393" s="10">
        <v>0</v>
      </c>
      <c r="F393" s="10">
        <v>1</v>
      </c>
      <c r="G393" s="10">
        <v>1</v>
      </c>
      <c r="H393" s="10">
        <v>1</v>
      </c>
      <c r="I393" s="10" t="s">
        <v>322</v>
      </c>
      <c r="J393" s="69">
        <f t="shared" si="32"/>
        <v>10373</v>
      </c>
      <c r="K393" s="10">
        <f t="shared" si="30"/>
        <v>373</v>
      </c>
      <c r="L393" s="10">
        <f t="shared" si="31"/>
        <v>372</v>
      </c>
      <c r="M393" s="10" t="s">
        <v>142</v>
      </c>
      <c r="N393" s="10" t="s">
        <v>324</v>
      </c>
      <c r="O393" s="59"/>
      <c r="P393" s="59"/>
    </row>
    <row r="394" spans="2:16" x14ac:dyDescent="0.3">
      <c r="B394" s="10" t="s">
        <v>1698</v>
      </c>
      <c r="C394" s="10" t="s">
        <v>2076</v>
      </c>
      <c r="D394" s="10">
        <v>1</v>
      </c>
      <c r="E394" s="10">
        <v>0</v>
      </c>
      <c r="F394" s="10">
        <v>1</v>
      </c>
      <c r="G394" s="10">
        <v>1</v>
      </c>
      <c r="H394" s="10">
        <v>1</v>
      </c>
      <c r="I394" s="10" t="s">
        <v>322</v>
      </c>
      <c r="J394" s="69">
        <f t="shared" si="32"/>
        <v>10374</v>
      </c>
      <c r="K394" s="10">
        <f t="shared" si="30"/>
        <v>374</v>
      </c>
      <c r="L394" s="10">
        <f t="shared" si="31"/>
        <v>373</v>
      </c>
      <c r="M394" s="10" t="s">
        <v>142</v>
      </c>
      <c r="N394" s="10" t="s">
        <v>324</v>
      </c>
      <c r="O394" s="59"/>
      <c r="P394" s="59"/>
    </row>
    <row r="395" spans="2:16" x14ac:dyDescent="0.3">
      <c r="B395" s="10" t="s">
        <v>1699</v>
      </c>
      <c r="C395" s="10" t="s">
        <v>2076</v>
      </c>
      <c r="D395" s="10">
        <v>1</v>
      </c>
      <c r="E395" s="10">
        <v>0</v>
      </c>
      <c r="F395" s="10">
        <v>1</v>
      </c>
      <c r="G395" s="10">
        <v>1</v>
      </c>
      <c r="H395" s="10">
        <v>1</v>
      </c>
      <c r="I395" s="10" t="s">
        <v>322</v>
      </c>
      <c r="J395" s="69">
        <f t="shared" si="32"/>
        <v>10375</v>
      </c>
      <c r="K395" s="10">
        <f t="shared" si="30"/>
        <v>375</v>
      </c>
      <c r="L395" s="10">
        <f t="shared" si="31"/>
        <v>374</v>
      </c>
      <c r="M395" s="10" t="s">
        <v>142</v>
      </c>
      <c r="N395" s="10" t="s">
        <v>324</v>
      </c>
      <c r="O395" s="59"/>
      <c r="P395" s="59"/>
    </row>
    <row r="396" spans="2:16" x14ac:dyDescent="0.3">
      <c r="B396" s="10" t="s">
        <v>1700</v>
      </c>
      <c r="C396" s="10" t="s">
        <v>2076</v>
      </c>
      <c r="D396" s="10">
        <v>1</v>
      </c>
      <c r="E396" s="10">
        <v>0</v>
      </c>
      <c r="F396" s="10">
        <v>1</v>
      </c>
      <c r="G396" s="10">
        <v>1</v>
      </c>
      <c r="H396" s="10">
        <v>1</v>
      </c>
      <c r="I396" s="10" t="s">
        <v>322</v>
      </c>
      <c r="J396" s="69">
        <f t="shared" si="32"/>
        <v>10376</v>
      </c>
      <c r="K396" s="10">
        <f t="shared" si="30"/>
        <v>376</v>
      </c>
      <c r="L396" s="10">
        <f t="shared" si="31"/>
        <v>375</v>
      </c>
      <c r="M396" s="10" t="s">
        <v>142</v>
      </c>
      <c r="N396" s="10" t="s">
        <v>324</v>
      </c>
      <c r="O396" s="59"/>
      <c r="P396" s="59"/>
    </row>
    <row r="397" spans="2:16" x14ac:dyDescent="0.3">
      <c r="B397" s="10" t="s">
        <v>1701</v>
      </c>
      <c r="C397" s="10" t="s">
        <v>2076</v>
      </c>
      <c r="D397" s="10">
        <v>1</v>
      </c>
      <c r="E397" s="10">
        <v>0</v>
      </c>
      <c r="F397" s="10">
        <v>1</v>
      </c>
      <c r="G397" s="10">
        <v>1</v>
      </c>
      <c r="H397" s="10">
        <v>1</v>
      </c>
      <c r="I397" s="10" t="s">
        <v>322</v>
      </c>
      <c r="J397" s="69">
        <f t="shared" si="32"/>
        <v>10377</v>
      </c>
      <c r="K397" s="10">
        <f t="shared" si="30"/>
        <v>377</v>
      </c>
      <c r="L397" s="10">
        <f t="shared" si="31"/>
        <v>376</v>
      </c>
      <c r="M397" s="10" t="s">
        <v>142</v>
      </c>
      <c r="N397" s="10" t="s">
        <v>324</v>
      </c>
      <c r="O397" s="59"/>
      <c r="P397" s="59"/>
    </row>
    <row r="398" spans="2:16" x14ac:dyDescent="0.3">
      <c r="B398" s="10" t="s">
        <v>1702</v>
      </c>
      <c r="C398" s="10" t="s">
        <v>2076</v>
      </c>
      <c r="D398" s="10">
        <v>1</v>
      </c>
      <c r="E398" s="10">
        <v>0</v>
      </c>
      <c r="F398" s="10">
        <v>1</v>
      </c>
      <c r="G398" s="10">
        <v>1</v>
      </c>
      <c r="H398" s="10">
        <v>1</v>
      </c>
      <c r="I398" s="10" t="s">
        <v>322</v>
      </c>
      <c r="J398" s="69">
        <f t="shared" si="32"/>
        <v>10378</v>
      </c>
      <c r="K398" s="10">
        <f t="shared" si="30"/>
        <v>378</v>
      </c>
      <c r="L398" s="10">
        <f t="shared" si="31"/>
        <v>377</v>
      </c>
      <c r="M398" s="10" t="s">
        <v>142</v>
      </c>
      <c r="N398" s="10" t="s">
        <v>324</v>
      </c>
      <c r="O398" s="59"/>
      <c r="P398" s="59"/>
    </row>
    <row r="399" spans="2:16" x14ac:dyDescent="0.3">
      <c r="B399" s="10" t="s">
        <v>1703</v>
      </c>
      <c r="C399" s="10" t="s">
        <v>2076</v>
      </c>
      <c r="D399" s="10">
        <v>1</v>
      </c>
      <c r="E399" s="10">
        <v>0</v>
      </c>
      <c r="F399" s="10">
        <v>1</v>
      </c>
      <c r="G399" s="10">
        <v>1</v>
      </c>
      <c r="H399" s="10">
        <v>1</v>
      </c>
      <c r="I399" s="10" t="s">
        <v>322</v>
      </c>
      <c r="J399" s="69">
        <f t="shared" si="32"/>
        <v>10379</v>
      </c>
      <c r="K399" s="10">
        <f t="shared" si="30"/>
        <v>379</v>
      </c>
      <c r="L399" s="10">
        <f t="shared" si="31"/>
        <v>378</v>
      </c>
      <c r="M399" s="10" t="s">
        <v>142</v>
      </c>
      <c r="N399" s="10" t="s">
        <v>324</v>
      </c>
      <c r="O399" s="59"/>
      <c r="P399" s="59"/>
    </row>
    <row r="400" spans="2:16" x14ac:dyDescent="0.3">
      <c r="B400" s="10" t="s">
        <v>1704</v>
      </c>
      <c r="C400" s="10" t="s">
        <v>2076</v>
      </c>
      <c r="D400" s="10">
        <v>1</v>
      </c>
      <c r="E400" s="10">
        <v>0</v>
      </c>
      <c r="F400" s="10">
        <v>1</v>
      </c>
      <c r="G400" s="10">
        <v>1</v>
      </c>
      <c r="H400" s="10">
        <v>1</v>
      </c>
      <c r="I400" s="10" t="s">
        <v>322</v>
      </c>
      <c r="J400" s="69">
        <f t="shared" si="32"/>
        <v>10380</v>
      </c>
      <c r="K400" s="10">
        <f t="shared" si="30"/>
        <v>380</v>
      </c>
      <c r="L400" s="10">
        <f t="shared" si="31"/>
        <v>379</v>
      </c>
      <c r="M400" s="10" t="s">
        <v>142</v>
      </c>
      <c r="N400" s="10" t="s">
        <v>324</v>
      </c>
      <c r="O400" s="59"/>
      <c r="P400" s="59"/>
    </row>
    <row r="401" spans="2:16" x14ac:dyDescent="0.3">
      <c r="B401" s="10" t="s">
        <v>320</v>
      </c>
      <c r="C401" s="10" t="s">
        <v>2076</v>
      </c>
      <c r="D401" s="10">
        <v>1</v>
      </c>
      <c r="E401" s="10">
        <v>0</v>
      </c>
      <c r="F401" s="10">
        <v>1</v>
      </c>
      <c r="G401" s="10">
        <v>1</v>
      </c>
      <c r="H401" s="10">
        <v>1</v>
      </c>
      <c r="I401" s="10" t="s">
        <v>322</v>
      </c>
      <c r="J401" s="69">
        <f t="shared" si="32"/>
        <v>10381</v>
      </c>
      <c r="K401" s="10">
        <f t="shared" si="30"/>
        <v>381</v>
      </c>
      <c r="L401" s="10">
        <f t="shared" si="31"/>
        <v>380</v>
      </c>
      <c r="M401" s="10" t="s">
        <v>142</v>
      </c>
      <c r="N401" s="10" t="s">
        <v>324</v>
      </c>
      <c r="O401" s="59"/>
      <c r="P401" s="59"/>
    </row>
    <row r="402" spans="2:16" x14ac:dyDescent="0.3">
      <c r="B402" s="10" t="s">
        <v>320</v>
      </c>
      <c r="C402" s="10" t="s">
        <v>2076</v>
      </c>
      <c r="D402" s="10">
        <v>1</v>
      </c>
      <c r="E402" s="10">
        <v>0</v>
      </c>
      <c r="F402" s="10">
        <v>1</v>
      </c>
      <c r="G402" s="10">
        <v>1</v>
      </c>
      <c r="H402" s="10">
        <v>1</v>
      </c>
      <c r="I402" s="10" t="s">
        <v>322</v>
      </c>
      <c r="J402" s="69">
        <f t="shared" si="32"/>
        <v>10382</v>
      </c>
      <c r="K402" s="10">
        <f t="shared" si="30"/>
        <v>382</v>
      </c>
      <c r="L402" s="10">
        <f t="shared" si="31"/>
        <v>381</v>
      </c>
      <c r="M402" s="10" t="s">
        <v>142</v>
      </c>
      <c r="N402" s="10" t="s">
        <v>324</v>
      </c>
      <c r="O402" s="59"/>
      <c r="P402" s="59"/>
    </row>
    <row r="403" spans="2:16" x14ac:dyDescent="0.3">
      <c r="B403" s="10" t="s">
        <v>320</v>
      </c>
      <c r="C403" s="10" t="s">
        <v>2076</v>
      </c>
      <c r="D403" s="10">
        <v>1</v>
      </c>
      <c r="E403" s="10">
        <v>0</v>
      </c>
      <c r="F403" s="10">
        <v>1</v>
      </c>
      <c r="G403" s="10">
        <v>1</v>
      </c>
      <c r="H403" s="10">
        <v>1</v>
      </c>
      <c r="I403" s="10" t="s">
        <v>322</v>
      </c>
      <c r="J403" s="69">
        <f t="shared" si="32"/>
        <v>10383</v>
      </c>
      <c r="K403" s="10">
        <f t="shared" ref="K403:K404" si="33">J403-10000</f>
        <v>383</v>
      </c>
      <c r="L403" s="10">
        <f t="shared" ref="L403:L404" si="34">K403-1</f>
        <v>382</v>
      </c>
      <c r="M403" s="10" t="s">
        <v>142</v>
      </c>
      <c r="N403" s="10" t="s">
        <v>324</v>
      </c>
      <c r="O403" s="59"/>
      <c r="P403" s="59"/>
    </row>
    <row r="404" spans="2:16" x14ac:dyDescent="0.3">
      <c r="B404" s="10" t="s">
        <v>320</v>
      </c>
      <c r="C404" s="10" t="s">
        <v>2076</v>
      </c>
      <c r="D404" s="10">
        <v>1</v>
      </c>
      <c r="E404" s="10">
        <v>0</v>
      </c>
      <c r="F404" s="10">
        <v>1</v>
      </c>
      <c r="G404" s="10">
        <v>1</v>
      </c>
      <c r="H404" s="10">
        <v>1</v>
      </c>
      <c r="I404" s="10" t="s">
        <v>322</v>
      </c>
      <c r="J404" s="69">
        <f t="shared" si="32"/>
        <v>10384</v>
      </c>
      <c r="K404" s="10">
        <f t="shared" si="33"/>
        <v>384</v>
      </c>
      <c r="L404" s="10">
        <f t="shared" si="34"/>
        <v>383</v>
      </c>
      <c r="M404" s="10" t="s">
        <v>142</v>
      </c>
      <c r="N404" s="10" t="s">
        <v>324</v>
      </c>
      <c r="O404" s="59"/>
      <c r="P404" s="59"/>
    </row>
    <row r="405" spans="2:16" x14ac:dyDescent="0.3">
      <c r="B405" s="496" t="s">
        <v>2151</v>
      </c>
      <c r="C405" s="496"/>
      <c r="D405" s="496"/>
      <c r="E405" s="496"/>
      <c r="F405" s="496"/>
      <c r="G405" s="496"/>
      <c r="H405" s="496"/>
      <c r="I405" s="496"/>
      <c r="J405" s="496"/>
      <c r="K405" s="496"/>
      <c r="L405" s="496"/>
      <c r="M405" s="496"/>
      <c r="N405" s="496"/>
      <c r="O405" s="496"/>
      <c r="P405" s="496"/>
    </row>
    <row r="406" spans="2:16" x14ac:dyDescent="0.3">
      <c r="B406" s="10" t="s">
        <v>1705</v>
      </c>
      <c r="C406" s="10" t="s">
        <v>2076</v>
      </c>
      <c r="D406" s="10">
        <v>1</v>
      </c>
      <c r="E406" s="10">
        <v>0</v>
      </c>
      <c r="F406" s="10">
        <v>1</v>
      </c>
      <c r="G406" s="10">
        <v>1</v>
      </c>
      <c r="H406" s="10">
        <v>1</v>
      </c>
      <c r="I406" s="10" t="s">
        <v>322</v>
      </c>
      <c r="J406" s="69">
        <f>J404+D404</f>
        <v>10385</v>
      </c>
      <c r="K406" s="10">
        <f t="shared" ref="K406:K421" si="35">J406-10000</f>
        <v>385</v>
      </c>
      <c r="L406" s="10">
        <f t="shared" ref="L406:L421" si="36">K406-1</f>
        <v>384</v>
      </c>
      <c r="M406" s="10" t="s">
        <v>142</v>
      </c>
      <c r="N406" s="10" t="s">
        <v>324</v>
      </c>
      <c r="O406" s="59"/>
      <c r="P406" s="59"/>
    </row>
    <row r="407" spans="2:16" x14ac:dyDescent="0.3">
      <c r="B407" s="10" t="s">
        <v>1706</v>
      </c>
      <c r="C407" s="10" t="s">
        <v>2076</v>
      </c>
      <c r="D407" s="10">
        <v>1</v>
      </c>
      <c r="E407" s="10">
        <v>0</v>
      </c>
      <c r="F407" s="10">
        <v>1</v>
      </c>
      <c r="G407" s="10">
        <v>1</v>
      </c>
      <c r="H407" s="10">
        <v>1</v>
      </c>
      <c r="I407" s="10" t="s">
        <v>322</v>
      </c>
      <c r="J407" s="69">
        <f t="shared" si="32"/>
        <v>10386</v>
      </c>
      <c r="K407" s="10">
        <f t="shared" si="35"/>
        <v>386</v>
      </c>
      <c r="L407" s="10">
        <f t="shared" si="36"/>
        <v>385</v>
      </c>
      <c r="M407" s="10" t="s">
        <v>142</v>
      </c>
      <c r="N407" s="10" t="s">
        <v>324</v>
      </c>
      <c r="O407" s="59"/>
      <c r="P407" s="59"/>
    </row>
    <row r="408" spans="2:16" x14ac:dyDescent="0.3">
      <c r="B408" s="10" t="s">
        <v>1707</v>
      </c>
      <c r="C408" s="10" t="s">
        <v>2076</v>
      </c>
      <c r="D408" s="10">
        <v>1</v>
      </c>
      <c r="E408" s="10">
        <v>0</v>
      </c>
      <c r="F408" s="10">
        <v>1</v>
      </c>
      <c r="G408" s="10">
        <v>1</v>
      </c>
      <c r="H408" s="10">
        <v>1</v>
      </c>
      <c r="I408" s="10" t="s">
        <v>322</v>
      </c>
      <c r="J408" s="69">
        <f t="shared" si="32"/>
        <v>10387</v>
      </c>
      <c r="K408" s="10">
        <f t="shared" si="35"/>
        <v>387</v>
      </c>
      <c r="L408" s="10">
        <f t="shared" si="36"/>
        <v>386</v>
      </c>
      <c r="M408" s="10" t="s">
        <v>142</v>
      </c>
      <c r="N408" s="10" t="s">
        <v>324</v>
      </c>
      <c r="O408" s="59"/>
      <c r="P408" s="59"/>
    </row>
    <row r="409" spans="2:16" x14ac:dyDescent="0.3">
      <c r="B409" s="10" t="s">
        <v>1708</v>
      </c>
      <c r="C409" s="10" t="s">
        <v>2076</v>
      </c>
      <c r="D409" s="10">
        <v>1</v>
      </c>
      <c r="E409" s="10">
        <v>0</v>
      </c>
      <c r="F409" s="10">
        <v>1</v>
      </c>
      <c r="G409" s="10">
        <v>1</v>
      </c>
      <c r="H409" s="10">
        <v>1</v>
      </c>
      <c r="I409" s="10" t="s">
        <v>322</v>
      </c>
      <c r="J409" s="69">
        <f t="shared" si="32"/>
        <v>10388</v>
      </c>
      <c r="K409" s="10">
        <f t="shared" si="35"/>
        <v>388</v>
      </c>
      <c r="L409" s="10">
        <f t="shared" si="36"/>
        <v>387</v>
      </c>
      <c r="M409" s="10" t="s">
        <v>142</v>
      </c>
      <c r="N409" s="10" t="s">
        <v>324</v>
      </c>
      <c r="O409" s="59"/>
      <c r="P409" s="59"/>
    </row>
    <row r="410" spans="2:16" x14ac:dyDescent="0.3">
      <c r="B410" s="10" t="s">
        <v>1709</v>
      </c>
      <c r="C410" s="10" t="s">
        <v>2076</v>
      </c>
      <c r="D410" s="10">
        <v>1</v>
      </c>
      <c r="E410" s="10">
        <v>0</v>
      </c>
      <c r="F410" s="10">
        <v>1</v>
      </c>
      <c r="G410" s="10">
        <v>1</v>
      </c>
      <c r="H410" s="10">
        <v>1</v>
      </c>
      <c r="I410" s="10" t="s">
        <v>322</v>
      </c>
      <c r="J410" s="69">
        <f t="shared" si="32"/>
        <v>10389</v>
      </c>
      <c r="K410" s="10">
        <f t="shared" si="35"/>
        <v>389</v>
      </c>
      <c r="L410" s="10">
        <f t="shared" si="36"/>
        <v>388</v>
      </c>
      <c r="M410" s="10" t="s">
        <v>142</v>
      </c>
      <c r="N410" s="10" t="s">
        <v>324</v>
      </c>
      <c r="O410" s="59"/>
      <c r="P410" s="59"/>
    </row>
    <row r="411" spans="2:16" x14ac:dyDescent="0.3">
      <c r="B411" s="10" t="s">
        <v>1710</v>
      </c>
      <c r="C411" s="10" t="s">
        <v>2076</v>
      </c>
      <c r="D411" s="10">
        <v>1</v>
      </c>
      <c r="E411" s="10">
        <v>0</v>
      </c>
      <c r="F411" s="10">
        <v>1</v>
      </c>
      <c r="G411" s="10">
        <v>1</v>
      </c>
      <c r="H411" s="10">
        <v>1</v>
      </c>
      <c r="I411" s="10" t="s">
        <v>322</v>
      </c>
      <c r="J411" s="69">
        <f t="shared" si="32"/>
        <v>10390</v>
      </c>
      <c r="K411" s="10">
        <f t="shared" si="35"/>
        <v>390</v>
      </c>
      <c r="L411" s="10">
        <f t="shared" si="36"/>
        <v>389</v>
      </c>
      <c r="M411" s="10" t="s">
        <v>142</v>
      </c>
      <c r="N411" s="10" t="s">
        <v>324</v>
      </c>
      <c r="O411" s="59"/>
      <c r="P411" s="59"/>
    </row>
    <row r="412" spans="2:16" x14ac:dyDescent="0.3">
      <c r="B412" s="10" t="s">
        <v>1711</v>
      </c>
      <c r="C412" s="10" t="s">
        <v>2076</v>
      </c>
      <c r="D412" s="10">
        <v>1</v>
      </c>
      <c r="E412" s="10">
        <v>0</v>
      </c>
      <c r="F412" s="10">
        <v>1</v>
      </c>
      <c r="G412" s="10">
        <v>1</v>
      </c>
      <c r="H412" s="10">
        <v>1</v>
      </c>
      <c r="I412" s="10" t="s">
        <v>322</v>
      </c>
      <c r="J412" s="69">
        <f t="shared" si="32"/>
        <v>10391</v>
      </c>
      <c r="K412" s="10">
        <f t="shared" si="35"/>
        <v>391</v>
      </c>
      <c r="L412" s="10">
        <f t="shared" si="36"/>
        <v>390</v>
      </c>
      <c r="M412" s="10" t="s">
        <v>142</v>
      </c>
      <c r="N412" s="10" t="s">
        <v>324</v>
      </c>
      <c r="O412" s="59"/>
      <c r="P412" s="59"/>
    </row>
    <row r="413" spans="2:16" x14ac:dyDescent="0.3">
      <c r="B413" s="10" t="s">
        <v>1712</v>
      </c>
      <c r="C413" s="10" t="s">
        <v>2076</v>
      </c>
      <c r="D413" s="10">
        <v>1</v>
      </c>
      <c r="E413" s="10">
        <v>0</v>
      </c>
      <c r="F413" s="10">
        <v>1</v>
      </c>
      <c r="G413" s="10">
        <v>1</v>
      </c>
      <c r="H413" s="10">
        <v>1</v>
      </c>
      <c r="I413" s="10" t="s">
        <v>322</v>
      </c>
      <c r="J413" s="69">
        <f t="shared" si="32"/>
        <v>10392</v>
      </c>
      <c r="K413" s="10">
        <f t="shared" si="35"/>
        <v>392</v>
      </c>
      <c r="L413" s="10">
        <f t="shared" si="36"/>
        <v>391</v>
      </c>
      <c r="M413" s="10" t="s">
        <v>142</v>
      </c>
      <c r="N413" s="10" t="s">
        <v>324</v>
      </c>
      <c r="O413" s="59"/>
      <c r="P413" s="59"/>
    </row>
    <row r="414" spans="2:16" x14ac:dyDescent="0.3">
      <c r="B414" s="10" t="s">
        <v>1713</v>
      </c>
      <c r="C414" s="10" t="s">
        <v>2076</v>
      </c>
      <c r="D414" s="10">
        <v>1</v>
      </c>
      <c r="E414" s="10">
        <v>0</v>
      </c>
      <c r="F414" s="10">
        <v>1</v>
      </c>
      <c r="G414" s="10">
        <v>1</v>
      </c>
      <c r="H414" s="10">
        <v>1</v>
      </c>
      <c r="I414" s="10" t="s">
        <v>322</v>
      </c>
      <c r="J414" s="69">
        <f t="shared" si="32"/>
        <v>10393</v>
      </c>
      <c r="K414" s="10">
        <f t="shared" si="35"/>
        <v>393</v>
      </c>
      <c r="L414" s="10">
        <f t="shared" si="36"/>
        <v>392</v>
      </c>
      <c r="M414" s="10" t="s">
        <v>142</v>
      </c>
      <c r="N414" s="10" t="s">
        <v>324</v>
      </c>
      <c r="O414" s="59"/>
      <c r="P414" s="59"/>
    </row>
    <row r="415" spans="2:16" x14ac:dyDescent="0.3">
      <c r="B415" s="10" t="s">
        <v>1714</v>
      </c>
      <c r="C415" s="10" t="s">
        <v>2076</v>
      </c>
      <c r="D415" s="10">
        <v>1</v>
      </c>
      <c r="E415" s="10">
        <v>0</v>
      </c>
      <c r="F415" s="10">
        <v>1</v>
      </c>
      <c r="G415" s="10">
        <v>1</v>
      </c>
      <c r="H415" s="10">
        <v>1</v>
      </c>
      <c r="I415" s="10" t="s">
        <v>322</v>
      </c>
      <c r="J415" s="69">
        <f t="shared" si="32"/>
        <v>10394</v>
      </c>
      <c r="K415" s="10">
        <f t="shared" si="35"/>
        <v>394</v>
      </c>
      <c r="L415" s="10">
        <f t="shared" si="36"/>
        <v>393</v>
      </c>
      <c r="M415" s="10" t="s">
        <v>142</v>
      </c>
      <c r="N415" s="10" t="s">
        <v>324</v>
      </c>
      <c r="O415" s="59"/>
      <c r="P415" s="59"/>
    </row>
    <row r="416" spans="2:16" x14ac:dyDescent="0.3">
      <c r="B416" s="10" t="s">
        <v>1715</v>
      </c>
      <c r="C416" s="10" t="s">
        <v>2076</v>
      </c>
      <c r="D416" s="10">
        <v>1</v>
      </c>
      <c r="E416" s="10">
        <v>0</v>
      </c>
      <c r="F416" s="10">
        <v>1</v>
      </c>
      <c r="G416" s="10">
        <v>1</v>
      </c>
      <c r="H416" s="10">
        <v>1</v>
      </c>
      <c r="I416" s="10" t="s">
        <v>322</v>
      </c>
      <c r="J416" s="69">
        <f t="shared" si="32"/>
        <v>10395</v>
      </c>
      <c r="K416" s="10">
        <f t="shared" si="35"/>
        <v>395</v>
      </c>
      <c r="L416" s="10">
        <f t="shared" si="36"/>
        <v>394</v>
      </c>
      <c r="M416" s="10" t="s">
        <v>142</v>
      </c>
      <c r="N416" s="10" t="s">
        <v>324</v>
      </c>
      <c r="O416" s="59"/>
      <c r="P416" s="59"/>
    </row>
    <row r="417" spans="2:16" x14ac:dyDescent="0.3">
      <c r="B417" s="10" t="s">
        <v>1716</v>
      </c>
      <c r="C417" s="10" t="s">
        <v>2076</v>
      </c>
      <c r="D417" s="10">
        <v>1</v>
      </c>
      <c r="E417" s="10">
        <v>0</v>
      </c>
      <c r="F417" s="10">
        <v>1</v>
      </c>
      <c r="G417" s="10">
        <v>1</v>
      </c>
      <c r="H417" s="10">
        <v>1</v>
      </c>
      <c r="I417" s="10" t="s">
        <v>322</v>
      </c>
      <c r="J417" s="69">
        <f t="shared" si="32"/>
        <v>10396</v>
      </c>
      <c r="K417" s="10">
        <f t="shared" si="35"/>
        <v>396</v>
      </c>
      <c r="L417" s="10">
        <f t="shared" si="36"/>
        <v>395</v>
      </c>
      <c r="M417" s="10" t="s">
        <v>142</v>
      </c>
      <c r="N417" s="10" t="s">
        <v>324</v>
      </c>
      <c r="O417" s="59"/>
      <c r="P417" s="59"/>
    </row>
    <row r="418" spans="2:16" x14ac:dyDescent="0.3">
      <c r="B418" s="10" t="s">
        <v>320</v>
      </c>
      <c r="C418" s="10" t="s">
        <v>2076</v>
      </c>
      <c r="D418" s="10">
        <v>1</v>
      </c>
      <c r="E418" s="10">
        <v>0</v>
      </c>
      <c r="F418" s="10">
        <v>1</v>
      </c>
      <c r="G418" s="10">
        <v>1</v>
      </c>
      <c r="H418" s="10">
        <v>1</v>
      </c>
      <c r="I418" s="10" t="s">
        <v>322</v>
      </c>
      <c r="J418" s="69">
        <f t="shared" si="32"/>
        <v>10397</v>
      </c>
      <c r="K418" s="10">
        <f t="shared" si="35"/>
        <v>397</v>
      </c>
      <c r="L418" s="10">
        <f t="shared" si="36"/>
        <v>396</v>
      </c>
      <c r="M418" s="10" t="s">
        <v>142</v>
      </c>
      <c r="N418" s="10" t="s">
        <v>324</v>
      </c>
      <c r="O418" s="59"/>
      <c r="P418" s="59"/>
    </row>
    <row r="419" spans="2:16" x14ac:dyDescent="0.3">
      <c r="B419" s="10" t="s">
        <v>320</v>
      </c>
      <c r="C419" s="10" t="s">
        <v>2076</v>
      </c>
      <c r="D419" s="10">
        <v>1</v>
      </c>
      <c r="E419" s="10">
        <v>0</v>
      </c>
      <c r="F419" s="10">
        <v>1</v>
      </c>
      <c r="G419" s="10">
        <v>1</v>
      </c>
      <c r="H419" s="10">
        <v>1</v>
      </c>
      <c r="I419" s="10" t="s">
        <v>322</v>
      </c>
      <c r="J419" s="69">
        <f t="shared" si="32"/>
        <v>10398</v>
      </c>
      <c r="K419" s="10">
        <f t="shared" si="35"/>
        <v>398</v>
      </c>
      <c r="L419" s="10">
        <f t="shared" si="36"/>
        <v>397</v>
      </c>
      <c r="M419" s="10" t="s">
        <v>142</v>
      </c>
      <c r="N419" s="10" t="s">
        <v>324</v>
      </c>
      <c r="O419" s="59"/>
      <c r="P419" s="59"/>
    </row>
    <row r="420" spans="2:16" x14ac:dyDescent="0.3">
      <c r="B420" s="10" t="s">
        <v>320</v>
      </c>
      <c r="C420" s="10" t="s">
        <v>2076</v>
      </c>
      <c r="D420" s="10">
        <v>1</v>
      </c>
      <c r="E420" s="10">
        <v>0</v>
      </c>
      <c r="F420" s="10">
        <v>1</v>
      </c>
      <c r="G420" s="10">
        <v>1</v>
      </c>
      <c r="H420" s="10">
        <v>1</v>
      </c>
      <c r="I420" s="10" t="s">
        <v>322</v>
      </c>
      <c r="J420" s="69">
        <f t="shared" si="32"/>
        <v>10399</v>
      </c>
      <c r="K420" s="10">
        <f t="shared" si="35"/>
        <v>399</v>
      </c>
      <c r="L420" s="10">
        <f t="shared" si="36"/>
        <v>398</v>
      </c>
      <c r="M420" s="10" t="s">
        <v>142</v>
      </c>
      <c r="N420" s="10" t="s">
        <v>324</v>
      </c>
      <c r="O420" s="59"/>
      <c r="P420" s="59"/>
    </row>
    <row r="421" spans="2:16" x14ac:dyDescent="0.3">
      <c r="B421" s="10" t="s">
        <v>320</v>
      </c>
      <c r="C421" s="10" t="s">
        <v>2076</v>
      </c>
      <c r="D421" s="10">
        <v>1</v>
      </c>
      <c r="E421" s="10">
        <v>0</v>
      </c>
      <c r="F421" s="10">
        <v>1</v>
      </c>
      <c r="G421" s="10">
        <v>1</v>
      </c>
      <c r="H421" s="10">
        <v>1</v>
      </c>
      <c r="I421" s="10" t="s">
        <v>322</v>
      </c>
      <c r="J421" s="69">
        <f t="shared" si="32"/>
        <v>10400</v>
      </c>
      <c r="K421" s="10">
        <f t="shared" si="35"/>
        <v>400</v>
      </c>
      <c r="L421" s="10">
        <f t="shared" si="36"/>
        <v>399</v>
      </c>
      <c r="M421" s="10" t="s">
        <v>142</v>
      </c>
      <c r="N421" s="10" t="s">
        <v>324</v>
      </c>
      <c r="O421" s="59"/>
      <c r="P421" s="59"/>
    </row>
    <row r="422" spans="2:16" x14ac:dyDescent="0.3">
      <c r="B422" s="496" t="s">
        <v>2152</v>
      </c>
      <c r="C422" s="496"/>
      <c r="D422" s="496"/>
      <c r="E422" s="496"/>
      <c r="F422" s="496"/>
      <c r="G422" s="496"/>
      <c r="H422" s="496"/>
      <c r="I422" s="496"/>
      <c r="J422" s="496"/>
      <c r="K422" s="496"/>
      <c r="L422" s="496"/>
      <c r="M422" s="496"/>
      <c r="N422" s="496"/>
      <c r="O422" s="496"/>
      <c r="P422" s="496"/>
    </row>
    <row r="423" spans="2:16" x14ac:dyDescent="0.3">
      <c r="B423" s="10" t="s">
        <v>1717</v>
      </c>
      <c r="C423" s="10" t="s">
        <v>2076</v>
      </c>
      <c r="D423" s="10">
        <v>1</v>
      </c>
      <c r="E423" s="10">
        <v>0</v>
      </c>
      <c r="F423" s="10">
        <v>1</v>
      </c>
      <c r="G423" s="10">
        <v>1</v>
      </c>
      <c r="H423" s="10">
        <v>1</v>
      </c>
      <c r="I423" s="10" t="s">
        <v>322</v>
      </c>
      <c r="J423" s="69">
        <f>J421+D421</f>
        <v>10401</v>
      </c>
      <c r="K423" s="10">
        <f t="shared" ref="K423:K438" si="37">J423-10000</f>
        <v>401</v>
      </c>
      <c r="L423" s="10">
        <f t="shared" ref="L423:L438" si="38">K423-1</f>
        <v>400</v>
      </c>
      <c r="M423" s="10" t="s">
        <v>142</v>
      </c>
      <c r="N423" s="10" t="s">
        <v>324</v>
      </c>
      <c r="O423" s="59"/>
      <c r="P423" s="59"/>
    </row>
    <row r="424" spans="2:16" x14ac:dyDescent="0.3">
      <c r="B424" s="10" t="s">
        <v>1718</v>
      </c>
      <c r="C424" s="10" t="s">
        <v>2076</v>
      </c>
      <c r="D424" s="10">
        <v>1</v>
      </c>
      <c r="E424" s="10">
        <v>0</v>
      </c>
      <c r="F424" s="10">
        <v>1</v>
      </c>
      <c r="G424" s="10">
        <v>1</v>
      </c>
      <c r="H424" s="10">
        <v>1</v>
      </c>
      <c r="I424" s="10" t="s">
        <v>322</v>
      </c>
      <c r="J424" s="69">
        <f t="shared" si="32"/>
        <v>10402</v>
      </c>
      <c r="K424" s="10">
        <f t="shared" si="37"/>
        <v>402</v>
      </c>
      <c r="L424" s="10">
        <f t="shared" si="38"/>
        <v>401</v>
      </c>
      <c r="M424" s="10" t="s">
        <v>142</v>
      </c>
      <c r="N424" s="10" t="s">
        <v>324</v>
      </c>
      <c r="O424" s="59"/>
      <c r="P424" s="59"/>
    </row>
    <row r="425" spans="2:16" x14ac:dyDescent="0.3">
      <c r="B425" s="10" t="s">
        <v>1719</v>
      </c>
      <c r="C425" s="10" t="s">
        <v>2076</v>
      </c>
      <c r="D425" s="10">
        <v>1</v>
      </c>
      <c r="E425" s="10">
        <v>0</v>
      </c>
      <c r="F425" s="10">
        <v>1</v>
      </c>
      <c r="G425" s="10">
        <v>1</v>
      </c>
      <c r="H425" s="10">
        <v>1</v>
      </c>
      <c r="I425" s="10" t="s">
        <v>322</v>
      </c>
      <c r="J425" s="69">
        <f t="shared" si="32"/>
        <v>10403</v>
      </c>
      <c r="K425" s="10">
        <f t="shared" si="37"/>
        <v>403</v>
      </c>
      <c r="L425" s="10">
        <f t="shared" si="38"/>
        <v>402</v>
      </c>
      <c r="M425" s="10" t="s">
        <v>142</v>
      </c>
      <c r="N425" s="10" t="s">
        <v>324</v>
      </c>
      <c r="O425" s="59"/>
      <c r="P425" s="59"/>
    </row>
    <row r="426" spans="2:16" x14ac:dyDescent="0.3">
      <c r="B426" s="10" t="s">
        <v>1720</v>
      </c>
      <c r="C426" s="10" t="s">
        <v>2076</v>
      </c>
      <c r="D426" s="10">
        <v>1</v>
      </c>
      <c r="E426" s="10">
        <v>0</v>
      </c>
      <c r="F426" s="10">
        <v>1</v>
      </c>
      <c r="G426" s="10">
        <v>1</v>
      </c>
      <c r="H426" s="10">
        <v>1</v>
      </c>
      <c r="I426" s="10" t="s">
        <v>322</v>
      </c>
      <c r="J426" s="69">
        <f t="shared" si="32"/>
        <v>10404</v>
      </c>
      <c r="K426" s="10">
        <f t="shared" si="37"/>
        <v>404</v>
      </c>
      <c r="L426" s="10">
        <f t="shared" si="38"/>
        <v>403</v>
      </c>
      <c r="M426" s="10" t="s">
        <v>142</v>
      </c>
      <c r="N426" s="10" t="s">
        <v>324</v>
      </c>
      <c r="O426" s="59"/>
      <c r="P426" s="59"/>
    </row>
    <row r="427" spans="2:16" x14ac:dyDescent="0.3">
      <c r="B427" s="10" t="s">
        <v>320</v>
      </c>
      <c r="C427" s="10" t="s">
        <v>2076</v>
      </c>
      <c r="D427" s="10">
        <v>1</v>
      </c>
      <c r="E427" s="10">
        <v>0</v>
      </c>
      <c r="F427" s="10">
        <v>1</v>
      </c>
      <c r="G427" s="10">
        <v>1</v>
      </c>
      <c r="H427" s="10">
        <v>1</v>
      </c>
      <c r="I427" s="10" t="s">
        <v>322</v>
      </c>
      <c r="J427" s="69">
        <f t="shared" si="32"/>
        <v>10405</v>
      </c>
      <c r="K427" s="10">
        <f t="shared" si="37"/>
        <v>405</v>
      </c>
      <c r="L427" s="10">
        <f t="shared" si="38"/>
        <v>404</v>
      </c>
      <c r="M427" s="10" t="s">
        <v>142</v>
      </c>
      <c r="N427" s="10" t="s">
        <v>324</v>
      </c>
      <c r="O427" s="59"/>
      <c r="P427" s="59"/>
    </row>
    <row r="428" spans="2:16" x14ac:dyDescent="0.3">
      <c r="B428" s="10" t="s">
        <v>320</v>
      </c>
      <c r="C428" s="10" t="s">
        <v>2076</v>
      </c>
      <c r="D428" s="10">
        <v>1</v>
      </c>
      <c r="E428" s="10">
        <v>0</v>
      </c>
      <c r="F428" s="10">
        <v>1</v>
      </c>
      <c r="G428" s="10">
        <v>1</v>
      </c>
      <c r="H428" s="10">
        <v>1</v>
      </c>
      <c r="I428" s="10" t="s">
        <v>322</v>
      </c>
      <c r="J428" s="69">
        <f t="shared" ref="J428:J489" si="39">J427+D427</f>
        <v>10406</v>
      </c>
      <c r="K428" s="10">
        <f t="shared" si="37"/>
        <v>406</v>
      </c>
      <c r="L428" s="10">
        <f t="shared" si="38"/>
        <v>405</v>
      </c>
      <c r="M428" s="10" t="s">
        <v>142</v>
      </c>
      <c r="N428" s="10" t="s">
        <v>324</v>
      </c>
      <c r="O428" s="59"/>
      <c r="P428" s="59"/>
    </row>
    <row r="429" spans="2:16" x14ac:dyDescent="0.3">
      <c r="B429" s="10" t="s">
        <v>320</v>
      </c>
      <c r="C429" s="10" t="s">
        <v>2076</v>
      </c>
      <c r="D429" s="10">
        <v>1</v>
      </c>
      <c r="E429" s="10">
        <v>0</v>
      </c>
      <c r="F429" s="10">
        <v>1</v>
      </c>
      <c r="G429" s="10">
        <v>1</v>
      </c>
      <c r="H429" s="10">
        <v>1</v>
      </c>
      <c r="I429" s="10" t="s">
        <v>322</v>
      </c>
      <c r="J429" s="69">
        <f t="shared" si="39"/>
        <v>10407</v>
      </c>
      <c r="K429" s="10">
        <f t="shared" si="37"/>
        <v>407</v>
      </c>
      <c r="L429" s="10">
        <f t="shared" si="38"/>
        <v>406</v>
      </c>
      <c r="M429" s="10" t="s">
        <v>142</v>
      </c>
      <c r="N429" s="10" t="s">
        <v>324</v>
      </c>
      <c r="O429" s="59"/>
      <c r="P429" s="59"/>
    </row>
    <row r="430" spans="2:16" x14ac:dyDescent="0.3">
      <c r="B430" s="10" t="s">
        <v>320</v>
      </c>
      <c r="C430" s="10" t="s">
        <v>2076</v>
      </c>
      <c r="D430" s="10">
        <v>1</v>
      </c>
      <c r="E430" s="10">
        <v>0</v>
      </c>
      <c r="F430" s="10">
        <v>1</v>
      </c>
      <c r="G430" s="10">
        <v>1</v>
      </c>
      <c r="H430" s="10">
        <v>1</v>
      </c>
      <c r="I430" s="10" t="s">
        <v>322</v>
      </c>
      <c r="J430" s="69">
        <f t="shared" si="39"/>
        <v>10408</v>
      </c>
      <c r="K430" s="10">
        <f t="shared" si="37"/>
        <v>408</v>
      </c>
      <c r="L430" s="10">
        <f t="shared" si="38"/>
        <v>407</v>
      </c>
      <c r="M430" s="10" t="s">
        <v>142</v>
      </c>
      <c r="N430" s="10" t="s">
        <v>324</v>
      </c>
      <c r="O430" s="59"/>
      <c r="P430" s="59"/>
    </row>
    <row r="431" spans="2:16" x14ac:dyDescent="0.3">
      <c r="B431" s="10" t="s">
        <v>320</v>
      </c>
      <c r="C431" s="10" t="s">
        <v>2076</v>
      </c>
      <c r="D431" s="10">
        <v>1</v>
      </c>
      <c r="E431" s="10">
        <v>0</v>
      </c>
      <c r="F431" s="10">
        <v>1</v>
      </c>
      <c r="G431" s="10">
        <v>1</v>
      </c>
      <c r="H431" s="10">
        <v>1</v>
      </c>
      <c r="I431" s="10" t="s">
        <v>322</v>
      </c>
      <c r="J431" s="69">
        <f t="shared" si="39"/>
        <v>10409</v>
      </c>
      <c r="K431" s="10">
        <f t="shared" si="37"/>
        <v>409</v>
      </c>
      <c r="L431" s="10">
        <f t="shared" si="38"/>
        <v>408</v>
      </c>
      <c r="M431" s="10" t="s">
        <v>142</v>
      </c>
      <c r="N431" s="10" t="s">
        <v>324</v>
      </c>
      <c r="O431" s="59"/>
      <c r="P431" s="59"/>
    </row>
    <row r="432" spans="2:16" x14ac:dyDescent="0.3">
      <c r="B432" s="10" t="s">
        <v>320</v>
      </c>
      <c r="C432" s="10" t="s">
        <v>2076</v>
      </c>
      <c r="D432" s="10">
        <v>1</v>
      </c>
      <c r="E432" s="10">
        <v>0</v>
      </c>
      <c r="F432" s="10">
        <v>1</v>
      </c>
      <c r="G432" s="10">
        <v>1</v>
      </c>
      <c r="H432" s="10">
        <v>1</v>
      </c>
      <c r="I432" s="10" t="s">
        <v>322</v>
      </c>
      <c r="J432" s="69">
        <f t="shared" si="39"/>
        <v>10410</v>
      </c>
      <c r="K432" s="10">
        <f t="shared" si="37"/>
        <v>410</v>
      </c>
      <c r="L432" s="10">
        <f t="shared" si="38"/>
        <v>409</v>
      </c>
      <c r="M432" s="10" t="s">
        <v>142</v>
      </c>
      <c r="N432" s="10" t="s">
        <v>324</v>
      </c>
      <c r="O432" s="59"/>
      <c r="P432" s="59"/>
    </row>
    <row r="433" spans="2:16" x14ac:dyDescent="0.3">
      <c r="B433" s="10" t="s">
        <v>320</v>
      </c>
      <c r="C433" s="10" t="s">
        <v>2076</v>
      </c>
      <c r="D433" s="10">
        <v>1</v>
      </c>
      <c r="E433" s="10">
        <v>0</v>
      </c>
      <c r="F433" s="10">
        <v>1</v>
      </c>
      <c r="G433" s="10">
        <v>1</v>
      </c>
      <c r="H433" s="10">
        <v>1</v>
      </c>
      <c r="I433" s="10" t="s">
        <v>322</v>
      </c>
      <c r="J433" s="69">
        <f t="shared" si="39"/>
        <v>10411</v>
      </c>
      <c r="K433" s="10">
        <f t="shared" si="37"/>
        <v>411</v>
      </c>
      <c r="L433" s="10">
        <f t="shared" si="38"/>
        <v>410</v>
      </c>
      <c r="M433" s="10" t="s">
        <v>142</v>
      </c>
      <c r="N433" s="10" t="s">
        <v>324</v>
      </c>
      <c r="O433" s="59"/>
      <c r="P433" s="59"/>
    </row>
    <row r="434" spans="2:16" x14ac:dyDescent="0.3">
      <c r="B434" s="10" t="s">
        <v>320</v>
      </c>
      <c r="C434" s="10" t="s">
        <v>2076</v>
      </c>
      <c r="D434" s="10">
        <v>1</v>
      </c>
      <c r="E434" s="10">
        <v>0</v>
      </c>
      <c r="F434" s="10">
        <v>1</v>
      </c>
      <c r="G434" s="10">
        <v>1</v>
      </c>
      <c r="H434" s="10">
        <v>1</v>
      </c>
      <c r="I434" s="10" t="s">
        <v>322</v>
      </c>
      <c r="J434" s="69">
        <f t="shared" si="39"/>
        <v>10412</v>
      </c>
      <c r="K434" s="10">
        <f t="shared" si="37"/>
        <v>412</v>
      </c>
      <c r="L434" s="10">
        <f t="shared" si="38"/>
        <v>411</v>
      </c>
      <c r="M434" s="10" t="s">
        <v>142</v>
      </c>
      <c r="N434" s="10" t="s">
        <v>324</v>
      </c>
      <c r="O434" s="59"/>
      <c r="P434" s="59"/>
    </row>
    <row r="435" spans="2:16" x14ac:dyDescent="0.3">
      <c r="B435" s="10" t="s">
        <v>320</v>
      </c>
      <c r="C435" s="10" t="s">
        <v>2076</v>
      </c>
      <c r="D435" s="10">
        <v>1</v>
      </c>
      <c r="E435" s="10">
        <v>0</v>
      </c>
      <c r="F435" s="10">
        <v>1</v>
      </c>
      <c r="G435" s="10">
        <v>1</v>
      </c>
      <c r="H435" s="10">
        <v>1</v>
      </c>
      <c r="I435" s="10" t="s">
        <v>322</v>
      </c>
      <c r="J435" s="69">
        <f t="shared" si="39"/>
        <v>10413</v>
      </c>
      <c r="K435" s="10">
        <f t="shared" si="37"/>
        <v>413</v>
      </c>
      <c r="L435" s="10">
        <f t="shared" si="38"/>
        <v>412</v>
      </c>
      <c r="M435" s="10" t="s">
        <v>142</v>
      </c>
      <c r="N435" s="10" t="s">
        <v>324</v>
      </c>
      <c r="O435" s="59"/>
      <c r="P435" s="59"/>
    </row>
    <row r="436" spans="2:16" x14ac:dyDescent="0.3">
      <c r="B436" s="10" t="s">
        <v>320</v>
      </c>
      <c r="C436" s="10" t="s">
        <v>2076</v>
      </c>
      <c r="D436" s="10">
        <v>1</v>
      </c>
      <c r="E436" s="10">
        <v>0</v>
      </c>
      <c r="F436" s="10">
        <v>1</v>
      </c>
      <c r="G436" s="10">
        <v>1</v>
      </c>
      <c r="H436" s="10">
        <v>1</v>
      </c>
      <c r="I436" s="10" t="s">
        <v>322</v>
      </c>
      <c r="J436" s="69">
        <f t="shared" si="39"/>
        <v>10414</v>
      </c>
      <c r="K436" s="10">
        <f t="shared" si="37"/>
        <v>414</v>
      </c>
      <c r="L436" s="10">
        <f t="shared" si="38"/>
        <v>413</v>
      </c>
      <c r="M436" s="10" t="s">
        <v>142</v>
      </c>
      <c r="N436" s="10" t="s">
        <v>324</v>
      </c>
      <c r="O436" s="59"/>
      <c r="P436" s="59"/>
    </row>
    <row r="437" spans="2:16" x14ac:dyDescent="0.3">
      <c r="B437" s="10" t="s">
        <v>320</v>
      </c>
      <c r="C437" s="10" t="s">
        <v>2076</v>
      </c>
      <c r="D437" s="10">
        <v>1</v>
      </c>
      <c r="E437" s="10">
        <v>0</v>
      </c>
      <c r="F437" s="10">
        <v>1</v>
      </c>
      <c r="G437" s="10">
        <v>1</v>
      </c>
      <c r="H437" s="10">
        <v>1</v>
      </c>
      <c r="I437" s="10" t="s">
        <v>322</v>
      </c>
      <c r="J437" s="69">
        <f t="shared" si="39"/>
        <v>10415</v>
      </c>
      <c r="K437" s="10">
        <f t="shared" si="37"/>
        <v>415</v>
      </c>
      <c r="L437" s="10">
        <f t="shared" si="38"/>
        <v>414</v>
      </c>
      <c r="M437" s="10" t="s">
        <v>142</v>
      </c>
      <c r="N437" s="10" t="s">
        <v>324</v>
      </c>
      <c r="O437" s="59"/>
      <c r="P437" s="59"/>
    </row>
    <row r="438" spans="2:16" x14ac:dyDescent="0.3">
      <c r="B438" s="10" t="s">
        <v>320</v>
      </c>
      <c r="C438" s="10" t="s">
        <v>2076</v>
      </c>
      <c r="D438" s="10">
        <v>1</v>
      </c>
      <c r="E438" s="10">
        <v>0</v>
      </c>
      <c r="F438" s="10">
        <v>1</v>
      </c>
      <c r="G438" s="10">
        <v>1</v>
      </c>
      <c r="H438" s="10">
        <v>1</v>
      </c>
      <c r="I438" s="10" t="s">
        <v>322</v>
      </c>
      <c r="J438" s="69">
        <f t="shared" si="39"/>
        <v>10416</v>
      </c>
      <c r="K438" s="10">
        <f t="shared" si="37"/>
        <v>416</v>
      </c>
      <c r="L438" s="10">
        <f t="shared" si="38"/>
        <v>415</v>
      </c>
      <c r="M438" s="10" t="s">
        <v>142</v>
      </c>
      <c r="N438" s="10" t="s">
        <v>324</v>
      </c>
      <c r="O438" s="59"/>
      <c r="P438" s="59"/>
    </row>
    <row r="439" spans="2:16" x14ac:dyDescent="0.3">
      <c r="B439" s="496" t="s">
        <v>2153</v>
      </c>
      <c r="C439" s="496"/>
      <c r="D439" s="496"/>
      <c r="E439" s="496"/>
      <c r="F439" s="496"/>
      <c r="G439" s="496"/>
      <c r="H439" s="496"/>
      <c r="I439" s="496"/>
      <c r="J439" s="496"/>
      <c r="K439" s="496"/>
      <c r="L439" s="496"/>
      <c r="M439" s="496"/>
      <c r="N439" s="496"/>
      <c r="O439" s="496"/>
      <c r="P439" s="496"/>
    </row>
    <row r="440" spans="2:16" x14ac:dyDescent="0.3">
      <c r="B440" s="10" t="s">
        <v>1721</v>
      </c>
      <c r="C440" s="10" t="s">
        <v>2076</v>
      </c>
      <c r="D440" s="10">
        <v>1</v>
      </c>
      <c r="E440" s="10">
        <v>0</v>
      </c>
      <c r="F440" s="10">
        <v>1</v>
      </c>
      <c r="G440" s="10">
        <v>1</v>
      </c>
      <c r="H440" s="10">
        <v>1</v>
      </c>
      <c r="I440" s="10" t="s">
        <v>322</v>
      </c>
      <c r="J440" s="69">
        <f>J438+D438</f>
        <v>10417</v>
      </c>
      <c r="K440" s="10">
        <f t="shared" ref="K440:K455" si="40">J440-10000</f>
        <v>417</v>
      </c>
      <c r="L440" s="10">
        <f t="shared" ref="L440:L455" si="41">K440-1</f>
        <v>416</v>
      </c>
      <c r="M440" s="10" t="s">
        <v>142</v>
      </c>
      <c r="N440" s="10" t="s">
        <v>324</v>
      </c>
      <c r="O440" s="59"/>
      <c r="P440" s="59"/>
    </row>
    <row r="441" spans="2:16" x14ac:dyDescent="0.3">
      <c r="B441" s="10" t="s">
        <v>1722</v>
      </c>
      <c r="C441" s="10" t="s">
        <v>2076</v>
      </c>
      <c r="D441" s="10">
        <v>1</v>
      </c>
      <c r="E441" s="10">
        <v>0</v>
      </c>
      <c r="F441" s="10">
        <v>1</v>
      </c>
      <c r="G441" s="10">
        <v>1</v>
      </c>
      <c r="H441" s="10">
        <v>1</v>
      </c>
      <c r="I441" s="10" t="s">
        <v>322</v>
      </c>
      <c r="J441" s="69">
        <f t="shared" si="39"/>
        <v>10418</v>
      </c>
      <c r="K441" s="10">
        <f t="shared" si="40"/>
        <v>418</v>
      </c>
      <c r="L441" s="10">
        <f t="shared" si="41"/>
        <v>417</v>
      </c>
      <c r="M441" s="10" t="s">
        <v>142</v>
      </c>
      <c r="N441" s="10" t="s">
        <v>324</v>
      </c>
      <c r="O441" s="59"/>
      <c r="P441" s="59"/>
    </row>
    <row r="442" spans="2:16" x14ac:dyDescent="0.3">
      <c r="B442" s="10" t="s">
        <v>1723</v>
      </c>
      <c r="C442" s="10" t="s">
        <v>2076</v>
      </c>
      <c r="D442" s="10">
        <v>1</v>
      </c>
      <c r="E442" s="10">
        <v>0</v>
      </c>
      <c r="F442" s="10">
        <v>1</v>
      </c>
      <c r="G442" s="10">
        <v>1</v>
      </c>
      <c r="H442" s="10">
        <v>1</v>
      </c>
      <c r="I442" s="10" t="s">
        <v>322</v>
      </c>
      <c r="J442" s="69">
        <f t="shared" si="39"/>
        <v>10419</v>
      </c>
      <c r="K442" s="10">
        <f t="shared" si="40"/>
        <v>419</v>
      </c>
      <c r="L442" s="10">
        <f t="shared" si="41"/>
        <v>418</v>
      </c>
      <c r="M442" s="10" t="s">
        <v>142</v>
      </c>
      <c r="N442" s="10" t="s">
        <v>324</v>
      </c>
      <c r="O442" s="59"/>
      <c r="P442" s="59"/>
    </row>
    <row r="443" spans="2:16" x14ac:dyDescent="0.3">
      <c r="B443" s="10" t="s">
        <v>1724</v>
      </c>
      <c r="C443" s="10" t="s">
        <v>2076</v>
      </c>
      <c r="D443" s="10">
        <v>1</v>
      </c>
      <c r="E443" s="10">
        <v>0</v>
      </c>
      <c r="F443" s="10">
        <v>1</v>
      </c>
      <c r="G443" s="10">
        <v>1</v>
      </c>
      <c r="H443" s="10">
        <v>1</v>
      </c>
      <c r="I443" s="10" t="s">
        <v>322</v>
      </c>
      <c r="J443" s="69">
        <f t="shared" si="39"/>
        <v>10420</v>
      </c>
      <c r="K443" s="10">
        <f t="shared" si="40"/>
        <v>420</v>
      </c>
      <c r="L443" s="10">
        <f t="shared" si="41"/>
        <v>419</v>
      </c>
      <c r="M443" s="10" t="s">
        <v>142</v>
      </c>
      <c r="N443" s="10" t="s">
        <v>324</v>
      </c>
      <c r="O443" s="59"/>
      <c r="P443" s="59"/>
    </row>
    <row r="444" spans="2:16" x14ac:dyDescent="0.3">
      <c r="B444" s="10" t="s">
        <v>320</v>
      </c>
      <c r="C444" s="10" t="s">
        <v>2076</v>
      </c>
      <c r="D444" s="10">
        <v>1</v>
      </c>
      <c r="E444" s="10">
        <v>0</v>
      </c>
      <c r="F444" s="10">
        <v>1</v>
      </c>
      <c r="G444" s="10">
        <v>1</v>
      </c>
      <c r="H444" s="10">
        <v>1</v>
      </c>
      <c r="I444" s="10" t="s">
        <v>322</v>
      </c>
      <c r="J444" s="69">
        <f t="shared" si="39"/>
        <v>10421</v>
      </c>
      <c r="K444" s="10">
        <f t="shared" si="40"/>
        <v>421</v>
      </c>
      <c r="L444" s="10">
        <f t="shared" si="41"/>
        <v>420</v>
      </c>
      <c r="M444" s="10" t="s">
        <v>142</v>
      </c>
      <c r="N444" s="10" t="s">
        <v>324</v>
      </c>
      <c r="O444" s="59"/>
      <c r="P444" s="59"/>
    </row>
    <row r="445" spans="2:16" x14ac:dyDescent="0.3">
      <c r="B445" s="10" t="s">
        <v>320</v>
      </c>
      <c r="C445" s="10" t="s">
        <v>2076</v>
      </c>
      <c r="D445" s="10">
        <v>1</v>
      </c>
      <c r="E445" s="10">
        <v>0</v>
      </c>
      <c r="F445" s="10">
        <v>1</v>
      </c>
      <c r="G445" s="10">
        <v>1</v>
      </c>
      <c r="H445" s="10">
        <v>1</v>
      </c>
      <c r="I445" s="10" t="s">
        <v>322</v>
      </c>
      <c r="J445" s="69">
        <f t="shared" si="39"/>
        <v>10422</v>
      </c>
      <c r="K445" s="10">
        <f t="shared" si="40"/>
        <v>422</v>
      </c>
      <c r="L445" s="10">
        <f t="shared" si="41"/>
        <v>421</v>
      </c>
      <c r="M445" s="10" t="s">
        <v>142</v>
      </c>
      <c r="N445" s="10" t="s">
        <v>324</v>
      </c>
      <c r="O445" s="59"/>
      <c r="P445" s="59"/>
    </row>
    <row r="446" spans="2:16" x14ac:dyDescent="0.3">
      <c r="B446" s="10" t="s">
        <v>320</v>
      </c>
      <c r="C446" s="10" t="s">
        <v>2076</v>
      </c>
      <c r="D446" s="10">
        <v>1</v>
      </c>
      <c r="E446" s="10">
        <v>0</v>
      </c>
      <c r="F446" s="10">
        <v>1</v>
      </c>
      <c r="G446" s="10">
        <v>1</v>
      </c>
      <c r="H446" s="10">
        <v>1</v>
      </c>
      <c r="I446" s="10" t="s">
        <v>322</v>
      </c>
      <c r="J446" s="69">
        <f t="shared" si="39"/>
        <v>10423</v>
      </c>
      <c r="K446" s="10">
        <f t="shared" si="40"/>
        <v>423</v>
      </c>
      <c r="L446" s="10">
        <f t="shared" si="41"/>
        <v>422</v>
      </c>
      <c r="M446" s="10" t="s">
        <v>142</v>
      </c>
      <c r="N446" s="10" t="s">
        <v>324</v>
      </c>
      <c r="O446" s="59"/>
      <c r="P446" s="59"/>
    </row>
    <row r="447" spans="2:16" x14ac:dyDescent="0.3">
      <c r="B447" s="10" t="s">
        <v>320</v>
      </c>
      <c r="C447" s="10" t="s">
        <v>2076</v>
      </c>
      <c r="D447" s="10">
        <v>1</v>
      </c>
      <c r="E447" s="10">
        <v>0</v>
      </c>
      <c r="F447" s="10">
        <v>1</v>
      </c>
      <c r="G447" s="10">
        <v>1</v>
      </c>
      <c r="H447" s="10">
        <v>1</v>
      </c>
      <c r="I447" s="10" t="s">
        <v>322</v>
      </c>
      <c r="J447" s="69">
        <f t="shared" si="39"/>
        <v>10424</v>
      </c>
      <c r="K447" s="10">
        <f t="shared" si="40"/>
        <v>424</v>
      </c>
      <c r="L447" s="10">
        <f t="shared" si="41"/>
        <v>423</v>
      </c>
      <c r="M447" s="10" t="s">
        <v>142</v>
      </c>
      <c r="N447" s="10" t="s">
        <v>324</v>
      </c>
      <c r="O447" s="59"/>
      <c r="P447" s="59"/>
    </row>
    <row r="448" spans="2:16" x14ac:dyDescent="0.3">
      <c r="B448" s="10" t="s">
        <v>320</v>
      </c>
      <c r="C448" s="10" t="s">
        <v>2076</v>
      </c>
      <c r="D448" s="10">
        <v>1</v>
      </c>
      <c r="E448" s="10">
        <v>0</v>
      </c>
      <c r="F448" s="10">
        <v>1</v>
      </c>
      <c r="G448" s="10">
        <v>1</v>
      </c>
      <c r="H448" s="10">
        <v>1</v>
      </c>
      <c r="I448" s="10" t="s">
        <v>322</v>
      </c>
      <c r="J448" s="69">
        <f t="shared" si="39"/>
        <v>10425</v>
      </c>
      <c r="K448" s="10">
        <f t="shared" si="40"/>
        <v>425</v>
      </c>
      <c r="L448" s="10">
        <f t="shared" si="41"/>
        <v>424</v>
      </c>
      <c r="M448" s="10" t="s">
        <v>142</v>
      </c>
      <c r="N448" s="10" t="s">
        <v>324</v>
      </c>
      <c r="O448" s="59"/>
      <c r="P448" s="59"/>
    </row>
    <row r="449" spans="2:16" x14ac:dyDescent="0.3">
      <c r="B449" s="10" t="s">
        <v>320</v>
      </c>
      <c r="C449" s="10" t="s">
        <v>2076</v>
      </c>
      <c r="D449" s="10">
        <v>1</v>
      </c>
      <c r="E449" s="10">
        <v>0</v>
      </c>
      <c r="F449" s="10">
        <v>1</v>
      </c>
      <c r="G449" s="10">
        <v>1</v>
      </c>
      <c r="H449" s="10">
        <v>1</v>
      </c>
      <c r="I449" s="10" t="s">
        <v>322</v>
      </c>
      <c r="J449" s="69">
        <f t="shared" si="39"/>
        <v>10426</v>
      </c>
      <c r="K449" s="10">
        <f t="shared" si="40"/>
        <v>426</v>
      </c>
      <c r="L449" s="10">
        <f t="shared" si="41"/>
        <v>425</v>
      </c>
      <c r="M449" s="10" t="s">
        <v>142</v>
      </c>
      <c r="N449" s="10" t="s">
        <v>324</v>
      </c>
      <c r="O449" s="59"/>
      <c r="P449" s="59"/>
    </row>
    <row r="450" spans="2:16" x14ac:dyDescent="0.3">
      <c r="B450" s="10" t="s">
        <v>320</v>
      </c>
      <c r="C450" s="10" t="s">
        <v>2076</v>
      </c>
      <c r="D450" s="10">
        <v>1</v>
      </c>
      <c r="E450" s="10">
        <v>0</v>
      </c>
      <c r="F450" s="10">
        <v>1</v>
      </c>
      <c r="G450" s="10">
        <v>1</v>
      </c>
      <c r="H450" s="10">
        <v>1</v>
      </c>
      <c r="I450" s="10" t="s">
        <v>322</v>
      </c>
      <c r="J450" s="69">
        <f t="shared" si="39"/>
        <v>10427</v>
      </c>
      <c r="K450" s="10">
        <f t="shared" si="40"/>
        <v>427</v>
      </c>
      <c r="L450" s="10">
        <f t="shared" si="41"/>
        <v>426</v>
      </c>
      <c r="M450" s="10" t="s">
        <v>142</v>
      </c>
      <c r="N450" s="10" t="s">
        <v>324</v>
      </c>
      <c r="O450" s="59"/>
      <c r="P450" s="59"/>
    </row>
    <row r="451" spans="2:16" x14ac:dyDescent="0.3">
      <c r="B451" s="10" t="s">
        <v>320</v>
      </c>
      <c r="C451" s="10" t="s">
        <v>2076</v>
      </c>
      <c r="D451" s="10">
        <v>1</v>
      </c>
      <c r="E451" s="10">
        <v>0</v>
      </c>
      <c r="F451" s="10">
        <v>1</v>
      </c>
      <c r="G451" s="10">
        <v>1</v>
      </c>
      <c r="H451" s="10">
        <v>1</v>
      </c>
      <c r="I451" s="10" t="s">
        <v>322</v>
      </c>
      <c r="J451" s="69">
        <f t="shared" si="39"/>
        <v>10428</v>
      </c>
      <c r="K451" s="10">
        <f t="shared" si="40"/>
        <v>428</v>
      </c>
      <c r="L451" s="10">
        <f t="shared" si="41"/>
        <v>427</v>
      </c>
      <c r="M451" s="10" t="s">
        <v>142</v>
      </c>
      <c r="N451" s="10" t="s">
        <v>324</v>
      </c>
      <c r="O451" s="59"/>
      <c r="P451" s="59"/>
    </row>
    <row r="452" spans="2:16" x14ac:dyDescent="0.3">
      <c r="B452" s="10" t="s">
        <v>320</v>
      </c>
      <c r="C452" s="10" t="s">
        <v>2076</v>
      </c>
      <c r="D452" s="10">
        <v>1</v>
      </c>
      <c r="E452" s="10">
        <v>0</v>
      </c>
      <c r="F452" s="10">
        <v>1</v>
      </c>
      <c r="G452" s="10">
        <v>1</v>
      </c>
      <c r="H452" s="10">
        <v>1</v>
      </c>
      <c r="I452" s="10" t="s">
        <v>322</v>
      </c>
      <c r="J452" s="69">
        <f t="shared" si="39"/>
        <v>10429</v>
      </c>
      <c r="K452" s="10">
        <f t="shared" si="40"/>
        <v>429</v>
      </c>
      <c r="L452" s="10">
        <f t="shared" si="41"/>
        <v>428</v>
      </c>
      <c r="M452" s="10" t="s">
        <v>142</v>
      </c>
      <c r="N452" s="10" t="s">
        <v>324</v>
      </c>
      <c r="O452" s="59"/>
      <c r="P452" s="59"/>
    </row>
    <row r="453" spans="2:16" x14ac:dyDescent="0.3">
      <c r="B453" s="10" t="s">
        <v>320</v>
      </c>
      <c r="C453" s="10" t="s">
        <v>2076</v>
      </c>
      <c r="D453" s="10">
        <v>1</v>
      </c>
      <c r="E453" s="10">
        <v>0</v>
      </c>
      <c r="F453" s="10">
        <v>1</v>
      </c>
      <c r="G453" s="10">
        <v>1</v>
      </c>
      <c r="H453" s="10">
        <v>1</v>
      </c>
      <c r="I453" s="10" t="s">
        <v>322</v>
      </c>
      <c r="J453" s="69">
        <f t="shared" si="39"/>
        <v>10430</v>
      </c>
      <c r="K453" s="10">
        <f t="shared" si="40"/>
        <v>430</v>
      </c>
      <c r="L453" s="10">
        <f t="shared" si="41"/>
        <v>429</v>
      </c>
      <c r="M453" s="10" t="s">
        <v>142</v>
      </c>
      <c r="N453" s="10" t="s">
        <v>324</v>
      </c>
      <c r="O453" s="59"/>
      <c r="P453" s="59"/>
    </row>
    <row r="454" spans="2:16" x14ac:dyDescent="0.3">
      <c r="B454" s="10" t="s">
        <v>320</v>
      </c>
      <c r="C454" s="10" t="s">
        <v>2076</v>
      </c>
      <c r="D454" s="10">
        <v>1</v>
      </c>
      <c r="E454" s="10">
        <v>0</v>
      </c>
      <c r="F454" s="10">
        <v>1</v>
      </c>
      <c r="G454" s="10">
        <v>1</v>
      </c>
      <c r="H454" s="10">
        <v>1</v>
      </c>
      <c r="I454" s="10" t="s">
        <v>322</v>
      </c>
      <c r="J454" s="69">
        <f t="shared" si="39"/>
        <v>10431</v>
      </c>
      <c r="K454" s="10">
        <f t="shared" si="40"/>
        <v>431</v>
      </c>
      <c r="L454" s="10">
        <f t="shared" si="41"/>
        <v>430</v>
      </c>
      <c r="M454" s="10" t="s">
        <v>142</v>
      </c>
      <c r="N454" s="10" t="s">
        <v>324</v>
      </c>
      <c r="O454" s="59"/>
      <c r="P454" s="59"/>
    </row>
    <row r="455" spans="2:16" x14ac:dyDescent="0.3">
      <c r="B455" s="10" t="s">
        <v>320</v>
      </c>
      <c r="C455" s="10" t="s">
        <v>2076</v>
      </c>
      <c r="D455" s="10">
        <v>1</v>
      </c>
      <c r="E455" s="10">
        <v>0</v>
      </c>
      <c r="F455" s="10">
        <v>1</v>
      </c>
      <c r="G455" s="10">
        <v>1</v>
      </c>
      <c r="H455" s="10">
        <v>1</v>
      </c>
      <c r="I455" s="10" t="s">
        <v>322</v>
      </c>
      <c r="J455" s="69">
        <f t="shared" si="39"/>
        <v>10432</v>
      </c>
      <c r="K455" s="10">
        <f t="shared" si="40"/>
        <v>432</v>
      </c>
      <c r="L455" s="10">
        <f t="shared" si="41"/>
        <v>431</v>
      </c>
      <c r="M455" s="10" t="s">
        <v>142</v>
      </c>
      <c r="N455" s="10" t="s">
        <v>324</v>
      </c>
      <c r="O455" s="59"/>
      <c r="P455" s="59"/>
    </row>
    <row r="456" spans="2:16" x14ac:dyDescent="0.3">
      <c r="B456" s="496" t="s">
        <v>2154</v>
      </c>
      <c r="C456" s="496"/>
      <c r="D456" s="496"/>
      <c r="E456" s="496"/>
      <c r="F456" s="496"/>
      <c r="G456" s="496"/>
      <c r="H456" s="496"/>
      <c r="I456" s="496"/>
      <c r="J456" s="496"/>
      <c r="K456" s="496"/>
      <c r="L456" s="496"/>
      <c r="M456" s="496"/>
      <c r="N456" s="496"/>
      <c r="O456" s="496"/>
      <c r="P456" s="496"/>
    </row>
    <row r="457" spans="2:16" x14ac:dyDescent="0.3">
      <c r="B457" s="10" t="s">
        <v>1725</v>
      </c>
      <c r="C457" s="10" t="s">
        <v>2076</v>
      </c>
      <c r="D457" s="10">
        <v>1</v>
      </c>
      <c r="E457" s="10">
        <v>0</v>
      </c>
      <c r="F457" s="10">
        <v>1</v>
      </c>
      <c r="G457" s="10">
        <v>1</v>
      </c>
      <c r="H457" s="10">
        <v>1</v>
      </c>
      <c r="I457" s="10" t="s">
        <v>322</v>
      </c>
      <c r="J457" s="69">
        <f>J455+D455</f>
        <v>10433</v>
      </c>
      <c r="K457" s="10">
        <f t="shared" ref="K457:K472" si="42">J457-10000</f>
        <v>433</v>
      </c>
      <c r="L457" s="10">
        <f t="shared" ref="L457:L472" si="43">K457-1</f>
        <v>432</v>
      </c>
      <c r="M457" s="10" t="s">
        <v>142</v>
      </c>
      <c r="N457" s="10" t="s">
        <v>324</v>
      </c>
      <c r="O457" s="59"/>
      <c r="P457" s="59"/>
    </row>
    <row r="458" spans="2:16" x14ac:dyDescent="0.3">
      <c r="B458" s="10" t="s">
        <v>1726</v>
      </c>
      <c r="C458" s="10" t="s">
        <v>2076</v>
      </c>
      <c r="D458" s="10">
        <v>1</v>
      </c>
      <c r="E458" s="10">
        <v>0</v>
      </c>
      <c r="F458" s="10">
        <v>1</v>
      </c>
      <c r="G458" s="10">
        <v>1</v>
      </c>
      <c r="H458" s="10">
        <v>1</v>
      </c>
      <c r="I458" s="10" t="s">
        <v>322</v>
      </c>
      <c r="J458" s="69">
        <f t="shared" si="39"/>
        <v>10434</v>
      </c>
      <c r="K458" s="10">
        <f t="shared" si="42"/>
        <v>434</v>
      </c>
      <c r="L458" s="10">
        <f t="shared" si="43"/>
        <v>433</v>
      </c>
      <c r="M458" s="10" t="s">
        <v>142</v>
      </c>
      <c r="N458" s="10" t="s">
        <v>324</v>
      </c>
      <c r="O458" s="59"/>
      <c r="P458" s="59"/>
    </row>
    <row r="459" spans="2:16" x14ac:dyDescent="0.3">
      <c r="B459" s="10" t="s">
        <v>1727</v>
      </c>
      <c r="C459" s="10" t="s">
        <v>2076</v>
      </c>
      <c r="D459" s="10">
        <v>1</v>
      </c>
      <c r="E459" s="10">
        <v>0</v>
      </c>
      <c r="F459" s="10">
        <v>1</v>
      </c>
      <c r="G459" s="10">
        <v>1</v>
      </c>
      <c r="H459" s="10">
        <v>1</v>
      </c>
      <c r="I459" s="10" t="s">
        <v>322</v>
      </c>
      <c r="J459" s="69">
        <f t="shared" si="39"/>
        <v>10435</v>
      </c>
      <c r="K459" s="10">
        <f t="shared" si="42"/>
        <v>435</v>
      </c>
      <c r="L459" s="10">
        <f t="shared" si="43"/>
        <v>434</v>
      </c>
      <c r="M459" s="10" t="s">
        <v>142</v>
      </c>
      <c r="N459" s="10" t="s">
        <v>324</v>
      </c>
      <c r="O459" s="59"/>
      <c r="P459" s="59"/>
    </row>
    <row r="460" spans="2:16" x14ac:dyDescent="0.3">
      <c r="B460" s="10" t="s">
        <v>1728</v>
      </c>
      <c r="C460" s="10" t="s">
        <v>2076</v>
      </c>
      <c r="D460" s="10">
        <v>1</v>
      </c>
      <c r="E460" s="10">
        <v>0</v>
      </c>
      <c r="F460" s="10">
        <v>1</v>
      </c>
      <c r="G460" s="10">
        <v>1</v>
      </c>
      <c r="H460" s="10">
        <v>1</v>
      </c>
      <c r="I460" s="10" t="s">
        <v>322</v>
      </c>
      <c r="J460" s="69">
        <f t="shared" si="39"/>
        <v>10436</v>
      </c>
      <c r="K460" s="10">
        <f t="shared" si="42"/>
        <v>436</v>
      </c>
      <c r="L460" s="10">
        <f t="shared" si="43"/>
        <v>435</v>
      </c>
      <c r="M460" s="10" t="s">
        <v>142</v>
      </c>
      <c r="N460" s="10" t="s">
        <v>324</v>
      </c>
      <c r="O460" s="59"/>
      <c r="P460" s="59"/>
    </row>
    <row r="461" spans="2:16" x14ac:dyDescent="0.3">
      <c r="B461" s="10" t="s">
        <v>320</v>
      </c>
      <c r="C461" s="10" t="s">
        <v>2076</v>
      </c>
      <c r="D461" s="10">
        <v>1</v>
      </c>
      <c r="E461" s="10">
        <v>0</v>
      </c>
      <c r="F461" s="10">
        <v>1</v>
      </c>
      <c r="G461" s="10">
        <v>1</v>
      </c>
      <c r="H461" s="10">
        <v>1</v>
      </c>
      <c r="I461" s="10" t="s">
        <v>322</v>
      </c>
      <c r="J461" s="69">
        <f t="shared" si="39"/>
        <v>10437</v>
      </c>
      <c r="K461" s="10">
        <f t="shared" si="42"/>
        <v>437</v>
      </c>
      <c r="L461" s="10">
        <f t="shared" si="43"/>
        <v>436</v>
      </c>
      <c r="M461" s="10" t="s">
        <v>142</v>
      </c>
      <c r="N461" s="10" t="s">
        <v>324</v>
      </c>
      <c r="O461" s="59"/>
      <c r="P461" s="59"/>
    </row>
    <row r="462" spans="2:16" x14ac:dyDescent="0.3">
      <c r="B462" s="10" t="s">
        <v>320</v>
      </c>
      <c r="C462" s="10" t="s">
        <v>2076</v>
      </c>
      <c r="D462" s="10">
        <v>1</v>
      </c>
      <c r="E462" s="10">
        <v>0</v>
      </c>
      <c r="F462" s="10">
        <v>1</v>
      </c>
      <c r="G462" s="10">
        <v>1</v>
      </c>
      <c r="H462" s="10">
        <v>1</v>
      </c>
      <c r="I462" s="10" t="s">
        <v>322</v>
      </c>
      <c r="J462" s="69">
        <f t="shared" si="39"/>
        <v>10438</v>
      </c>
      <c r="K462" s="10">
        <f t="shared" si="42"/>
        <v>438</v>
      </c>
      <c r="L462" s="10">
        <f t="shared" si="43"/>
        <v>437</v>
      </c>
      <c r="M462" s="10" t="s">
        <v>142</v>
      </c>
      <c r="N462" s="10" t="s">
        <v>324</v>
      </c>
      <c r="O462" s="59"/>
      <c r="P462" s="59"/>
    </row>
    <row r="463" spans="2:16" x14ac:dyDescent="0.3">
      <c r="B463" s="10" t="s">
        <v>320</v>
      </c>
      <c r="C463" s="10" t="s">
        <v>2076</v>
      </c>
      <c r="D463" s="10">
        <v>1</v>
      </c>
      <c r="E463" s="10">
        <v>0</v>
      </c>
      <c r="F463" s="10">
        <v>1</v>
      </c>
      <c r="G463" s="10">
        <v>1</v>
      </c>
      <c r="H463" s="10">
        <v>1</v>
      </c>
      <c r="I463" s="10" t="s">
        <v>322</v>
      </c>
      <c r="J463" s="69">
        <f t="shared" si="39"/>
        <v>10439</v>
      </c>
      <c r="K463" s="10">
        <f t="shared" si="42"/>
        <v>439</v>
      </c>
      <c r="L463" s="10">
        <f t="shared" si="43"/>
        <v>438</v>
      </c>
      <c r="M463" s="10" t="s">
        <v>142</v>
      </c>
      <c r="N463" s="10" t="s">
        <v>324</v>
      </c>
      <c r="O463" s="59"/>
      <c r="P463" s="59"/>
    </row>
    <row r="464" spans="2:16" x14ac:dyDescent="0.3">
      <c r="B464" s="10" t="s">
        <v>320</v>
      </c>
      <c r="C464" s="10" t="s">
        <v>2076</v>
      </c>
      <c r="D464" s="10">
        <v>1</v>
      </c>
      <c r="E464" s="10">
        <v>0</v>
      </c>
      <c r="F464" s="10">
        <v>1</v>
      </c>
      <c r="G464" s="10">
        <v>1</v>
      </c>
      <c r="H464" s="10">
        <v>1</v>
      </c>
      <c r="I464" s="10" t="s">
        <v>322</v>
      </c>
      <c r="J464" s="69">
        <f t="shared" si="39"/>
        <v>10440</v>
      </c>
      <c r="K464" s="10">
        <f t="shared" si="42"/>
        <v>440</v>
      </c>
      <c r="L464" s="10">
        <f t="shared" si="43"/>
        <v>439</v>
      </c>
      <c r="M464" s="10" t="s">
        <v>142</v>
      </c>
      <c r="N464" s="10" t="s">
        <v>324</v>
      </c>
      <c r="O464" s="59"/>
      <c r="P464" s="59"/>
    </row>
    <row r="465" spans="2:16" x14ac:dyDescent="0.3">
      <c r="B465" s="10" t="s">
        <v>320</v>
      </c>
      <c r="C465" s="10" t="s">
        <v>2076</v>
      </c>
      <c r="D465" s="10">
        <v>1</v>
      </c>
      <c r="E465" s="10">
        <v>0</v>
      </c>
      <c r="F465" s="10">
        <v>1</v>
      </c>
      <c r="G465" s="10">
        <v>1</v>
      </c>
      <c r="H465" s="10">
        <v>1</v>
      </c>
      <c r="I465" s="10" t="s">
        <v>322</v>
      </c>
      <c r="J465" s="69">
        <f t="shared" si="39"/>
        <v>10441</v>
      </c>
      <c r="K465" s="10">
        <f t="shared" si="42"/>
        <v>441</v>
      </c>
      <c r="L465" s="10">
        <f t="shared" si="43"/>
        <v>440</v>
      </c>
      <c r="M465" s="10" t="s">
        <v>142</v>
      </c>
      <c r="N465" s="10" t="s">
        <v>324</v>
      </c>
      <c r="O465" s="59"/>
      <c r="P465" s="59"/>
    </row>
    <row r="466" spans="2:16" x14ac:dyDescent="0.3">
      <c r="B466" s="10" t="s">
        <v>320</v>
      </c>
      <c r="C466" s="10" t="s">
        <v>2076</v>
      </c>
      <c r="D466" s="10">
        <v>1</v>
      </c>
      <c r="E466" s="10">
        <v>0</v>
      </c>
      <c r="F466" s="10">
        <v>1</v>
      </c>
      <c r="G466" s="10">
        <v>1</v>
      </c>
      <c r="H466" s="10">
        <v>1</v>
      </c>
      <c r="I466" s="10" t="s">
        <v>322</v>
      </c>
      <c r="J466" s="69">
        <f t="shared" si="39"/>
        <v>10442</v>
      </c>
      <c r="K466" s="10">
        <f t="shared" si="42"/>
        <v>442</v>
      </c>
      <c r="L466" s="10">
        <f t="shared" si="43"/>
        <v>441</v>
      </c>
      <c r="M466" s="10" t="s">
        <v>142</v>
      </c>
      <c r="N466" s="10" t="s">
        <v>324</v>
      </c>
      <c r="O466" s="59"/>
      <c r="P466" s="59"/>
    </row>
    <row r="467" spans="2:16" x14ac:dyDescent="0.3">
      <c r="B467" s="10" t="s">
        <v>320</v>
      </c>
      <c r="C467" s="10" t="s">
        <v>2076</v>
      </c>
      <c r="D467" s="10">
        <v>1</v>
      </c>
      <c r="E467" s="10">
        <v>0</v>
      </c>
      <c r="F467" s="10">
        <v>1</v>
      </c>
      <c r="G467" s="10">
        <v>1</v>
      </c>
      <c r="H467" s="10">
        <v>1</v>
      </c>
      <c r="I467" s="10" t="s">
        <v>322</v>
      </c>
      <c r="J467" s="69">
        <f t="shared" si="39"/>
        <v>10443</v>
      </c>
      <c r="K467" s="10">
        <f t="shared" si="42"/>
        <v>443</v>
      </c>
      <c r="L467" s="10">
        <f t="shared" si="43"/>
        <v>442</v>
      </c>
      <c r="M467" s="10" t="s">
        <v>142</v>
      </c>
      <c r="N467" s="10" t="s">
        <v>324</v>
      </c>
      <c r="O467" s="59"/>
      <c r="P467" s="59"/>
    </row>
    <row r="468" spans="2:16" x14ac:dyDescent="0.3">
      <c r="B468" s="10" t="s">
        <v>320</v>
      </c>
      <c r="C468" s="10" t="s">
        <v>2076</v>
      </c>
      <c r="D468" s="10">
        <v>1</v>
      </c>
      <c r="E468" s="10">
        <v>0</v>
      </c>
      <c r="F468" s="10">
        <v>1</v>
      </c>
      <c r="G468" s="10">
        <v>1</v>
      </c>
      <c r="H468" s="10">
        <v>1</v>
      </c>
      <c r="I468" s="10" t="s">
        <v>322</v>
      </c>
      <c r="J468" s="69">
        <f t="shared" si="39"/>
        <v>10444</v>
      </c>
      <c r="K468" s="10">
        <f t="shared" si="42"/>
        <v>444</v>
      </c>
      <c r="L468" s="10">
        <f t="shared" si="43"/>
        <v>443</v>
      </c>
      <c r="M468" s="10" t="s">
        <v>142</v>
      </c>
      <c r="N468" s="10" t="s">
        <v>324</v>
      </c>
      <c r="O468" s="59"/>
      <c r="P468" s="59"/>
    </row>
    <row r="469" spans="2:16" x14ac:dyDescent="0.3">
      <c r="B469" s="10" t="s">
        <v>320</v>
      </c>
      <c r="C469" s="10" t="s">
        <v>2076</v>
      </c>
      <c r="D469" s="10">
        <v>1</v>
      </c>
      <c r="E469" s="10">
        <v>0</v>
      </c>
      <c r="F469" s="10">
        <v>1</v>
      </c>
      <c r="G469" s="10">
        <v>1</v>
      </c>
      <c r="H469" s="10">
        <v>1</v>
      </c>
      <c r="I469" s="10" t="s">
        <v>322</v>
      </c>
      <c r="J469" s="69">
        <f t="shared" si="39"/>
        <v>10445</v>
      </c>
      <c r="K469" s="10">
        <f t="shared" si="42"/>
        <v>445</v>
      </c>
      <c r="L469" s="10">
        <f t="shared" si="43"/>
        <v>444</v>
      </c>
      <c r="M469" s="10" t="s">
        <v>142</v>
      </c>
      <c r="N469" s="10" t="s">
        <v>324</v>
      </c>
      <c r="O469" s="59"/>
      <c r="P469" s="59"/>
    </row>
    <row r="470" spans="2:16" x14ac:dyDescent="0.3">
      <c r="B470" s="10" t="s">
        <v>320</v>
      </c>
      <c r="C470" s="10" t="s">
        <v>2076</v>
      </c>
      <c r="D470" s="10">
        <v>1</v>
      </c>
      <c r="E470" s="10">
        <v>0</v>
      </c>
      <c r="F470" s="10">
        <v>1</v>
      </c>
      <c r="G470" s="10">
        <v>1</v>
      </c>
      <c r="H470" s="10">
        <v>1</v>
      </c>
      <c r="I470" s="10" t="s">
        <v>322</v>
      </c>
      <c r="J470" s="69">
        <f t="shared" si="39"/>
        <v>10446</v>
      </c>
      <c r="K470" s="10">
        <f t="shared" si="42"/>
        <v>446</v>
      </c>
      <c r="L470" s="10">
        <f t="shared" si="43"/>
        <v>445</v>
      </c>
      <c r="M470" s="10" t="s">
        <v>142</v>
      </c>
      <c r="N470" s="10" t="s">
        <v>324</v>
      </c>
      <c r="O470" s="59"/>
      <c r="P470" s="59"/>
    </row>
    <row r="471" spans="2:16" x14ac:dyDescent="0.3">
      <c r="B471" s="10" t="s">
        <v>320</v>
      </c>
      <c r="C471" s="10" t="s">
        <v>2076</v>
      </c>
      <c r="D471" s="10">
        <v>1</v>
      </c>
      <c r="E471" s="10">
        <v>0</v>
      </c>
      <c r="F471" s="10">
        <v>1</v>
      </c>
      <c r="G471" s="10">
        <v>1</v>
      </c>
      <c r="H471" s="10">
        <v>1</v>
      </c>
      <c r="I471" s="10" t="s">
        <v>322</v>
      </c>
      <c r="J471" s="69">
        <f t="shared" si="39"/>
        <v>10447</v>
      </c>
      <c r="K471" s="10">
        <f t="shared" si="42"/>
        <v>447</v>
      </c>
      <c r="L471" s="10">
        <f t="shared" si="43"/>
        <v>446</v>
      </c>
      <c r="M471" s="10" t="s">
        <v>142</v>
      </c>
      <c r="N471" s="10" t="s">
        <v>324</v>
      </c>
      <c r="O471" s="59"/>
      <c r="P471" s="59"/>
    </row>
    <row r="472" spans="2:16" x14ac:dyDescent="0.3">
      <c r="B472" s="10" t="s">
        <v>320</v>
      </c>
      <c r="C472" s="10" t="s">
        <v>2076</v>
      </c>
      <c r="D472" s="10">
        <v>1</v>
      </c>
      <c r="E472" s="10">
        <v>0</v>
      </c>
      <c r="F472" s="10">
        <v>1</v>
      </c>
      <c r="G472" s="10">
        <v>1</v>
      </c>
      <c r="H472" s="10">
        <v>1</v>
      </c>
      <c r="I472" s="10" t="s">
        <v>322</v>
      </c>
      <c r="J472" s="69">
        <f t="shared" si="39"/>
        <v>10448</v>
      </c>
      <c r="K472" s="10">
        <f t="shared" si="42"/>
        <v>448</v>
      </c>
      <c r="L472" s="10">
        <f t="shared" si="43"/>
        <v>447</v>
      </c>
      <c r="M472" s="10" t="s">
        <v>142</v>
      </c>
      <c r="N472" s="10" t="s">
        <v>324</v>
      </c>
      <c r="O472" s="59"/>
      <c r="P472" s="59"/>
    </row>
    <row r="473" spans="2:16" x14ac:dyDescent="0.3">
      <c r="B473" s="496" t="s">
        <v>2155</v>
      </c>
      <c r="C473" s="496"/>
      <c r="D473" s="496"/>
      <c r="E473" s="496"/>
      <c r="F473" s="496"/>
      <c r="G473" s="496"/>
      <c r="H473" s="496"/>
      <c r="I473" s="496"/>
      <c r="J473" s="496"/>
      <c r="K473" s="496"/>
      <c r="L473" s="496"/>
      <c r="M473" s="496"/>
      <c r="N473" s="496"/>
      <c r="O473" s="496"/>
      <c r="P473" s="496"/>
    </row>
    <row r="474" spans="2:16" x14ac:dyDescent="0.3">
      <c r="B474" s="10" t="s">
        <v>1729</v>
      </c>
      <c r="C474" s="10" t="s">
        <v>2076</v>
      </c>
      <c r="D474" s="10">
        <v>1</v>
      </c>
      <c r="E474" s="10">
        <v>0</v>
      </c>
      <c r="F474" s="10">
        <v>1</v>
      </c>
      <c r="G474" s="10">
        <v>1</v>
      </c>
      <c r="H474" s="10">
        <v>1</v>
      </c>
      <c r="I474" s="10" t="s">
        <v>322</v>
      </c>
      <c r="J474" s="69">
        <f>J472+D472</f>
        <v>10449</v>
      </c>
      <c r="K474" s="10">
        <f t="shared" ref="K474:K489" si="44">J474-10000</f>
        <v>449</v>
      </c>
      <c r="L474" s="10">
        <f t="shared" ref="L474:L489" si="45">K474-1</f>
        <v>448</v>
      </c>
      <c r="M474" s="10" t="s">
        <v>142</v>
      </c>
      <c r="N474" s="10" t="s">
        <v>324</v>
      </c>
      <c r="O474" s="59"/>
      <c r="P474" s="59"/>
    </row>
    <row r="475" spans="2:16" x14ac:dyDescent="0.3">
      <c r="B475" s="10" t="s">
        <v>1730</v>
      </c>
      <c r="C475" s="10" t="s">
        <v>2076</v>
      </c>
      <c r="D475" s="10">
        <v>1</v>
      </c>
      <c r="E475" s="10">
        <v>0</v>
      </c>
      <c r="F475" s="10">
        <v>1</v>
      </c>
      <c r="G475" s="10">
        <v>1</v>
      </c>
      <c r="H475" s="10">
        <v>1</v>
      </c>
      <c r="I475" s="10" t="s">
        <v>322</v>
      </c>
      <c r="J475" s="69">
        <f t="shared" si="39"/>
        <v>10450</v>
      </c>
      <c r="K475" s="10">
        <f t="shared" si="44"/>
        <v>450</v>
      </c>
      <c r="L475" s="10">
        <f t="shared" si="45"/>
        <v>449</v>
      </c>
      <c r="M475" s="10" t="s">
        <v>142</v>
      </c>
      <c r="N475" s="10" t="s">
        <v>324</v>
      </c>
      <c r="O475" s="59"/>
      <c r="P475" s="59"/>
    </row>
    <row r="476" spans="2:16" x14ac:dyDescent="0.3">
      <c r="B476" s="10" t="s">
        <v>1731</v>
      </c>
      <c r="C476" s="10" t="s">
        <v>2076</v>
      </c>
      <c r="D476" s="10">
        <v>1</v>
      </c>
      <c r="E476" s="10">
        <v>0</v>
      </c>
      <c r="F476" s="10">
        <v>1</v>
      </c>
      <c r="G476" s="10">
        <v>1</v>
      </c>
      <c r="H476" s="10">
        <v>1</v>
      </c>
      <c r="I476" s="10" t="s">
        <v>322</v>
      </c>
      <c r="J476" s="69">
        <f t="shared" si="39"/>
        <v>10451</v>
      </c>
      <c r="K476" s="10">
        <f t="shared" si="44"/>
        <v>451</v>
      </c>
      <c r="L476" s="10">
        <f t="shared" si="45"/>
        <v>450</v>
      </c>
      <c r="M476" s="10" t="s">
        <v>142</v>
      </c>
      <c r="N476" s="10" t="s">
        <v>324</v>
      </c>
      <c r="O476" s="59"/>
      <c r="P476" s="59"/>
    </row>
    <row r="477" spans="2:16" x14ac:dyDescent="0.3">
      <c r="B477" s="10" t="s">
        <v>1732</v>
      </c>
      <c r="C477" s="10" t="s">
        <v>2076</v>
      </c>
      <c r="D477" s="10">
        <v>1</v>
      </c>
      <c r="E477" s="10">
        <v>0</v>
      </c>
      <c r="F477" s="10">
        <v>1</v>
      </c>
      <c r="G477" s="10">
        <v>1</v>
      </c>
      <c r="H477" s="10">
        <v>1</v>
      </c>
      <c r="I477" s="10" t="s">
        <v>322</v>
      </c>
      <c r="J477" s="69">
        <f t="shared" si="39"/>
        <v>10452</v>
      </c>
      <c r="K477" s="10">
        <f t="shared" si="44"/>
        <v>452</v>
      </c>
      <c r="L477" s="10">
        <f t="shared" si="45"/>
        <v>451</v>
      </c>
      <c r="M477" s="10" t="s">
        <v>142</v>
      </c>
      <c r="N477" s="10" t="s">
        <v>324</v>
      </c>
      <c r="O477" s="59"/>
      <c r="P477" s="59"/>
    </row>
    <row r="478" spans="2:16" x14ac:dyDescent="0.3">
      <c r="B478" s="10" t="s">
        <v>1733</v>
      </c>
      <c r="C478" s="10" t="s">
        <v>2076</v>
      </c>
      <c r="D478" s="10">
        <v>1</v>
      </c>
      <c r="E478" s="10">
        <v>0</v>
      </c>
      <c r="F478" s="10">
        <v>1</v>
      </c>
      <c r="G478" s="10">
        <v>1</v>
      </c>
      <c r="H478" s="10">
        <v>1</v>
      </c>
      <c r="I478" s="10" t="s">
        <v>322</v>
      </c>
      <c r="J478" s="69">
        <f t="shared" si="39"/>
        <v>10453</v>
      </c>
      <c r="K478" s="10">
        <f t="shared" si="44"/>
        <v>453</v>
      </c>
      <c r="L478" s="10">
        <f t="shared" si="45"/>
        <v>452</v>
      </c>
      <c r="M478" s="10" t="s">
        <v>142</v>
      </c>
      <c r="N478" s="10" t="s">
        <v>324</v>
      </c>
      <c r="O478" s="59"/>
      <c r="P478" s="59"/>
    </row>
    <row r="479" spans="2:16" x14ac:dyDescent="0.3">
      <c r="B479" s="10" t="s">
        <v>1734</v>
      </c>
      <c r="C479" s="10" t="s">
        <v>2076</v>
      </c>
      <c r="D479" s="10">
        <v>1</v>
      </c>
      <c r="E479" s="10">
        <v>0</v>
      </c>
      <c r="F479" s="10">
        <v>1</v>
      </c>
      <c r="G479" s="10">
        <v>1</v>
      </c>
      <c r="H479" s="10">
        <v>1</v>
      </c>
      <c r="I479" s="10" t="s">
        <v>322</v>
      </c>
      <c r="J479" s="69">
        <f t="shared" si="39"/>
        <v>10454</v>
      </c>
      <c r="K479" s="10">
        <f t="shared" si="44"/>
        <v>454</v>
      </c>
      <c r="L479" s="10">
        <f t="shared" si="45"/>
        <v>453</v>
      </c>
      <c r="M479" s="10" t="s">
        <v>142</v>
      </c>
      <c r="N479" s="10" t="s">
        <v>324</v>
      </c>
      <c r="O479" s="59"/>
      <c r="P479" s="59"/>
    </row>
    <row r="480" spans="2:16" x14ac:dyDescent="0.3">
      <c r="B480" s="10" t="s">
        <v>1735</v>
      </c>
      <c r="C480" s="10" t="s">
        <v>2076</v>
      </c>
      <c r="D480" s="10">
        <v>1</v>
      </c>
      <c r="E480" s="10">
        <v>0</v>
      </c>
      <c r="F480" s="10">
        <v>1</v>
      </c>
      <c r="G480" s="10">
        <v>1</v>
      </c>
      <c r="H480" s="10">
        <v>1</v>
      </c>
      <c r="I480" s="10" t="s">
        <v>322</v>
      </c>
      <c r="J480" s="69">
        <f t="shared" si="39"/>
        <v>10455</v>
      </c>
      <c r="K480" s="10">
        <f t="shared" si="44"/>
        <v>455</v>
      </c>
      <c r="L480" s="10">
        <f t="shared" si="45"/>
        <v>454</v>
      </c>
      <c r="M480" s="10" t="s">
        <v>142</v>
      </c>
      <c r="N480" s="10" t="s">
        <v>324</v>
      </c>
      <c r="O480" s="59"/>
      <c r="P480" s="59"/>
    </row>
    <row r="481" spans="2:16" x14ac:dyDescent="0.3">
      <c r="B481" s="10" t="s">
        <v>1736</v>
      </c>
      <c r="C481" s="10" t="s">
        <v>2076</v>
      </c>
      <c r="D481" s="10">
        <v>1</v>
      </c>
      <c r="E481" s="10">
        <v>0</v>
      </c>
      <c r="F481" s="10">
        <v>1</v>
      </c>
      <c r="G481" s="10">
        <v>1</v>
      </c>
      <c r="H481" s="10">
        <v>1</v>
      </c>
      <c r="I481" s="10" t="s">
        <v>322</v>
      </c>
      <c r="J481" s="69">
        <f t="shared" si="39"/>
        <v>10456</v>
      </c>
      <c r="K481" s="10">
        <f t="shared" si="44"/>
        <v>456</v>
      </c>
      <c r="L481" s="10">
        <f t="shared" si="45"/>
        <v>455</v>
      </c>
      <c r="M481" s="10" t="s">
        <v>142</v>
      </c>
      <c r="N481" s="10" t="s">
        <v>324</v>
      </c>
      <c r="O481" s="59"/>
      <c r="P481" s="59"/>
    </row>
    <row r="482" spans="2:16" x14ac:dyDescent="0.3">
      <c r="B482" s="10" t="s">
        <v>1737</v>
      </c>
      <c r="C482" s="10" t="s">
        <v>2076</v>
      </c>
      <c r="D482" s="10">
        <v>1</v>
      </c>
      <c r="E482" s="10">
        <v>0</v>
      </c>
      <c r="F482" s="10">
        <v>1</v>
      </c>
      <c r="G482" s="10">
        <v>1</v>
      </c>
      <c r="H482" s="10">
        <v>1</v>
      </c>
      <c r="I482" s="10" t="s">
        <v>322</v>
      </c>
      <c r="J482" s="69">
        <f t="shared" si="39"/>
        <v>10457</v>
      </c>
      <c r="K482" s="10">
        <f t="shared" si="44"/>
        <v>457</v>
      </c>
      <c r="L482" s="10">
        <f t="shared" si="45"/>
        <v>456</v>
      </c>
      <c r="M482" s="10" t="s">
        <v>142</v>
      </c>
      <c r="N482" s="10" t="s">
        <v>324</v>
      </c>
      <c r="O482" s="59"/>
      <c r="P482" s="59"/>
    </row>
    <row r="483" spans="2:16" x14ac:dyDescent="0.3">
      <c r="B483" s="10" t="s">
        <v>1738</v>
      </c>
      <c r="C483" s="10" t="s">
        <v>2076</v>
      </c>
      <c r="D483" s="10">
        <v>1</v>
      </c>
      <c r="E483" s="10">
        <v>0</v>
      </c>
      <c r="F483" s="10">
        <v>1</v>
      </c>
      <c r="G483" s="10">
        <v>1</v>
      </c>
      <c r="H483" s="10">
        <v>1</v>
      </c>
      <c r="I483" s="10" t="s">
        <v>322</v>
      </c>
      <c r="J483" s="69">
        <f t="shared" si="39"/>
        <v>10458</v>
      </c>
      <c r="K483" s="10">
        <f t="shared" si="44"/>
        <v>458</v>
      </c>
      <c r="L483" s="10">
        <f t="shared" si="45"/>
        <v>457</v>
      </c>
      <c r="M483" s="10" t="s">
        <v>142</v>
      </c>
      <c r="N483" s="10" t="s">
        <v>324</v>
      </c>
      <c r="O483" s="59"/>
      <c r="P483" s="59"/>
    </row>
    <row r="484" spans="2:16" x14ac:dyDescent="0.3">
      <c r="B484" s="10" t="s">
        <v>1739</v>
      </c>
      <c r="C484" s="10" t="s">
        <v>2076</v>
      </c>
      <c r="D484" s="10">
        <v>1</v>
      </c>
      <c r="E484" s="10">
        <v>0</v>
      </c>
      <c r="F484" s="10">
        <v>1</v>
      </c>
      <c r="G484" s="10">
        <v>1</v>
      </c>
      <c r="H484" s="10">
        <v>1</v>
      </c>
      <c r="I484" s="10" t="s">
        <v>322</v>
      </c>
      <c r="J484" s="69">
        <f t="shared" si="39"/>
        <v>10459</v>
      </c>
      <c r="K484" s="10">
        <f t="shared" si="44"/>
        <v>459</v>
      </c>
      <c r="L484" s="10">
        <f t="shared" si="45"/>
        <v>458</v>
      </c>
      <c r="M484" s="10" t="s">
        <v>142</v>
      </c>
      <c r="N484" s="10" t="s">
        <v>324</v>
      </c>
      <c r="O484" s="59"/>
      <c r="P484" s="59"/>
    </row>
    <row r="485" spans="2:16" x14ac:dyDescent="0.3">
      <c r="B485" s="10" t="s">
        <v>1740</v>
      </c>
      <c r="C485" s="10" t="s">
        <v>2076</v>
      </c>
      <c r="D485" s="10">
        <v>1</v>
      </c>
      <c r="E485" s="10">
        <v>0</v>
      </c>
      <c r="F485" s="10">
        <v>1</v>
      </c>
      <c r="G485" s="10">
        <v>1</v>
      </c>
      <c r="H485" s="10">
        <v>1</v>
      </c>
      <c r="I485" s="10" t="s">
        <v>322</v>
      </c>
      <c r="J485" s="69">
        <f t="shared" si="39"/>
        <v>10460</v>
      </c>
      <c r="K485" s="10">
        <f t="shared" si="44"/>
        <v>460</v>
      </c>
      <c r="L485" s="10">
        <f t="shared" si="45"/>
        <v>459</v>
      </c>
      <c r="M485" s="10" t="s">
        <v>142</v>
      </c>
      <c r="N485" s="10" t="s">
        <v>324</v>
      </c>
      <c r="O485" s="59"/>
      <c r="P485" s="59"/>
    </row>
    <row r="486" spans="2:16" x14ac:dyDescent="0.3">
      <c r="B486" s="10" t="s">
        <v>1741</v>
      </c>
      <c r="C486" s="10" t="s">
        <v>2076</v>
      </c>
      <c r="D486" s="10">
        <v>1</v>
      </c>
      <c r="E486" s="10">
        <v>0</v>
      </c>
      <c r="F486" s="10">
        <v>1</v>
      </c>
      <c r="G486" s="10">
        <v>1</v>
      </c>
      <c r="H486" s="10">
        <v>1</v>
      </c>
      <c r="I486" s="10" t="s">
        <v>322</v>
      </c>
      <c r="J486" s="69">
        <f t="shared" si="39"/>
        <v>10461</v>
      </c>
      <c r="K486" s="10">
        <f t="shared" si="44"/>
        <v>461</v>
      </c>
      <c r="L486" s="10">
        <f t="shared" si="45"/>
        <v>460</v>
      </c>
      <c r="M486" s="10" t="s">
        <v>142</v>
      </c>
      <c r="N486" s="10" t="s">
        <v>324</v>
      </c>
      <c r="O486" s="59"/>
      <c r="P486" s="59"/>
    </row>
    <row r="487" spans="2:16" x14ac:dyDescent="0.3">
      <c r="B487" s="10" t="s">
        <v>1742</v>
      </c>
      <c r="C487" s="10" t="s">
        <v>2076</v>
      </c>
      <c r="D487" s="10">
        <v>1</v>
      </c>
      <c r="E487" s="10">
        <v>0</v>
      </c>
      <c r="F487" s="10">
        <v>1</v>
      </c>
      <c r="G487" s="10">
        <v>1</v>
      </c>
      <c r="H487" s="10">
        <v>1</v>
      </c>
      <c r="I487" s="10" t="s">
        <v>322</v>
      </c>
      <c r="J487" s="69">
        <f t="shared" si="39"/>
        <v>10462</v>
      </c>
      <c r="K487" s="10">
        <f t="shared" si="44"/>
        <v>462</v>
      </c>
      <c r="L487" s="10">
        <f t="shared" si="45"/>
        <v>461</v>
      </c>
      <c r="M487" s="10" t="s">
        <v>142</v>
      </c>
      <c r="N487" s="10" t="s">
        <v>324</v>
      </c>
      <c r="O487" s="59"/>
      <c r="P487" s="59"/>
    </row>
    <row r="488" spans="2:16" x14ac:dyDescent="0.3">
      <c r="B488" s="10" t="s">
        <v>1743</v>
      </c>
      <c r="C488" s="10" t="s">
        <v>2076</v>
      </c>
      <c r="D488" s="10">
        <v>1</v>
      </c>
      <c r="E488" s="10">
        <v>0</v>
      </c>
      <c r="F488" s="10">
        <v>1</v>
      </c>
      <c r="G488" s="10">
        <v>1</v>
      </c>
      <c r="H488" s="10">
        <v>1</v>
      </c>
      <c r="I488" s="10" t="s">
        <v>322</v>
      </c>
      <c r="J488" s="69">
        <f t="shared" si="39"/>
        <v>10463</v>
      </c>
      <c r="K488" s="10">
        <f t="shared" si="44"/>
        <v>463</v>
      </c>
      <c r="L488" s="10">
        <f t="shared" si="45"/>
        <v>462</v>
      </c>
      <c r="M488" s="10" t="s">
        <v>142</v>
      </c>
      <c r="N488" s="10" t="s">
        <v>324</v>
      </c>
      <c r="O488" s="59"/>
      <c r="P488" s="59"/>
    </row>
    <row r="489" spans="2:16" x14ac:dyDescent="0.3">
      <c r="B489" s="10" t="s">
        <v>320</v>
      </c>
      <c r="C489" s="10" t="s">
        <v>2076</v>
      </c>
      <c r="D489" s="10">
        <v>1</v>
      </c>
      <c r="E489" s="10">
        <v>0</v>
      </c>
      <c r="F489" s="10">
        <v>1</v>
      </c>
      <c r="G489" s="10">
        <v>1</v>
      </c>
      <c r="H489" s="10">
        <v>1</v>
      </c>
      <c r="I489" s="10" t="s">
        <v>322</v>
      </c>
      <c r="J489" s="69">
        <f t="shared" si="39"/>
        <v>10464</v>
      </c>
      <c r="K489" s="10">
        <f t="shared" si="44"/>
        <v>464</v>
      </c>
      <c r="L489" s="10">
        <f t="shared" si="45"/>
        <v>463</v>
      </c>
      <c r="M489" s="10" t="s">
        <v>142</v>
      </c>
      <c r="N489" s="10" t="s">
        <v>324</v>
      </c>
      <c r="O489" s="59"/>
      <c r="P489" s="59"/>
    </row>
    <row r="490" spans="2:16" x14ac:dyDescent="0.3">
      <c r="B490" s="496" t="s">
        <v>2156</v>
      </c>
      <c r="C490" s="496"/>
      <c r="D490" s="496"/>
      <c r="E490" s="496"/>
      <c r="F490" s="496"/>
      <c r="G490" s="496"/>
      <c r="H490" s="496"/>
      <c r="I490" s="496"/>
      <c r="J490" s="496"/>
      <c r="K490" s="496"/>
      <c r="L490" s="496"/>
      <c r="M490" s="496"/>
      <c r="N490" s="496"/>
      <c r="O490" s="496"/>
      <c r="P490" s="496"/>
    </row>
    <row r="491" spans="2:16" x14ac:dyDescent="0.3">
      <c r="B491" s="10" t="s">
        <v>1744</v>
      </c>
      <c r="C491" s="10" t="s">
        <v>2076</v>
      </c>
      <c r="D491" s="10">
        <v>1</v>
      </c>
      <c r="E491" s="10">
        <v>0</v>
      </c>
      <c r="F491" s="10">
        <v>1</v>
      </c>
      <c r="G491" s="10">
        <v>1</v>
      </c>
      <c r="H491" s="10">
        <v>1</v>
      </c>
      <c r="I491" s="10" t="s">
        <v>322</v>
      </c>
      <c r="J491" s="69">
        <f>J489+D489</f>
        <v>10465</v>
      </c>
      <c r="K491" s="10">
        <f t="shared" ref="K491:K506" si="46">J491-10000</f>
        <v>465</v>
      </c>
      <c r="L491" s="10">
        <f t="shared" ref="L491:L506" si="47">K491-1</f>
        <v>464</v>
      </c>
      <c r="M491" s="10" t="s">
        <v>142</v>
      </c>
      <c r="N491" s="10" t="s">
        <v>324</v>
      </c>
      <c r="O491" s="59"/>
      <c r="P491" s="59"/>
    </row>
    <row r="492" spans="2:16" x14ac:dyDescent="0.3">
      <c r="B492" s="10" t="s">
        <v>1745</v>
      </c>
      <c r="C492" s="10" t="s">
        <v>2076</v>
      </c>
      <c r="D492" s="10">
        <v>1</v>
      </c>
      <c r="E492" s="10">
        <v>0</v>
      </c>
      <c r="F492" s="10">
        <v>1</v>
      </c>
      <c r="G492" s="10">
        <v>1</v>
      </c>
      <c r="H492" s="10">
        <v>1</v>
      </c>
      <c r="I492" s="10" t="s">
        <v>322</v>
      </c>
      <c r="J492" s="69">
        <f t="shared" ref="J492:J555" si="48">J491+D491</f>
        <v>10466</v>
      </c>
      <c r="K492" s="10">
        <f t="shared" si="46"/>
        <v>466</v>
      </c>
      <c r="L492" s="10">
        <f t="shared" si="47"/>
        <v>465</v>
      </c>
      <c r="M492" s="10" t="s">
        <v>142</v>
      </c>
      <c r="N492" s="10" t="s">
        <v>324</v>
      </c>
      <c r="O492" s="59"/>
      <c r="P492" s="59"/>
    </row>
    <row r="493" spans="2:16" x14ac:dyDescent="0.3">
      <c r="B493" s="10" t="s">
        <v>1746</v>
      </c>
      <c r="C493" s="10" t="s">
        <v>2076</v>
      </c>
      <c r="D493" s="10">
        <v>1</v>
      </c>
      <c r="E493" s="10">
        <v>0</v>
      </c>
      <c r="F493" s="10">
        <v>1</v>
      </c>
      <c r="G493" s="10">
        <v>1</v>
      </c>
      <c r="H493" s="10">
        <v>1</v>
      </c>
      <c r="I493" s="10" t="s">
        <v>322</v>
      </c>
      <c r="J493" s="69">
        <f t="shared" si="48"/>
        <v>10467</v>
      </c>
      <c r="K493" s="10">
        <f t="shared" si="46"/>
        <v>467</v>
      </c>
      <c r="L493" s="10">
        <f t="shared" si="47"/>
        <v>466</v>
      </c>
      <c r="M493" s="10" t="s">
        <v>142</v>
      </c>
      <c r="N493" s="10" t="s">
        <v>324</v>
      </c>
      <c r="O493" s="59"/>
      <c r="P493" s="59"/>
    </row>
    <row r="494" spans="2:16" x14ac:dyDescent="0.3">
      <c r="B494" s="10" t="s">
        <v>1747</v>
      </c>
      <c r="C494" s="10" t="s">
        <v>2076</v>
      </c>
      <c r="D494" s="10">
        <v>1</v>
      </c>
      <c r="E494" s="10">
        <v>0</v>
      </c>
      <c r="F494" s="10">
        <v>1</v>
      </c>
      <c r="G494" s="10">
        <v>1</v>
      </c>
      <c r="H494" s="10">
        <v>1</v>
      </c>
      <c r="I494" s="10" t="s">
        <v>322</v>
      </c>
      <c r="J494" s="69">
        <f t="shared" si="48"/>
        <v>10468</v>
      </c>
      <c r="K494" s="10">
        <f t="shared" si="46"/>
        <v>468</v>
      </c>
      <c r="L494" s="10">
        <f t="shared" si="47"/>
        <v>467</v>
      </c>
      <c r="M494" s="10" t="s">
        <v>142</v>
      </c>
      <c r="N494" s="10" t="s">
        <v>324</v>
      </c>
      <c r="O494" s="59"/>
      <c r="P494" s="59"/>
    </row>
    <row r="495" spans="2:16" x14ac:dyDescent="0.3">
      <c r="B495" s="10" t="s">
        <v>1748</v>
      </c>
      <c r="C495" s="10" t="s">
        <v>2076</v>
      </c>
      <c r="D495" s="10">
        <v>1</v>
      </c>
      <c r="E495" s="10">
        <v>0</v>
      </c>
      <c r="F495" s="10">
        <v>1</v>
      </c>
      <c r="G495" s="10">
        <v>1</v>
      </c>
      <c r="H495" s="10">
        <v>1</v>
      </c>
      <c r="I495" s="10" t="s">
        <v>322</v>
      </c>
      <c r="J495" s="69">
        <f t="shared" si="48"/>
        <v>10469</v>
      </c>
      <c r="K495" s="10">
        <f t="shared" si="46"/>
        <v>469</v>
      </c>
      <c r="L495" s="10">
        <f t="shared" si="47"/>
        <v>468</v>
      </c>
      <c r="M495" s="10" t="s">
        <v>142</v>
      </c>
      <c r="N495" s="10" t="s">
        <v>324</v>
      </c>
      <c r="O495" s="59"/>
      <c r="P495" s="59"/>
    </row>
    <row r="496" spans="2:16" x14ac:dyDescent="0.3">
      <c r="B496" s="10" t="s">
        <v>1749</v>
      </c>
      <c r="C496" s="10" t="s">
        <v>2076</v>
      </c>
      <c r="D496" s="10">
        <v>1</v>
      </c>
      <c r="E496" s="10">
        <v>0</v>
      </c>
      <c r="F496" s="10">
        <v>1</v>
      </c>
      <c r="G496" s="10">
        <v>1</v>
      </c>
      <c r="H496" s="10">
        <v>1</v>
      </c>
      <c r="I496" s="10" t="s">
        <v>322</v>
      </c>
      <c r="J496" s="69">
        <f t="shared" si="48"/>
        <v>10470</v>
      </c>
      <c r="K496" s="10">
        <f t="shared" si="46"/>
        <v>470</v>
      </c>
      <c r="L496" s="10">
        <f t="shared" si="47"/>
        <v>469</v>
      </c>
      <c r="M496" s="10" t="s">
        <v>142</v>
      </c>
      <c r="N496" s="10" t="s">
        <v>324</v>
      </c>
      <c r="O496" s="59"/>
      <c r="P496" s="59"/>
    </row>
    <row r="497" spans="2:16" x14ac:dyDescent="0.3">
      <c r="B497" s="10" t="s">
        <v>1750</v>
      </c>
      <c r="C497" s="10" t="s">
        <v>2076</v>
      </c>
      <c r="D497" s="10">
        <v>1</v>
      </c>
      <c r="E497" s="10">
        <v>0</v>
      </c>
      <c r="F497" s="10">
        <v>1</v>
      </c>
      <c r="G497" s="10">
        <v>1</v>
      </c>
      <c r="H497" s="10">
        <v>1</v>
      </c>
      <c r="I497" s="10" t="s">
        <v>322</v>
      </c>
      <c r="J497" s="69">
        <f t="shared" si="48"/>
        <v>10471</v>
      </c>
      <c r="K497" s="10">
        <f t="shared" si="46"/>
        <v>471</v>
      </c>
      <c r="L497" s="10">
        <f t="shared" si="47"/>
        <v>470</v>
      </c>
      <c r="M497" s="10" t="s">
        <v>142</v>
      </c>
      <c r="N497" s="10" t="s">
        <v>324</v>
      </c>
      <c r="O497" s="59"/>
      <c r="P497" s="59"/>
    </row>
    <row r="498" spans="2:16" x14ac:dyDescent="0.3">
      <c r="B498" s="10" t="s">
        <v>1751</v>
      </c>
      <c r="C498" s="10" t="s">
        <v>2076</v>
      </c>
      <c r="D498" s="10">
        <v>1</v>
      </c>
      <c r="E498" s="10">
        <v>0</v>
      </c>
      <c r="F498" s="10">
        <v>1</v>
      </c>
      <c r="G498" s="10">
        <v>1</v>
      </c>
      <c r="H498" s="10">
        <v>1</v>
      </c>
      <c r="I498" s="10" t="s">
        <v>322</v>
      </c>
      <c r="J498" s="69">
        <f t="shared" si="48"/>
        <v>10472</v>
      </c>
      <c r="K498" s="10">
        <f t="shared" si="46"/>
        <v>472</v>
      </c>
      <c r="L498" s="10">
        <f t="shared" si="47"/>
        <v>471</v>
      </c>
      <c r="M498" s="10" t="s">
        <v>142</v>
      </c>
      <c r="N498" s="10" t="s">
        <v>324</v>
      </c>
      <c r="O498" s="59"/>
      <c r="P498" s="59"/>
    </row>
    <row r="499" spans="2:16" x14ac:dyDescent="0.3">
      <c r="B499" s="10" t="s">
        <v>1752</v>
      </c>
      <c r="C499" s="10" t="s">
        <v>2076</v>
      </c>
      <c r="D499" s="10">
        <v>1</v>
      </c>
      <c r="E499" s="10">
        <v>0</v>
      </c>
      <c r="F499" s="10">
        <v>1</v>
      </c>
      <c r="G499" s="10">
        <v>1</v>
      </c>
      <c r="H499" s="10">
        <v>1</v>
      </c>
      <c r="I499" s="10" t="s">
        <v>322</v>
      </c>
      <c r="J499" s="69">
        <f t="shared" si="48"/>
        <v>10473</v>
      </c>
      <c r="K499" s="10">
        <f t="shared" si="46"/>
        <v>473</v>
      </c>
      <c r="L499" s="10">
        <f t="shared" si="47"/>
        <v>472</v>
      </c>
      <c r="M499" s="10" t="s">
        <v>142</v>
      </c>
      <c r="N499" s="10" t="s">
        <v>324</v>
      </c>
      <c r="O499" s="59"/>
      <c r="P499" s="59"/>
    </row>
    <row r="500" spans="2:16" x14ac:dyDescent="0.3">
      <c r="B500" s="10" t="s">
        <v>1753</v>
      </c>
      <c r="C500" s="10" t="s">
        <v>2076</v>
      </c>
      <c r="D500" s="10">
        <v>1</v>
      </c>
      <c r="E500" s="10">
        <v>0</v>
      </c>
      <c r="F500" s="10">
        <v>1</v>
      </c>
      <c r="G500" s="10">
        <v>1</v>
      </c>
      <c r="H500" s="10">
        <v>1</v>
      </c>
      <c r="I500" s="10" t="s">
        <v>322</v>
      </c>
      <c r="J500" s="69">
        <f t="shared" si="48"/>
        <v>10474</v>
      </c>
      <c r="K500" s="10">
        <f t="shared" si="46"/>
        <v>474</v>
      </c>
      <c r="L500" s="10">
        <f t="shared" si="47"/>
        <v>473</v>
      </c>
      <c r="M500" s="10" t="s">
        <v>142</v>
      </c>
      <c r="N500" s="10" t="s">
        <v>324</v>
      </c>
      <c r="O500" s="59"/>
      <c r="P500" s="59"/>
    </row>
    <row r="501" spans="2:16" x14ac:dyDescent="0.3">
      <c r="B501" s="10" t="s">
        <v>1754</v>
      </c>
      <c r="C501" s="10" t="s">
        <v>2076</v>
      </c>
      <c r="D501" s="10">
        <v>1</v>
      </c>
      <c r="E501" s="10">
        <v>0</v>
      </c>
      <c r="F501" s="10">
        <v>1</v>
      </c>
      <c r="G501" s="10">
        <v>1</v>
      </c>
      <c r="H501" s="10">
        <v>1</v>
      </c>
      <c r="I501" s="10" t="s">
        <v>322</v>
      </c>
      <c r="J501" s="69">
        <f t="shared" si="48"/>
        <v>10475</v>
      </c>
      <c r="K501" s="10">
        <f t="shared" si="46"/>
        <v>475</v>
      </c>
      <c r="L501" s="10">
        <f t="shared" si="47"/>
        <v>474</v>
      </c>
      <c r="M501" s="10" t="s">
        <v>142</v>
      </c>
      <c r="N501" s="10" t="s">
        <v>324</v>
      </c>
      <c r="O501" s="59"/>
      <c r="P501" s="59"/>
    </row>
    <row r="502" spans="2:16" x14ac:dyDescent="0.3">
      <c r="B502" s="10" t="s">
        <v>1755</v>
      </c>
      <c r="C502" s="10" t="s">
        <v>2076</v>
      </c>
      <c r="D502" s="10">
        <v>1</v>
      </c>
      <c r="E502" s="10">
        <v>0</v>
      </c>
      <c r="F502" s="10">
        <v>1</v>
      </c>
      <c r="G502" s="10">
        <v>1</v>
      </c>
      <c r="H502" s="10">
        <v>1</v>
      </c>
      <c r="I502" s="10" t="s">
        <v>322</v>
      </c>
      <c r="J502" s="69">
        <f t="shared" si="48"/>
        <v>10476</v>
      </c>
      <c r="K502" s="10">
        <f t="shared" si="46"/>
        <v>476</v>
      </c>
      <c r="L502" s="10">
        <f t="shared" si="47"/>
        <v>475</v>
      </c>
      <c r="M502" s="10" t="s">
        <v>142</v>
      </c>
      <c r="N502" s="10" t="s">
        <v>324</v>
      </c>
      <c r="O502" s="59"/>
      <c r="P502" s="59"/>
    </row>
    <row r="503" spans="2:16" x14ac:dyDescent="0.3">
      <c r="B503" s="10" t="s">
        <v>1756</v>
      </c>
      <c r="C503" s="10" t="s">
        <v>2076</v>
      </c>
      <c r="D503" s="10">
        <v>1</v>
      </c>
      <c r="E503" s="10">
        <v>0</v>
      </c>
      <c r="F503" s="10">
        <v>1</v>
      </c>
      <c r="G503" s="10">
        <v>1</v>
      </c>
      <c r="H503" s="10">
        <v>1</v>
      </c>
      <c r="I503" s="10" t="s">
        <v>322</v>
      </c>
      <c r="J503" s="69">
        <f t="shared" si="48"/>
        <v>10477</v>
      </c>
      <c r="K503" s="10">
        <f t="shared" si="46"/>
        <v>477</v>
      </c>
      <c r="L503" s="10">
        <f t="shared" si="47"/>
        <v>476</v>
      </c>
      <c r="M503" s="10" t="s">
        <v>142</v>
      </c>
      <c r="N503" s="10" t="s">
        <v>324</v>
      </c>
      <c r="O503" s="59"/>
      <c r="P503" s="59"/>
    </row>
    <row r="504" spans="2:16" x14ac:dyDescent="0.3">
      <c r="B504" s="10" t="s">
        <v>1757</v>
      </c>
      <c r="C504" s="10" t="s">
        <v>2076</v>
      </c>
      <c r="D504" s="10">
        <v>1</v>
      </c>
      <c r="E504" s="10">
        <v>0</v>
      </c>
      <c r="F504" s="10">
        <v>1</v>
      </c>
      <c r="G504" s="10">
        <v>1</v>
      </c>
      <c r="H504" s="10">
        <v>1</v>
      </c>
      <c r="I504" s="10" t="s">
        <v>322</v>
      </c>
      <c r="J504" s="69">
        <f t="shared" si="48"/>
        <v>10478</v>
      </c>
      <c r="K504" s="10">
        <f t="shared" si="46"/>
        <v>478</v>
      </c>
      <c r="L504" s="10">
        <f t="shared" si="47"/>
        <v>477</v>
      </c>
      <c r="M504" s="10" t="s">
        <v>142</v>
      </c>
      <c r="N504" s="10" t="s">
        <v>324</v>
      </c>
      <c r="O504" s="59"/>
      <c r="P504" s="59"/>
    </row>
    <row r="505" spans="2:16" x14ac:dyDescent="0.3">
      <c r="B505" s="10" t="s">
        <v>1758</v>
      </c>
      <c r="C505" s="10" t="s">
        <v>2076</v>
      </c>
      <c r="D505" s="10">
        <v>1</v>
      </c>
      <c r="E505" s="10">
        <v>0</v>
      </c>
      <c r="F505" s="10">
        <v>1</v>
      </c>
      <c r="G505" s="10">
        <v>1</v>
      </c>
      <c r="H505" s="10">
        <v>1</v>
      </c>
      <c r="I505" s="10" t="s">
        <v>322</v>
      </c>
      <c r="J505" s="69">
        <f t="shared" si="48"/>
        <v>10479</v>
      </c>
      <c r="K505" s="10">
        <f t="shared" si="46"/>
        <v>479</v>
      </c>
      <c r="L505" s="10">
        <f t="shared" si="47"/>
        <v>478</v>
      </c>
      <c r="M505" s="10" t="s">
        <v>142</v>
      </c>
      <c r="N505" s="10" t="s">
        <v>324</v>
      </c>
      <c r="O505" s="59"/>
      <c r="P505" s="59"/>
    </row>
    <row r="506" spans="2:16" x14ac:dyDescent="0.3">
      <c r="B506" s="10" t="s">
        <v>320</v>
      </c>
      <c r="C506" s="10" t="s">
        <v>2076</v>
      </c>
      <c r="D506" s="10">
        <v>1</v>
      </c>
      <c r="E506" s="10">
        <v>0</v>
      </c>
      <c r="F506" s="10">
        <v>1</v>
      </c>
      <c r="G506" s="10">
        <v>1</v>
      </c>
      <c r="H506" s="10">
        <v>1</v>
      </c>
      <c r="I506" s="10" t="s">
        <v>322</v>
      </c>
      <c r="J506" s="69">
        <f t="shared" si="48"/>
        <v>10480</v>
      </c>
      <c r="K506" s="10">
        <f t="shared" si="46"/>
        <v>480</v>
      </c>
      <c r="L506" s="10">
        <f t="shared" si="47"/>
        <v>479</v>
      </c>
      <c r="M506" s="10" t="s">
        <v>142</v>
      </c>
      <c r="N506" s="10" t="s">
        <v>324</v>
      </c>
      <c r="O506" s="59"/>
      <c r="P506" s="59"/>
    </row>
    <row r="507" spans="2:16" x14ac:dyDescent="0.3">
      <c r="B507" s="496" t="s">
        <v>2157</v>
      </c>
      <c r="C507" s="496"/>
      <c r="D507" s="496"/>
      <c r="E507" s="496"/>
      <c r="F507" s="496"/>
      <c r="G507" s="496"/>
      <c r="H507" s="496"/>
      <c r="I507" s="496"/>
      <c r="J507" s="496"/>
      <c r="K507" s="496"/>
      <c r="L507" s="496"/>
      <c r="M507" s="496"/>
      <c r="N507" s="496"/>
      <c r="O507" s="496"/>
      <c r="P507" s="496"/>
    </row>
    <row r="508" spans="2:16" x14ac:dyDescent="0.3">
      <c r="B508" s="10" t="s">
        <v>1759</v>
      </c>
      <c r="C508" s="10" t="s">
        <v>2076</v>
      </c>
      <c r="D508" s="10">
        <v>1</v>
      </c>
      <c r="E508" s="10">
        <v>0</v>
      </c>
      <c r="F508" s="10">
        <v>1</v>
      </c>
      <c r="G508" s="10">
        <v>1</v>
      </c>
      <c r="H508" s="10">
        <v>1</v>
      </c>
      <c r="I508" s="10" t="s">
        <v>322</v>
      </c>
      <c r="J508" s="69">
        <f>J506+D506</f>
        <v>10481</v>
      </c>
      <c r="K508" s="10">
        <f t="shared" ref="K508:K523" si="49">J508-10000</f>
        <v>481</v>
      </c>
      <c r="L508" s="10">
        <f t="shared" ref="L508:L523" si="50">K508-1</f>
        <v>480</v>
      </c>
      <c r="M508" s="10" t="s">
        <v>142</v>
      </c>
      <c r="N508" s="10" t="s">
        <v>324</v>
      </c>
      <c r="O508" s="59"/>
      <c r="P508" s="59"/>
    </row>
    <row r="509" spans="2:16" x14ac:dyDescent="0.3">
      <c r="B509" s="10" t="s">
        <v>1760</v>
      </c>
      <c r="C509" s="10" t="s">
        <v>2076</v>
      </c>
      <c r="D509" s="10">
        <v>1</v>
      </c>
      <c r="E509" s="10">
        <v>0</v>
      </c>
      <c r="F509" s="10">
        <v>1</v>
      </c>
      <c r="G509" s="10">
        <v>1</v>
      </c>
      <c r="H509" s="10">
        <v>1</v>
      </c>
      <c r="I509" s="10" t="s">
        <v>322</v>
      </c>
      <c r="J509" s="69">
        <f t="shared" si="48"/>
        <v>10482</v>
      </c>
      <c r="K509" s="10">
        <f t="shared" si="49"/>
        <v>482</v>
      </c>
      <c r="L509" s="10">
        <f t="shared" si="50"/>
        <v>481</v>
      </c>
      <c r="M509" s="10" t="s">
        <v>142</v>
      </c>
      <c r="N509" s="10" t="s">
        <v>324</v>
      </c>
      <c r="O509" s="59"/>
      <c r="P509" s="59"/>
    </row>
    <row r="510" spans="2:16" x14ac:dyDescent="0.3">
      <c r="B510" s="10" t="s">
        <v>1761</v>
      </c>
      <c r="C510" s="10" t="s">
        <v>2076</v>
      </c>
      <c r="D510" s="10">
        <v>1</v>
      </c>
      <c r="E510" s="10">
        <v>0</v>
      </c>
      <c r="F510" s="10">
        <v>1</v>
      </c>
      <c r="G510" s="10">
        <v>1</v>
      </c>
      <c r="H510" s="10">
        <v>1</v>
      </c>
      <c r="I510" s="10" t="s">
        <v>322</v>
      </c>
      <c r="J510" s="69">
        <f t="shared" si="48"/>
        <v>10483</v>
      </c>
      <c r="K510" s="10">
        <f t="shared" si="49"/>
        <v>483</v>
      </c>
      <c r="L510" s="10">
        <f t="shared" si="50"/>
        <v>482</v>
      </c>
      <c r="M510" s="10" t="s">
        <v>142</v>
      </c>
      <c r="N510" s="10" t="s">
        <v>324</v>
      </c>
      <c r="O510" s="59"/>
      <c r="P510" s="59"/>
    </row>
    <row r="511" spans="2:16" x14ac:dyDescent="0.3">
      <c r="B511" s="10" t="s">
        <v>1762</v>
      </c>
      <c r="C511" s="10" t="s">
        <v>2076</v>
      </c>
      <c r="D511" s="10">
        <v>1</v>
      </c>
      <c r="E511" s="10">
        <v>0</v>
      </c>
      <c r="F511" s="10">
        <v>1</v>
      </c>
      <c r="G511" s="10">
        <v>1</v>
      </c>
      <c r="H511" s="10">
        <v>1</v>
      </c>
      <c r="I511" s="10" t="s">
        <v>322</v>
      </c>
      <c r="J511" s="69">
        <f t="shared" si="48"/>
        <v>10484</v>
      </c>
      <c r="K511" s="10">
        <f t="shared" si="49"/>
        <v>484</v>
      </c>
      <c r="L511" s="10">
        <f t="shared" si="50"/>
        <v>483</v>
      </c>
      <c r="M511" s="10" t="s">
        <v>142</v>
      </c>
      <c r="N511" s="10" t="s">
        <v>324</v>
      </c>
      <c r="O511" s="59"/>
      <c r="P511" s="59"/>
    </row>
    <row r="512" spans="2:16" x14ac:dyDescent="0.3">
      <c r="B512" s="10" t="s">
        <v>1763</v>
      </c>
      <c r="C512" s="10" t="s">
        <v>2076</v>
      </c>
      <c r="D512" s="10">
        <v>1</v>
      </c>
      <c r="E512" s="10">
        <v>0</v>
      </c>
      <c r="F512" s="10">
        <v>1</v>
      </c>
      <c r="G512" s="10">
        <v>1</v>
      </c>
      <c r="H512" s="10">
        <v>1</v>
      </c>
      <c r="I512" s="10" t="s">
        <v>322</v>
      </c>
      <c r="J512" s="69">
        <f t="shared" si="48"/>
        <v>10485</v>
      </c>
      <c r="K512" s="10">
        <f t="shared" si="49"/>
        <v>485</v>
      </c>
      <c r="L512" s="10">
        <f t="shared" si="50"/>
        <v>484</v>
      </c>
      <c r="M512" s="10" t="s">
        <v>142</v>
      </c>
      <c r="N512" s="10" t="s">
        <v>324</v>
      </c>
      <c r="O512" s="59"/>
      <c r="P512" s="59"/>
    </row>
    <row r="513" spans="2:16" x14ac:dyDescent="0.3">
      <c r="B513" s="10" t="s">
        <v>1764</v>
      </c>
      <c r="C513" s="10" t="s">
        <v>2076</v>
      </c>
      <c r="D513" s="10">
        <v>1</v>
      </c>
      <c r="E513" s="10">
        <v>0</v>
      </c>
      <c r="F513" s="10">
        <v>1</v>
      </c>
      <c r="G513" s="10">
        <v>1</v>
      </c>
      <c r="H513" s="10">
        <v>1</v>
      </c>
      <c r="I513" s="10" t="s">
        <v>322</v>
      </c>
      <c r="J513" s="69">
        <f t="shared" si="48"/>
        <v>10486</v>
      </c>
      <c r="K513" s="10">
        <f t="shared" si="49"/>
        <v>486</v>
      </c>
      <c r="L513" s="10">
        <f t="shared" si="50"/>
        <v>485</v>
      </c>
      <c r="M513" s="10" t="s">
        <v>142</v>
      </c>
      <c r="N513" s="10" t="s">
        <v>324</v>
      </c>
      <c r="O513" s="59"/>
      <c r="P513" s="59"/>
    </row>
    <row r="514" spans="2:16" x14ac:dyDescent="0.3">
      <c r="B514" s="10" t="s">
        <v>1765</v>
      </c>
      <c r="C514" s="10" t="s">
        <v>2076</v>
      </c>
      <c r="D514" s="10">
        <v>1</v>
      </c>
      <c r="E514" s="10">
        <v>0</v>
      </c>
      <c r="F514" s="10">
        <v>1</v>
      </c>
      <c r="G514" s="10">
        <v>1</v>
      </c>
      <c r="H514" s="10">
        <v>1</v>
      </c>
      <c r="I514" s="10" t="s">
        <v>322</v>
      </c>
      <c r="J514" s="69">
        <f t="shared" si="48"/>
        <v>10487</v>
      </c>
      <c r="K514" s="10">
        <f t="shared" si="49"/>
        <v>487</v>
      </c>
      <c r="L514" s="10">
        <f t="shared" si="50"/>
        <v>486</v>
      </c>
      <c r="M514" s="10" t="s">
        <v>142</v>
      </c>
      <c r="N514" s="10" t="s">
        <v>324</v>
      </c>
      <c r="O514" s="59"/>
      <c r="P514" s="59"/>
    </row>
    <row r="515" spans="2:16" x14ac:dyDescent="0.3">
      <c r="B515" s="10" t="s">
        <v>1766</v>
      </c>
      <c r="C515" s="10" t="s">
        <v>2076</v>
      </c>
      <c r="D515" s="10">
        <v>1</v>
      </c>
      <c r="E515" s="10">
        <v>0</v>
      </c>
      <c r="F515" s="10">
        <v>1</v>
      </c>
      <c r="G515" s="10">
        <v>1</v>
      </c>
      <c r="H515" s="10">
        <v>1</v>
      </c>
      <c r="I515" s="10" t="s">
        <v>322</v>
      </c>
      <c r="J515" s="69">
        <f t="shared" si="48"/>
        <v>10488</v>
      </c>
      <c r="K515" s="10">
        <f t="shared" si="49"/>
        <v>488</v>
      </c>
      <c r="L515" s="10">
        <f t="shared" si="50"/>
        <v>487</v>
      </c>
      <c r="M515" s="10" t="s">
        <v>142</v>
      </c>
      <c r="N515" s="10" t="s">
        <v>324</v>
      </c>
      <c r="O515" s="59"/>
      <c r="P515" s="59"/>
    </row>
    <row r="516" spans="2:16" x14ac:dyDescent="0.3">
      <c r="B516" s="10" t="s">
        <v>1767</v>
      </c>
      <c r="C516" s="10" t="s">
        <v>2076</v>
      </c>
      <c r="D516" s="10">
        <v>1</v>
      </c>
      <c r="E516" s="10">
        <v>0</v>
      </c>
      <c r="F516" s="10">
        <v>1</v>
      </c>
      <c r="G516" s="10">
        <v>1</v>
      </c>
      <c r="H516" s="10">
        <v>1</v>
      </c>
      <c r="I516" s="10" t="s">
        <v>322</v>
      </c>
      <c r="J516" s="69">
        <f t="shared" si="48"/>
        <v>10489</v>
      </c>
      <c r="K516" s="10">
        <f t="shared" si="49"/>
        <v>489</v>
      </c>
      <c r="L516" s="10">
        <f t="shared" si="50"/>
        <v>488</v>
      </c>
      <c r="M516" s="10" t="s">
        <v>142</v>
      </c>
      <c r="N516" s="10" t="s">
        <v>324</v>
      </c>
      <c r="O516" s="59"/>
      <c r="P516" s="59"/>
    </row>
    <row r="517" spans="2:16" x14ac:dyDescent="0.3">
      <c r="B517" s="10" t="s">
        <v>1768</v>
      </c>
      <c r="C517" s="10" t="s">
        <v>2076</v>
      </c>
      <c r="D517" s="10">
        <v>1</v>
      </c>
      <c r="E517" s="10">
        <v>0</v>
      </c>
      <c r="F517" s="10">
        <v>1</v>
      </c>
      <c r="G517" s="10">
        <v>1</v>
      </c>
      <c r="H517" s="10">
        <v>1</v>
      </c>
      <c r="I517" s="10" t="s">
        <v>322</v>
      </c>
      <c r="J517" s="69">
        <f t="shared" si="48"/>
        <v>10490</v>
      </c>
      <c r="K517" s="10">
        <f t="shared" si="49"/>
        <v>490</v>
      </c>
      <c r="L517" s="10">
        <f t="shared" si="50"/>
        <v>489</v>
      </c>
      <c r="M517" s="10" t="s">
        <v>142</v>
      </c>
      <c r="N517" s="10" t="s">
        <v>324</v>
      </c>
      <c r="O517" s="59"/>
      <c r="P517" s="59"/>
    </row>
    <row r="518" spans="2:16" x14ac:dyDescent="0.3">
      <c r="B518" s="10" t="s">
        <v>1769</v>
      </c>
      <c r="C518" s="10" t="s">
        <v>2076</v>
      </c>
      <c r="D518" s="10">
        <v>1</v>
      </c>
      <c r="E518" s="10">
        <v>0</v>
      </c>
      <c r="F518" s="10">
        <v>1</v>
      </c>
      <c r="G518" s="10">
        <v>1</v>
      </c>
      <c r="H518" s="10">
        <v>1</v>
      </c>
      <c r="I518" s="10" t="s">
        <v>322</v>
      </c>
      <c r="J518" s="69">
        <f t="shared" si="48"/>
        <v>10491</v>
      </c>
      <c r="K518" s="10">
        <f t="shared" si="49"/>
        <v>491</v>
      </c>
      <c r="L518" s="10">
        <f t="shared" si="50"/>
        <v>490</v>
      </c>
      <c r="M518" s="10" t="s">
        <v>142</v>
      </c>
      <c r="N518" s="10" t="s">
        <v>324</v>
      </c>
      <c r="O518" s="59"/>
      <c r="P518" s="59"/>
    </row>
    <row r="519" spans="2:16" x14ac:dyDescent="0.3">
      <c r="B519" s="10" t="s">
        <v>1770</v>
      </c>
      <c r="C519" s="10" t="s">
        <v>2076</v>
      </c>
      <c r="D519" s="10">
        <v>1</v>
      </c>
      <c r="E519" s="10">
        <v>0</v>
      </c>
      <c r="F519" s="10">
        <v>1</v>
      </c>
      <c r="G519" s="10">
        <v>1</v>
      </c>
      <c r="H519" s="10">
        <v>1</v>
      </c>
      <c r="I519" s="10" t="s">
        <v>322</v>
      </c>
      <c r="J519" s="69">
        <f t="shared" si="48"/>
        <v>10492</v>
      </c>
      <c r="K519" s="10">
        <f t="shared" si="49"/>
        <v>492</v>
      </c>
      <c r="L519" s="10">
        <f t="shared" si="50"/>
        <v>491</v>
      </c>
      <c r="M519" s="10" t="s">
        <v>142</v>
      </c>
      <c r="N519" s="10" t="s">
        <v>324</v>
      </c>
      <c r="O519" s="59"/>
      <c r="P519" s="59"/>
    </row>
    <row r="520" spans="2:16" x14ac:dyDescent="0.3">
      <c r="B520" s="10" t="s">
        <v>1771</v>
      </c>
      <c r="C520" s="10" t="s">
        <v>2076</v>
      </c>
      <c r="D520" s="10">
        <v>1</v>
      </c>
      <c r="E520" s="10">
        <v>0</v>
      </c>
      <c r="F520" s="10">
        <v>1</v>
      </c>
      <c r="G520" s="10">
        <v>1</v>
      </c>
      <c r="H520" s="10">
        <v>1</v>
      </c>
      <c r="I520" s="10" t="s">
        <v>322</v>
      </c>
      <c r="J520" s="69">
        <f t="shared" si="48"/>
        <v>10493</v>
      </c>
      <c r="K520" s="10">
        <f t="shared" si="49"/>
        <v>493</v>
      </c>
      <c r="L520" s="10">
        <f t="shared" si="50"/>
        <v>492</v>
      </c>
      <c r="M520" s="10" t="s">
        <v>142</v>
      </c>
      <c r="N520" s="10" t="s">
        <v>324</v>
      </c>
      <c r="O520" s="59"/>
      <c r="P520" s="59"/>
    </row>
    <row r="521" spans="2:16" x14ac:dyDescent="0.3">
      <c r="B521" s="10" t="s">
        <v>1772</v>
      </c>
      <c r="C521" s="10" t="s">
        <v>2076</v>
      </c>
      <c r="D521" s="10">
        <v>1</v>
      </c>
      <c r="E521" s="10">
        <v>0</v>
      </c>
      <c r="F521" s="10">
        <v>1</v>
      </c>
      <c r="G521" s="10">
        <v>1</v>
      </c>
      <c r="H521" s="10">
        <v>1</v>
      </c>
      <c r="I521" s="10" t="s">
        <v>322</v>
      </c>
      <c r="J521" s="69">
        <f t="shared" si="48"/>
        <v>10494</v>
      </c>
      <c r="K521" s="10">
        <f t="shared" si="49"/>
        <v>494</v>
      </c>
      <c r="L521" s="10">
        <f t="shared" si="50"/>
        <v>493</v>
      </c>
      <c r="M521" s="10" t="s">
        <v>142</v>
      </c>
      <c r="N521" s="10" t="s">
        <v>324</v>
      </c>
      <c r="O521" s="59"/>
      <c r="P521" s="59"/>
    </row>
    <row r="522" spans="2:16" x14ac:dyDescent="0.3">
      <c r="B522" s="10" t="s">
        <v>1773</v>
      </c>
      <c r="C522" s="10" t="s">
        <v>2076</v>
      </c>
      <c r="D522" s="10">
        <v>1</v>
      </c>
      <c r="E522" s="10">
        <v>0</v>
      </c>
      <c r="F522" s="10">
        <v>1</v>
      </c>
      <c r="G522" s="10">
        <v>1</v>
      </c>
      <c r="H522" s="10">
        <v>1</v>
      </c>
      <c r="I522" s="10" t="s">
        <v>322</v>
      </c>
      <c r="J522" s="69">
        <f t="shared" si="48"/>
        <v>10495</v>
      </c>
      <c r="K522" s="10">
        <f t="shared" si="49"/>
        <v>495</v>
      </c>
      <c r="L522" s="10">
        <f t="shared" si="50"/>
        <v>494</v>
      </c>
      <c r="M522" s="10" t="s">
        <v>142</v>
      </c>
      <c r="N522" s="10" t="s">
        <v>324</v>
      </c>
      <c r="O522" s="59"/>
      <c r="P522" s="59"/>
    </row>
    <row r="523" spans="2:16" x14ac:dyDescent="0.3">
      <c r="B523" s="10" t="s">
        <v>320</v>
      </c>
      <c r="C523" s="10" t="s">
        <v>2076</v>
      </c>
      <c r="D523" s="10">
        <v>1</v>
      </c>
      <c r="E523" s="10">
        <v>0</v>
      </c>
      <c r="F523" s="10">
        <v>1</v>
      </c>
      <c r="G523" s="10">
        <v>1</v>
      </c>
      <c r="H523" s="10">
        <v>1</v>
      </c>
      <c r="I523" s="10" t="s">
        <v>322</v>
      </c>
      <c r="J523" s="69">
        <f t="shared" si="48"/>
        <v>10496</v>
      </c>
      <c r="K523" s="10">
        <f t="shared" si="49"/>
        <v>496</v>
      </c>
      <c r="L523" s="10">
        <f t="shared" si="50"/>
        <v>495</v>
      </c>
      <c r="M523" s="10" t="s">
        <v>142</v>
      </c>
      <c r="N523" s="10" t="s">
        <v>324</v>
      </c>
      <c r="O523" s="59"/>
      <c r="P523" s="59"/>
    </row>
    <row r="524" spans="2:16" x14ac:dyDescent="0.3">
      <c r="B524" s="496" t="s">
        <v>2158</v>
      </c>
      <c r="C524" s="496"/>
      <c r="D524" s="496"/>
      <c r="E524" s="496"/>
      <c r="F524" s="496"/>
      <c r="G524" s="496"/>
      <c r="H524" s="496"/>
      <c r="I524" s="496"/>
      <c r="J524" s="496"/>
      <c r="K524" s="496"/>
      <c r="L524" s="496"/>
      <c r="M524" s="496"/>
      <c r="N524" s="496"/>
      <c r="O524" s="496"/>
      <c r="P524" s="496"/>
    </row>
    <row r="525" spans="2:16" x14ac:dyDescent="0.3">
      <c r="B525" s="10" t="s">
        <v>1774</v>
      </c>
      <c r="C525" s="10" t="s">
        <v>2076</v>
      </c>
      <c r="D525" s="10">
        <v>1</v>
      </c>
      <c r="E525" s="10">
        <v>0</v>
      </c>
      <c r="F525" s="10">
        <v>1</v>
      </c>
      <c r="G525" s="10">
        <v>1</v>
      </c>
      <c r="H525" s="10">
        <v>1</v>
      </c>
      <c r="I525" s="10" t="s">
        <v>322</v>
      </c>
      <c r="J525" s="69">
        <f>J523+D523</f>
        <v>10497</v>
      </c>
      <c r="K525" s="10">
        <f t="shared" ref="K525:K556" si="51">J525-10000</f>
        <v>497</v>
      </c>
      <c r="L525" s="10">
        <f t="shared" ref="L525:L556" si="52">K525-1</f>
        <v>496</v>
      </c>
      <c r="M525" s="10" t="s">
        <v>142</v>
      </c>
      <c r="N525" s="10" t="s">
        <v>324</v>
      </c>
      <c r="O525" s="59"/>
      <c r="P525" s="59"/>
    </row>
    <row r="526" spans="2:16" x14ac:dyDescent="0.3">
      <c r="B526" s="10" t="s">
        <v>1775</v>
      </c>
      <c r="C526" s="10" t="s">
        <v>2076</v>
      </c>
      <c r="D526" s="10">
        <v>1</v>
      </c>
      <c r="E526" s="10">
        <v>0</v>
      </c>
      <c r="F526" s="10">
        <v>1</v>
      </c>
      <c r="G526" s="10">
        <v>1</v>
      </c>
      <c r="H526" s="10">
        <v>1</v>
      </c>
      <c r="I526" s="10" t="s">
        <v>322</v>
      </c>
      <c r="J526" s="69">
        <f t="shared" si="48"/>
        <v>10498</v>
      </c>
      <c r="K526" s="10">
        <f t="shared" si="51"/>
        <v>498</v>
      </c>
      <c r="L526" s="10">
        <f t="shared" si="52"/>
        <v>497</v>
      </c>
      <c r="M526" s="10" t="s">
        <v>142</v>
      </c>
      <c r="N526" s="10" t="s">
        <v>324</v>
      </c>
      <c r="O526" s="59"/>
      <c r="P526" s="59"/>
    </row>
    <row r="527" spans="2:16" x14ac:dyDescent="0.3">
      <c r="B527" s="10" t="s">
        <v>1776</v>
      </c>
      <c r="C527" s="10" t="s">
        <v>2076</v>
      </c>
      <c r="D527" s="10">
        <v>1</v>
      </c>
      <c r="E527" s="10">
        <v>0</v>
      </c>
      <c r="F527" s="10">
        <v>1</v>
      </c>
      <c r="G527" s="10">
        <v>1</v>
      </c>
      <c r="H527" s="10">
        <v>1</v>
      </c>
      <c r="I527" s="10" t="s">
        <v>322</v>
      </c>
      <c r="J527" s="69">
        <f t="shared" si="48"/>
        <v>10499</v>
      </c>
      <c r="K527" s="10">
        <f t="shared" si="51"/>
        <v>499</v>
      </c>
      <c r="L527" s="10">
        <f t="shared" si="52"/>
        <v>498</v>
      </c>
      <c r="M527" s="10" t="s">
        <v>142</v>
      </c>
      <c r="N527" s="10" t="s">
        <v>324</v>
      </c>
      <c r="O527" s="59"/>
      <c r="P527" s="59"/>
    </row>
    <row r="528" spans="2:16" x14ac:dyDescent="0.3">
      <c r="B528" s="10" t="s">
        <v>1777</v>
      </c>
      <c r="C528" s="10" t="s">
        <v>2076</v>
      </c>
      <c r="D528" s="10">
        <v>1</v>
      </c>
      <c r="E528" s="10">
        <v>0</v>
      </c>
      <c r="F528" s="10">
        <v>1</v>
      </c>
      <c r="G528" s="10">
        <v>1</v>
      </c>
      <c r="H528" s="10">
        <v>1</v>
      </c>
      <c r="I528" s="10" t="s">
        <v>322</v>
      </c>
      <c r="J528" s="69">
        <f t="shared" si="48"/>
        <v>10500</v>
      </c>
      <c r="K528" s="10">
        <f t="shared" si="51"/>
        <v>500</v>
      </c>
      <c r="L528" s="10">
        <f t="shared" si="52"/>
        <v>499</v>
      </c>
      <c r="M528" s="10" t="s">
        <v>142</v>
      </c>
      <c r="N528" s="10" t="s">
        <v>324</v>
      </c>
      <c r="O528" s="59"/>
      <c r="P528" s="59"/>
    </row>
    <row r="529" spans="2:16" x14ac:dyDescent="0.3">
      <c r="B529" s="10" t="s">
        <v>1778</v>
      </c>
      <c r="C529" s="10" t="s">
        <v>2076</v>
      </c>
      <c r="D529" s="10">
        <v>1</v>
      </c>
      <c r="E529" s="10">
        <v>0</v>
      </c>
      <c r="F529" s="10">
        <v>1</v>
      </c>
      <c r="G529" s="10">
        <v>1</v>
      </c>
      <c r="H529" s="10">
        <v>1</v>
      </c>
      <c r="I529" s="10" t="s">
        <v>322</v>
      </c>
      <c r="J529" s="69">
        <f t="shared" si="48"/>
        <v>10501</v>
      </c>
      <c r="K529" s="10">
        <f t="shared" si="51"/>
        <v>501</v>
      </c>
      <c r="L529" s="10">
        <f t="shared" si="52"/>
        <v>500</v>
      </c>
      <c r="M529" s="10" t="s">
        <v>142</v>
      </c>
      <c r="N529" s="10" t="s">
        <v>324</v>
      </c>
      <c r="O529" s="59"/>
      <c r="P529" s="59"/>
    </row>
    <row r="530" spans="2:16" x14ac:dyDescent="0.3">
      <c r="B530" s="10" t="s">
        <v>320</v>
      </c>
      <c r="C530" s="10" t="s">
        <v>2076</v>
      </c>
      <c r="D530" s="10">
        <v>1</v>
      </c>
      <c r="E530" s="10">
        <v>0</v>
      </c>
      <c r="F530" s="10">
        <v>1</v>
      </c>
      <c r="G530" s="10">
        <v>1</v>
      </c>
      <c r="H530" s="10">
        <v>1</v>
      </c>
      <c r="I530" s="10" t="s">
        <v>322</v>
      </c>
      <c r="J530" s="69">
        <f t="shared" si="48"/>
        <v>10502</v>
      </c>
      <c r="K530" s="10">
        <f t="shared" si="51"/>
        <v>502</v>
      </c>
      <c r="L530" s="10">
        <f t="shared" si="52"/>
        <v>501</v>
      </c>
      <c r="M530" s="10" t="s">
        <v>142</v>
      </c>
      <c r="N530" s="10" t="s">
        <v>324</v>
      </c>
      <c r="O530" s="59"/>
      <c r="P530" s="59"/>
    </row>
    <row r="531" spans="2:16" x14ac:dyDescent="0.3">
      <c r="B531" s="10" t="s">
        <v>320</v>
      </c>
      <c r="C531" s="10" t="s">
        <v>2076</v>
      </c>
      <c r="D531" s="10">
        <v>1</v>
      </c>
      <c r="E531" s="10">
        <v>0</v>
      </c>
      <c r="F531" s="10">
        <v>1</v>
      </c>
      <c r="G531" s="10">
        <v>1</v>
      </c>
      <c r="H531" s="10">
        <v>1</v>
      </c>
      <c r="I531" s="10" t="s">
        <v>322</v>
      </c>
      <c r="J531" s="69">
        <f t="shared" si="48"/>
        <v>10503</v>
      </c>
      <c r="K531" s="10">
        <f t="shared" si="51"/>
        <v>503</v>
      </c>
      <c r="L531" s="10">
        <f t="shared" si="52"/>
        <v>502</v>
      </c>
      <c r="M531" s="10" t="s">
        <v>142</v>
      </c>
      <c r="N531" s="10" t="s">
        <v>324</v>
      </c>
      <c r="O531" s="59"/>
      <c r="P531" s="59"/>
    </row>
    <row r="532" spans="2:16" x14ac:dyDescent="0.3">
      <c r="B532" s="10" t="s">
        <v>320</v>
      </c>
      <c r="C532" s="10" t="s">
        <v>2076</v>
      </c>
      <c r="D532" s="10">
        <v>1</v>
      </c>
      <c r="E532" s="10">
        <v>0</v>
      </c>
      <c r="F532" s="10">
        <v>1</v>
      </c>
      <c r="G532" s="10">
        <v>1</v>
      </c>
      <c r="H532" s="10">
        <v>1</v>
      </c>
      <c r="I532" s="10" t="s">
        <v>322</v>
      </c>
      <c r="J532" s="69">
        <f t="shared" si="48"/>
        <v>10504</v>
      </c>
      <c r="K532" s="10">
        <f t="shared" si="51"/>
        <v>504</v>
      </c>
      <c r="L532" s="10">
        <f t="shared" si="52"/>
        <v>503</v>
      </c>
      <c r="M532" s="10" t="s">
        <v>142</v>
      </c>
      <c r="N532" s="10" t="s">
        <v>324</v>
      </c>
      <c r="O532" s="59"/>
      <c r="P532" s="59"/>
    </row>
    <row r="533" spans="2:16" x14ac:dyDescent="0.3">
      <c r="B533" s="10" t="s">
        <v>320</v>
      </c>
      <c r="C533" s="10" t="s">
        <v>2076</v>
      </c>
      <c r="D533" s="10">
        <v>1</v>
      </c>
      <c r="E533" s="10">
        <v>0</v>
      </c>
      <c r="F533" s="10">
        <v>1</v>
      </c>
      <c r="G533" s="10">
        <v>1</v>
      </c>
      <c r="H533" s="10">
        <v>1</v>
      </c>
      <c r="I533" s="10" t="s">
        <v>322</v>
      </c>
      <c r="J533" s="69">
        <f t="shared" si="48"/>
        <v>10505</v>
      </c>
      <c r="K533" s="10">
        <f t="shared" si="51"/>
        <v>505</v>
      </c>
      <c r="L533" s="10">
        <f t="shared" si="52"/>
        <v>504</v>
      </c>
      <c r="M533" s="10" t="s">
        <v>142</v>
      </c>
      <c r="N533" s="10" t="s">
        <v>324</v>
      </c>
      <c r="O533" s="59"/>
      <c r="P533" s="59"/>
    </row>
    <row r="534" spans="2:16" x14ac:dyDescent="0.3">
      <c r="B534" s="10" t="s">
        <v>320</v>
      </c>
      <c r="C534" s="10" t="s">
        <v>2076</v>
      </c>
      <c r="D534" s="10">
        <v>1</v>
      </c>
      <c r="E534" s="10">
        <v>0</v>
      </c>
      <c r="F534" s="10">
        <v>1</v>
      </c>
      <c r="G534" s="10">
        <v>1</v>
      </c>
      <c r="H534" s="10">
        <v>1</v>
      </c>
      <c r="I534" s="10" t="s">
        <v>322</v>
      </c>
      <c r="J534" s="69">
        <f t="shared" si="48"/>
        <v>10506</v>
      </c>
      <c r="K534" s="10">
        <f t="shared" si="51"/>
        <v>506</v>
      </c>
      <c r="L534" s="10">
        <f t="shared" si="52"/>
        <v>505</v>
      </c>
      <c r="M534" s="10" t="s">
        <v>142</v>
      </c>
      <c r="N534" s="10" t="s">
        <v>324</v>
      </c>
      <c r="O534" s="59"/>
      <c r="P534" s="59"/>
    </row>
    <row r="535" spans="2:16" x14ac:dyDescent="0.3">
      <c r="B535" s="10" t="s">
        <v>320</v>
      </c>
      <c r="C535" s="10" t="s">
        <v>2076</v>
      </c>
      <c r="D535" s="10">
        <v>1</v>
      </c>
      <c r="E535" s="10">
        <v>0</v>
      </c>
      <c r="F535" s="10">
        <v>1</v>
      </c>
      <c r="G535" s="10">
        <v>1</v>
      </c>
      <c r="H535" s="10">
        <v>1</v>
      </c>
      <c r="I535" s="10" t="s">
        <v>322</v>
      </c>
      <c r="J535" s="69">
        <f t="shared" si="48"/>
        <v>10507</v>
      </c>
      <c r="K535" s="10">
        <f t="shared" si="51"/>
        <v>507</v>
      </c>
      <c r="L535" s="10">
        <f t="shared" si="52"/>
        <v>506</v>
      </c>
      <c r="M535" s="10" t="s">
        <v>142</v>
      </c>
      <c r="N535" s="10" t="s">
        <v>324</v>
      </c>
      <c r="O535" s="59"/>
      <c r="P535" s="59"/>
    </row>
    <row r="536" spans="2:16" x14ac:dyDescent="0.3">
      <c r="B536" s="10" t="s">
        <v>320</v>
      </c>
      <c r="C536" s="10" t="s">
        <v>2076</v>
      </c>
      <c r="D536" s="10">
        <v>1</v>
      </c>
      <c r="E536" s="10">
        <v>0</v>
      </c>
      <c r="F536" s="10">
        <v>1</v>
      </c>
      <c r="G536" s="10">
        <v>1</v>
      </c>
      <c r="H536" s="10">
        <v>1</v>
      </c>
      <c r="I536" s="10" t="s">
        <v>322</v>
      </c>
      <c r="J536" s="69">
        <f t="shared" si="48"/>
        <v>10508</v>
      </c>
      <c r="K536" s="10">
        <f t="shared" si="51"/>
        <v>508</v>
      </c>
      <c r="L536" s="10">
        <f t="shared" si="52"/>
        <v>507</v>
      </c>
      <c r="M536" s="10" t="s">
        <v>142</v>
      </c>
      <c r="N536" s="10" t="s">
        <v>324</v>
      </c>
      <c r="O536" s="59"/>
      <c r="P536" s="59"/>
    </row>
    <row r="537" spans="2:16" x14ac:dyDescent="0.3">
      <c r="B537" s="10" t="s">
        <v>320</v>
      </c>
      <c r="C537" s="10" t="s">
        <v>2076</v>
      </c>
      <c r="D537" s="10">
        <v>1</v>
      </c>
      <c r="E537" s="10">
        <v>0</v>
      </c>
      <c r="F537" s="10">
        <v>1</v>
      </c>
      <c r="G537" s="10">
        <v>1</v>
      </c>
      <c r="H537" s="10">
        <v>1</v>
      </c>
      <c r="I537" s="10" t="s">
        <v>322</v>
      </c>
      <c r="J537" s="69">
        <f t="shared" si="48"/>
        <v>10509</v>
      </c>
      <c r="K537" s="10">
        <f t="shared" si="51"/>
        <v>509</v>
      </c>
      <c r="L537" s="10">
        <f t="shared" si="52"/>
        <v>508</v>
      </c>
      <c r="M537" s="10" t="s">
        <v>142</v>
      </c>
      <c r="N537" s="10" t="s">
        <v>324</v>
      </c>
      <c r="O537" s="59"/>
      <c r="P537" s="59"/>
    </row>
    <row r="538" spans="2:16" x14ac:dyDescent="0.3">
      <c r="B538" s="10" t="s">
        <v>320</v>
      </c>
      <c r="C538" s="10" t="s">
        <v>2076</v>
      </c>
      <c r="D538" s="10">
        <v>1</v>
      </c>
      <c r="E538" s="10">
        <v>0</v>
      </c>
      <c r="F538" s="10">
        <v>1</v>
      </c>
      <c r="G538" s="10">
        <v>1</v>
      </c>
      <c r="H538" s="10">
        <v>1</v>
      </c>
      <c r="I538" s="10" t="s">
        <v>322</v>
      </c>
      <c r="J538" s="69">
        <f t="shared" si="48"/>
        <v>10510</v>
      </c>
      <c r="K538" s="10">
        <f t="shared" si="51"/>
        <v>510</v>
      </c>
      <c r="L538" s="10">
        <f t="shared" si="52"/>
        <v>509</v>
      </c>
      <c r="M538" s="10" t="s">
        <v>142</v>
      </c>
      <c r="N538" s="10" t="s">
        <v>324</v>
      </c>
      <c r="O538" s="59"/>
      <c r="P538" s="59"/>
    </row>
    <row r="539" spans="2:16" x14ac:dyDescent="0.3">
      <c r="B539" s="10" t="s">
        <v>320</v>
      </c>
      <c r="C539" s="10" t="s">
        <v>2076</v>
      </c>
      <c r="D539" s="10">
        <v>1</v>
      </c>
      <c r="E539" s="10">
        <v>0</v>
      </c>
      <c r="F539" s="10">
        <v>1</v>
      </c>
      <c r="G539" s="10">
        <v>1</v>
      </c>
      <c r="H539" s="10">
        <v>1</v>
      </c>
      <c r="I539" s="10" t="s">
        <v>322</v>
      </c>
      <c r="J539" s="69">
        <f t="shared" si="48"/>
        <v>10511</v>
      </c>
      <c r="K539" s="10">
        <f t="shared" si="51"/>
        <v>511</v>
      </c>
      <c r="L539" s="10">
        <f t="shared" si="52"/>
        <v>510</v>
      </c>
      <c r="M539" s="10" t="s">
        <v>142</v>
      </c>
      <c r="N539" s="10" t="s">
        <v>324</v>
      </c>
      <c r="O539" s="59"/>
      <c r="P539" s="59"/>
    </row>
    <row r="540" spans="2:16" x14ac:dyDescent="0.3">
      <c r="B540" s="10" t="s">
        <v>320</v>
      </c>
      <c r="C540" s="10" t="s">
        <v>2076</v>
      </c>
      <c r="D540" s="10">
        <v>1</v>
      </c>
      <c r="E540" s="10">
        <v>0</v>
      </c>
      <c r="F540" s="10">
        <v>1</v>
      </c>
      <c r="G540" s="10">
        <v>1</v>
      </c>
      <c r="H540" s="10">
        <v>1</v>
      </c>
      <c r="I540" s="10" t="s">
        <v>322</v>
      </c>
      <c r="J540" s="69">
        <f t="shared" si="48"/>
        <v>10512</v>
      </c>
      <c r="K540" s="10">
        <f t="shared" si="51"/>
        <v>512</v>
      </c>
      <c r="L540" s="10">
        <f t="shared" si="52"/>
        <v>511</v>
      </c>
      <c r="M540" s="10" t="s">
        <v>142</v>
      </c>
      <c r="N540" s="10" t="s">
        <v>324</v>
      </c>
      <c r="O540" s="59"/>
      <c r="P540" s="59"/>
    </row>
    <row r="541" spans="2:16" x14ac:dyDescent="0.3">
      <c r="B541" s="10" t="s">
        <v>320</v>
      </c>
      <c r="C541" s="10" t="s">
        <v>2076</v>
      </c>
      <c r="D541" s="10">
        <v>1</v>
      </c>
      <c r="E541" s="10">
        <v>0</v>
      </c>
      <c r="F541" s="10">
        <v>1</v>
      </c>
      <c r="G541" s="10">
        <v>1</v>
      </c>
      <c r="H541" s="10">
        <v>1</v>
      </c>
      <c r="I541" s="10" t="s">
        <v>322</v>
      </c>
      <c r="J541" s="69">
        <f t="shared" si="48"/>
        <v>10513</v>
      </c>
      <c r="K541" s="10">
        <f t="shared" si="51"/>
        <v>513</v>
      </c>
      <c r="L541" s="10">
        <f t="shared" si="52"/>
        <v>512</v>
      </c>
      <c r="M541" s="10" t="s">
        <v>142</v>
      </c>
      <c r="N541" s="10" t="s">
        <v>324</v>
      </c>
      <c r="O541" s="7"/>
      <c r="P541" s="7"/>
    </row>
    <row r="542" spans="2:16" x14ac:dyDescent="0.3">
      <c r="B542" s="10" t="s">
        <v>320</v>
      </c>
      <c r="C542" s="10" t="s">
        <v>2076</v>
      </c>
      <c r="D542" s="10">
        <v>1</v>
      </c>
      <c r="E542" s="10">
        <v>0</v>
      </c>
      <c r="F542" s="10">
        <v>1</v>
      </c>
      <c r="G542" s="10">
        <v>1</v>
      </c>
      <c r="H542" s="10">
        <v>1</v>
      </c>
      <c r="I542" s="10" t="s">
        <v>322</v>
      </c>
      <c r="J542" s="69">
        <f t="shared" si="48"/>
        <v>10514</v>
      </c>
      <c r="K542" s="10">
        <f t="shared" si="51"/>
        <v>514</v>
      </c>
      <c r="L542" s="10">
        <f t="shared" si="52"/>
        <v>513</v>
      </c>
      <c r="M542" s="10" t="s">
        <v>142</v>
      </c>
      <c r="N542" s="10" t="s">
        <v>324</v>
      </c>
      <c r="O542" s="7"/>
      <c r="P542" s="7"/>
    </row>
    <row r="543" spans="2:16" x14ac:dyDescent="0.3">
      <c r="B543" s="10" t="s">
        <v>320</v>
      </c>
      <c r="C543" s="10" t="s">
        <v>2076</v>
      </c>
      <c r="D543" s="10">
        <v>1</v>
      </c>
      <c r="E543" s="10">
        <v>0</v>
      </c>
      <c r="F543" s="10">
        <v>1</v>
      </c>
      <c r="G543" s="10">
        <v>1</v>
      </c>
      <c r="H543" s="10">
        <v>1</v>
      </c>
      <c r="I543" s="10" t="s">
        <v>322</v>
      </c>
      <c r="J543" s="69">
        <f t="shared" si="48"/>
        <v>10515</v>
      </c>
      <c r="K543" s="10">
        <f t="shared" si="51"/>
        <v>515</v>
      </c>
      <c r="L543" s="10">
        <f t="shared" si="52"/>
        <v>514</v>
      </c>
      <c r="M543" s="10" t="s">
        <v>142</v>
      </c>
      <c r="N543" s="10" t="s">
        <v>324</v>
      </c>
      <c r="O543" s="7"/>
      <c r="P543" s="7"/>
    </row>
    <row r="544" spans="2:16" x14ac:dyDescent="0.3">
      <c r="B544" s="10" t="s">
        <v>320</v>
      </c>
      <c r="C544" s="10" t="s">
        <v>2076</v>
      </c>
      <c r="D544" s="10">
        <v>1</v>
      </c>
      <c r="E544" s="10">
        <v>0</v>
      </c>
      <c r="F544" s="10">
        <v>1</v>
      </c>
      <c r="G544" s="10">
        <v>1</v>
      </c>
      <c r="H544" s="10">
        <v>1</v>
      </c>
      <c r="I544" s="10" t="s">
        <v>322</v>
      </c>
      <c r="J544" s="69">
        <f t="shared" si="48"/>
        <v>10516</v>
      </c>
      <c r="K544" s="10">
        <f t="shared" si="51"/>
        <v>516</v>
      </c>
      <c r="L544" s="10">
        <f t="shared" si="52"/>
        <v>515</v>
      </c>
      <c r="M544" s="10" t="s">
        <v>142</v>
      </c>
      <c r="N544" s="10" t="s">
        <v>324</v>
      </c>
      <c r="O544" s="7"/>
      <c r="P544" s="7"/>
    </row>
    <row r="545" spans="2:16" x14ac:dyDescent="0.3">
      <c r="B545" s="10" t="s">
        <v>320</v>
      </c>
      <c r="C545" s="10" t="s">
        <v>2076</v>
      </c>
      <c r="D545" s="10">
        <v>1</v>
      </c>
      <c r="E545" s="10">
        <v>0</v>
      </c>
      <c r="F545" s="10">
        <v>1</v>
      </c>
      <c r="G545" s="10">
        <v>1</v>
      </c>
      <c r="H545" s="10">
        <v>1</v>
      </c>
      <c r="I545" s="10" t="s">
        <v>322</v>
      </c>
      <c r="J545" s="69">
        <f t="shared" si="48"/>
        <v>10517</v>
      </c>
      <c r="K545" s="10">
        <f t="shared" si="51"/>
        <v>517</v>
      </c>
      <c r="L545" s="10">
        <f t="shared" si="52"/>
        <v>516</v>
      </c>
      <c r="M545" s="10" t="s">
        <v>142</v>
      </c>
      <c r="N545" s="10" t="s">
        <v>324</v>
      </c>
      <c r="O545" s="7"/>
      <c r="P545" s="7"/>
    </row>
    <row r="546" spans="2:16" x14ac:dyDescent="0.3">
      <c r="B546" s="10" t="s">
        <v>320</v>
      </c>
      <c r="C546" s="10" t="s">
        <v>2076</v>
      </c>
      <c r="D546" s="10">
        <v>1</v>
      </c>
      <c r="E546" s="10">
        <v>0</v>
      </c>
      <c r="F546" s="10">
        <v>1</v>
      </c>
      <c r="G546" s="10">
        <v>1</v>
      </c>
      <c r="H546" s="10">
        <v>1</v>
      </c>
      <c r="I546" s="10" t="s">
        <v>322</v>
      </c>
      <c r="J546" s="69">
        <f t="shared" si="48"/>
        <v>10518</v>
      </c>
      <c r="K546" s="10">
        <f t="shared" si="51"/>
        <v>518</v>
      </c>
      <c r="L546" s="10">
        <f t="shared" si="52"/>
        <v>517</v>
      </c>
      <c r="M546" s="10" t="s">
        <v>142</v>
      </c>
      <c r="N546" s="10" t="s">
        <v>324</v>
      </c>
      <c r="O546" s="7"/>
      <c r="P546" s="7"/>
    </row>
    <row r="547" spans="2:16" x14ac:dyDescent="0.3">
      <c r="B547" s="10" t="s">
        <v>320</v>
      </c>
      <c r="C547" s="10" t="s">
        <v>2076</v>
      </c>
      <c r="D547" s="10">
        <v>1</v>
      </c>
      <c r="E547" s="10">
        <v>0</v>
      </c>
      <c r="F547" s="10">
        <v>1</v>
      </c>
      <c r="G547" s="10">
        <v>1</v>
      </c>
      <c r="H547" s="10">
        <v>1</v>
      </c>
      <c r="I547" s="10" t="s">
        <v>322</v>
      </c>
      <c r="J547" s="69">
        <f t="shared" si="48"/>
        <v>10519</v>
      </c>
      <c r="K547" s="10">
        <f t="shared" si="51"/>
        <v>519</v>
      </c>
      <c r="L547" s="10">
        <f t="shared" si="52"/>
        <v>518</v>
      </c>
      <c r="M547" s="10" t="s">
        <v>142</v>
      </c>
      <c r="N547" s="10" t="s">
        <v>324</v>
      </c>
      <c r="O547" s="7"/>
      <c r="P547" s="7"/>
    </row>
    <row r="548" spans="2:16" x14ac:dyDescent="0.3">
      <c r="B548" s="10" t="s">
        <v>320</v>
      </c>
      <c r="C548" s="10" t="s">
        <v>2076</v>
      </c>
      <c r="D548" s="10">
        <v>1</v>
      </c>
      <c r="E548" s="10">
        <v>0</v>
      </c>
      <c r="F548" s="10">
        <v>1</v>
      </c>
      <c r="G548" s="10">
        <v>1</v>
      </c>
      <c r="H548" s="10">
        <v>1</v>
      </c>
      <c r="I548" s="10" t="s">
        <v>322</v>
      </c>
      <c r="J548" s="69">
        <f t="shared" si="48"/>
        <v>10520</v>
      </c>
      <c r="K548" s="10">
        <f t="shared" si="51"/>
        <v>520</v>
      </c>
      <c r="L548" s="10">
        <f t="shared" si="52"/>
        <v>519</v>
      </c>
      <c r="M548" s="10" t="s">
        <v>142</v>
      </c>
      <c r="N548" s="10" t="s">
        <v>324</v>
      </c>
      <c r="O548" s="7"/>
      <c r="P548" s="7"/>
    </row>
    <row r="549" spans="2:16" x14ac:dyDescent="0.3">
      <c r="B549" s="10" t="s">
        <v>320</v>
      </c>
      <c r="C549" s="10" t="s">
        <v>2076</v>
      </c>
      <c r="D549" s="10">
        <v>1</v>
      </c>
      <c r="E549" s="10">
        <v>0</v>
      </c>
      <c r="F549" s="10">
        <v>1</v>
      </c>
      <c r="G549" s="10">
        <v>1</v>
      </c>
      <c r="H549" s="10">
        <v>1</v>
      </c>
      <c r="I549" s="10" t="s">
        <v>322</v>
      </c>
      <c r="J549" s="69">
        <f t="shared" si="48"/>
        <v>10521</v>
      </c>
      <c r="K549" s="10">
        <f t="shared" si="51"/>
        <v>521</v>
      </c>
      <c r="L549" s="10">
        <f t="shared" si="52"/>
        <v>520</v>
      </c>
      <c r="M549" s="10" t="s">
        <v>142</v>
      </c>
      <c r="N549" s="10" t="s">
        <v>324</v>
      </c>
      <c r="O549" s="7"/>
      <c r="P549" s="7"/>
    </row>
    <row r="550" spans="2:16" x14ac:dyDescent="0.3">
      <c r="B550" s="10" t="s">
        <v>320</v>
      </c>
      <c r="C550" s="10" t="s">
        <v>2076</v>
      </c>
      <c r="D550" s="10">
        <v>1</v>
      </c>
      <c r="E550" s="10">
        <v>0</v>
      </c>
      <c r="F550" s="10">
        <v>1</v>
      </c>
      <c r="G550" s="10">
        <v>1</v>
      </c>
      <c r="H550" s="10">
        <v>1</v>
      </c>
      <c r="I550" s="10" t="s">
        <v>322</v>
      </c>
      <c r="J550" s="69">
        <f t="shared" si="48"/>
        <v>10522</v>
      </c>
      <c r="K550" s="10">
        <f t="shared" si="51"/>
        <v>522</v>
      </c>
      <c r="L550" s="10">
        <f t="shared" si="52"/>
        <v>521</v>
      </c>
      <c r="M550" s="10" t="s">
        <v>142</v>
      </c>
      <c r="N550" s="10" t="s">
        <v>324</v>
      </c>
      <c r="O550" s="7"/>
      <c r="P550" s="7"/>
    </row>
    <row r="551" spans="2:16" x14ac:dyDescent="0.3">
      <c r="B551" s="10" t="s">
        <v>320</v>
      </c>
      <c r="C551" s="10" t="s">
        <v>2076</v>
      </c>
      <c r="D551" s="10">
        <v>1</v>
      </c>
      <c r="E551" s="10">
        <v>0</v>
      </c>
      <c r="F551" s="10">
        <v>1</v>
      </c>
      <c r="G551" s="10">
        <v>1</v>
      </c>
      <c r="H551" s="10">
        <v>1</v>
      </c>
      <c r="I551" s="10" t="s">
        <v>322</v>
      </c>
      <c r="J551" s="69">
        <f t="shared" si="48"/>
        <v>10523</v>
      </c>
      <c r="K551" s="10">
        <f t="shared" si="51"/>
        <v>523</v>
      </c>
      <c r="L551" s="10">
        <f t="shared" si="52"/>
        <v>522</v>
      </c>
      <c r="M551" s="10" t="s">
        <v>142</v>
      </c>
      <c r="N551" s="10" t="s">
        <v>324</v>
      </c>
      <c r="O551" s="7"/>
      <c r="P551" s="7"/>
    </row>
    <row r="552" spans="2:16" x14ac:dyDescent="0.3">
      <c r="B552" s="10" t="s">
        <v>320</v>
      </c>
      <c r="C552" s="10" t="s">
        <v>2076</v>
      </c>
      <c r="D552" s="10">
        <v>1</v>
      </c>
      <c r="E552" s="10">
        <v>0</v>
      </c>
      <c r="F552" s="10">
        <v>1</v>
      </c>
      <c r="G552" s="10">
        <v>1</v>
      </c>
      <c r="H552" s="10">
        <v>1</v>
      </c>
      <c r="I552" s="10" t="s">
        <v>322</v>
      </c>
      <c r="J552" s="69">
        <f t="shared" si="48"/>
        <v>10524</v>
      </c>
      <c r="K552" s="10">
        <f t="shared" si="51"/>
        <v>524</v>
      </c>
      <c r="L552" s="10">
        <f t="shared" si="52"/>
        <v>523</v>
      </c>
      <c r="M552" s="10" t="s">
        <v>142</v>
      </c>
      <c r="N552" s="10" t="s">
        <v>324</v>
      </c>
      <c r="O552" s="7"/>
      <c r="P552" s="7"/>
    </row>
    <row r="553" spans="2:16" x14ac:dyDescent="0.3">
      <c r="B553" s="10" t="s">
        <v>320</v>
      </c>
      <c r="C553" s="10" t="s">
        <v>2076</v>
      </c>
      <c r="D553" s="10">
        <v>1</v>
      </c>
      <c r="E553" s="10">
        <v>0</v>
      </c>
      <c r="F553" s="10">
        <v>1</v>
      </c>
      <c r="G553" s="10">
        <v>1</v>
      </c>
      <c r="H553" s="10">
        <v>1</v>
      </c>
      <c r="I553" s="10" t="s">
        <v>322</v>
      </c>
      <c r="J553" s="69">
        <f t="shared" si="48"/>
        <v>10525</v>
      </c>
      <c r="K553" s="10">
        <f t="shared" si="51"/>
        <v>525</v>
      </c>
      <c r="L553" s="10">
        <f t="shared" si="52"/>
        <v>524</v>
      </c>
      <c r="M553" s="10" t="s">
        <v>142</v>
      </c>
      <c r="N553" s="10" t="s">
        <v>324</v>
      </c>
      <c r="O553" s="7"/>
      <c r="P553" s="7"/>
    </row>
    <row r="554" spans="2:16" x14ac:dyDescent="0.3">
      <c r="B554" s="10" t="s">
        <v>320</v>
      </c>
      <c r="C554" s="10" t="s">
        <v>2076</v>
      </c>
      <c r="D554" s="10">
        <v>1</v>
      </c>
      <c r="E554" s="10">
        <v>0</v>
      </c>
      <c r="F554" s="10">
        <v>1</v>
      </c>
      <c r="G554" s="10">
        <v>1</v>
      </c>
      <c r="H554" s="10">
        <v>1</v>
      </c>
      <c r="I554" s="10" t="s">
        <v>322</v>
      </c>
      <c r="J554" s="69">
        <f t="shared" si="48"/>
        <v>10526</v>
      </c>
      <c r="K554" s="10">
        <f t="shared" si="51"/>
        <v>526</v>
      </c>
      <c r="L554" s="10">
        <f t="shared" si="52"/>
        <v>525</v>
      </c>
      <c r="M554" s="10" t="s">
        <v>142</v>
      </c>
      <c r="N554" s="10" t="s">
        <v>324</v>
      </c>
      <c r="O554" s="7"/>
      <c r="P554" s="7"/>
    </row>
    <row r="555" spans="2:16" x14ac:dyDescent="0.3">
      <c r="B555" s="10" t="s">
        <v>320</v>
      </c>
      <c r="C555" s="10" t="s">
        <v>2076</v>
      </c>
      <c r="D555" s="10">
        <v>1</v>
      </c>
      <c r="E555" s="10">
        <v>0</v>
      </c>
      <c r="F555" s="10">
        <v>1</v>
      </c>
      <c r="G555" s="10">
        <v>1</v>
      </c>
      <c r="H555" s="10">
        <v>1</v>
      </c>
      <c r="I555" s="10" t="s">
        <v>322</v>
      </c>
      <c r="J555" s="69">
        <f t="shared" si="48"/>
        <v>10527</v>
      </c>
      <c r="K555" s="10">
        <f t="shared" si="51"/>
        <v>527</v>
      </c>
      <c r="L555" s="10">
        <f t="shared" si="52"/>
        <v>526</v>
      </c>
      <c r="M555" s="10" t="s">
        <v>142</v>
      </c>
      <c r="N555" s="10" t="s">
        <v>324</v>
      </c>
      <c r="O555" s="7"/>
      <c r="P555" s="7"/>
    </row>
    <row r="556" spans="2:16" x14ac:dyDescent="0.3">
      <c r="B556" s="10" t="s">
        <v>1602</v>
      </c>
      <c r="C556" s="10" t="s">
        <v>2076</v>
      </c>
      <c r="D556" s="10">
        <v>1</v>
      </c>
      <c r="E556" s="10">
        <v>0</v>
      </c>
      <c r="F556" s="10">
        <v>1</v>
      </c>
      <c r="G556" s="10">
        <v>1</v>
      </c>
      <c r="H556" s="10">
        <v>1</v>
      </c>
      <c r="I556" s="10" t="s">
        <v>322</v>
      </c>
      <c r="J556" s="69">
        <f t="shared" ref="J556:J573" si="53">J555+D555</f>
        <v>10528</v>
      </c>
      <c r="K556" s="10">
        <f t="shared" si="51"/>
        <v>528</v>
      </c>
      <c r="L556" s="10">
        <f t="shared" si="52"/>
        <v>527</v>
      </c>
      <c r="M556" s="10" t="s">
        <v>142</v>
      </c>
      <c r="N556" s="10" t="s">
        <v>324</v>
      </c>
      <c r="O556" s="7"/>
      <c r="P556" s="7"/>
    </row>
    <row r="557" spans="2:16" x14ac:dyDescent="0.3">
      <c r="B557" s="496" t="s">
        <v>2159</v>
      </c>
      <c r="C557" s="496"/>
      <c r="D557" s="496"/>
      <c r="E557" s="496"/>
      <c r="F557" s="496"/>
      <c r="G557" s="496"/>
      <c r="H557" s="496"/>
      <c r="I557" s="496"/>
      <c r="J557" s="496"/>
      <c r="K557" s="496"/>
      <c r="L557" s="496"/>
      <c r="M557" s="496"/>
      <c r="N557" s="496"/>
      <c r="O557" s="496"/>
      <c r="P557" s="496"/>
    </row>
    <row r="558" spans="2:16" x14ac:dyDescent="0.3">
      <c r="B558" s="117" t="s">
        <v>1779</v>
      </c>
      <c r="C558" s="10" t="s">
        <v>2076</v>
      </c>
      <c r="D558" s="10">
        <v>1</v>
      </c>
      <c r="E558" s="10">
        <v>0</v>
      </c>
      <c r="F558" s="10">
        <v>1</v>
      </c>
      <c r="G558" s="10">
        <v>1</v>
      </c>
      <c r="H558" s="10">
        <v>1</v>
      </c>
      <c r="I558" s="10" t="s">
        <v>322</v>
      </c>
      <c r="J558" s="69">
        <f>J556+D556</f>
        <v>10529</v>
      </c>
      <c r="K558" s="10">
        <f t="shared" ref="K558:K573" si="54">J558-10000</f>
        <v>529</v>
      </c>
      <c r="L558" s="10">
        <f t="shared" ref="L558:L573" si="55">K558-1</f>
        <v>528</v>
      </c>
      <c r="M558" s="10" t="s">
        <v>142</v>
      </c>
      <c r="N558" s="10" t="s">
        <v>324</v>
      </c>
      <c r="O558" s="59"/>
      <c r="P558" s="59"/>
    </row>
    <row r="559" spans="2:16" x14ac:dyDescent="0.3">
      <c r="B559" s="117" t="s">
        <v>1780</v>
      </c>
      <c r="C559" s="10" t="s">
        <v>2076</v>
      </c>
      <c r="D559" s="10">
        <v>1</v>
      </c>
      <c r="E559" s="10">
        <v>0</v>
      </c>
      <c r="F559" s="10">
        <v>1</v>
      </c>
      <c r="G559" s="10">
        <v>1</v>
      </c>
      <c r="H559" s="10">
        <v>1</v>
      </c>
      <c r="I559" s="10" t="s">
        <v>322</v>
      </c>
      <c r="J559" s="69">
        <f t="shared" si="53"/>
        <v>10530</v>
      </c>
      <c r="K559" s="10">
        <f t="shared" si="54"/>
        <v>530</v>
      </c>
      <c r="L559" s="10">
        <f t="shared" si="55"/>
        <v>529</v>
      </c>
      <c r="M559" s="10" t="s">
        <v>142</v>
      </c>
      <c r="N559" s="10" t="s">
        <v>324</v>
      </c>
      <c r="O559" s="59"/>
      <c r="P559" s="59"/>
    </row>
    <row r="560" spans="2:16" x14ac:dyDescent="0.3">
      <c r="B560" s="117" t="s">
        <v>1781</v>
      </c>
      <c r="C560" s="10" t="s">
        <v>2076</v>
      </c>
      <c r="D560" s="10">
        <v>1</v>
      </c>
      <c r="E560" s="10">
        <v>0</v>
      </c>
      <c r="F560" s="10">
        <v>1</v>
      </c>
      <c r="G560" s="10">
        <v>1</v>
      </c>
      <c r="H560" s="10">
        <v>1</v>
      </c>
      <c r="I560" s="10" t="s">
        <v>322</v>
      </c>
      <c r="J560" s="69">
        <f t="shared" si="53"/>
        <v>10531</v>
      </c>
      <c r="K560" s="10">
        <f t="shared" si="54"/>
        <v>531</v>
      </c>
      <c r="L560" s="10">
        <f t="shared" si="55"/>
        <v>530</v>
      </c>
      <c r="M560" s="10" t="s">
        <v>142</v>
      </c>
      <c r="N560" s="10" t="s">
        <v>324</v>
      </c>
      <c r="O560" s="59"/>
      <c r="P560" s="59"/>
    </row>
    <row r="561" spans="2:16" x14ac:dyDescent="0.3">
      <c r="B561" s="117" t="s">
        <v>1782</v>
      </c>
      <c r="C561" s="10" t="s">
        <v>2076</v>
      </c>
      <c r="D561" s="10">
        <v>1</v>
      </c>
      <c r="E561" s="10">
        <v>0</v>
      </c>
      <c r="F561" s="10">
        <v>1</v>
      </c>
      <c r="G561" s="10">
        <v>1</v>
      </c>
      <c r="H561" s="10">
        <v>1</v>
      </c>
      <c r="I561" s="10" t="s">
        <v>322</v>
      </c>
      <c r="J561" s="69">
        <f t="shared" si="53"/>
        <v>10532</v>
      </c>
      <c r="K561" s="10">
        <f t="shared" si="54"/>
        <v>532</v>
      </c>
      <c r="L561" s="10">
        <f t="shared" si="55"/>
        <v>531</v>
      </c>
      <c r="M561" s="10" t="s">
        <v>142</v>
      </c>
      <c r="N561" s="10" t="s">
        <v>324</v>
      </c>
      <c r="O561" s="59"/>
      <c r="P561" s="59"/>
    </row>
    <row r="562" spans="2:16" x14ac:dyDescent="0.3">
      <c r="B562" s="117" t="s">
        <v>1783</v>
      </c>
      <c r="C562" s="10" t="s">
        <v>2076</v>
      </c>
      <c r="D562" s="10">
        <v>1</v>
      </c>
      <c r="E562" s="10">
        <v>0</v>
      </c>
      <c r="F562" s="10">
        <v>1</v>
      </c>
      <c r="G562" s="10">
        <v>1</v>
      </c>
      <c r="H562" s="10">
        <v>1</v>
      </c>
      <c r="I562" s="10" t="s">
        <v>322</v>
      </c>
      <c r="J562" s="69">
        <f t="shared" si="53"/>
        <v>10533</v>
      </c>
      <c r="K562" s="10">
        <f t="shared" si="54"/>
        <v>533</v>
      </c>
      <c r="L562" s="10">
        <f t="shared" si="55"/>
        <v>532</v>
      </c>
      <c r="M562" s="10" t="s">
        <v>142</v>
      </c>
      <c r="N562" s="10" t="s">
        <v>324</v>
      </c>
      <c r="O562" s="59"/>
      <c r="P562" s="59"/>
    </row>
    <row r="563" spans="2:16" x14ac:dyDescent="0.3">
      <c r="B563" s="117" t="s">
        <v>1784</v>
      </c>
      <c r="C563" s="10" t="s">
        <v>2076</v>
      </c>
      <c r="D563" s="10">
        <v>1</v>
      </c>
      <c r="E563" s="10">
        <v>0</v>
      </c>
      <c r="F563" s="10">
        <v>1</v>
      </c>
      <c r="G563" s="10">
        <v>1</v>
      </c>
      <c r="H563" s="10">
        <v>1</v>
      </c>
      <c r="I563" s="10" t="s">
        <v>322</v>
      </c>
      <c r="J563" s="69">
        <f t="shared" si="53"/>
        <v>10534</v>
      </c>
      <c r="K563" s="10">
        <f t="shared" si="54"/>
        <v>534</v>
      </c>
      <c r="L563" s="10">
        <f t="shared" si="55"/>
        <v>533</v>
      </c>
      <c r="M563" s="10" t="s">
        <v>142</v>
      </c>
      <c r="N563" s="10" t="s">
        <v>324</v>
      </c>
      <c r="O563" s="59"/>
      <c r="P563" s="59"/>
    </row>
    <row r="564" spans="2:16" x14ac:dyDescent="0.3">
      <c r="B564" s="117" t="s">
        <v>1785</v>
      </c>
      <c r="C564" s="10" t="s">
        <v>2076</v>
      </c>
      <c r="D564" s="10">
        <v>1</v>
      </c>
      <c r="E564" s="10">
        <v>0</v>
      </c>
      <c r="F564" s="10">
        <v>1</v>
      </c>
      <c r="G564" s="10">
        <v>1</v>
      </c>
      <c r="H564" s="10">
        <v>1</v>
      </c>
      <c r="I564" s="10" t="s">
        <v>322</v>
      </c>
      <c r="J564" s="69">
        <f t="shared" si="53"/>
        <v>10535</v>
      </c>
      <c r="K564" s="10">
        <f t="shared" si="54"/>
        <v>535</v>
      </c>
      <c r="L564" s="10">
        <f t="shared" si="55"/>
        <v>534</v>
      </c>
      <c r="M564" s="10" t="s">
        <v>142</v>
      </c>
      <c r="N564" s="10" t="s">
        <v>324</v>
      </c>
      <c r="O564" s="59"/>
      <c r="P564" s="59"/>
    </row>
    <row r="565" spans="2:16" x14ac:dyDescent="0.3">
      <c r="B565" s="117" t="s">
        <v>1786</v>
      </c>
      <c r="C565" s="10" t="s">
        <v>2076</v>
      </c>
      <c r="D565" s="10">
        <v>1</v>
      </c>
      <c r="E565" s="10">
        <v>0</v>
      </c>
      <c r="F565" s="10">
        <v>1</v>
      </c>
      <c r="G565" s="10">
        <v>1</v>
      </c>
      <c r="H565" s="10">
        <v>1</v>
      </c>
      <c r="I565" s="10" t="s">
        <v>322</v>
      </c>
      <c r="J565" s="69">
        <f t="shared" si="53"/>
        <v>10536</v>
      </c>
      <c r="K565" s="10">
        <f t="shared" si="54"/>
        <v>536</v>
      </c>
      <c r="L565" s="10">
        <f t="shared" si="55"/>
        <v>535</v>
      </c>
      <c r="M565" s="10" t="s">
        <v>142</v>
      </c>
      <c r="N565" s="10" t="s">
        <v>324</v>
      </c>
      <c r="O565" s="59"/>
      <c r="P565" s="59"/>
    </row>
    <row r="566" spans="2:16" x14ac:dyDescent="0.3">
      <c r="B566" s="117" t="s">
        <v>1787</v>
      </c>
      <c r="C566" s="10" t="s">
        <v>2076</v>
      </c>
      <c r="D566" s="10">
        <v>1</v>
      </c>
      <c r="E566" s="10">
        <v>0</v>
      </c>
      <c r="F566" s="10">
        <v>1</v>
      </c>
      <c r="G566" s="10">
        <v>1</v>
      </c>
      <c r="H566" s="10">
        <v>1</v>
      </c>
      <c r="I566" s="10" t="s">
        <v>322</v>
      </c>
      <c r="J566" s="69">
        <f t="shared" si="53"/>
        <v>10537</v>
      </c>
      <c r="K566" s="10">
        <f t="shared" si="54"/>
        <v>537</v>
      </c>
      <c r="L566" s="10">
        <f t="shared" si="55"/>
        <v>536</v>
      </c>
      <c r="M566" s="10" t="s">
        <v>142</v>
      </c>
      <c r="N566" s="10" t="s">
        <v>324</v>
      </c>
      <c r="O566" s="59"/>
      <c r="P566" s="59"/>
    </row>
    <row r="567" spans="2:16" x14ac:dyDescent="0.3">
      <c r="B567" s="117" t="s">
        <v>1788</v>
      </c>
      <c r="C567" s="10" t="s">
        <v>2076</v>
      </c>
      <c r="D567" s="10">
        <v>1</v>
      </c>
      <c r="E567" s="10">
        <v>0</v>
      </c>
      <c r="F567" s="10">
        <v>1</v>
      </c>
      <c r="G567" s="10">
        <v>1</v>
      </c>
      <c r="H567" s="10">
        <v>1</v>
      </c>
      <c r="I567" s="10" t="s">
        <v>322</v>
      </c>
      <c r="J567" s="69">
        <f t="shared" si="53"/>
        <v>10538</v>
      </c>
      <c r="K567" s="10">
        <f t="shared" si="54"/>
        <v>538</v>
      </c>
      <c r="L567" s="10">
        <f t="shared" si="55"/>
        <v>537</v>
      </c>
      <c r="M567" s="10" t="s">
        <v>142</v>
      </c>
      <c r="N567" s="10" t="s">
        <v>324</v>
      </c>
      <c r="O567" s="59"/>
      <c r="P567" s="59"/>
    </row>
    <row r="568" spans="2:16" x14ac:dyDescent="0.3">
      <c r="B568" s="117" t="s">
        <v>1789</v>
      </c>
      <c r="C568" s="10" t="s">
        <v>2076</v>
      </c>
      <c r="D568" s="10">
        <v>1</v>
      </c>
      <c r="E568" s="10">
        <v>0</v>
      </c>
      <c r="F568" s="10">
        <v>1</v>
      </c>
      <c r="G568" s="10">
        <v>1</v>
      </c>
      <c r="H568" s="10">
        <v>1</v>
      </c>
      <c r="I568" s="10" t="s">
        <v>322</v>
      </c>
      <c r="J568" s="69">
        <f t="shared" si="53"/>
        <v>10539</v>
      </c>
      <c r="K568" s="10">
        <f t="shared" si="54"/>
        <v>539</v>
      </c>
      <c r="L568" s="10">
        <f t="shared" si="55"/>
        <v>538</v>
      </c>
      <c r="M568" s="10" t="s">
        <v>142</v>
      </c>
      <c r="N568" s="10" t="s">
        <v>324</v>
      </c>
      <c r="O568" s="59"/>
      <c r="P568" s="59"/>
    </row>
    <row r="569" spans="2:16" x14ac:dyDescent="0.3">
      <c r="B569" s="117" t="s">
        <v>1790</v>
      </c>
      <c r="C569" s="10" t="s">
        <v>2076</v>
      </c>
      <c r="D569" s="10">
        <v>1</v>
      </c>
      <c r="E569" s="10">
        <v>0</v>
      </c>
      <c r="F569" s="10">
        <v>1</v>
      </c>
      <c r="G569" s="10">
        <v>1</v>
      </c>
      <c r="H569" s="10">
        <v>1</v>
      </c>
      <c r="I569" s="10" t="s">
        <v>322</v>
      </c>
      <c r="J569" s="69">
        <f t="shared" si="53"/>
        <v>10540</v>
      </c>
      <c r="K569" s="10">
        <f t="shared" si="54"/>
        <v>540</v>
      </c>
      <c r="L569" s="10">
        <f t="shared" si="55"/>
        <v>539</v>
      </c>
      <c r="M569" s="10" t="s">
        <v>142</v>
      </c>
      <c r="N569" s="10" t="s">
        <v>324</v>
      </c>
      <c r="O569" s="59"/>
      <c r="P569" s="59"/>
    </row>
    <row r="570" spans="2:16" x14ac:dyDescent="0.3">
      <c r="B570" s="10" t="s">
        <v>320</v>
      </c>
      <c r="C570" s="10" t="s">
        <v>2076</v>
      </c>
      <c r="D570" s="10">
        <v>1</v>
      </c>
      <c r="E570" s="10">
        <v>0</v>
      </c>
      <c r="F570" s="10">
        <v>1</v>
      </c>
      <c r="G570" s="10">
        <v>1</v>
      </c>
      <c r="H570" s="10">
        <v>1</v>
      </c>
      <c r="I570" s="10" t="s">
        <v>322</v>
      </c>
      <c r="J570" s="69">
        <f t="shared" si="53"/>
        <v>10541</v>
      </c>
      <c r="K570" s="10">
        <f t="shared" si="54"/>
        <v>541</v>
      </c>
      <c r="L570" s="10">
        <f t="shared" si="55"/>
        <v>540</v>
      </c>
      <c r="M570" s="10" t="s">
        <v>142</v>
      </c>
      <c r="N570" s="10" t="s">
        <v>324</v>
      </c>
      <c r="O570" s="59"/>
      <c r="P570" s="59"/>
    </row>
    <row r="571" spans="2:16" x14ac:dyDescent="0.3">
      <c r="B571" s="10" t="s">
        <v>320</v>
      </c>
      <c r="C571" s="10" t="s">
        <v>2076</v>
      </c>
      <c r="D571" s="10">
        <v>1</v>
      </c>
      <c r="E571" s="10">
        <v>0</v>
      </c>
      <c r="F571" s="10">
        <v>1</v>
      </c>
      <c r="G571" s="10">
        <v>1</v>
      </c>
      <c r="H571" s="10">
        <v>1</v>
      </c>
      <c r="I571" s="10" t="s">
        <v>322</v>
      </c>
      <c r="J571" s="69">
        <f t="shared" si="53"/>
        <v>10542</v>
      </c>
      <c r="K571" s="10">
        <f t="shared" si="54"/>
        <v>542</v>
      </c>
      <c r="L571" s="10">
        <f t="shared" si="55"/>
        <v>541</v>
      </c>
      <c r="M571" s="10" t="s">
        <v>142</v>
      </c>
      <c r="N571" s="10" t="s">
        <v>324</v>
      </c>
      <c r="O571" s="59"/>
      <c r="P571" s="59"/>
    </row>
    <row r="572" spans="2:16" x14ac:dyDescent="0.3">
      <c r="B572" s="10" t="s">
        <v>320</v>
      </c>
      <c r="C572" s="10" t="s">
        <v>2076</v>
      </c>
      <c r="D572" s="10">
        <v>1</v>
      </c>
      <c r="E572" s="10">
        <v>0</v>
      </c>
      <c r="F572" s="10">
        <v>1</v>
      </c>
      <c r="G572" s="10">
        <v>1</v>
      </c>
      <c r="H572" s="10">
        <v>1</v>
      </c>
      <c r="I572" s="10" t="s">
        <v>322</v>
      </c>
      <c r="J572" s="69">
        <f t="shared" si="53"/>
        <v>10543</v>
      </c>
      <c r="K572" s="10">
        <f t="shared" si="54"/>
        <v>543</v>
      </c>
      <c r="L572" s="10">
        <f t="shared" si="55"/>
        <v>542</v>
      </c>
      <c r="M572" s="10" t="s">
        <v>142</v>
      </c>
      <c r="N572" s="10" t="s">
        <v>324</v>
      </c>
      <c r="O572" s="59"/>
      <c r="P572" s="59"/>
    </row>
    <row r="573" spans="2:16" x14ac:dyDescent="0.3">
      <c r="B573" s="10" t="s">
        <v>320</v>
      </c>
      <c r="C573" s="10" t="s">
        <v>2076</v>
      </c>
      <c r="D573" s="10">
        <v>1</v>
      </c>
      <c r="E573" s="10">
        <v>0</v>
      </c>
      <c r="F573" s="10">
        <v>1</v>
      </c>
      <c r="G573" s="10">
        <v>1</v>
      </c>
      <c r="H573" s="10">
        <v>1</v>
      </c>
      <c r="I573" s="10" t="s">
        <v>322</v>
      </c>
      <c r="J573" s="69">
        <f t="shared" si="53"/>
        <v>10544</v>
      </c>
      <c r="K573" s="10">
        <f t="shared" si="54"/>
        <v>544</v>
      </c>
      <c r="L573" s="10">
        <f t="shared" si="55"/>
        <v>543</v>
      </c>
      <c r="M573" s="10" t="s">
        <v>142</v>
      </c>
      <c r="N573" s="10" t="s">
        <v>324</v>
      </c>
      <c r="O573" s="7"/>
      <c r="P573" s="7"/>
    </row>
    <row r="574" spans="2:16" x14ac:dyDescent="0.3">
      <c r="B574" s="496" t="s">
        <v>2160</v>
      </c>
      <c r="C574" s="496"/>
      <c r="D574" s="496"/>
      <c r="E574" s="496"/>
      <c r="F574" s="496"/>
      <c r="G574" s="496"/>
      <c r="H574" s="496"/>
      <c r="I574" s="496"/>
      <c r="J574" s="496"/>
      <c r="K574" s="496"/>
      <c r="L574" s="496"/>
      <c r="M574" s="496"/>
      <c r="N574" s="496"/>
      <c r="O574" s="496"/>
      <c r="P574" s="496"/>
    </row>
    <row r="575" spans="2:16" x14ac:dyDescent="0.3">
      <c r="B575" s="10" t="s">
        <v>1791</v>
      </c>
      <c r="C575" s="10" t="s">
        <v>2076</v>
      </c>
      <c r="D575" s="10">
        <v>1</v>
      </c>
      <c r="E575" s="10">
        <v>0</v>
      </c>
      <c r="F575" s="10">
        <v>1</v>
      </c>
      <c r="G575" s="10">
        <v>1</v>
      </c>
      <c r="H575" s="10">
        <v>1</v>
      </c>
      <c r="I575" s="10" t="s">
        <v>322</v>
      </c>
      <c r="J575" s="69">
        <f>J573+D573</f>
        <v>10545</v>
      </c>
      <c r="K575" s="10">
        <f t="shared" ref="K575:K606" si="56">J575-10000</f>
        <v>545</v>
      </c>
      <c r="L575" s="10">
        <f t="shared" ref="L575:L606" si="57">K575-1</f>
        <v>544</v>
      </c>
      <c r="M575" s="10" t="s">
        <v>142</v>
      </c>
      <c r="N575" s="10" t="s">
        <v>324</v>
      </c>
      <c r="O575" s="59"/>
      <c r="P575" s="59"/>
    </row>
    <row r="576" spans="2:16" x14ac:dyDescent="0.3">
      <c r="B576" s="10" t="s">
        <v>1792</v>
      </c>
      <c r="C576" s="10" t="s">
        <v>2076</v>
      </c>
      <c r="D576" s="10">
        <v>1</v>
      </c>
      <c r="E576" s="10">
        <v>0</v>
      </c>
      <c r="F576" s="10">
        <v>1</v>
      </c>
      <c r="G576" s="10">
        <v>1</v>
      </c>
      <c r="H576" s="10">
        <v>1</v>
      </c>
      <c r="I576" s="10" t="s">
        <v>322</v>
      </c>
      <c r="J576" s="69">
        <f t="shared" ref="J576:J606" si="58">J575+D575</f>
        <v>10546</v>
      </c>
      <c r="K576" s="10">
        <f t="shared" si="56"/>
        <v>546</v>
      </c>
      <c r="L576" s="10">
        <f t="shared" si="57"/>
        <v>545</v>
      </c>
      <c r="M576" s="10" t="s">
        <v>142</v>
      </c>
      <c r="N576" s="10" t="s">
        <v>324</v>
      </c>
      <c r="O576" s="59"/>
      <c r="P576" s="59"/>
    </row>
    <row r="577" spans="2:16" x14ac:dyDescent="0.3">
      <c r="B577" s="10" t="s">
        <v>1793</v>
      </c>
      <c r="C577" s="10" t="s">
        <v>2076</v>
      </c>
      <c r="D577" s="10">
        <v>1</v>
      </c>
      <c r="E577" s="10">
        <v>0</v>
      </c>
      <c r="F577" s="10">
        <v>1</v>
      </c>
      <c r="G577" s="10">
        <v>1</v>
      </c>
      <c r="H577" s="10">
        <v>1</v>
      </c>
      <c r="I577" s="10" t="s">
        <v>322</v>
      </c>
      <c r="J577" s="69">
        <f t="shared" si="58"/>
        <v>10547</v>
      </c>
      <c r="K577" s="10">
        <f t="shared" si="56"/>
        <v>547</v>
      </c>
      <c r="L577" s="10">
        <f t="shared" si="57"/>
        <v>546</v>
      </c>
      <c r="M577" s="10" t="s">
        <v>142</v>
      </c>
      <c r="N577" s="10" t="s">
        <v>324</v>
      </c>
      <c r="O577" s="59"/>
      <c r="P577" s="59"/>
    </row>
    <row r="578" spans="2:16" x14ac:dyDescent="0.3">
      <c r="B578" s="10" t="s">
        <v>1794</v>
      </c>
      <c r="C578" s="10" t="s">
        <v>2076</v>
      </c>
      <c r="D578" s="10">
        <v>1</v>
      </c>
      <c r="E578" s="10">
        <v>0</v>
      </c>
      <c r="F578" s="10">
        <v>1</v>
      </c>
      <c r="G578" s="10">
        <v>1</v>
      </c>
      <c r="H578" s="10">
        <v>1</v>
      </c>
      <c r="I578" s="10" t="s">
        <v>322</v>
      </c>
      <c r="J578" s="69">
        <f t="shared" si="58"/>
        <v>10548</v>
      </c>
      <c r="K578" s="10">
        <f t="shared" si="56"/>
        <v>548</v>
      </c>
      <c r="L578" s="10">
        <f t="shared" si="57"/>
        <v>547</v>
      </c>
      <c r="M578" s="10" t="s">
        <v>142</v>
      </c>
      <c r="N578" s="10" t="s">
        <v>324</v>
      </c>
      <c r="O578" s="59"/>
      <c r="P578" s="59"/>
    </row>
    <row r="579" spans="2:16" x14ac:dyDescent="0.3">
      <c r="B579" s="10" t="s">
        <v>1795</v>
      </c>
      <c r="C579" s="10" t="s">
        <v>2076</v>
      </c>
      <c r="D579" s="10">
        <v>1</v>
      </c>
      <c r="E579" s="10">
        <v>0</v>
      </c>
      <c r="F579" s="10">
        <v>1</v>
      </c>
      <c r="G579" s="10">
        <v>1</v>
      </c>
      <c r="H579" s="10">
        <v>1</v>
      </c>
      <c r="I579" s="10" t="s">
        <v>322</v>
      </c>
      <c r="J579" s="69">
        <f t="shared" si="58"/>
        <v>10549</v>
      </c>
      <c r="K579" s="10">
        <f t="shared" si="56"/>
        <v>549</v>
      </c>
      <c r="L579" s="10">
        <f t="shared" si="57"/>
        <v>548</v>
      </c>
      <c r="M579" s="10" t="s">
        <v>142</v>
      </c>
      <c r="N579" s="10" t="s">
        <v>324</v>
      </c>
      <c r="O579" s="59"/>
      <c r="P579" s="59"/>
    </row>
    <row r="580" spans="2:16" x14ac:dyDescent="0.3">
      <c r="B580" s="10" t="s">
        <v>1796</v>
      </c>
      <c r="C580" s="10" t="s">
        <v>2076</v>
      </c>
      <c r="D580" s="10">
        <v>1</v>
      </c>
      <c r="E580" s="10">
        <v>0</v>
      </c>
      <c r="F580" s="10">
        <v>1</v>
      </c>
      <c r="G580" s="10">
        <v>1</v>
      </c>
      <c r="H580" s="10">
        <v>1</v>
      </c>
      <c r="I580" s="10" t="s">
        <v>322</v>
      </c>
      <c r="J580" s="69">
        <f t="shared" si="58"/>
        <v>10550</v>
      </c>
      <c r="K580" s="10">
        <f t="shared" si="56"/>
        <v>550</v>
      </c>
      <c r="L580" s="10">
        <f t="shared" si="57"/>
        <v>549</v>
      </c>
      <c r="M580" s="10" t="s">
        <v>142</v>
      </c>
      <c r="N580" s="10" t="s">
        <v>324</v>
      </c>
      <c r="O580" s="59"/>
      <c r="P580" s="59"/>
    </row>
    <row r="581" spans="2:16" x14ac:dyDescent="0.3">
      <c r="B581" s="10" t="s">
        <v>1797</v>
      </c>
      <c r="C581" s="10" t="s">
        <v>2076</v>
      </c>
      <c r="D581" s="10">
        <v>1</v>
      </c>
      <c r="E581" s="10">
        <v>0</v>
      </c>
      <c r="F581" s="10">
        <v>1</v>
      </c>
      <c r="G581" s="10">
        <v>1</v>
      </c>
      <c r="H581" s="10">
        <v>1</v>
      </c>
      <c r="I581" s="10" t="s">
        <v>322</v>
      </c>
      <c r="J581" s="69">
        <f t="shared" si="58"/>
        <v>10551</v>
      </c>
      <c r="K581" s="10">
        <f t="shared" si="56"/>
        <v>551</v>
      </c>
      <c r="L581" s="10">
        <f t="shared" si="57"/>
        <v>550</v>
      </c>
      <c r="M581" s="10" t="s">
        <v>142</v>
      </c>
      <c r="N581" s="10" t="s">
        <v>324</v>
      </c>
      <c r="O581" s="59"/>
      <c r="P581" s="59"/>
    </row>
    <row r="582" spans="2:16" x14ac:dyDescent="0.3">
      <c r="B582" s="10" t="s">
        <v>1798</v>
      </c>
      <c r="C582" s="10" t="s">
        <v>2076</v>
      </c>
      <c r="D582" s="10">
        <v>1</v>
      </c>
      <c r="E582" s="10">
        <v>0</v>
      </c>
      <c r="F582" s="10">
        <v>1</v>
      </c>
      <c r="G582" s="10">
        <v>1</v>
      </c>
      <c r="H582" s="10">
        <v>1</v>
      </c>
      <c r="I582" s="10" t="s">
        <v>322</v>
      </c>
      <c r="J582" s="69">
        <f t="shared" si="58"/>
        <v>10552</v>
      </c>
      <c r="K582" s="10">
        <f t="shared" si="56"/>
        <v>552</v>
      </c>
      <c r="L582" s="10">
        <f t="shared" si="57"/>
        <v>551</v>
      </c>
      <c r="M582" s="10" t="s">
        <v>142</v>
      </c>
      <c r="N582" s="10" t="s">
        <v>324</v>
      </c>
      <c r="O582" s="59"/>
      <c r="P582" s="59"/>
    </row>
    <row r="583" spans="2:16" x14ac:dyDescent="0.3">
      <c r="B583" s="10" t="s">
        <v>320</v>
      </c>
      <c r="C583" s="10" t="s">
        <v>2076</v>
      </c>
      <c r="D583" s="10">
        <v>1</v>
      </c>
      <c r="E583" s="10">
        <v>0</v>
      </c>
      <c r="F583" s="10">
        <v>1</v>
      </c>
      <c r="G583" s="10">
        <v>1</v>
      </c>
      <c r="H583" s="10">
        <v>1</v>
      </c>
      <c r="I583" s="10" t="s">
        <v>322</v>
      </c>
      <c r="J583" s="69">
        <f t="shared" si="58"/>
        <v>10553</v>
      </c>
      <c r="K583" s="10">
        <f t="shared" si="56"/>
        <v>553</v>
      </c>
      <c r="L583" s="10">
        <f t="shared" si="57"/>
        <v>552</v>
      </c>
      <c r="M583" s="10" t="s">
        <v>142</v>
      </c>
      <c r="N583" s="10" t="s">
        <v>324</v>
      </c>
      <c r="O583" s="59"/>
      <c r="P583" s="59"/>
    </row>
    <row r="584" spans="2:16" x14ac:dyDescent="0.3">
      <c r="B584" s="10" t="s">
        <v>320</v>
      </c>
      <c r="C584" s="10" t="s">
        <v>2076</v>
      </c>
      <c r="D584" s="10">
        <v>1</v>
      </c>
      <c r="E584" s="10">
        <v>0</v>
      </c>
      <c r="F584" s="10">
        <v>1</v>
      </c>
      <c r="G584" s="10">
        <v>1</v>
      </c>
      <c r="H584" s="10">
        <v>1</v>
      </c>
      <c r="I584" s="10" t="s">
        <v>322</v>
      </c>
      <c r="J584" s="69">
        <f t="shared" si="58"/>
        <v>10554</v>
      </c>
      <c r="K584" s="10">
        <f t="shared" si="56"/>
        <v>554</v>
      </c>
      <c r="L584" s="10">
        <f t="shared" si="57"/>
        <v>553</v>
      </c>
      <c r="M584" s="10" t="s">
        <v>142</v>
      </c>
      <c r="N584" s="10" t="s">
        <v>324</v>
      </c>
      <c r="O584" s="59"/>
      <c r="P584" s="59"/>
    </row>
    <row r="585" spans="2:16" x14ac:dyDescent="0.3">
      <c r="B585" s="10" t="s">
        <v>320</v>
      </c>
      <c r="C585" s="10" t="s">
        <v>2076</v>
      </c>
      <c r="D585" s="10">
        <v>1</v>
      </c>
      <c r="E585" s="10">
        <v>0</v>
      </c>
      <c r="F585" s="10">
        <v>1</v>
      </c>
      <c r="G585" s="10">
        <v>1</v>
      </c>
      <c r="H585" s="10">
        <v>1</v>
      </c>
      <c r="I585" s="10" t="s">
        <v>322</v>
      </c>
      <c r="J585" s="69">
        <f t="shared" si="58"/>
        <v>10555</v>
      </c>
      <c r="K585" s="10">
        <f t="shared" si="56"/>
        <v>555</v>
      </c>
      <c r="L585" s="10">
        <f t="shared" si="57"/>
        <v>554</v>
      </c>
      <c r="M585" s="10" t="s">
        <v>142</v>
      </c>
      <c r="N585" s="10" t="s">
        <v>324</v>
      </c>
      <c r="O585" s="59"/>
      <c r="P585" s="59"/>
    </row>
    <row r="586" spans="2:16" x14ac:dyDescent="0.3">
      <c r="B586" s="10" t="s">
        <v>320</v>
      </c>
      <c r="C586" s="10" t="s">
        <v>2076</v>
      </c>
      <c r="D586" s="10">
        <v>1</v>
      </c>
      <c r="E586" s="10">
        <v>0</v>
      </c>
      <c r="F586" s="10">
        <v>1</v>
      </c>
      <c r="G586" s="10">
        <v>1</v>
      </c>
      <c r="H586" s="10">
        <v>1</v>
      </c>
      <c r="I586" s="10" t="s">
        <v>322</v>
      </c>
      <c r="J586" s="69">
        <f t="shared" si="58"/>
        <v>10556</v>
      </c>
      <c r="K586" s="10">
        <f t="shared" si="56"/>
        <v>556</v>
      </c>
      <c r="L586" s="10">
        <f t="shared" si="57"/>
        <v>555</v>
      </c>
      <c r="M586" s="10" t="s">
        <v>142</v>
      </c>
      <c r="N586" s="10" t="s">
        <v>324</v>
      </c>
      <c r="O586" s="59"/>
      <c r="P586" s="59"/>
    </row>
    <row r="587" spans="2:16" x14ac:dyDescent="0.3">
      <c r="B587" s="10" t="s">
        <v>320</v>
      </c>
      <c r="C587" s="10" t="s">
        <v>2076</v>
      </c>
      <c r="D587" s="10">
        <v>1</v>
      </c>
      <c r="E587" s="10">
        <v>0</v>
      </c>
      <c r="F587" s="10">
        <v>1</v>
      </c>
      <c r="G587" s="10">
        <v>1</v>
      </c>
      <c r="H587" s="10">
        <v>1</v>
      </c>
      <c r="I587" s="10" t="s">
        <v>322</v>
      </c>
      <c r="J587" s="69">
        <f t="shared" si="58"/>
        <v>10557</v>
      </c>
      <c r="K587" s="10">
        <f t="shared" si="56"/>
        <v>557</v>
      </c>
      <c r="L587" s="10">
        <f t="shared" si="57"/>
        <v>556</v>
      </c>
      <c r="M587" s="10" t="s">
        <v>142</v>
      </c>
      <c r="N587" s="10" t="s">
        <v>324</v>
      </c>
      <c r="O587" s="59"/>
      <c r="P587" s="59"/>
    </row>
    <row r="588" spans="2:16" x14ac:dyDescent="0.3">
      <c r="B588" s="10" t="s">
        <v>320</v>
      </c>
      <c r="C588" s="10" t="s">
        <v>2076</v>
      </c>
      <c r="D588" s="10">
        <v>1</v>
      </c>
      <c r="E588" s="10">
        <v>0</v>
      </c>
      <c r="F588" s="10">
        <v>1</v>
      </c>
      <c r="G588" s="10">
        <v>1</v>
      </c>
      <c r="H588" s="10">
        <v>1</v>
      </c>
      <c r="I588" s="10" t="s">
        <v>322</v>
      </c>
      <c r="J588" s="69">
        <f t="shared" si="58"/>
        <v>10558</v>
      </c>
      <c r="K588" s="10">
        <f t="shared" si="56"/>
        <v>558</v>
      </c>
      <c r="L588" s="10">
        <f t="shared" si="57"/>
        <v>557</v>
      </c>
      <c r="M588" s="10" t="s">
        <v>142</v>
      </c>
      <c r="N588" s="10" t="s">
        <v>324</v>
      </c>
      <c r="O588" s="59"/>
      <c r="P588" s="59"/>
    </row>
    <row r="589" spans="2:16" x14ac:dyDescent="0.3">
      <c r="B589" s="10" t="s">
        <v>320</v>
      </c>
      <c r="C589" s="10" t="s">
        <v>2076</v>
      </c>
      <c r="D589" s="10">
        <v>1</v>
      </c>
      <c r="E589" s="10">
        <v>0</v>
      </c>
      <c r="F589" s="10">
        <v>1</v>
      </c>
      <c r="G589" s="10">
        <v>1</v>
      </c>
      <c r="H589" s="10">
        <v>1</v>
      </c>
      <c r="I589" s="10" t="s">
        <v>322</v>
      </c>
      <c r="J589" s="69">
        <f t="shared" si="58"/>
        <v>10559</v>
      </c>
      <c r="K589" s="10">
        <f t="shared" si="56"/>
        <v>559</v>
      </c>
      <c r="L589" s="10">
        <f t="shared" si="57"/>
        <v>558</v>
      </c>
      <c r="M589" s="10" t="s">
        <v>142</v>
      </c>
      <c r="N589" s="10" t="s">
        <v>324</v>
      </c>
      <c r="O589" s="59"/>
      <c r="P589" s="59"/>
    </row>
    <row r="590" spans="2:16" x14ac:dyDescent="0.3">
      <c r="B590" s="10" t="s">
        <v>320</v>
      </c>
      <c r="C590" s="10" t="s">
        <v>2076</v>
      </c>
      <c r="D590" s="10">
        <v>1</v>
      </c>
      <c r="E590" s="10">
        <v>0</v>
      </c>
      <c r="F590" s="10">
        <v>1</v>
      </c>
      <c r="G590" s="10">
        <v>1</v>
      </c>
      <c r="H590" s="10">
        <v>1</v>
      </c>
      <c r="I590" s="10" t="s">
        <v>322</v>
      </c>
      <c r="J590" s="69">
        <f t="shared" si="58"/>
        <v>10560</v>
      </c>
      <c r="K590" s="10">
        <f t="shared" si="56"/>
        <v>560</v>
      </c>
      <c r="L590" s="10">
        <f t="shared" si="57"/>
        <v>559</v>
      </c>
      <c r="M590" s="10" t="s">
        <v>142</v>
      </c>
      <c r="N590" s="10" t="s">
        <v>324</v>
      </c>
      <c r="O590" s="59"/>
      <c r="P590" s="59"/>
    </row>
    <row r="591" spans="2:16" x14ac:dyDescent="0.3">
      <c r="B591" s="10" t="s">
        <v>320</v>
      </c>
      <c r="C591" s="10" t="s">
        <v>2076</v>
      </c>
      <c r="D591" s="10">
        <v>1</v>
      </c>
      <c r="E591" s="10">
        <v>0</v>
      </c>
      <c r="F591" s="10">
        <v>1</v>
      </c>
      <c r="G591" s="10">
        <v>1</v>
      </c>
      <c r="H591" s="10">
        <v>1</v>
      </c>
      <c r="I591" s="10" t="s">
        <v>322</v>
      </c>
      <c r="J591" s="69">
        <f t="shared" si="58"/>
        <v>10561</v>
      </c>
      <c r="K591" s="10">
        <f t="shared" si="56"/>
        <v>561</v>
      </c>
      <c r="L591" s="10">
        <f t="shared" si="57"/>
        <v>560</v>
      </c>
      <c r="M591" s="10" t="s">
        <v>142</v>
      </c>
      <c r="N591" s="10" t="s">
        <v>324</v>
      </c>
      <c r="O591" s="7"/>
      <c r="P591" s="7"/>
    </row>
    <row r="592" spans="2:16" x14ac:dyDescent="0.3">
      <c r="B592" s="10" t="s">
        <v>320</v>
      </c>
      <c r="C592" s="10" t="s">
        <v>2076</v>
      </c>
      <c r="D592" s="10">
        <v>1</v>
      </c>
      <c r="E592" s="10">
        <v>0</v>
      </c>
      <c r="F592" s="10">
        <v>1</v>
      </c>
      <c r="G592" s="10">
        <v>1</v>
      </c>
      <c r="H592" s="10">
        <v>1</v>
      </c>
      <c r="I592" s="10" t="s">
        <v>322</v>
      </c>
      <c r="J592" s="69">
        <f t="shared" si="58"/>
        <v>10562</v>
      </c>
      <c r="K592" s="10">
        <f t="shared" si="56"/>
        <v>562</v>
      </c>
      <c r="L592" s="10">
        <f t="shared" si="57"/>
        <v>561</v>
      </c>
      <c r="M592" s="10" t="s">
        <v>142</v>
      </c>
      <c r="N592" s="10" t="s">
        <v>324</v>
      </c>
      <c r="O592" s="7"/>
      <c r="P592" s="7"/>
    </row>
    <row r="593" spans="2:16" x14ac:dyDescent="0.3">
      <c r="B593" s="10" t="s">
        <v>320</v>
      </c>
      <c r="C593" s="10" t="s">
        <v>2076</v>
      </c>
      <c r="D593" s="10">
        <v>1</v>
      </c>
      <c r="E593" s="10">
        <v>0</v>
      </c>
      <c r="F593" s="10">
        <v>1</v>
      </c>
      <c r="G593" s="10">
        <v>1</v>
      </c>
      <c r="H593" s="10">
        <v>1</v>
      </c>
      <c r="I593" s="10" t="s">
        <v>322</v>
      </c>
      <c r="J593" s="69">
        <f t="shared" si="58"/>
        <v>10563</v>
      </c>
      <c r="K593" s="10">
        <f t="shared" si="56"/>
        <v>563</v>
      </c>
      <c r="L593" s="10">
        <f t="shared" si="57"/>
        <v>562</v>
      </c>
      <c r="M593" s="10" t="s">
        <v>142</v>
      </c>
      <c r="N593" s="10" t="s">
        <v>324</v>
      </c>
      <c r="O593" s="7"/>
      <c r="P593" s="7"/>
    </row>
    <row r="594" spans="2:16" x14ac:dyDescent="0.3">
      <c r="B594" s="10" t="s">
        <v>320</v>
      </c>
      <c r="C594" s="10" t="s">
        <v>2076</v>
      </c>
      <c r="D594" s="10">
        <v>1</v>
      </c>
      <c r="E594" s="10">
        <v>0</v>
      </c>
      <c r="F594" s="10">
        <v>1</v>
      </c>
      <c r="G594" s="10">
        <v>1</v>
      </c>
      <c r="H594" s="10">
        <v>1</v>
      </c>
      <c r="I594" s="10" t="s">
        <v>322</v>
      </c>
      <c r="J594" s="69">
        <f t="shared" si="58"/>
        <v>10564</v>
      </c>
      <c r="K594" s="10">
        <f t="shared" si="56"/>
        <v>564</v>
      </c>
      <c r="L594" s="10">
        <f t="shared" si="57"/>
        <v>563</v>
      </c>
      <c r="M594" s="10" t="s">
        <v>142</v>
      </c>
      <c r="N594" s="10" t="s">
        <v>324</v>
      </c>
      <c r="O594" s="7"/>
      <c r="P594" s="7"/>
    </row>
    <row r="595" spans="2:16" x14ac:dyDescent="0.3">
      <c r="B595" s="10" t="s">
        <v>320</v>
      </c>
      <c r="C595" s="10" t="s">
        <v>2076</v>
      </c>
      <c r="D595" s="10">
        <v>1</v>
      </c>
      <c r="E595" s="10">
        <v>0</v>
      </c>
      <c r="F595" s="10">
        <v>1</v>
      </c>
      <c r="G595" s="10">
        <v>1</v>
      </c>
      <c r="H595" s="10">
        <v>1</v>
      </c>
      <c r="I595" s="10" t="s">
        <v>322</v>
      </c>
      <c r="J595" s="69">
        <f t="shared" si="58"/>
        <v>10565</v>
      </c>
      <c r="K595" s="10">
        <f t="shared" si="56"/>
        <v>565</v>
      </c>
      <c r="L595" s="10">
        <f t="shared" si="57"/>
        <v>564</v>
      </c>
      <c r="M595" s="10" t="s">
        <v>142</v>
      </c>
      <c r="N595" s="10" t="s">
        <v>324</v>
      </c>
      <c r="O595" s="7"/>
      <c r="P595" s="7"/>
    </row>
    <row r="596" spans="2:16" x14ac:dyDescent="0.3">
      <c r="B596" s="10" t="s">
        <v>320</v>
      </c>
      <c r="C596" s="10" t="s">
        <v>2076</v>
      </c>
      <c r="D596" s="10">
        <v>1</v>
      </c>
      <c r="E596" s="10">
        <v>0</v>
      </c>
      <c r="F596" s="10">
        <v>1</v>
      </c>
      <c r="G596" s="10">
        <v>1</v>
      </c>
      <c r="H596" s="10">
        <v>1</v>
      </c>
      <c r="I596" s="10" t="s">
        <v>322</v>
      </c>
      <c r="J596" s="69">
        <f t="shared" si="58"/>
        <v>10566</v>
      </c>
      <c r="K596" s="10">
        <f t="shared" si="56"/>
        <v>566</v>
      </c>
      <c r="L596" s="10">
        <f t="shared" si="57"/>
        <v>565</v>
      </c>
      <c r="M596" s="10" t="s">
        <v>142</v>
      </c>
      <c r="N596" s="10" t="s">
        <v>324</v>
      </c>
      <c r="O596" s="7"/>
      <c r="P596" s="7"/>
    </row>
    <row r="597" spans="2:16" x14ac:dyDescent="0.3">
      <c r="B597" s="10" t="s">
        <v>320</v>
      </c>
      <c r="C597" s="10" t="s">
        <v>2076</v>
      </c>
      <c r="D597" s="10">
        <v>1</v>
      </c>
      <c r="E597" s="10">
        <v>0</v>
      </c>
      <c r="F597" s="10">
        <v>1</v>
      </c>
      <c r="G597" s="10">
        <v>1</v>
      </c>
      <c r="H597" s="10">
        <v>1</v>
      </c>
      <c r="I597" s="10" t="s">
        <v>322</v>
      </c>
      <c r="J597" s="69">
        <f t="shared" si="58"/>
        <v>10567</v>
      </c>
      <c r="K597" s="10">
        <f t="shared" si="56"/>
        <v>567</v>
      </c>
      <c r="L597" s="10">
        <f t="shared" si="57"/>
        <v>566</v>
      </c>
      <c r="M597" s="10" t="s">
        <v>142</v>
      </c>
      <c r="N597" s="10" t="s">
        <v>324</v>
      </c>
      <c r="O597" s="7"/>
      <c r="P597" s="7"/>
    </row>
    <row r="598" spans="2:16" x14ac:dyDescent="0.3">
      <c r="B598" s="10" t="s">
        <v>320</v>
      </c>
      <c r="C598" s="10" t="s">
        <v>2076</v>
      </c>
      <c r="D598" s="10">
        <v>1</v>
      </c>
      <c r="E598" s="10">
        <v>0</v>
      </c>
      <c r="F598" s="10">
        <v>1</v>
      </c>
      <c r="G598" s="10">
        <v>1</v>
      </c>
      <c r="H598" s="10">
        <v>1</v>
      </c>
      <c r="I598" s="10" t="s">
        <v>322</v>
      </c>
      <c r="J598" s="69">
        <f t="shared" si="58"/>
        <v>10568</v>
      </c>
      <c r="K598" s="10">
        <f t="shared" si="56"/>
        <v>568</v>
      </c>
      <c r="L598" s="10">
        <f t="shared" si="57"/>
        <v>567</v>
      </c>
      <c r="M598" s="10" t="s">
        <v>142</v>
      </c>
      <c r="N598" s="10" t="s">
        <v>324</v>
      </c>
      <c r="O598" s="7"/>
      <c r="P598" s="7"/>
    </row>
    <row r="599" spans="2:16" x14ac:dyDescent="0.3">
      <c r="B599" s="10" t="s">
        <v>320</v>
      </c>
      <c r="C599" s="10" t="s">
        <v>2076</v>
      </c>
      <c r="D599" s="10">
        <v>1</v>
      </c>
      <c r="E599" s="10">
        <v>0</v>
      </c>
      <c r="F599" s="10">
        <v>1</v>
      </c>
      <c r="G599" s="10">
        <v>1</v>
      </c>
      <c r="H599" s="10">
        <v>1</v>
      </c>
      <c r="I599" s="10" t="s">
        <v>322</v>
      </c>
      <c r="J599" s="69">
        <f t="shared" si="58"/>
        <v>10569</v>
      </c>
      <c r="K599" s="10">
        <f t="shared" si="56"/>
        <v>569</v>
      </c>
      <c r="L599" s="10">
        <f t="shared" si="57"/>
        <v>568</v>
      </c>
      <c r="M599" s="10" t="s">
        <v>142</v>
      </c>
      <c r="N599" s="10" t="s">
        <v>324</v>
      </c>
      <c r="O599" s="7"/>
      <c r="P599" s="7"/>
    </row>
    <row r="600" spans="2:16" x14ac:dyDescent="0.3">
      <c r="B600" s="10" t="s">
        <v>320</v>
      </c>
      <c r="C600" s="10" t="s">
        <v>2076</v>
      </c>
      <c r="D600" s="10">
        <v>1</v>
      </c>
      <c r="E600" s="10">
        <v>0</v>
      </c>
      <c r="F600" s="10">
        <v>1</v>
      </c>
      <c r="G600" s="10">
        <v>1</v>
      </c>
      <c r="H600" s="10">
        <v>1</v>
      </c>
      <c r="I600" s="10" t="s">
        <v>322</v>
      </c>
      <c r="J600" s="69">
        <f t="shared" si="58"/>
        <v>10570</v>
      </c>
      <c r="K600" s="10">
        <f t="shared" si="56"/>
        <v>570</v>
      </c>
      <c r="L600" s="10">
        <f t="shared" si="57"/>
        <v>569</v>
      </c>
      <c r="M600" s="10" t="s">
        <v>142</v>
      </c>
      <c r="N600" s="10" t="s">
        <v>324</v>
      </c>
      <c r="O600" s="7"/>
      <c r="P600" s="7"/>
    </row>
    <row r="601" spans="2:16" x14ac:dyDescent="0.3">
      <c r="B601" s="10" t="s">
        <v>320</v>
      </c>
      <c r="C601" s="10" t="s">
        <v>2076</v>
      </c>
      <c r="D601" s="10">
        <v>1</v>
      </c>
      <c r="E601" s="10">
        <v>0</v>
      </c>
      <c r="F601" s="10">
        <v>1</v>
      </c>
      <c r="G601" s="10">
        <v>1</v>
      </c>
      <c r="H601" s="10">
        <v>1</v>
      </c>
      <c r="I601" s="10" t="s">
        <v>322</v>
      </c>
      <c r="J601" s="69">
        <f t="shared" si="58"/>
        <v>10571</v>
      </c>
      <c r="K601" s="10">
        <f t="shared" si="56"/>
        <v>571</v>
      </c>
      <c r="L601" s="10">
        <f t="shared" si="57"/>
        <v>570</v>
      </c>
      <c r="M601" s="10" t="s">
        <v>142</v>
      </c>
      <c r="N601" s="10" t="s">
        <v>324</v>
      </c>
      <c r="O601" s="7"/>
      <c r="P601" s="7"/>
    </row>
    <row r="602" spans="2:16" x14ac:dyDescent="0.3">
      <c r="B602" s="10" t="s">
        <v>320</v>
      </c>
      <c r="C602" s="10" t="s">
        <v>2076</v>
      </c>
      <c r="D602" s="10">
        <v>1</v>
      </c>
      <c r="E602" s="10">
        <v>0</v>
      </c>
      <c r="F602" s="10">
        <v>1</v>
      </c>
      <c r="G602" s="10">
        <v>1</v>
      </c>
      <c r="H602" s="10">
        <v>1</v>
      </c>
      <c r="I602" s="10" t="s">
        <v>322</v>
      </c>
      <c r="J602" s="69">
        <f t="shared" si="58"/>
        <v>10572</v>
      </c>
      <c r="K602" s="10">
        <f t="shared" si="56"/>
        <v>572</v>
      </c>
      <c r="L602" s="10">
        <f t="shared" si="57"/>
        <v>571</v>
      </c>
      <c r="M602" s="10" t="s">
        <v>142</v>
      </c>
      <c r="N602" s="10" t="s">
        <v>324</v>
      </c>
      <c r="O602" s="7"/>
      <c r="P602" s="7"/>
    </row>
    <row r="603" spans="2:16" x14ac:dyDescent="0.3">
      <c r="B603" s="10" t="s">
        <v>320</v>
      </c>
      <c r="C603" s="10" t="s">
        <v>2076</v>
      </c>
      <c r="D603" s="10">
        <v>1</v>
      </c>
      <c r="E603" s="10">
        <v>0</v>
      </c>
      <c r="F603" s="10">
        <v>1</v>
      </c>
      <c r="G603" s="10">
        <v>1</v>
      </c>
      <c r="H603" s="10">
        <v>1</v>
      </c>
      <c r="I603" s="10" t="s">
        <v>322</v>
      </c>
      <c r="J603" s="69">
        <f t="shared" si="58"/>
        <v>10573</v>
      </c>
      <c r="K603" s="10">
        <f t="shared" si="56"/>
        <v>573</v>
      </c>
      <c r="L603" s="10">
        <f t="shared" si="57"/>
        <v>572</v>
      </c>
      <c r="M603" s="10" t="s">
        <v>142</v>
      </c>
      <c r="N603" s="10" t="s">
        <v>324</v>
      </c>
      <c r="O603" s="7"/>
      <c r="P603" s="7"/>
    </row>
    <row r="604" spans="2:16" x14ac:dyDescent="0.3">
      <c r="B604" s="10" t="s">
        <v>320</v>
      </c>
      <c r="C604" s="10" t="s">
        <v>2076</v>
      </c>
      <c r="D604" s="10">
        <v>1</v>
      </c>
      <c r="E604" s="10">
        <v>0</v>
      </c>
      <c r="F604" s="10">
        <v>1</v>
      </c>
      <c r="G604" s="10">
        <v>1</v>
      </c>
      <c r="H604" s="10">
        <v>1</v>
      </c>
      <c r="I604" s="10" t="s">
        <v>322</v>
      </c>
      <c r="J604" s="69">
        <f t="shared" si="58"/>
        <v>10574</v>
      </c>
      <c r="K604" s="10">
        <f t="shared" si="56"/>
        <v>574</v>
      </c>
      <c r="L604" s="10">
        <f t="shared" si="57"/>
        <v>573</v>
      </c>
      <c r="M604" s="10" t="s">
        <v>142</v>
      </c>
      <c r="N604" s="10" t="s">
        <v>324</v>
      </c>
      <c r="O604" s="7"/>
      <c r="P604" s="7"/>
    </row>
    <row r="605" spans="2:16" x14ac:dyDescent="0.3">
      <c r="B605" s="10" t="s">
        <v>320</v>
      </c>
      <c r="C605" s="10" t="s">
        <v>2076</v>
      </c>
      <c r="D605" s="10">
        <v>1</v>
      </c>
      <c r="E605" s="10">
        <v>0</v>
      </c>
      <c r="F605" s="10">
        <v>1</v>
      </c>
      <c r="G605" s="10">
        <v>1</v>
      </c>
      <c r="H605" s="10">
        <v>1</v>
      </c>
      <c r="I605" s="10" t="s">
        <v>322</v>
      </c>
      <c r="J605" s="69">
        <f t="shared" si="58"/>
        <v>10575</v>
      </c>
      <c r="K605" s="10">
        <f t="shared" si="56"/>
        <v>575</v>
      </c>
      <c r="L605" s="10">
        <f t="shared" si="57"/>
        <v>574</v>
      </c>
      <c r="M605" s="10" t="s">
        <v>142</v>
      </c>
      <c r="N605" s="10" t="s">
        <v>324</v>
      </c>
      <c r="O605" s="7"/>
      <c r="P605" s="7"/>
    </row>
    <row r="606" spans="2:16" x14ac:dyDescent="0.3">
      <c r="B606" s="10" t="s">
        <v>320</v>
      </c>
      <c r="C606" s="10" t="s">
        <v>2076</v>
      </c>
      <c r="D606" s="10">
        <v>1</v>
      </c>
      <c r="E606" s="10">
        <v>0</v>
      </c>
      <c r="F606" s="10">
        <v>1</v>
      </c>
      <c r="G606" s="10">
        <v>1</v>
      </c>
      <c r="H606" s="10">
        <v>1</v>
      </c>
      <c r="I606" s="10" t="s">
        <v>322</v>
      </c>
      <c r="J606" s="69">
        <f t="shared" si="58"/>
        <v>10576</v>
      </c>
      <c r="K606" s="10">
        <f t="shared" si="56"/>
        <v>576</v>
      </c>
      <c r="L606" s="10">
        <f t="shared" si="57"/>
        <v>575</v>
      </c>
      <c r="M606" s="10" t="s">
        <v>142</v>
      </c>
      <c r="N606" s="10" t="s">
        <v>324</v>
      </c>
      <c r="O606" s="7"/>
      <c r="P606" s="7"/>
    </row>
    <row r="607" spans="2:16" x14ac:dyDescent="0.3">
      <c r="B607" s="496" t="s">
        <v>2161</v>
      </c>
      <c r="C607" s="496"/>
      <c r="D607" s="496"/>
      <c r="E607" s="496"/>
      <c r="F607" s="496"/>
      <c r="G607" s="496"/>
      <c r="H607" s="496"/>
      <c r="I607" s="496"/>
      <c r="J607" s="496"/>
      <c r="K607" s="496"/>
      <c r="L607" s="496"/>
      <c r="M607" s="496"/>
      <c r="N607" s="496"/>
      <c r="O607" s="496"/>
      <c r="P607" s="496"/>
    </row>
    <row r="608" spans="2:16" x14ac:dyDescent="0.3">
      <c r="B608" s="10" t="s">
        <v>1799</v>
      </c>
      <c r="C608" s="10" t="s">
        <v>2076</v>
      </c>
      <c r="D608" s="10">
        <v>1</v>
      </c>
      <c r="E608" s="10">
        <v>0</v>
      </c>
      <c r="F608" s="10">
        <v>1</v>
      </c>
      <c r="G608" s="10">
        <v>1</v>
      </c>
      <c r="H608" s="10">
        <v>1</v>
      </c>
      <c r="I608" s="10" t="s">
        <v>322</v>
      </c>
      <c r="J608" s="69">
        <f>J606+D606</f>
        <v>10577</v>
      </c>
      <c r="K608" s="10">
        <f t="shared" ref="K608:K639" si="59">J608-10000</f>
        <v>577</v>
      </c>
      <c r="L608" s="10">
        <f t="shared" ref="L608:L639" si="60">K608-1</f>
        <v>576</v>
      </c>
      <c r="M608" s="10" t="s">
        <v>142</v>
      </c>
      <c r="N608" s="10" t="s">
        <v>324</v>
      </c>
      <c r="O608" s="59"/>
      <c r="P608" s="59"/>
    </row>
    <row r="609" spans="2:16" x14ac:dyDescent="0.3">
      <c r="B609" s="10" t="s">
        <v>1800</v>
      </c>
      <c r="C609" s="10" t="s">
        <v>2076</v>
      </c>
      <c r="D609" s="10">
        <v>1</v>
      </c>
      <c r="E609" s="10">
        <v>0</v>
      </c>
      <c r="F609" s="10">
        <v>1</v>
      </c>
      <c r="G609" s="10">
        <v>1</v>
      </c>
      <c r="H609" s="10">
        <v>1</v>
      </c>
      <c r="I609" s="10" t="s">
        <v>322</v>
      </c>
      <c r="J609" s="69">
        <f t="shared" ref="J609:J639" si="61">J608+D608</f>
        <v>10578</v>
      </c>
      <c r="K609" s="10">
        <f t="shared" si="59"/>
        <v>578</v>
      </c>
      <c r="L609" s="10">
        <f t="shared" si="60"/>
        <v>577</v>
      </c>
      <c r="M609" s="10" t="s">
        <v>142</v>
      </c>
      <c r="N609" s="10" t="s">
        <v>324</v>
      </c>
      <c r="O609" s="59"/>
      <c r="P609" s="59"/>
    </row>
    <row r="610" spans="2:16" x14ac:dyDescent="0.3">
      <c r="B610" s="10" t="s">
        <v>1801</v>
      </c>
      <c r="C610" s="10" t="s">
        <v>2076</v>
      </c>
      <c r="D610" s="10">
        <v>1</v>
      </c>
      <c r="E610" s="10">
        <v>0</v>
      </c>
      <c r="F610" s="10">
        <v>1</v>
      </c>
      <c r="G610" s="10">
        <v>1</v>
      </c>
      <c r="H610" s="10">
        <v>1</v>
      </c>
      <c r="I610" s="10" t="s">
        <v>322</v>
      </c>
      <c r="J610" s="69">
        <f t="shared" si="61"/>
        <v>10579</v>
      </c>
      <c r="K610" s="10">
        <f t="shared" si="59"/>
        <v>579</v>
      </c>
      <c r="L610" s="10">
        <f t="shared" si="60"/>
        <v>578</v>
      </c>
      <c r="M610" s="10" t="s">
        <v>142</v>
      </c>
      <c r="N610" s="10" t="s">
        <v>324</v>
      </c>
      <c r="O610" s="59"/>
      <c r="P610" s="59"/>
    </row>
    <row r="611" spans="2:16" x14ac:dyDescent="0.3">
      <c r="B611" s="10" t="s">
        <v>1802</v>
      </c>
      <c r="C611" s="10" t="s">
        <v>2076</v>
      </c>
      <c r="D611" s="10">
        <v>1</v>
      </c>
      <c r="E611" s="10">
        <v>0</v>
      </c>
      <c r="F611" s="10">
        <v>1</v>
      </c>
      <c r="G611" s="10">
        <v>1</v>
      </c>
      <c r="H611" s="10">
        <v>1</v>
      </c>
      <c r="I611" s="10" t="s">
        <v>322</v>
      </c>
      <c r="J611" s="69">
        <f t="shared" si="61"/>
        <v>10580</v>
      </c>
      <c r="K611" s="10">
        <f t="shared" si="59"/>
        <v>580</v>
      </c>
      <c r="L611" s="10">
        <f t="shared" si="60"/>
        <v>579</v>
      </c>
      <c r="M611" s="10" t="s">
        <v>142</v>
      </c>
      <c r="N611" s="10" t="s">
        <v>324</v>
      </c>
      <c r="O611" s="59"/>
      <c r="P611" s="59"/>
    </row>
    <row r="612" spans="2:16" x14ac:dyDescent="0.3">
      <c r="B612" s="10" t="s">
        <v>1803</v>
      </c>
      <c r="C612" s="10" t="s">
        <v>2076</v>
      </c>
      <c r="D612" s="10">
        <v>1</v>
      </c>
      <c r="E612" s="10">
        <v>0</v>
      </c>
      <c r="F612" s="10">
        <v>1</v>
      </c>
      <c r="G612" s="10">
        <v>1</v>
      </c>
      <c r="H612" s="10">
        <v>1</v>
      </c>
      <c r="I612" s="10" t="s">
        <v>322</v>
      </c>
      <c r="J612" s="69">
        <f t="shared" si="61"/>
        <v>10581</v>
      </c>
      <c r="K612" s="10">
        <f t="shared" si="59"/>
        <v>581</v>
      </c>
      <c r="L612" s="10">
        <f t="shared" si="60"/>
        <v>580</v>
      </c>
      <c r="M612" s="10" t="s">
        <v>142</v>
      </c>
      <c r="N612" s="10" t="s">
        <v>324</v>
      </c>
      <c r="O612" s="59"/>
      <c r="P612" s="59"/>
    </row>
    <row r="613" spans="2:16" x14ac:dyDescent="0.3">
      <c r="B613" s="10" t="s">
        <v>1804</v>
      </c>
      <c r="C613" s="10" t="s">
        <v>2076</v>
      </c>
      <c r="D613" s="10">
        <v>1</v>
      </c>
      <c r="E613" s="10">
        <v>0</v>
      </c>
      <c r="F613" s="10">
        <v>1</v>
      </c>
      <c r="G613" s="10">
        <v>1</v>
      </c>
      <c r="H613" s="10">
        <v>1</v>
      </c>
      <c r="I613" s="10" t="s">
        <v>322</v>
      </c>
      <c r="J613" s="69">
        <f t="shared" si="61"/>
        <v>10582</v>
      </c>
      <c r="K613" s="10">
        <f t="shared" si="59"/>
        <v>582</v>
      </c>
      <c r="L613" s="10">
        <f t="shared" si="60"/>
        <v>581</v>
      </c>
      <c r="M613" s="10" t="s">
        <v>142</v>
      </c>
      <c r="N613" s="10" t="s">
        <v>324</v>
      </c>
      <c r="O613" s="59"/>
      <c r="P613" s="59"/>
    </row>
    <row r="614" spans="2:16" x14ac:dyDescent="0.3">
      <c r="B614" s="10" t="s">
        <v>1805</v>
      </c>
      <c r="C614" s="10" t="s">
        <v>2076</v>
      </c>
      <c r="D614" s="10">
        <v>1</v>
      </c>
      <c r="E614" s="10">
        <v>0</v>
      </c>
      <c r="F614" s="10">
        <v>1</v>
      </c>
      <c r="G614" s="10">
        <v>1</v>
      </c>
      <c r="H614" s="10">
        <v>1</v>
      </c>
      <c r="I614" s="10" t="s">
        <v>322</v>
      </c>
      <c r="J614" s="69">
        <f t="shared" si="61"/>
        <v>10583</v>
      </c>
      <c r="K614" s="10">
        <f t="shared" si="59"/>
        <v>583</v>
      </c>
      <c r="L614" s="10">
        <f t="shared" si="60"/>
        <v>582</v>
      </c>
      <c r="M614" s="10" t="s">
        <v>142</v>
      </c>
      <c r="N614" s="10" t="s">
        <v>324</v>
      </c>
      <c r="O614" s="59"/>
      <c r="P614" s="59"/>
    </row>
    <row r="615" spans="2:16" x14ac:dyDescent="0.3">
      <c r="B615" s="10" t="s">
        <v>1806</v>
      </c>
      <c r="C615" s="10" t="s">
        <v>2076</v>
      </c>
      <c r="D615" s="10">
        <v>1</v>
      </c>
      <c r="E615" s="10">
        <v>0</v>
      </c>
      <c r="F615" s="10">
        <v>1</v>
      </c>
      <c r="G615" s="10">
        <v>1</v>
      </c>
      <c r="H615" s="10">
        <v>1</v>
      </c>
      <c r="I615" s="10" t="s">
        <v>322</v>
      </c>
      <c r="J615" s="69">
        <f t="shared" si="61"/>
        <v>10584</v>
      </c>
      <c r="K615" s="10">
        <f t="shared" si="59"/>
        <v>584</v>
      </c>
      <c r="L615" s="10">
        <f t="shared" si="60"/>
        <v>583</v>
      </c>
      <c r="M615" s="10" t="s">
        <v>142</v>
      </c>
      <c r="N615" s="10" t="s">
        <v>324</v>
      </c>
      <c r="O615" s="59"/>
      <c r="P615" s="59"/>
    </row>
    <row r="616" spans="2:16" x14ac:dyDescent="0.3">
      <c r="B616" s="10" t="s">
        <v>1807</v>
      </c>
      <c r="C616" s="10" t="s">
        <v>2076</v>
      </c>
      <c r="D616" s="10">
        <v>1</v>
      </c>
      <c r="E616" s="10">
        <v>0</v>
      </c>
      <c r="F616" s="10">
        <v>1</v>
      </c>
      <c r="G616" s="10">
        <v>1</v>
      </c>
      <c r="H616" s="10">
        <v>1</v>
      </c>
      <c r="I616" s="10" t="s">
        <v>322</v>
      </c>
      <c r="J616" s="69">
        <f t="shared" si="61"/>
        <v>10585</v>
      </c>
      <c r="K616" s="10">
        <f t="shared" si="59"/>
        <v>585</v>
      </c>
      <c r="L616" s="10">
        <f t="shared" si="60"/>
        <v>584</v>
      </c>
      <c r="M616" s="10" t="s">
        <v>142</v>
      </c>
      <c r="N616" s="10" t="s">
        <v>324</v>
      </c>
      <c r="O616" s="59"/>
      <c r="P616" s="59"/>
    </row>
    <row r="617" spans="2:16" x14ac:dyDescent="0.3">
      <c r="B617" s="10" t="s">
        <v>1808</v>
      </c>
      <c r="C617" s="10" t="s">
        <v>2076</v>
      </c>
      <c r="D617" s="10">
        <v>1</v>
      </c>
      <c r="E617" s="10">
        <v>0</v>
      </c>
      <c r="F617" s="10">
        <v>1</v>
      </c>
      <c r="G617" s="10">
        <v>1</v>
      </c>
      <c r="H617" s="10">
        <v>1</v>
      </c>
      <c r="I617" s="10" t="s">
        <v>322</v>
      </c>
      <c r="J617" s="69">
        <f t="shared" si="61"/>
        <v>10586</v>
      </c>
      <c r="K617" s="10">
        <f t="shared" si="59"/>
        <v>586</v>
      </c>
      <c r="L617" s="10">
        <f t="shared" si="60"/>
        <v>585</v>
      </c>
      <c r="M617" s="10" t="s">
        <v>142</v>
      </c>
      <c r="N617" s="10" t="s">
        <v>324</v>
      </c>
      <c r="O617" s="59"/>
      <c r="P617" s="59"/>
    </row>
    <row r="618" spans="2:16" x14ac:dyDescent="0.3">
      <c r="B618" s="10" t="s">
        <v>1809</v>
      </c>
      <c r="C618" s="10" t="s">
        <v>2076</v>
      </c>
      <c r="D618" s="10">
        <v>1</v>
      </c>
      <c r="E618" s="10">
        <v>0</v>
      </c>
      <c r="F618" s="10">
        <v>1</v>
      </c>
      <c r="G618" s="10">
        <v>1</v>
      </c>
      <c r="H618" s="10">
        <v>1</v>
      </c>
      <c r="I618" s="10" t="s">
        <v>322</v>
      </c>
      <c r="J618" s="69">
        <f t="shared" si="61"/>
        <v>10587</v>
      </c>
      <c r="K618" s="10">
        <f t="shared" si="59"/>
        <v>587</v>
      </c>
      <c r="L618" s="10">
        <f t="shared" si="60"/>
        <v>586</v>
      </c>
      <c r="M618" s="10" t="s">
        <v>142</v>
      </c>
      <c r="N618" s="10" t="s">
        <v>324</v>
      </c>
      <c r="O618" s="59"/>
      <c r="P618" s="59"/>
    </row>
    <row r="619" spans="2:16" x14ac:dyDescent="0.3">
      <c r="B619" s="10" t="s">
        <v>1810</v>
      </c>
      <c r="C619" s="10" t="s">
        <v>2076</v>
      </c>
      <c r="D619" s="10">
        <v>1</v>
      </c>
      <c r="E619" s="10">
        <v>0</v>
      </c>
      <c r="F619" s="10">
        <v>1</v>
      </c>
      <c r="G619" s="10">
        <v>1</v>
      </c>
      <c r="H619" s="10">
        <v>1</v>
      </c>
      <c r="I619" s="10" t="s">
        <v>322</v>
      </c>
      <c r="J619" s="69">
        <f t="shared" si="61"/>
        <v>10588</v>
      </c>
      <c r="K619" s="10">
        <f t="shared" si="59"/>
        <v>588</v>
      </c>
      <c r="L619" s="10">
        <f t="shared" si="60"/>
        <v>587</v>
      </c>
      <c r="M619" s="10" t="s">
        <v>142</v>
      </c>
      <c r="N619" s="10" t="s">
        <v>324</v>
      </c>
      <c r="O619" s="59"/>
      <c r="P619" s="59"/>
    </row>
    <row r="620" spans="2:16" x14ac:dyDescent="0.3">
      <c r="B620" s="10" t="s">
        <v>1811</v>
      </c>
      <c r="C620" s="10" t="s">
        <v>2076</v>
      </c>
      <c r="D620" s="10">
        <v>1</v>
      </c>
      <c r="E620" s="10">
        <v>0</v>
      </c>
      <c r="F620" s="10">
        <v>1</v>
      </c>
      <c r="G620" s="10">
        <v>1</v>
      </c>
      <c r="H620" s="10">
        <v>1</v>
      </c>
      <c r="I620" s="10" t="s">
        <v>322</v>
      </c>
      <c r="J620" s="69">
        <f t="shared" si="61"/>
        <v>10589</v>
      </c>
      <c r="K620" s="10">
        <f t="shared" si="59"/>
        <v>589</v>
      </c>
      <c r="L620" s="10">
        <f t="shared" si="60"/>
        <v>588</v>
      </c>
      <c r="M620" s="10" t="s">
        <v>142</v>
      </c>
      <c r="N620" s="10" t="s">
        <v>324</v>
      </c>
      <c r="O620" s="59"/>
      <c r="P620" s="59"/>
    </row>
    <row r="621" spans="2:16" x14ac:dyDescent="0.3">
      <c r="B621" s="10" t="s">
        <v>1812</v>
      </c>
      <c r="C621" s="10" t="s">
        <v>2076</v>
      </c>
      <c r="D621" s="10">
        <v>1</v>
      </c>
      <c r="E621" s="10">
        <v>0</v>
      </c>
      <c r="F621" s="10">
        <v>1</v>
      </c>
      <c r="G621" s="10">
        <v>1</v>
      </c>
      <c r="H621" s="10">
        <v>1</v>
      </c>
      <c r="I621" s="10" t="s">
        <v>322</v>
      </c>
      <c r="J621" s="69">
        <f t="shared" si="61"/>
        <v>10590</v>
      </c>
      <c r="K621" s="10">
        <f t="shared" si="59"/>
        <v>590</v>
      </c>
      <c r="L621" s="10">
        <f t="shared" si="60"/>
        <v>589</v>
      </c>
      <c r="M621" s="10" t="s">
        <v>142</v>
      </c>
      <c r="N621" s="10" t="s">
        <v>324</v>
      </c>
      <c r="O621" s="59"/>
      <c r="P621" s="59"/>
    </row>
    <row r="622" spans="2:16" x14ac:dyDescent="0.3">
      <c r="B622" s="10" t="s">
        <v>1813</v>
      </c>
      <c r="C622" s="10" t="s">
        <v>2076</v>
      </c>
      <c r="D622" s="10">
        <v>1</v>
      </c>
      <c r="E622" s="10">
        <v>0</v>
      </c>
      <c r="F622" s="10">
        <v>1</v>
      </c>
      <c r="G622" s="10">
        <v>1</v>
      </c>
      <c r="H622" s="10">
        <v>1</v>
      </c>
      <c r="I622" s="10" t="s">
        <v>322</v>
      </c>
      <c r="J622" s="69">
        <f t="shared" si="61"/>
        <v>10591</v>
      </c>
      <c r="K622" s="10">
        <f t="shared" si="59"/>
        <v>591</v>
      </c>
      <c r="L622" s="10">
        <f t="shared" si="60"/>
        <v>590</v>
      </c>
      <c r="M622" s="10" t="s">
        <v>142</v>
      </c>
      <c r="N622" s="10" t="s">
        <v>324</v>
      </c>
      <c r="O622" s="59"/>
      <c r="P622" s="59"/>
    </row>
    <row r="623" spans="2:16" x14ac:dyDescent="0.3">
      <c r="B623" s="10" t="s">
        <v>1814</v>
      </c>
      <c r="C623" s="10" t="s">
        <v>2076</v>
      </c>
      <c r="D623" s="10">
        <v>1</v>
      </c>
      <c r="E623" s="10">
        <v>0</v>
      </c>
      <c r="F623" s="10">
        <v>1</v>
      </c>
      <c r="G623" s="10">
        <v>1</v>
      </c>
      <c r="H623" s="10">
        <v>1</v>
      </c>
      <c r="I623" s="10" t="s">
        <v>322</v>
      </c>
      <c r="J623" s="69">
        <f t="shared" si="61"/>
        <v>10592</v>
      </c>
      <c r="K623" s="10">
        <f t="shared" si="59"/>
        <v>592</v>
      </c>
      <c r="L623" s="10">
        <f t="shared" si="60"/>
        <v>591</v>
      </c>
      <c r="M623" s="10" t="s">
        <v>142</v>
      </c>
      <c r="N623" s="10" t="s">
        <v>324</v>
      </c>
      <c r="O623" s="59"/>
      <c r="P623" s="59"/>
    </row>
    <row r="624" spans="2:16" x14ac:dyDescent="0.3">
      <c r="B624" s="10" t="s">
        <v>1815</v>
      </c>
      <c r="C624" s="10" t="s">
        <v>2076</v>
      </c>
      <c r="D624" s="10">
        <v>1</v>
      </c>
      <c r="E624" s="10">
        <v>0</v>
      </c>
      <c r="F624" s="10">
        <v>1</v>
      </c>
      <c r="G624" s="10">
        <v>1</v>
      </c>
      <c r="H624" s="10">
        <v>1</v>
      </c>
      <c r="I624" s="10" t="s">
        <v>322</v>
      </c>
      <c r="J624" s="69">
        <f t="shared" si="61"/>
        <v>10593</v>
      </c>
      <c r="K624" s="10">
        <f t="shared" si="59"/>
        <v>593</v>
      </c>
      <c r="L624" s="10">
        <f t="shared" si="60"/>
        <v>592</v>
      </c>
      <c r="M624" s="10" t="s">
        <v>142</v>
      </c>
      <c r="N624" s="10" t="s">
        <v>324</v>
      </c>
      <c r="O624" s="7"/>
      <c r="P624" s="7"/>
    </row>
    <row r="625" spans="2:16" x14ac:dyDescent="0.3">
      <c r="B625" s="10" t="s">
        <v>1816</v>
      </c>
      <c r="C625" s="10" t="s">
        <v>2076</v>
      </c>
      <c r="D625" s="10">
        <v>1</v>
      </c>
      <c r="E625" s="10">
        <v>0</v>
      </c>
      <c r="F625" s="10">
        <v>1</v>
      </c>
      <c r="G625" s="10">
        <v>1</v>
      </c>
      <c r="H625" s="10">
        <v>1</v>
      </c>
      <c r="I625" s="10" t="s">
        <v>322</v>
      </c>
      <c r="J625" s="69">
        <f t="shared" si="61"/>
        <v>10594</v>
      </c>
      <c r="K625" s="10">
        <f t="shared" si="59"/>
        <v>594</v>
      </c>
      <c r="L625" s="10">
        <f t="shared" si="60"/>
        <v>593</v>
      </c>
      <c r="M625" s="10" t="s">
        <v>142</v>
      </c>
      <c r="N625" s="10" t="s">
        <v>324</v>
      </c>
      <c r="O625" s="7"/>
      <c r="P625" s="7"/>
    </row>
    <row r="626" spans="2:16" x14ac:dyDescent="0.3">
      <c r="B626" s="10" t="s">
        <v>1817</v>
      </c>
      <c r="C626" s="10" t="s">
        <v>2076</v>
      </c>
      <c r="D626" s="10">
        <v>1</v>
      </c>
      <c r="E626" s="10">
        <v>0</v>
      </c>
      <c r="F626" s="10">
        <v>1</v>
      </c>
      <c r="G626" s="10">
        <v>1</v>
      </c>
      <c r="H626" s="10">
        <v>1</v>
      </c>
      <c r="I626" s="10" t="s">
        <v>322</v>
      </c>
      <c r="J626" s="69">
        <f t="shared" si="61"/>
        <v>10595</v>
      </c>
      <c r="K626" s="10">
        <f t="shared" si="59"/>
        <v>595</v>
      </c>
      <c r="L626" s="10">
        <f t="shared" si="60"/>
        <v>594</v>
      </c>
      <c r="M626" s="10" t="s">
        <v>142</v>
      </c>
      <c r="N626" s="10" t="s">
        <v>324</v>
      </c>
      <c r="O626" s="7"/>
      <c r="P626" s="7"/>
    </row>
    <row r="627" spans="2:16" x14ac:dyDescent="0.3">
      <c r="B627" s="10" t="s">
        <v>1818</v>
      </c>
      <c r="C627" s="10" t="s">
        <v>2076</v>
      </c>
      <c r="D627" s="10">
        <v>1</v>
      </c>
      <c r="E627" s="10">
        <v>0</v>
      </c>
      <c r="F627" s="10">
        <v>1</v>
      </c>
      <c r="G627" s="10">
        <v>1</v>
      </c>
      <c r="H627" s="10">
        <v>1</v>
      </c>
      <c r="I627" s="10" t="s">
        <v>322</v>
      </c>
      <c r="J627" s="69">
        <f t="shared" si="61"/>
        <v>10596</v>
      </c>
      <c r="K627" s="10">
        <f t="shared" si="59"/>
        <v>596</v>
      </c>
      <c r="L627" s="10">
        <f t="shared" si="60"/>
        <v>595</v>
      </c>
      <c r="M627" s="10" t="s">
        <v>142</v>
      </c>
      <c r="N627" s="10" t="s">
        <v>324</v>
      </c>
      <c r="O627" s="7"/>
      <c r="P627" s="7"/>
    </row>
    <row r="628" spans="2:16" x14ac:dyDescent="0.3">
      <c r="B628" s="10" t="s">
        <v>1819</v>
      </c>
      <c r="C628" s="10" t="s">
        <v>2076</v>
      </c>
      <c r="D628" s="10">
        <v>1</v>
      </c>
      <c r="E628" s="10">
        <v>0</v>
      </c>
      <c r="F628" s="10">
        <v>1</v>
      </c>
      <c r="G628" s="10">
        <v>1</v>
      </c>
      <c r="H628" s="10">
        <v>1</v>
      </c>
      <c r="I628" s="10" t="s">
        <v>322</v>
      </c>
      <c r="J628" s="69">
        <f t="shared" si="61"/>
        <v>10597</v>
      </c>
      <c r="K628" s="10">
        <f t="shared" si="59"/>
        <v>597</v>
      </c>
      <c r="L628" s="10">
        <f t="shared" si="60"/>
        <v>596</v>
      </c>
      <c r="M628" s="10" t="s">
        <v>142</v>
      </c>
      <c r="N628" s="10" t="s">
        <v>324</v>
      </c>
      <c r="O628" s="7"/>
      <c r="P628" s="7"/>
    </row>
    <row r="629" spans="2:16" x14ac:dyDescent="0.3">
      <c r="B629" s="10" t="s">
        <v>1820</v>
      </c>
      <c r="C629" s="10" t="s">
        <v>2076</v>
      </c>
      <c r="D629" s="10">
        <v>1</v>
      </c>
      <c r="E629" s="10">
        <v>0</v>
      </c>
      <c r="F629" s="10">
        <v>1</v>
      </c>
      <c r="G629" s="10">
        <v>1</v>
      </c>
      <c r="H629" s="10">
        <v>1</v>
      </c>
      <c r="I629" s="10" t="s">
        <v>322</v>
      </c>
      <c r="J629" s="69">
        <f t="shared" si="61"/>
        <v>10598</v>
      </c>
      <c r="K629" s="10">
        <f t="shared" si="59"/>
        <v>598</v>
      </c>
      <c r="L629" s="10">
        <f t="shared" si="60"/>
        <v>597</v>
      </c>
      <c r="M629" s="10" t="s">
        <v>142</v>
      </c>
      <c r="N629" s="10" t="s">
        <v>324</v>
      </c>
      <c r="O629" s="7"/>
      <c r="P629" s="7"/>
    </row>
    <row r="630" spans="2:16" x14ac:dyDescent="0.3">
      <c r="B630" s="117" t="s">
        <v>320</v>
      </c>
      <c r="C630" s="10" t="s">
        <v>2076</v>
      </c>
      <c r="D630" s="10">
        <v>1</v>
      </c>
      <c r="E630" s="10">
        <v>0</v>
      </c>
      <c r="F630" s="10">
        <v>1</v>
      </c>
      <c r="G630" s="10">
        <v>1</v>
      </c>
      <c r="H630" s="10">
        <v>1</v>
      </c>
      <c r="I630" s="10" t="s">
        <v>322</v>
      </c>
      <c r="J630" s="69">
        <f t="shared" si="61"/>
        <v>10599</v>
      </c>
      <c r="K630" s="10">
        <f t="shared" si="59"/>
        <v>599</v>
      </c>
      <c r="L630" s="10">
        <f t="shared" si="60"/>
        <v>598</v>
      </c>
      <c r="M630" s="10" t="s">
        <v>142</v>
      </c>
      <c r="N630" s="10" t="s">
        <v>324</v>
      </c>
      <c r="O630" s="7"/>
      <c r="P630" s="7"/>
    </row>
    <row r="631" spans="2:16" x14ac:dyDescent="0.3">
      <c r="B631" s="10" t="s">
        <v>1821</v>
      </c>
      <c r="C631" s="10" t="s">
        <v>2076</v>
      </c>
      <c r="D631" s="10">
        <v>1</v>
      </c>
      <c r="E631" s="10">
        <v>0</v>
      </c>
      <c r="F631" s="10">
        <v>1</v>
      </c>
      <c r="G631" s="10">
        <v>1</v>
      </c>
      <c r="H631" s="10">
        <v>1</v>
      </c>
      <c r="I631" s="10" t="s">
        <v>322</v>
      </c>
      <c r="J631" s="69">
        <f t="shared" si="61"/>
        <v>10600</v>
      </c>
      <c r="K631" s="10">
        <f t="shared" si="59"/>
        <v>600</v>
      </c>
      <c r="L631" s="10">
        <f t="shared" si="60"/>
        <v>599</v>
      </c>
      <c r="M631" s="10" t="s">
        <v>142</v>
      </c>
      <c r="N631" s="10" t="s">
        <v>324</v>
      </c>
      <c r="O631" s="7"/>
      <c r="P631" s="7"/>
    </row>
    <row r="632" spans="2:16" x14ac:dyDescent="0.3">
      <c r="B632" s="10" t="s">
        <v>1822</v>
      </c>
      <c r="C632" s="10" t="s">
        <v>2076</v>
      </c>
      <c r="D632" s="10">
        <v>1</v>
      </c>
      <c r="E632" s="10">
        <v>0</v>
      </c>
      <c r="F632" s="10">
        <v>1</v>
      </c>
      <c r="G632" s="10">
        <v>1</v>
      </c>
      <c r="H632" s="10">
        <v>1</v>
      </c>
      <c r="I632" s="10" t="s">
        <v>322</v>
      </c>
      <c r="J632" s="69">
        <f t="shared" si="61"/>
        <v>10601</v>
      </c>
      <c r="K632" s="10">
        <f t="shared" si="59"/>
        <v>601</v>
      </c>
      <c r="L632" s="10">
        <f t="shared" si="60"/>
        <v>600</v>
      </c>
      <c r="M632" s="10" t="s">
        <v>142</v>
      </c>
      <c r="N632" s="10" t="s">
        <v>324</v>
      </c>
      <c r="O632" s="7"/>
      <c r="P632" s="7"/>
    </row>
    <row r="633" spans="2:16" x14ac:dyDescent="0.3">
      <c r="B633" s="10" t="s">
        <v>1823</v>
      </c>
      <c r="C633" s="10" t="s">
        <v>2076</v>
      </c>
      <c r="D633" s="10">
        <v>1</v>
      </c>
      <c r="E633" s="10">
        <v>0</v>
      </c>
      <c r="F633" s="10">
        <v>1</v>
      </c>
      <c r="G633" s="10">
        <v>1</v>
      </c>
      <c r="H633" s="10">
        <v>1</v>
      </c>
      <c r="I633" s="10" t="s">
        <v>322</v>
      </c>
      <c r="J633" s="69">
        <f t="shared" si="61"/>
        <v>10602</v>
      </c>
      <c r="K633" s="10">
        <f t="shared" si="59"/>
        <v>602</v>
      </c>
      <c r="L633" s="10">
        <f t="shared" si="60"/>
        <v>601</v>
      </c>
      <c r="M633" s="10" t="s">
        <v>142</v>
      </c>
      <c r="N633" s="10" t="s">
        <v>324</v>
      </c>
      <c r="O633" s="7"/>
      <c r="P633" s="7"/>
    </row>
    <row r="634" spans="2:16" x14ac:dyDescent="0.3">
      <c r="B634" s="10" t="s">
        <v>2162</v>
      </c>
      <c r="C634" s="10" t="s">
        <v>2076</v>
      </c>
      <c r="D634" s="10">
        <v>1</v>
      </c>
      <c r="E634" s="10">
        <v>0</v>
      </c>
      <c r="F634" s="10">
        <v>1</v>
      </c>
      <c r="G634" s="10">
        <v>1</v>
      </c>
      <c r="H634" s="10">
        <v>1</v>
      </c>
      <c r="I634" s="10" t="s">
        <v>322</v>
      </c>
      <c r="J634" s="69">
        <f t="shared" si="61"/>
        <v>10603</v>
      </c>
      <c r="K634" s="10">
        <f t="shared" si="59"/>
        <v>603</v>
      </c>
      <c r="L634" s="10">
        <f t="shared" si="60"/>
        <v>602</v>
      </c>
      <c r="M634" s="10" t="s">
        <v>142</v>
      </c>
      <c r="N634" s="10" t="s">
        <v>324</v>
      </c>
      <c r="O634" s="7"/>
      <c r="P634" s="7"/>
    </row>
    <row r="635" spans="2:16" x14ac:dyDescent="0.3">
      <c r="B635" s="10" t="s">
        <v>320</v>
      </c>
      <c r="C635" s="10" t="s">
        <v>2076</v>
      </c>
      <c r="D635" s="10">
        <v>1</v>
      </c>
      <c r="E635" s="10">
        <v>0</v>
      </c>
      <c r="F635" s="10">
        <v>1</v>
      </c>
      <c r="G635" s="10">
        <v>1</v>
      </c>
      <c r="H635" s="10">
        <v>1</v>
      </c>
      <c r="I635" s="10" t="s">
        <v>322</v>
      </c>
      <c r="J635" s="69">
        <f t="shared" si="61"/>
        <v>10604</v>
      </c>
      <c r="K635" s="10">
        <f t="shared" si="59"/>
        <v>604</v>
      </c>
      <c r="L635" s="10">
        <f t="shared" si="60"/>
        <v>603</v>
      </c>
      <c r="M635" s="10" t="s">
        <v>142</v>
      </c>
      <c r="N635" s="10" t="s">
        <v>324</v>
      </c>
      <c r="O635" s="7"/>
      <c r="P635" s="7"/>
    </row>
    <row r="636" spans="2:16" x14ac:dyDescent="0.3">
      <c r="B636" s="10" t="s">
        <v>320</v>
      </c>
      <c r="C636" s="10" t="s">
        <v>2076</v>
      </c>
      <c r="D636" s="10">
        <v>1</v>
      </c>
      <c r="E636" s="10">
        <v>0</v>
      </c>
      <c r="F636" s="10">
        <v>1</v>
      </c>
      <c r="G636" s="10">
        <v>1</v>
      </c>
      <c r="H636" s="10">
        <v>1</v>
      </c>
      <c r="I636" s="10" t="s">
        <v>322</v>
      </c>
      <c r="J636" s="69">
        <f t="shared" si="61"/>
        <v>10605</v>
      </c>
      <c r="K636" s="10">
        <f t="shared" si="59"/>
        <v>605</v>
      </c>
      <c r="L636" s="10">
        <f t="shared" si="60"/>
        <v>604</v>
      </c>
      <c r="M636" s="10" t="s">
        <v>142</v>
      </c>
      <c r="N636" s="10" t="s">
        <v>324</v>
      </c>
      <c r="O636" s="7"/>
      <c r="P636" s="7"/>
    </row>
    <row r="637" spans="2:16" x14ac:dyDescent="0.3">
      <c r="B637" s="10" t="s">
        <v>320</v>
      </c>
      <c r="C637" s="10" t="s">
        <v>2076</v>
      </c>
      <c r="D637" s="10">
        <v>1</v>
      </c>
      <c r="E637" s="10">
        <v>0</v>
      </c>
      <c r="F637" s="10">
        <v>1</v>
      </c>
      <c r="G637" s="10">
        <v>1</v>
      </c>
      <c r="H637" s="10">
        <v>1</v>
      </c>
      <c r="I637" s="10" t="s">
        <v>322</v>
      </c>
      <c r="J637" s="69">
        <f t="shared" si="61"/>
        <v>10606</v>
      </c>
      <c r="K637" s="10">
        <f t="shared" si="59"/>
        <v>606</v>
      </c>
      <c r="L637" s="10">
        <f t="shared" si="60"/>
        <v>605</v>
      </c>
      <c r="M637" s="10" t="s">
        <v>142</v>
      </c>
      <c r="N637" s="10" t="s">
        <v>324</v>
      </c>
      <c r="O637" s="7"/>
      <c r="P637" s="7"/>
    </row>
    <row r="638" spans="2:16" x14ac:dyDescent="0.3">
      <c r="B638" s="10" t="s">
        <v>320</v>
      </c>
      <c r="C638" s="10" t="s">
        <v>2076</v>
      </c>
      <c r="D638" s="10">
        <v>1</v>
      </c>
      <c r="E638" s="10">
        <v>0</v>
      </c>
      <c r="F638" s="10">
        <v>1</v>
      </c>
      <c r="G638" s="10">
        <v>1</v>
      </c>
      <c r="H638" s="10">
        <v>1</v>
      </c>
      <c r="I638" s="10" t="s">
        <v>322</v>
      </c>
      <c r="J638" s="69">
        <f t="shared" si="61"/>
        <v>10607</v>
      </c>
      <c r="K638" s="10">
        <f t="shared" si="59"/>
        <v>607</v>
      </c>
      <c r="L638" s="10">
        <f t="shared" si="60"/>
        <v>606</v>
      </c>
      <c r="M638" s="10" t="s">
        <v>142</v>
      </c>
      <c r="N638" s="10" t="s">
        <v>324</v>
      </c>
      <c r="O638" s="7"/>
      <c r="P638" s="7"/>
    </row>
    <row r="639" spans="2:16" x14ac:dyDescent="0.3">
      <c r="B639" s="10" t="s">
        <v>320</v>
      </c>
      <c r="C639" s="10" t="s">
        <v>2076</v>
      </c>
      <c r="D639" s="10">
        <v>1</v>
      </c>
      <c r="E639" s="10">
        <v>0</v>
      </c>
      <c r="F639" s="10">
        <v>1</v>
      </c>
      <c r="G639" s="10">
        <v>1</v>
      </c>
      <c r="H639" s="10">
        <v>1</v>
      </c>
      <c r="I639" s="10" t="s">
        <v>322</v>
      </c>
      <c r="J639" s="69">
        <f t="shared" si="61"/>
        <v>10608</v>
      </c>
      <c r="K639" s="10">
        <f t="shared" si="59"/>
        <v>608</v>
      </c>
      <c r="L639" s="10">
        <f t="shared" si="60"/>
        <v>607</v>
      </c>
      <c r="M639" s="10" t="s">
        <v>142</v>
      </c>
      <c r="N639" s="10" t="s">
        <v>324</v>
      </c>
      <c r="O639" s="7"/>
      <c r="P639" s="7"/>
    </row>
    <row r="640" spans="2:16" x14ac:dyDescent="0.3">
      <c r="B640" s="496" t="s">
        <v>2163</v>
      </c>
      <c r="C640" s="496"/>
      <c r="D640" s="496"/>
      <c r="E640" s="496"/>
      <c r="F640" s="496"/>
      <c r="G640" s="496"/>
      <c r="H640" s="496"/>
      <c r="I640" s="496"/>
      <c r="J640" s="496"/>
      <c r="K640" s="496"/>
      <c r="L640" s="496"/>
      <c r="M640" s="496"/>
      <c r="N640" s="496"/>
      <c r="O640" s="496"/>
      <c r="P640" s="496"/>
    </row>
    <row r="641" spans="2:16" x14ac:dyDescent="0.3">
      <c r="B641" s="10" t="s">
        <v>1824</v>
      </c>
      <c r="C641" s="10" t="s">
        <v>2076</v>
      </c>
      <c r="D641" s="10">
        <v>1</v>
      </c>
      <c r="E641" s="10">
        <v>0</v>
      </c>
      <c r="F641" s="10">
        <v>1</v>
      </c>
      <c r="G641" s="10">
        <v>1</v>
      </c>
      <c r="H641" s="10">
        <v>1</v>
      </c>
      <c r="I641" s="10" t="s">
        <v>322</v>
      </c>
      <c r="J641" s="69">
        <f>J639+D639</f>
        <v>10609</v>
      </c>
      <c r="K641" s="10">
        <f t="shared" ref="K641:K672" si="62">J641-10000</f>
        <v>609</v>
      </c>
      <c r="L641" s="10">
        <f t="shared" ref="L641:L672" si="63">K641-1</f>
        <v>608</v>
      </c>
      <c r="M641" s="10" t="s">
        <v>142</v>
      </c>
      <c r="N641" s="10" t="s">
        <v>324</v>
      </c>
      <c r="O641" s="59"/>
      <c r="P641" s="59"/>
    </row>
    <row r="642" spans="2:16" x14ac:dyDescent="0.3">
      <c r="B642" s="10" t="s">
        <v>1825</v>
      </c>
      <c r="C642" s="10" t="s">
        <v>2076</v>
      </c>
      <c r="D642" s="10">
        <v>1</v>
      </c>
      <c r="E642" s="10">
        <v>0</v>
      </c>
      <c r="F642" s="10">
        <v>1</v>
      </c>
      <c r="G642" s="10">
        <v>1</v>
      </c>
      <c r="H642" s="10">
        <v>1</v>
      </c>
      <c r="I642" s="10" t="s">
        <v>322</v>
      </c>
      <c r="J642" s="69">
        <f t="shared" ref="J642:J672" si="64">J641+D641</f>
        <v>10610</v>
      </c>
      <c r="K642" s="10">
        <f t="shared" si="62"/>
        <v>610</v>
      </c>
      <c r="L642" s="10">
        <f t="shared" si="63"/>
        <v>609</v>
      </c>
      <c r="M642" s="10" t="s">
        <v>142</v>
      </c>
      <c r="N642" s="10" t="s">
        <v>324</v>
      </c>
      <c r="O642" s="7"/>
      <c r="P642" s="7"/>
    </row>
    <row r="643" spans="2:16" x14ac:dyDescent="0.3">
      <c r="B643" s="402" t="s">
        <v>320</v>
      </c>
      <c r="C643" s="10" t="s">
        <v>2076</v>
      </c>
      <c r="D643" s="10">
        <v>1</v>
      </c>
      <c r="E643" s="10">
        <v>0</v>
      </c>
      <c r="F643" s="10">
        <v>1</v>
      </c>
      <c r="G643" s="10">
        <v>1</v>
      </c>
      <c r="H643" s="10">
        <v>1</v>
      </c>
      <c r="I643" s="10" t="s">
        <v>322</v>
      </c>
      <c r="J643" s="69">
        <f t="shared" si="64"/>
        <v>10611</v>
      </c>
      <c r="K643" s="10">
        <f t="shared" si="62"/>
        <v>611</v>
      </c>
      <c r="L643" s="10">
        <f t="shared" si="63"/>
        <v>610</v>
      </c>
      <c r="M643" s="10" t="s">
        <v>142</v>
      </c>
      <c r="N643" s="10" t="s">
        <v>324</v>
      </c>
      <c r="O643" s="7"/>
      <c r="P643" s="69"/>
    </row>
    <row r="644" spans="2:16" x14ac:dyDescent="0.3">
      <c r="B644" s="10" t="s">
        <v>1826</v>
      </c>
      <c r="C644" s="10" t="s">
        <v>2076</v>
      </c>
      <c r="D644" s="10">
        <v>1</v>
      </c>
      <c r="E644" s="10">
        <v>0</v>
      </c>
      <c r="F644" s="10">
        <v>1</v>
      </c>
      <c r="G644" s="10">
        <v>1</v>
      </c>
      <c r="H644" s="10">
        <v>1</v>
      </c>
      <c r="I644" s="10" t="s">
        <v>322</v>
      </c>
      <c r="J644" s="69">
        <f t="shared" si="64"/>
        <v>10612</v>
      </c>
      <c r="K644" s="10">
        <f t="shared" si="62"/>
        <v>612</v>
      </c>
      <c r="L644" s="10">
        <f t="shared" si="63"/>
        <v>611</v>
      </c>
      <c r="M644" s="10" t="s">
        <v>142</v>
      </c>
      <c r="N644" s="10" t="s">
        <v>324</v>
      </c>
      <c r="O644" s="7"/>
      <c r="P644" s="69"/>
    </row>
    <row r="645" spans="2:16" x14ac:dyDescent="0.3">
      <c r="B645" s="10" t="s">
        <v>1827</v>
      </c>
      <c r="C645" s="10" t="s">
        <v>2076</v>
      </c>
      <c r="D645" s="10">
        <v>1</v>
      </c>
      <c r="E645" s="10">
        <v>0</v>
      </c>
      <c r="F645" s="10">
        <v>1</v>
      </c>
      <c r="G645" s="10">
        <v>1</v>
      </c>
      <c r="H645" s="10">
        <v>1</v>
      </c>
      <c r="I645" s="10" t="s">
        <v>322</v>
      </c>
      <c r="J645" s="69">
        <f t="shared" si="64"/>
        <v>10613</v>
      </c>
      <c r="K645" s="10">
        <f t="shared" si="62"/>
        <v>613</v>
      </c>
      <c r="L645" s="10">
        <f t="shared" si="63"/>
        <v>612</v>
      </c>
      <c r="M645" s="10" t="s">
        <v>142</v>
      </c>
      <c r="N645" s="10" t="s">
        <v>324</v>
      </c>
      <c r="O645" s="7"/>
      <c r="P645" s="69"/>
    </row>
    <row r="646" spans="2:16" x14ac:dyDescent="0.3">
      <c r="B646" s="10" t="s">
        <v>1828</v>
      </c>
      <c r="C646" s="10" t="s">
        <v>2076</v>
      </c>
      <c r="D646" s="10">
        <v>1</v>
      </c>
      <c r="E646" s="10">
        <v>0</v>
      </c>
      <c r="F646" s="10">
        <v>1</v>
      </c>
      <c r="G646" s="10">
        <v>1</v>
      </c>
      <c r="H646" s="10">
        <v>1</v>
      </c>
      <c r="I646" s="10" t="s">
        <v>322</v>
      </c>
      <c r="J646" s="69">
        <f t="shared" si="64"/>
        <v>10614</v>
      </c>
      <c r="K646" s="10">
        <f t="shared" si="62"/>
        <v>614</v>
      </c>
      <c r="L646" s="10">
        <f t="shared" si="63"/>
        <v>613</v>
      </c>
      <c r="M646" s="10" t="s">
        <v>142</v>
      </c>
      <c r="N646" s="10" t="s">
        <v>324</v>
      </c>
      <c r="O646" s="7"/>
      <c r="P646" s="69"/>
    </row>
    <row r="647" spans="2:16" x14ac:dyDescent="0.3">
      <c r="B647" s="10" t="s">
        <v>320</v>
      </c>
      <c r="C647" s="10" t="s">
        <v>2076</v>
      </c>
      <c r="D647" s="10">
        <v>1</v>
      </c>
      <c r="E647" s="10">
        <v>0</v>
      </c>
      <c r="F647" s="10">
        <v>1</v>
      </c>
      <c r="G647" s="10">
        <v>1</v>
      </c>
      <c r="H647" s="10">
        <v>1</v>
      </c>
      <c r="I647" s="10" t="s">
        <v>322</v>
      </c>
      <c r="J647" s="69">
        <f t="shared" si="64"/>
        <v>10615</v>
      </c>
      <c r="K647" s="10">
        <f t="shared" si="62"/>
        <v>615</v>
      </c>
      <c r="L647" s="10">
        <f t="shared" si="63"/>
        <v>614</v>
      </c>
      <c r="M647" s="10" t="s">
        <v>142</v>
      </c>
      <c r="N647" s="10" t="s">
        <v>324</v>
      </c>
      <c r="O647" s="7"/>
      <c r="P647" s="69"/>
    </row>
    <row r="648" spans="2:16" x14ac:dyDescent="0.3">
      <c r="B648" s="221" t="s">
        <v>320</v>
      </c>
      <c r="C648" s="10" t="s">
        <v>2076</v>
      </c>
      <c r="D648" s="10">
        <v>1</v>
      </c>
      <c r="E648" s="10">
        <v>0</v>
      </c>
      <c r="F648" s="10">
        <v>1</v>
      </c>
      <c r="G648" s="10">
        <v>1</v>
      </c>
      <c r="H648" s="10">
        <v>1</v>
      </c>
      <c r="I648" s="10" t="s">
        <v>322</v>
      </c>
      <c r="J648" s="69">
        <f t="shared" si="64"/>
        <v>10616</v>
      </c>
      <c r="K648" s="10">
        <f t="shared" si="62"/>
        <v>616</v>
      </c>
      <c r="L648" s="10">
        <f t="shared" si="63"/>
        <v>615</v>
      </c>
      <c r="M648" s="10" t="s">
        <v>142</v>
      </c>
      <c r="N648" s="10" t="s">
        <v>324</v>
      </c>
      <c r="O648" s="7"/>
      <c r="P648" s="69"/>
    </row>
    <row r="649" spans="2:16" x14ac:dyDescent="0.3">
      <c r="B649" s="10" t="s">
        <v>1829</v>
      </c>
      <c r="C649" s="10" t="s">
        <v>2076</v>
      </c>
      <c r="D649" s="10">
        <v>1</v>
      </c>
      <c r="E649" s="10">
        <v>0</v>
      </c>
      <c r="F649" s="10">
        <v>1</v>
      </c>
      <c r="G649" s="10">
        <v>1</v>
      </c>
      <c r="H649" s="10">
        <v>1</v>
      </c>
      <c r="I649" s="10" t="s">
        <v>322</v>
      </c>
      <c r="J649" s="69">
        <f t="shared" si="64"/>
        <v>10617</v>
      </c>
      <c r="K649" s="10">
        <f t="shared" si="62"/>
        <v>617</v>
      </c>
      <c r="L649" s="10">
        <f t="shared" si="63"/>
        <v>616</v>
      </c>
      <c r="M649" s="10" t="s">
        <v>142</v>
      </c>
      <c r="N649" s="10" t="s">
        <v>324</v>
      </c>
      <c r="O649" s="7"/>
      <c r="P649" s="69"/>
    </row>
    <row r="650" spans="2:16" x14ac:dyDescent="0.3">
      <c r="B650" s="10" t="s">
        <v>743</v>
      </c>
      <c r="C650" s="10" t="s">
        <v>2076</v>
      </c>
      <c r="D650" s="10">
        <v>1</v>
      </c>
      <c r="E650" s="10">
        <v>0</v>
      </c>
      <c r="F650" s="10">
        <v>1</v>
      </c>
      <c r="G650" s="10">
        <v>1</v>
      </c>
      <c r="H650" s="10">
        <v>1</v>
      </c>
      <c r="I650" s="10" t="s">
        <v>322</v>
      </c>
      <c r="J650" s="69">
        <f t="shared" si="64"/>
        <v>10618</v>
      </c>
      <c r="K650" s="10">
        <f t="shared" si="62"/>
        <v>618</v>
      </c>
      <c r="L650" s="10">
        <f t="shared" si="63"/>
        <v>617</v>
      </c>
      <c r="M650" s="10" t="s">
        <v>142</v>
      </c>
      <c r="N650" s="10" t="s">
        <v>324</v>
      </c>
      <c r="O650" s="7"/>
      <c r="P650" s="69"/>
    </row>
    <row r="651" spans="2:16" x14ac:dyDescent="0.3">
      <c r="B651" s="69" t="s">
        <v>320</v>
      </c>
      <c r="C651" s="10" t="s">
        <v>2076</v>
      </c>
      <c r="D651" s="10">
        <v>1</v>
      </c>
      <c r="E651" s="10">
        <v>0</v>
      </c>
      <c r="F651" s="10">
        <v>1</v>
      </c>
      <c r="G651" s="10">
        <v>1</v>
      </c>
      <c r="H651" s="10">
        <v>1</v>
      </c>
      <c r="I651" s="10" t="s">
        <v>322</v>
      </c>
      <c r="J651" s="69">
        <f t="shared" si="64"/>
        <v>10619</v>
      </c>
      <c r="K651" s="10">
        <f t="shared" si="62"/>
        <v>619</v>
      </c>
      <c r="L651" s="10">
        <f t="shared" si="63"/>
        <v>618</v>
      </c>
      <c r="M651" s="10" t="s">
        <v>142</v>
      </c>
      <c r="N651" s="10" t="s">
        <v>324</v>
      </c>
      <c r="O651" s="7"/>
      <c r="P651" s="69"/>
    </row>
    <row r="652" spans="2:16" x14ac:dyDescent="0.3">
      <c r="B652" s="282" t="s">
        <v>320</v>
      </c>
      <c r="C652" s="10" t="s">
        <v>2076</v>
      </c>
      <c r="D652" s="10">
        <v>1</v>
      </c>
      <c r="E652" s="10">
        <v>0</v>
      </c>
      <c r="F652" s="10">
        <v>1</v>
      </c>
      <c r="G652" s="10">
        <v>1</v>
      </c>
      <c r="H652" s="10">
        <v>1</v>
      </c>
      <c r="I652" s="10" t="s">
        <v>322</v>
      </c>
      <c r="J652" s="69">
        <f t="shared" si="64"/>
        <v>10620</v>
      </c>
      <c r="K652" s="10">
        <f t="shared" si="62"/>
        <v>620</v>
      </c>
      <c r="L652" s="10">
        <f t="shared" si="63"/>
        <v>619</v>
      </c>
      <c r="M652" s="10" t="s">
        <v>142</v>
      </c>
      <c r="N652" s="10" t="s">
        <v>324</v>
      </c>
      <c r="O652" s="7"/>
      <c r="P652" s="69"/>
    </row>
    <row r="653" spans="2:16" x14ac:dyDescent="0.3">
      <c r="B653" s="69" t="s">
        <v>1830</v>
      </c>
      <c r="C653" s="10" t="s">
        <v>2076</v>
      </c>
      <c r="D653" s="10">
        <v>1</v>
      </c>
      <c r="E653" s="10">
        <v>0</v>
      </c>
      <c r="F653" s="10">
        <v>1</v>
      </c>
      <c r="G653" s="10">
        <v>1</v>
      </c>
      <c r="H653" s="10">
        <v>1</v>
      </c>
      <c r="I653" s="10" t="s">
        <v>322</v>
      </c>
      <c r="J653" s="69">
        <f t="shared" si="64"/>
        <v>10621</v>
      </c>
      <c r="K653" s="10">
        <f t="shared" si="62"/>
        <v>621</v>
      </c>
      <c r="L653" s="10">
        <f t="shared" si="63"/>
        <v>620</v>
      </c>
      <c r="M653" s="10" t="s">
        <v>142</v>
      </c>
      <c r="N653" s="10" t="s">
        <v>324</v>
      </c>
      <c r="O653" s="7"/>
      <c r="P653" s="69"/>
    </row>
    <row r="654" spans="2:16" x14ac:dyDescent="0.3">
      <c r="B654" s="10" t="s">
        <v>1831</v>
      </c>
      <c r="C654" s="10" t="s">
        <v>2076</v>
      </c>
      <c r="D654" s="10">
        <v>1</v>
      </c>
      <c r="E654" s="10">
        <v>0</v>
      </c>
      <c r="F654" s="10">
        <v>1</v>
      </c>
      <c r="G654" s="10">
        <v>1</v>
      </c>
      <c r="H654" s="10">
        <v>1</v>
      </c>
      <c r="I654" s="10" t="s">
        <v>322</v>
      </c>
      <c r="J654" s="69">
        <f t="shared" si="64"/>
        <v>10622</v>
      </c>
      <c r="K654" s="10">
        <f t="shared" si="62"/>
        <v>622</v>
      </c>
      <c r="L654" s="10">
        <f t="shared" si="63"/>
        <v>621</v>
      </c>
      <c r="M654" s="10" t="s">
        <v>142</v>
      </c>
      <c r="N654" s="10" t="s">
        <v>324</v>
      </c>
      <c r="O654" s="7"/>
      <c r="P654" s="69"/>
    </row>
    <row r="655" spans="2:16" x14ac:dyDescent="0.3">
      <c r="B655" s="69" t="s">
        <v>743</v>
      </c>
      <c r="C655" s="10" t="s">
        <v>2076</v>
      </c>
      <c r="D655" s="10">
        <v>1</v>
      </c>
      <c r="E655" s="10">
        <v>0</v>
      </c>
      <c r="F655" s="10">
        <v>1</v>
      </c>
      <c r="G655" s="10">
        <v>1</v>
      </c>
      <c r="H655" s="10">
        <v>1</v>
      </c>
      <c r="I655" s="10" t="s">
        <v>322</v>
      </c>
      <c r="J655" s="69">
        <f t="shared" si="64"/>
        <v>10623</v>
      </c>
      <c r="K655" s="10">
        <f t="shared" si="62"/>
        <v>623</v>
      </c>
      <c r="L655" s="10">
        <f t="shared" si="63"/>
        <v>622</v>
      </c>
      <c r="M655" s="10" t="s">
        <v>142</v>
      </c>
      <c r="N655" s="10" t="s">
        <v>324</v>
      </c>
      <c r="O655" s="7"/>
      <c r="P655" s="69"/>
    </row>
    <row r="656" spans="2:16" x14ac:dyDescent="0.3">
      <c r="B656" s="142" t="s">
        <v>2164</v>
      </c>
      <c r="C656" s="10" t="s">
        <v>2076</v>
      </c>
      <c r="D656" s="10">
        <v>1</v>
      </c>
      <c r="E656" s="10">
        <v>0</v>
      </c>
      <c r="F656" s="10">
        <v>1</v>
      </c>
      <c r="G656" s="10">
        <v>1</v>
      </c>
      <c r="H656" s="10">
        <v>1</v>
      </c>
      <c r="I656" s="10" t="s">
        <v>322</v>
      </c>
      <c r="J656" s="69">
        <f t="shared" si="64"/>
        <v>10624</v>
      </c>
      <c r="K656" s="10">
        <f t="shared" si="62"/>
        <v>624</v>
      </c>
      <c r="L656" s="10">
        <f t="shared" si="63"/>
        <v>623</v>
      </c>
      <c r="M656" s="10" t="s">
        <v>142</v>
      </c>
      <c r="N656" s="10" t="s">
        <v>324</v>
      </c>
      <c r="O656" s="7"/>
      <c r="P656" s="69"/>
    </row>
    <row r="657" spans="2:16" x14ac:dyDescent="0.3">
      <c r="B657" s="69" t="s">
        <v>320</v>
      </c>
      <c r="C657" s="10" t="s">
        <v>2076</v>
      </c>
      <c r="D657" s="10">
        <v>1</v>
      </c>
      <c r="E657" s="10">
        <v>0</v>
      </c>
      <c r="F657" s="10">
        <v>1</v>
      </c>
      <c r="G657" s="10">
        <v>1</v>
      </c>
      <c r="H657" s="10">
        <v>1</v>
      </c>
      <c r="I657" s="10" t="s">
        <v>322</v>
      </c>
      <c r="J657" s="69">
        <f t="shared" si="64"/>
        <v>10625</v>
      </c>
      <c r="K657" s="10">
        <f t="shared" si="62"/>
        <v>625</v>
      </c>
      <c r="L657" s="10">
        <f t="shared" si="63"/>
        <v>624</v>
      </c>
      <c r="M657" s="10" t="s">
        <v>142</v>
      </c>
      <c r="N657" s="10" t="s">
        <v>324</v>
      </c>
      <c r="O657" s="7"/>
      <c r="P657" s="69"/>
    </row>
    <row r="658" spans="2:16" x14ac:dyDescent="0.3">
      <c r="B658" s="69" t="s">
        <v>320</v>
      </c>
      <c r="C658" s="10" t="s">
        <v>2076</v>
      </c>
      <c r="D658" s="10">
        <v>1</v>
      </c>
      <c r="E658" s="10">
        <v>0</v>
      </c>
      <c r="F658" s="10">
        <v>1</v>
      </c>
      <c r="G658" s="10">
        <v>1</v>
      </c>
      <c r="H658" s="10">
        <v>1</v>
      </c>
      <c r="I658" s="10" t="s">
        <v>322</v>
      </c>
      <c r="J658" s="69">
        <f t="shared" si="64"/>
        <v>10626</v>
      </c>
      <c r="K658" s="10">
        <f t="shared" si="62"/>
        <v>626</v>
      </c>
      <c r="L658" s="10">
        <f t="shared" si="63"/>
        <v>625</v>
      </c>
      <c r="M658" s="10" t="s">
        <v>142</v>
      </c>
      <c r="N658" s="10" t="s">
        <v>324</v>
      </c>
      <c r="O658" s="7"/>
      <c r="P658" s="69"/>
    </row>
    <row r="659" spans="2:16" x14ac:dyDescent="0.3">
      <c r="B659" s="69" t="s">
        <v>320</v>
      </c>
      <c r="C659" s="10" t="s">
        <v>2076</v>
      </c>
      <c r="D659" s="10">
        <v>1</v>
      </c>
      <c r="E659" s="10">
        <v>0</v>
      </c>
      <c r="F659" s="10">
        <v>1</v>
      </c>
      <c r="G659" s="10">
        <v>1</v>
      </c>
      <c r="H659" s="10">
        <v>1</v>
      </c>
      <c r="I659" s="10" t="s">
        <v>322</v>
      </c>
      <c r="J659" s="69">
        <f t="shared" si="64"/>
        <v>10627</v>
      </c>
      <c r="K659" s="10">
        <f t="shared" si="62"/>
        <v>627</v>
      </c>
      <c r="L659" s="10">
        <f t="shared" si="63"/>
        <v>626</v>
      </c>
      <c r="M659" s="10" t="s">
        <v>142</v>
      </c>
      <c r="N659" s="10" t="s">
        <v>324</v>
      </c>
      <c r="O659" s="7"/>
      <c r="P659" s="69"/>
    </row>
    <row r="660" spans="2:16" x14ac:dyDescent="0.3">
      <c r="B660" s="69" t="s">
        <v>320</v>
      </c>
      <c r="C660" s="10" t="s">
        <v>2076</v>
      </c>
      <c r="D660" s="10">
        <v>1</v>
      </c>
      <c r="E660" s="10">
        <v>0</v>
      </c>
      <c r="F660" s="10">
        <v>1</v>
      </c>
      <c r="G660" s="10">
        <v>1</v>
      </c>
      <c r="H660" s="10">
        <v>1</v>
      </c>
      <c r="I660" s="10" t="s">
        <v>322</v>
      </c>
      <c r="J660" s="69">
        <f t="shared" si="64"/>
        <v>10628</v>
      </c>
      <c r="K660" s="10">
        <f t="shared" si="62"/>
        <v>628</v>
      </c>
      <c r="L660" s="10">
        <f t="shared" si="63"/>
        <v>627</v>
      </c>
      <c r="M660" s="10" t="s">
        <v>142</v>
      </c>
      <c r="N660" s="10" t="s">
        <v>324</v>
      </c>
      <c r="O660" s="7"/>
      <c r="P660" s="69"/>
    </row>
    <row r="661" spans="2:16" x14ac:dyDescent="0.3">
      <c r="B661" s="69" t="s">
        <v>320</v>
      </c>
      <c r="C661" s="10" t="s">
        <v>2076</v>
      </c>
      <c r="D661" s="10">
        <v>1</v>
      </c>
      <c r="E661" s="10">
        <v>0</v>
      </c>
      <c r="F661" s="10">
        <v>1</v>
      </c>
      <c r="G661" s="10">
        <v>1</v>
      </c>
      <c r="H661" s="10">
        <v>1</v>
      </c>
      <c r="I661" s="10" t="s">
        <v>322</v>
      </c>
      <c r="J661" s="69">
        <f t="shared" si="64"/>
        <v>10629</v>
      </c>
      <c r="K661" s="10">
        <f t="shared" si="62"/>
        <v>629</v>
      </c>
      <c r="L661" s="10">
        <f t="shared" si="63"/>
        <v>628</v>
      </c>
      <c r="M661" s="10" t="s">
        <v>142</v>
      </c>
      <c r="N661" s="10" t="s">
        <v>324</v>
      </c>
      <c r="O661" s="7"/>
      <c r="P661" s="69"/>
    </row>
    <row r="662" spans="2:16" x14ac:dyDescent="0.3">
      <c r="B662" s="69" t="s">
        <v>320</v>
      </c>
      <c r="C662" s="10" t="s">
        <v>2076</v>
      </c>
      <c r="D662" s="10">
        <v>1</v>
      </c>
      <c r="E662" s="10">
        <v>0</v>
      </c>
      <c r="F662" s="10">
        <v>1</v>
      </c>
      <c r="G662" s="10">
        <v>1</v>
      </c>
      <c r="H662" s="10">
        <v>1</v>
      </c>
      <c r="I662" s="10" t="s">
        <v>322</v>
      </c>
      <c r="J662" s="69">
        <f t="shared" si="64"/>
        <v>10630</v>
      </c>
      <c r="K662" s="10">
        <f t="shared" si="62"/>
        <v>630</v>
      </c>
      <c r="L662" s="10">
        <f t="shared" si="63"/>
        <v>629</v>
      </c>
      <c r="M662" s="10" t="s">
        <v>142</v>
      </c>
      <c r="N662" s="10" t="s">
        <v>324</v>
      </c>
      <c r="O662" s="7"/>
      <c r="P662" s="69"/>
    </row>
    <row r="663" spans="2:16" x14ac:dyDescent="0.3">
      <c r="B663" s="69" t="s">
        <v>320</v>
      </c>
      <c r="C663" s="10" t="s">
        <v>2076</v>
      </c>
      <c r="D663" s="10">
        <v>1</v>
      </c>
      <c r="E663" s="10">
        <v>0</v>
      </c>
      <c r="F663" s="10">
        <v>1</v>
      </c>
      <c r="G663" s="10">
        <v>1</v>
      </c>
      <c r="H663" s="10">
        <v>1</v>
      </c>
      <c r="I663" s="10" t="s">
        <v>322</v>
      </c>
      <c r="J663" s="69">
        <f t="shared" si="64"/>
        <v>10631</v>
      </c>
      <c r="K663" s="10">
        <f t="shared" si="62"/>
        <v>631</v>
      </c>
      <c r="L663" s="10">
        <f t="shared" si="63"/>
        <v>630</v>
      </c>
      <c r="M663" s="10" t="s">
        <v>142</v>
      </c>
      <c r="N663" s="10" t="s">
        <v>324</v>
      </c>
      <c r="O663" s="7"/>
      <c r="P663" s="69"/>
    </row>
    <row r="664" spans="2:16" x14ac:dyDescent="0.3">
      <c r="B664" s="69" t="s">
        <v>320</v>
      </c>
      <c r="C664" s="10" t="s">
        <v>2076</v>
      </c>
      <c r="D664" s="10">
        <v>1</v>
      </c>
      <c r="E664" s="10">
        <v>0</v>
      </c>
      <c r="F664" s="10">
        <v>1</v>
      </c>
      <c r="G664" s="10">
        <v>1</v>
      </c>
      <c r="H664" s="10">
        <v>1</v>
      </c>
      <c r="I664" s="10" t="s">
        <v>322</v>
      </c>
      <c r="J664" s="69">
        <f t="shared" si="64"/>
        <v>10632</v>
      </c>
      <c r="K664" s="10">
        <f t="shared" si="62"/>
        <v>632</v>
      </c>
      <c r="L664" s="10">
        <f t="shared" si="63"/>
        <v>631</v>
      </c>
      <c r="M664" s="10" t="s">
        <v>142</v>
      </c>
      <c r="N664" s="10" t="s">
        <v>324</v>
      </c>
      <c r="O664" s="7"/>
      <c r="P664" s="69"/>
    </row>
    <row r="665" spans="2:16" x14ac:dyDescent="0.3">
      <c r="B665" s="69" t="s">
        <v>320</v>
      </c>
      <c r="C665" s="10" t="s">
        <v>2076</v>
      </c>
      <c r="D665" s="10">
        <v>1</v>
      </c>
      <c r="E665" s="10">
        <v>0</v>
      </c>
      <c r="F665" s="10">
        <v>1</v>
      </c>
      <c r="G665" s="10">
        <v>1</v>
      </c>
      <c r="H665" s="10">
        <v>1</v>
      </c>
      <c r="I665" s="10" t="s">
        <v>322</v>
      </c>
      <c r="J665" s="69">
        <f t="shared" si="64"/>
        <v>10633</v>
      </c>
      <c r="K665" s="10">
        <f t="shared" si="62"/>
        <v>633</v>
      </c>
      <c r="L665" s="10">
        <f t="shared" si="63"/>
        <v>632</v>
      </c>
      <c r="M665" s="10" t="s">
        <v>142</v>
      </c>
      <c r="N665" s="10" t="s">
        <v>324</v>
      </c>
      <c r="O665" s="7"/>
      <c r="P665" s="69"/>
    </row>
    <row r="666" spans="2:16" x14ac:dyDescent="0.3">
      <c r="B666" s="69" t="s">
        <v>320</v>
      </c>
      <c r="C666" s="10" t="s">
        <v>2076</v>
      </c>
      <c r="D666" s="10">
        <v>1</v>
      </c>
      <c r="E666" s="10">
        <v>0</v>
      </c>
      <c r="F666" s="10">
        <v>1</v>
      </c>
      <c r="G666" s="10">
        <v>1</v>
      </c>
      <c r="H666" s="10">
        <v>1</v>
      </c>
      <c r="I666" s="10" t="s">
        <v>322</v>
      </c>
      <c r="J666" s="69">
        <f t="shared" si="64"/>
        <v>10634</v>
      </c>
      <c r="K666" s="10">
        <f t="shared" si="62"/>
        <v>634</v>
      </c>
      <c r="L666" s="10">
        <f t="shared" si="63"/>
        <v>633</v>
      </c>
      <c r="M666" s="10" t="s">
        <v>142</v>
      </c>
      <c r="N666" s="10" t="s">
        <v>324</v>
      </c>
      <c r="O666" s="7"/>
      <c r="P666" s="69"/>
    </row>
    <row r="667" spans="2:16" x14ac:dyDescent="0.3">
      <c r="B667" s="69" t="s">
        <v>320</v>
      </c>
      <c r="C667" s="10" t="s">
        <v>2076</v>
      </c>
      <c r="D667" s="10">
        <v>1</v>
      </c>
      <c r="E667" s="10">
        <v>0</v>
      </c>
      <c r="F667" s="10">
        <v>1</v>
      </c>
      <c r="G667" s="10">
        <v>1</v>
      </c>
      <c r="H667" s="10">
        <v>1</v>
      </c>
      <c r="I667" s="10" t="s">
        <v>322</v>
      </c>
      <c r="J667" s="69">
        <f t="shared" si="64"/>
        <v>10635</v>
      </c>
      <c r="K667" s="10">
        <f t="shared" si="62"/>
        <v>635</v>
      </c>
      <c r="L667" s="10">
        <f t="shared" si="63"/>
        <v>634</v>
      </c>
      <c r="M667" s="10" t="s">
        <v>142</v>
      </c>
      <c r="N667" s="10" t="s">
        <v>324</v>
      </c>
      <c r="O667" s="7"/>
      <c r="P667" s="69"/>
    </row>
    <row r="668" spans="2:16" x14ac:dyDescent="0.3">
      <c r="B668" s="69" t="s">
        <v>320</v>
      </c>
      <c r="C668" s="10" t="s">
        <v>2076</v>
      </c>
      <c r="D668" s="10">
        <v>1</v>
      </c>
      <c r="E668" s="10">
        <v>0</v>
      </c>
      <c r="F668" s="10">
        <v>1</v>
      </c>
      <c r="G668" s="10">
        <v>1</v>
      </c>
      <c r="H668" s="10">
        <v>1</v>
      </c>
      <c r="I668" s="10" t="s">
        <v>322</v>
      </c>
      <c r="J668" s="69">
        <f t="shared" si="64"/>
        <v>10636</v>
      </c>
      <c r="K668" s="10">
        <f t="shared" si="62"/>
        <v>636</v>
      </c>
      <c r="L668" s="10">
        <f t="shared" si="63"/>
        <v>635</v>
      </c>
      <c r="M668" s="10" t="s">
        <v>142</v>
      </c>
      <c r="N668" s="10" t="s">
        <v>324</v>
      </c>
      <c r="O668" s="7"/>
      <c r="P668" s="69"/>
    </row>
    <row r="669" spans="2:16" x14ac:dyDescent="0.3">
      <c r="B669" s="69" t="s">
        <v>320</v>
      </c>
      <c r="C669" s="10" t="s">
        <v>2076</v>
      </c>
      <c r="D669" s="10">
        <v>1</v>
      </c>
      <c r="E669" s="10">
        <v>0</v>
      </c>
      <c r="F669" s="10">
        <v>1</v>
      </c>
      <c r="G669" s="10">
        <v>1</v>
      </c>
      <c r="H669" s="10">
        <v>1</v>
      </c>
      <c r="I669" s="10" t="s">
        <v>322</v>
      </c>
      <c r="J669" s="69">
        <f t="shared" si="64"/>
        <v>10637</v>
      </c>
      <c r="K669" s="10">
        <f t="shared" si="62"/>
        <v>637</v>
      </c>
      <c r="L669" s="10">
        <f t="shared" si="63"/>
        <v>636</v>
      </c>
      <c r="M669" s="10" t="s">
        <v>142</v>
      </c>
      <c r="N669" s="10" t="s">
        <v>324</v>
      </c>
      <c r="O669" s="7"/>
      <c r="P669" s="69"/>
    </row>
    <row r="670" spans="2:16" x14ac:dyDescent="0.3">
      <c r="B670" s="69" t="s">
        <v>320</v>
      </c>
      <c r="C670" s="10" t="s">
        <v>2076</v>
      </c>
      <c r="D670" s="10">
        <v>1</v>
      </c>
      <c r="E670" s="10">
        <v>0</v>
      </c>
      <c r="F670" s="10">
        <v>1</v>
      </c>
      <c r="G670" s="10">
        <v>1</v>
      </c>
      <c r="H670" s="10">
        <v>1</v>
      </c>
      <c r="I670" s="10" t="s">
        <v>322</v>
      </c>
      <c r="J670" s="69">
        <f t="shared" si="64"/>
        <v>10638</v>
      </c>
      <c r="K670" s="10">
        <f t="shared" si="62"/>
        <v>638</v>
      </c>
      <c r="L670" s="10">
        <f t="shared" si="63"/>
        <v>637</v>
      </c>
      <c r="M670" s="10" t="s">
        <v>142</v>
      </c>
      <c r="N670" s="10" t="s">
        <v>324</v>
      </c>
      <c r="O670" s="7"/>
      <c r="P670" s="69"/>
    </row>
    <row r="671" spans="2:16" x14ac:dyDescent="0.3">
      <c r="B671" s="69" t="s">
        <v>320</v>
      </c>
      <c r="C671" s="10" t="s">
        <v>2076</v>
      </c>
      <c r="D671" s="10">
        <v>1</v>
      </c>
      <c r="E671" s="10">
        <v>0</v>
      </c>
      <c r="F671" s="10">
        <v>1</v>
      </c>
      <c r="G671" s="10">
        <v>1</v>
      </c>
      <c r="H671" s="10">
        <v>1</v>
      </c>
      <c r="I671" s="10" t="s">
        <v>322</v>
      </c>
      <c r="J671" s="69">
        <f t="shared" si="64"/>
        <v>10639</v>
      </c>
      <c r="K671" s="10">
        <f t="shared" si="62"/>
        <v>639</v>
      </c>
      <c r="L671" s="10">
        <f t="shared" si="63"/>
        <v>638</v>
      </c>
      <c r="M671" s="10" t="s">
        <v>142</v>
      </c>
      <c r="N671" s="10" t="s">
        <v>324</v>
      </c>
      <c r="O671" s="7"/>
      <c r="P671" s="69"/>
    </row>
    <row r="672" spans="2:16" x14ac:dyDescent="0.3">
      <c r="B672" s="69" t="s">
        <v>320</v>
      </c>
      <c r="C672" s="10" t="s">
        <v>2076</v>
      </c>
      <c r="D672" s="10">
        <v>1</v>
      </c>
      <c r="E672" s="10">
        <v>0</v>
      </c>
      <c r="F672" s="10">
        <v>1</v>
      </c>
      <c r="G672" s="10">
        <v>1</v>
      </c>
      <c r="H672" s="10">
        <v>1</v>
      </c>
      <c r="I672" s="10" t="s">
        <v>322</v>
      </c>
      <c r="J672" s="69">
        <f t="shared" si="64"/>
        <v>10640</v>
      </c>
      <c r="K672" s="10">
        <f t="shared" si="62"/>
        <v>640</v>
      </c>
      <c r="L672" s="10">
        <f t="shared" si="63"/>
        <v>639</v>
      </c>
      <c r="M672" s="10" t="s">
        <v>142</v>
      </c>
      <c r="N672" s="10" t="s">
        <v>324</v>
      </c>
      <c r="O672" s="7"/>
      <c r="P672" s="69"/>
    </row>
    <row r="673" spans="2:16" x14ac:dyDescent="0.3">
      <c r="B673" s="496" t="s">
        <v>2165</v>
      </c>
      <c r="C673" s="496"/>
      <c r="D673" s="496"/>
      <c r="E673" s="496"/>
      <c r="F673" s="496"/>
      <c r="G673" s="496"/>
      <c r="H673" s="496"/>
      <c r="I673" s="496"/>
      <c r="J673" s="496"/>
      <c r="K673" s="496"/>
      <c r="L673" s="496"/>
      <c r="M673" s="496"/>
      <c r="N673" s="496"/>
      <c r="O673" s="496"/>
      <c r="P673" s="496"/>
    </row>
    <row r="674" spans="2:16" x14ac:dyDescent="0.3">
      <c r="B674" s="10" t="s">
        <v>1829</v>
      </c>
      <c r="C674" s="10" t="s">
        <v>2076</v>
      </c>
      <c r="D674" s="10">
        <v>1</v>
      </c>
      <c r="E674" s="10">
        <v>0</v>
      </c>
      <c r="F674" s="10">
        <v>1</v>
      </c>
      <c r="G674" s="10">
        <v>1</v>
      </c>
      <c r="H674" s="10">
        <v>1</v>
      </c>
      <c r="I674" s="10" t="s">
        <v>322</v>
      </c>
      <c r="J674" s="69">
        <f>J672+D672</f>
        <v>10641</v>
      </c>
      <c r="K674" s="10">
        <f t="shared" ref="K674:K705" si="65">J674-10000</f>
        <v>641</v>
      </c>
      <c r="L674" s="10">
        <f t="shared" ref="L674:L705" si="66">K674-1</f>
        <v>640</v>
      </c>
      <c r="M674" s="10" t="s">
        <v>142</v>
      </c>
      <c r="N674" s="10" t="s">
        <v>324</v>
      </c>
      <c r="O674" s="7"/>
      <c r="P674" s="69"/>
    </row>
    <row r="675" spans="2:16" x14ac:dyDescent="0.3">
      <c r="B675" s="10" t="s">
        <v>1833</v>
      </c>
      <c r="C675" s="10" t="s">
        <v>2076</v>
      </c>
      <c r="D675" s="10">
        <v>1</v>
      </c>
      <c r="E675" s="10">
        <v>0</v>
      </c>
      <c r="F675" s="10">
        <v>1</v>
      </c>
      <c r="G675" s="10">
        <v>1</v>
      </c>
      <c r="H675" s="10">
        <v>1</v>
      </c>
      <c r="I675" s="10" t="s">
        <v>322</v>
      </c>
      <c r="J675" s="69">
        <f t="shared" ref="J675:J705" si="67">J674+D674</f>
        <v>10642</v>
      </c>
      <c r="K675" s="10">
        <f t="shared" si="65"/>
        <v>642</v>
      </c>
      <c r="L675" s="10">
        <f t="shared" si="66"/>
        <v>641</v>
      </c>
      <c r="M675" s="10" t="s">
        <v>142</v>
      </c>
      <c r="N675" s="10" t="s">
        <v>324</v>
      </c>
      <c r="O675" s="7"/>
      <c r="P675" s="69"/>
    </row>
    <row r="676" spans="2:16" x14ac:dyDescent="0.3">
      <c r="B676" s="10" t="s">
        <v>1834</v>
      </c>
      <c r="C676" s="10" t="s">
        <v>2076</v>
      </c>
      <c r="D676" s="10">
        <v>1</v>
      </c>
      <c r="E676" s="10">
        <v>0</v>
      </c>
      <c r="F676" s="10">
        <v>1</v>
      </c>
      <c r="G676" s="10">
        <v>1</v>
      </c>
      <c r="H676" s="10">
        <v>1</v>
      </c>
      <c r="I676" s="10" t="s">
        <v>322</v>
      </c>
      <c r="J676" s="69">
        <f t="shared" si="67"/>
        <v>10643</v>
      </c>
      <c r="K676" s="10">
        <f t="shared" si="65"/>
        <v>643</v>
      </c>
      <c r="L676" s="10">
        <f t="shared" si="66"/>
        <v>642</v>
      </c>
      <c r="M676" s="10" t="s">
        <v>142</v>
      </c>
      <c r="N676" s="10" t="s">
        <v>324</v>
      </c>
      <c r="O676" s="7"/>
      <c r="P676" s="69"/>
    </row>
    <row r="677" spans="2:16" x14ac:dyDescent="0.3">
      <c r="B677" s="142" t="s">
        <v>320</v>
      </c>
      <c r="C677" s="10" t="s">
        <v>2076</v>
      </c>
      <c r="D677" s="10">
        <v>1</v>
      </c>
      <c r="E677" s="10">
        <v>0</v>
      </c>
      <c r="F677" s="10">
        <v>1</v>
      </c>
      <c r="G677" s="10">
        <v>1</v>
      </c>
      <c r="H677" s="10">
        <v>1</v>
      </c>
      <c r="I677" s="10" t="s">
        <v>322</v>
      </c>
      <c r="J677" s="69">
        <f t="shared" si="67"/>
        <v>10644</v>
      </c>
      <c r="K677" s="10">
        <f t="shared" si="65"/>
        <v>644</v>
      </c>
      <c r="L677" s="10">
        <f t="shared" si="66"/>
        <v>643</v>
      </c>
      <c r="M677" s="10" t="s">
        <v>142</v>
      </c>
      <c r="N677" s="10" t="s">
        <v>324</v>
      </c>
      <c r="O677" s="7"/>
      <c r="P677" s="69"/>
    </row>
    <row r="678" spans="2:16" x14ac:dyDescent="0.3">
      <c r="B678" s="10" t="s">
        <v>1835</v>
      </c>
      <c r="C678" s="10" t="s">
        <v>2076</v>
      </c>
      <c r="D678" s="10">
        <v>1</v>
      </c>
      <c r="E678" s="10">
        <v>0</v>
      </c>
      <c r="F678" s="10">
        <v>1</v>
      </c>
      <c r="G678" s="10">
        <v>1</v>
      </c>
      <c r="H678" s="10">
        <v>1</v>
      </c>
      <c r="I678" s="10" t="s">
        <v>322</v>
      </c>
      <c r="J678" s="69">
        <f t="shared" si="67"/>
        <v>10645</v>
      </c>
      <c r="K678" s="10">
        <f t="shared" si="65"/>
        <v>645</v>
      </c>
      <c r="L678" s="10">
        <f t="shared" si="66"/>
        <v>644</v>
      </c>
      <c r="M678" s="10" t="s">
        <v>142</v>
      </c>
      <c r="N678" s="10" t="s">
        <v>324</v>
      </c>
      <c r="O678" s="7"/>
      <c r="P678" s="69"/>
    </row>
    <row r="679" spans="2:16" x14ac:dyDescent="0.3">
      <c r="B679" s="10" t="s">
        <v>320</v>
      </c>
      <c r="C679" s="10" t="s">
        <v>2076</v>
      </c>
      <c r="D679" s="10">
        <v>1</v>
      </c>
      <c r="E679" s="10">
        <v>0</v>
      </c>
      <c r="F679" s="10">
        <v>1</v>
      </c>
      <c r="G679" s="10">
        <v>1</v>
      </c>
      <c r="H679" s="10">
        <v>1</v>
      </c>
      <c r="I679" s="10" t="s">
        <v>322</v>
      </c>
      <c r="J679" s="69">
        <f t="shared" si="67"/>
        <v>10646</v>
      </c>
      <c r="K679" s="10">
        <f t="shared" si="65"/>
        <v>646</v>
      </c>
      <c r="L679" s="10">
        <f t="shared" si="66"/>
        <v>645</v>
      </c>
      <c r="M679" s="10" t="s">
        <v>142</v>
      </c>
      <c r="N679" s="10" t="s">
        <v>324</v>
      </c>
      <c r="O679" s="7"/>
      <c r="P679" s="69"/>
    </row>
    <row r="680" spans="2:16" x14ac:dyDescent="0.3">
      <c r="B680" s="10" t="s">
        <v>1836</v>
      </c>
      <c r="C680" s="10" t="s">
        <v>2076</v>
      </c>
      <c r="D680" s="10">
        <v>1</v>
      </c>
      <c r="E680" s="10">
        <v>0</v>
      </c>
      <c r="F680" s="10">
        <v>1</v>
      </c>
      <c r="G680" s="10">
        <v>1</v>
      </c>
      <c r="H680" s="10">
        <v>1</v>
      </c>
      <c r="I680" s="10" t="s">
        <v>322</v>
      </c>
      <c r="J680" s="69">
        <f t="shared" si="67"/>
        <v>10647</v>
      </c>
      <c r="K680" s="10">
        <f t="shared" si="65"/>
        <v>647</v>
      </c>
      <c r="L680" s="10">
        <f t="shared" si="66"/>
        <v>646</v>
      </c>
      <c r="M680" s="10" t="s">
        <v>142</v>
      </c>
      <c r="N680" s="10" t="s">
        <v>324</v>
      </c>
      <c r="O680" s="7"/>
      <c r="P680" s="69"/>
    </row>
    <row r="681" spans="2:16" x14ac:dyDescent="0.3">
      <c r="B681" s="10" t="s">
        <v>1837</v>
      </c>
      <c r="C681" s="10" t="s">
        <v>2076</v>
      </c>
      <c r="D681" s="10">
        <v>1</v>
      </c>
      <c r="E681" s="10">
        <v>0</v>
      </c>
      <c r="F681" s="10">
        <v>1</v>
      </c>
      <c r="G681" s="10">
        <v>1</v>
      </c>
      <c r="H681" s="10">
        <v>1</v>
      </c>
      <c r="I681" s="10" t="s">
        <v>322</v>
      </c>
      <c r="J681" s="69">
        <f t="shared" si="67"/>
        <v>10648</v>
      </c>
      <c r="K681" s="10">
        <f t="shared" si="65"/>
        <v>648</v>
      </c>
      <c r="L681" s="10">
        <f t="shared" si="66"/>
        <v>647</v>
      </c>
      <c r="M681" s="10" t="s">
        <v>142</v>
      </c>
      <c r="N681" s="10" t="s">
        <v>324</v>
      </c>
      <c r="O681" s="7"/>
      <c r="P681" s="69"/>
    </row>
    <row r="682" spans="2:16" x14ac:dyDescent="0.3">
      <c r="B682" s="10" t="s">
        <v>1838</v>
      </c>
      <c r="C682" s="10" t="s">
        <v>2076</v>
      </c>
      <c r="D682" s="10">
        <v>1</v>
      </c>
      <c r="E682" s="10">
        <v>0</v>
      </c>
      <c r="F682" s="10">
        <v>1</v>
      </c>
      <c r="G682" s="10">
        <v>1</v>
      </c>
      <c r="H682" s="10">
        <v>1</v>
      </c>
      <c r="I682" s="10" t="s">
        <v>322</v>
      </c>
      <c r="J682" s="69">
        <f t="shared" si="67"/>
        <v>10649</v>
      </c>
      <c r="K682" s="10">
        <f t="shared" si="65"/>
        <v>649</v>
      </c>
      <c r="L682" s="10">
        <f t="shared" si="66"/>
        <v>648</v>
      </c>
      <c r="M682" s="10" t="s">
        <v>142</v>
      </c>
      <c r="N682" s="10" t="s">
        <v>324</v>
      </c>
      <c r="O682" s="7"/>
      <c r="P682" s="69"/>
    </row>
    <row r="683" spans="2:16" x14ac:dyDescent="0.3">
      <c r="B683" s="10" t="s">
        <v>1839</v>
      </c>
      <c r="C683" s="10" t="s">
        <v>2076</v>
      </c>
      <c r="D683" s="10">
        <v>1</v>
      </c>
      <c r="E683" s="10">
        <v>0</v>
      </c>
      <c r="F683" s="10">
        <v>1</v>
      </c>
      <c r="G683" s="10">
        <v>1</v>
      </c>
      <c r="H683" s="10">
        <v>1</v>
      </c>
      <c r="I683" s="10" t="s">
        <v>322</v>
      </c>
      <c r="J683" s="69">
        <f t="shared" si="67"/>
        <v>10650</v>
      </c>
      <c r="K683" s="10">
        <f t="shared" si="65"/>
        <v>650</v>
      </c>
      <c r="L683" s="10">
        <f t="shared" si="66"/>
        <v>649</v>
      </c>
      <c r="M683" s="10" t="s">
        <v>142</v>
      </c>
      <c r="N683" s="10" t="s">
        <v>324</v>
      </c>
      <c r="O683" s="7"/>
      <c r="P683" s="69"/>
    </row>
    <row r="684" spans="2:16" x14ac:dyDescent="0.3">
      <c r="B684" s="10" t="s">
        <v>1840</v>
      </c>
      <c r="C684" s="10" t="s">
        <v>2076</v>
      </c>
      <c r="D684" s="10">
        <v>1</v>
      </c>
      <c r="E684" s="10">
        <v>0</v>
      </c>
      <c r="F684" s="10">
        <v>1</v>
      </c>
      <c r="G684" s="10">
        <v>1</v>
      </c>
      <c r="H684" s="10">
        <v>1</v>
      </c>
      <c r="I684" s="10" t="s">
        <v>322</v>
      </c>
      <c r="J684" s="69">
        <f t="shared" si="67"/>
        <v>10651</v>
      </c>
      <c r="K684" s="10">
        <f t="shared" si="65"/>
        <v>651</v>
      </c>
      <c r="L684" s="10">
        <f t="shared" si="66"/>
        <v>650</v>
      </c>
      <c r="M684" s="10" t="s">
        <v>142</v>
      </c>
      <c r="N684" s="10" t="s">
        <v>324</v>
      </c>
      <c r="O684" s="7"/>
      <c r="P684" s="69"/>
    </row>
    <row r="685" spans="2:16" x14ac:dyDescent="0.3">
      <c r="B685" s="10" t="s">
        <v>1841</v>
      </c>
      <c r="C685" s="10" t="s">
        <v>2076</v>
      </c>
      <c r="D685" s="10">
        <v>1</v>
      </c>
      <c r="E685" s="10">
        <v>0</v>
      </c>
      <c r="F685" s="10">
        <v>1</v>
      </c>
      <c r="G685" s="10">
        <v>1</v>
      </c>
      <c r="H685" s="10">
        <v>1</v>
      </c>
      <c r="I685" s="10" t="s">
        <v>322</v>
      </c>
      <c r="J685" s="69">
        <f t="shared" si="67"/>
        <v>10652</v>
      </c>
      <c r="K685" s="10">
        <f t="shared" si="65"/>
        <v>652</v>
      </c>
      <c r="L685" s="10">
        <f t="shared" si="66"/>
        <v>651</v>
      </c>
      <c r="M685" s="10" t="s">
        <v>142</v>
      </c>
      <c r="N685" s="10" t="s">
        <v>324</v>
      </c>
      <c r="O685" s="7"/>
      <c r="P685" s="69"/>
    </row>
    <row r="686" spans="2:16" x14ac:dyDescent="0.3">
      <c r="B686" s="10" t="s">
        <v>1842</v>
      </c>
      <c r="C686" s="10" t="s">
        <v>2076</v>
      </c>
      <c r="D686" s="10">
        <v>1</v>
      </c>
      <c r="E686" s="10">
        <v>0</v>
      </c>
      <c r="F686" s="10">
        <v>1</v>
      </c>
      <c r="G686" s="10">
        <v>1</v>
      </c>
      <c r="H686" s="10">
        <v>1</v>
      </c>
      <c r="I686" s="10" t="s">
        <v>322</v>
      </c>
      <c r="J686" s="69">
        <f t="shared" si="67"/>
        <v>10653</v>
      </c>
      <c r="K686" s="10">
        <f t="shared" si="65"/>
        <v>653</v>
      </c>
      <c r="L686" s="10">
        <f t="shared" si="66"/>
        <v>652</v>
      </c>
      <c r="M686" s="10" t="s">
        <v>142</v>
      </c>
      <c r="N686" s="10" t="s">
        <v>324</v>
      </c>
      <c r="O686" s="7"/>
      <c r="P686" s="69"/>
    </row>
    <row r="687" spans="2:16" x14ac:dyDescent="0.3">
      <c r="B687" s="10" t="s">
        <v>1843</v>
      </c>
      <c r="C687" s="10" t="s">
        <v>2076</v>
      </c>
      <c r="D687" s="10">
        <v>1</v>
      </c>
      <c r="E687" s="10">
        <v>0</v>
      </c>
      <c r="F687" s="10">
        <v>1</v>
      </c>
      <c r="G687" s="10">
        <v>1</v>
      </c>
      <c r="H687" s="10">
        <v>1</v>
      </c>
      <c r="I687" s="10" t="s">
        <v>322</v>
      </c>
      <c r="J687" s="69">
        <f t="shared" si="67"/>
        <v>10654</v>
      </c>
      <c r="K687" s="10">
        <f t="shared" si="65"/>
        <v>654</v>
      </c>
      <c r="L687" s="10">
        <f t="shared" si="66"/>
        <v>653</v>
      </c>
      <c r="M687" s="10" t="s">
        <v>142</v>
      </c>
      <c r="N687" s="10" t="s">
        <v>324</v>
      </c>
      <c r="O687" s="7"/>
      <c r="P687" s="69"/>
    </row>
    <row r="688" spans="2:16" x14ac:dyDescent="0.3">
      <c r="B688" s="10" t="s">
        <v>1844</v>
      </c>
      <c r="C688" s="10" t="s">
        <v>2076</v>
      </c>
      <c r="D688" s="10">
        <v>1</v>
      </c>
      <c r="E688" s="10">
        <v>0</v>
      </c>
      <c r="F688" s="10">
        <v>1</v>
      </c>
      <c r="G688" s="10">
        <v>1</v>
      </c>
      <c r="H688" s="10">
        <v>1</v>
      </c>
      <c r="I688" s="10" t="s">
        <v>322</v>
      </c>
      <c r="J688" s="69">
        <f t="shared" si="67"/>
        <v>10655</v>
      </c>
      <c r="K688" s="10">
        <f t="shared" si="65"/>
        <v>655</v>
      </c>
      <c r="L688" s="10">
        <f t="shared" si="66"/>
        <v>654</v>
      </c>
      <c r="M688" s="10" t="s">
        <v>142</v>
      </c>
      <c r="N688" s="10" t="s">
        <v>324</v>
      </c>
      <c r="O688" s="7"/>
      <c r="P688" s="69"/>
    </row>
    <row r="689" spans="2:16" x14ac:dyDescent="0.3">
      <c r="B689" s="10" t="s">
        <v>1845</v>
      </c>
      <c r="C689" s="10" t="s">
        <v>2076</v>
      </c>
      <c r="D689" s="10">
        <v>1</v>
      </c>
      <c r="E689" s="10">
        <v>0</v>
      </c>
      <c r="F689" s="10">
        <v>1</v>
      </c>
      <c r="G689" s="10">
        <v>1</v>
      </c>
      <c r="H689" s="10">
        <v>1</v>
      </c>
      <c r="I689" s="10" t="s">
        <v>322</v>
      </c>
      <c r="J689" s="69">
        <f t="shared" si="67"/>
        <v>10656</v>
      </c>
      <c r="K689" s="10">
        <f t="shared" si="65"/>
        <v>656</v>
      </c>
      <c r="L689" s="10">
        <f t="shared" si="66"/>
        <v>655</v>
      </c>
      <c r="M689" s="10" t="s">
        <v>142</v>
      </c>
      <c r="N689" s="10" t="s">
        <v>324</v>
      </c>
      <c r="O689" s="7"/>
      <c r="P689" s="69"/>
    </row>
    <row r="690" spans="2:16" x14ac:dyDescent="0.3">
      <c r="B690" s="10" t="s">
        <v>320</v>
      </c>
      <c r="C690" s="10" t="s">
        <v>2076</v>
      </c>
      <c r="D690" s="10">
        <v>1</v>
      </c>
      <c r="E690" s="10">
        <v>0</v>
      </c>
      <c r="F690" s="10">
        <v>1</v>
      </c>
      <c r="G690" s="10">
        <v>1</v>
      </c>
      <c r="H690" s="10">
        <v>1</v>
      </c>
      <c r="I690" s="10" t="s">
        <v>322</v>
      </c>
      <c r="J690" s="69">
        <f t="shared" si="67"/>
        <v>10657</v>
      </c>
      <c r="K690" s="10">
        <f t="shared" si="65"/>
        <v>657</v>
      </c>
      <c r="L690" s="10">
        <f t="shared" si="66"/>
        <v>656</v>
      </c>
      <c r="M690" s="10" t="s">
        <v>142</v>
      </c>
      <c r="N690" s="10" t="s">
        <v>324</v>
      </c>
      <c r="O690" s="7"/>
      <c r="P690" s="69"/>
    </row>
    <row r="691" spans="2:16" x14ac:dyDescent="0.3">
      <c r="B691" s="10" t="s">
        <v>320</v>
      </c>
      <c r="C691" s="10" t="s">
        <v>2076</v>
      </c>
      <c r="D691" s="10">
        <v>1</v>
      </c>
      <c r="E691" s="10">
        <v>0</v>
      </c>
      <c r="F691" s="10">
        <v>1</v>
      </c>
      <c r="G691" s="10">
        <v>1</v>
      </c>
      <c r="H691" s="10">
        <v>1</v>
      </c>
      <c r="I691" s="10" t="s">
        <v>322</v>
      </c>
      <c r="J691" s="69">
        <f t="shared" si="67"/>
        <v>10658</v>
      </c>
      <c r="K691" s="10">
        <f t="shared" si="65"/>
        <v>658</v>
      </c>
      <c r="L691" s="10">
        <f t="shared" si="66"/>
        <v>657</v>
      </c>
      <c r="M691" s="10" t="s">
        <v>142</v>
      </c>
      <c r="N691" s="10" t="s">
        <v>324</v>
      </c>
      <c r="O691" s="7"/>
      <c r="P691" s="69"/>
    </row>
    <row r="692" spans="2:16" x14ac:dyDescent="0.3">
      <c r="B692" s="10" t="s">
        <v>320</v>
      </c>
      <c r="C692" s="10" t="s">
        <v>2076</v>
      </c>
      <c r="D692" s="10">
        <v>1</v>
      </c>
      <c r="E692" s="10">
        <v>0</v>
      </c>
      <c r="F692" s="10">
        <v>1</v>
      </c>
      <c r="G692" s="10">
        <v>1</v>
      </c>
      <c r="H692" s="10">
        <v>1</v>
      </c>
      <c r="I692" s="10" t="s">
        <v>322</v>
      </c>
      <c r="J692" s="69">
        <f t="shared" si="67"/>
        <v>10659</v>
      </c>
      <c r="K692" s="10">
        <f t="shared" si="65"/>
        <v>659</v>
      </c>
      <c r="L692" s="10">
        <f t="shared" si="66"/>
        <v>658</v>
      </c>
      <c r="M692" s="10" t="s">
        <v>142</v>
      </c>
      <c r="N692" s="10" t="s">
        <v>324</v>
      </c>
      <c r="O692" s="7"/>
      <c r="P692" s="69"/>
    </row>
    <row r="693" spans="2:16" x14ac:dyDescent="0.3">
      <c r="B693" s="10" t="s">
        <v>320</v>
      </c>
      <c r="C693" s="10" t="s">
        <v>2076</v>
      </c>
      <c r="D693" s="10">
        <v>1</v>
      </c>
      <c r="E693" s="10">
        <v>0</v>
      </c>
      <c r="F693" s="10">
        <v>1</v>
      </c>
      <c r="G693" s="10">
        <v>1</v>
      </c>
      <c r="H693" s="10">
        <v>1</v>
      </c>
      <c r="I693" s="10" t="s">
        <v>322</v>
      </c>
      <c r="J693" s="69">
        <f t="shared" si="67"/>
        <v>10660</v>
      </c>
      <c r="K693" s="10">
        <f t="shared" si="65"/>
        <v>660</v>
      </c>
      <c r="L693" s="10">
        <f t="shared" si="66"/>
        <v>659</v>
      </c>
      <c r="M693" s="10" t="s">
        <v>142</v>
      </c>
      <c r="N693" s="10" t="s">
        <v>324</v>
      </c>
      <c r="O693" s="7"/>
      <c r="P693" s="69"/>
    </row>
    <row r="694" spans="2:16" x14ac:dyDescent="0.3">
      <c r="B694" s="69" t="s">
        <v>320</v>
      </c>
      <c r="C694" s="10" t="s">
        <v>2076</v>
      </c>
      <c r="D694" s="10">
        <v>1</v>
      </c>
      <c r="E694" s="10">
        <v>0</v>
      </c>
      <c r="F694" s="10">
        <v>1</v>
      </c>
      <c r="G694" s="10">
        <v>1</v>
      </c>
      <c r="H694" s="10">
        <v>1</v>
      </c>
      <c r="I694" s="10" t="s">
        <v>322</v>
      </c>
      <c r="J694" s="69">
        <f t="shared" si="67"/>
        <v>10661</v>
      </c>
      <c r="K694" s="10">
        <f t="shared" si="65"/>
        <v>661</v>
      </c>
      <c r="L694" s="10">
        <f t="shared" si="66"/>
        <v>660</v>
      </c>
      <c r="M694" s="10" t="s">
        <v>142</v>
      </c>
      <c r="N694" s="10" t="s">
        <v>324</v>
      </c>
      <c r="O694" s="7"/>
      <c r="P694" s="69"/>
    </row>
    <row r="695" spans="2:16" x14ac:dyDescent="0.3">
      <c r="B695" s="69" t="s">
        <v>320</v>
      </c>
      <c r="C695" s="10" t="s">
        <v>2076</v>
      </c>
      <c r="D695" s="10">
        <v>1</v>
      </c>
      <c r="E695" s="10">
        <v>0</v>
      </c>
      <c r="F695" s="10">
        <v>1</v>
      </c>
      <c r="G695" s="10">
        <v>1</v>
      </c>
      <c r="H695" s="10">
        <v>1</v>
      </c>
      <c r="I695" s="10" t="s">
        <v>322</v>
      </c>
      <c r="J695" s="69">
        <f t="shared" si="67"/>
        <v>10662</v>
      </c>
      <c r="K695" s="10">
        <f t="shared" si="65"/>
        <v>662</v>
      </c>
      <c r="L695" s="10">
        <f t="shared" si="66"/>
        <v>661</v>
      </c>
      <c r="M695" s="10" t="s">
        <v>142</v>
      </c>
      <c r="N695" s="10" t="s">
        <v>324</v>
      </c>
      <c r="O695" s="7"/>
      <c r="P695" s="69"/>
    </row>
    <row r="696" spans="2:16" x14ac:dyDescent="0.3">
      <c r="B696" s="69" t="s">
        <v>320</v>
      </c>
      <c r="C696" s="10" t="s">
        <v>2076</v>
      </c>
      <c r="D696" s="10">
        <v>1</v>
      </c>
      <c r="E696" s="10">
        <v>0</v>
      </c>
      <c r="F696" s="10">
        <v>1</v>
      </c>
      <c r="G696" s="10">
        <v>1</v>
      </c>
      <c r="H696" s="10">
        <v>1</v>
      </c>
      <c r="I696" s="10" t="s">
        <v>322</v>
      </c>
      <c r="J696" s="69">
        <f t="shared" si="67"/>
        <v>10663</v>
      </c>
      <c r="K696" s="10">
        <f t="shared" si="65"/>
        <v>663</v>
      </c>
      <c r="L696" s="10">
        <f t="shared" si="66"/>
        <v>662</v>
      </c>
      <c r="M696" s="10" t="s">
        <v>142</v>
      </c>
      <c r="N696" s="10" t="s">
        <v>324</v>
      </c>
      <c r="O696" s="7"/>
      <c r="P696" s="69"/>
    </row>
    <row r="697" spans="2:16" x14ac:dyDescent="0.3">
      <c r="B697" s="69" t="s">
        <v>320</v>
      </c>
      <c r="C697" s="10" t="s">
        <v>2076</v>
      </c>
      <c r="D697" s="10">
        <v>1</v>
      </c>
      <c r="E697" s="10">
        <v>0</v>
      </c>
      <c r="F697" s="10">
        <v>1</v>
      </c>
      <c r="G697" s="10">
        <v>1</v>
      </c>
      <c r="H697" s="10">
        <v>1</v>
      </c>
      <c r="I697" s="10" t="s">
        <v>322</v>
      </c>
      <c r="J697" s="69">
        <f t="shared" si="67"/>
        <v>10664</v>
      </c>
      <c r="K697" s="10">
        <f t="shared" si="65"/>
        <v>664</v>
      </c>
      <c r="L697" s="10">
        <f t="shared" si="66"/>
        <v>663</v>
      </c>
      <c r="M697" s="10" t="s">
        <v>142</v>
      </c>
      <c r="N697" s="10" t="s">
        <v>324</v>
      </c>
      <c r="O697" s="7"/>
      <c r="P697" s="69"/>
    </row>
    <row r="698" spans="2:16" x14ac:dyDescent="0.3">
      <c r="B698" s="69" t="s">
        <v>320</v>
      </c>
      <c r="C698" s="10" t="s">
        <v>2076</v>
      </c>
      <c r="D698" s="10">
        <v>1</v>
      </c>
      <c r="E698" s="10">
        <v>0</v>
      </c>
      <c r="F698" s="10">
        <v>1</v>
      </c>
      <c r="G698" s="10">
        <v>1</v>
      </c>
      <c r="H698" s="10">
        <v>1</v>
      </c>
      <c r="I698" s="10" t="s">
        <v>322</v>
      </c>
      <c r="J698" s="69">
        <f t="shared" si="67"/>
        <v>10665</v>
      </c>
      <c r="K698" s="10">
        <f t="shared" si="65"/>
        <v>665</v>
      </c>
      <c r="L698" s="10">
        <f t="shared" si="66"/>
        <v>664</v>
      </c>
      <c r="M698" s="10" t="s">
        <v>142</v>
      </c>
      <c r="N698" s="10" t="s">
        <v>324</v>
      </c>
      <c r="O698" s="7"/>
      <c r="P698" s="69"/>
    </row>
    <row r="699" spans="2:16" x14ac:dyDescent="0.3">
      <c r="B699" s="69" t="s">
        <v>320</v>
      </c>
      <c r="C699" s="10" t="s">
        <v>2076</v>
      </c>
      <c r="D699" s="10">
        <v>1</v>
      </c>
      <c r="E699" s="10">
        <v>0</v>
      </c>
      <c r="F699" s="10">
        <v>1</v>
      </c>
      <c r="G699" s="10">
        <v>1</v>
      </c>
      <c r="H699" s="10">
        <v>1</v>
      </c>
      <c r="I699" s="10" t="s">
        <v>322</v>
      </c>
      <c r="J699" s="69">
        <f t="shared" si="67"/>
        <v>10666</v>
      </c>
      <c r="K699" s="10">
        <f t="shared" si="65"/>
        <v>666</v>
      </c>
      <c r="L699" s="10">
        <f t="shared" si="66"/>
        <v>665</v>
      </c>
      <c r="M699" s="10" t="s">
        <v>142</v>
      </c>
      <c r="N699" s="10" t="s">
        <v>324</v>
      </c>
      <c r="O699" s="7"/>
      <c r="P699" s="69"/>
    </row>
    <row r="700" spans="2:16" x14ac:dyDescent="0.3">
      <c r="B700" s="69" t="s">
        <v>320</v>
      </c>
      <c r="C700" s="10" t="s">
        <v>2076</v>
      </c>
      <c r="D700" s="10">
        <v>1</v>
      </c>
      <c r="E700" s="10">
        <v>0</v>
      </c>
      <c r="F700" s="10">
        <v>1</v>
      </c>
      <c r="G700" s="10">
        <v>1</v>
      </c>
      <c r="H700" s="10">
        <v>1</v>
      </c>
      <c r="I700" s="10" t="s">
        <v>322</v>
      </c>
      <c r="J700" s="69">
        <f t="shared" si="67"/>
        <v>10667</v>
      </c>
      <c r="K700" s="10">
        <f t="shared" si="65"/>
        <v>667</v>
      </c>
      <c r="L700" s="10">
        <f t="shared" si="66"/>
        <v>666</v>
      </c>
      <c r="M700" s="10" t="s">
        <v>142</v>
      </c>
      <c r="N700" s="10" t="s">
        <v>324</v>
      </c>
      <c r="O700" s="7"/>
      <c r="P700" s="69"/>
    </row>
    <row r="701" spans="2:16" x14ac:dyDescent="0.3">
      <c r="B701" s="69" t="s">
        <v>320</v>
      </c>
      <c r="C701" s="10" t="s">
        <v>2076</v>
      </c>
      <c r="D701" s="10">
        <v>1</v>
      </c>
      <c r="E701" s="10">
        <v>0</v>
      </c>
      <c r="F701" s="10">
        <v>1</v>
      </c>
      <c r="G701" s="10">
        <v>1</v>
      </c>
      <c r="H701" s="10">
        <v>1</v>
      </c>
      <c r="I701" s="10" t="s">
        <v>322</v>
      </c>
      <c r="J701" s="69">
        <f t="shared" si="67"/>
        <v>10668</v>
      </c>
      <c r="K701" s="10">
        <f t="shared" si="65"/>
        <v>668</v>
      </c>
      <c r="L701" s="10">
        <f t="shared" si="66"/>
        <v>667</v>
      </c>
      <c r="M701" s="10" t="s">
        <v>142</v>
      </c>
      <c r="N701" s="10" t="s">
        <v>324</v>
      </c>
      <c r="O701" s="7"/>
      <c r="P701" s="69"/>
    </row>
    <row r="702" spans="2:16" x14ac:dyDescent="0.3">
      <c r="B702" s="69" t="s">
        <v>320</v>
      </c>
      <c r="C702" s="10" t="s">
        <v>2076</v>
      </c>
      <c r="D702" s="10">
        <v>1</v>
      </c>
      <c r="E702" s="10">
        <v>0</v>
      </c>
      <c r="F702" s="10">
        <v>1</v>
      </c>
      <c r="G702" s="10">
        <v>1</v>
      </c>
      <c r="H702" s="10">
        <v>1</v>
      </c>
      <c r="I702" s="10" t="s">
        <v>322</v>
      </c>
      <c r="J702" s="69">
        <f t="shared" si="67"/>
        <v>10669</v>
      </c>
      <c r="K702" s="10">
        <f t="shared" si="65"/>
        <v>669</v>
      </c>
      <c r="L702" s="10">
        <f t="shared" si="66"/>
        <v>668</v>
      </c>
      <c r="M702" s="10" t="s">
        <v>142</v>
      </c>
      <c r="N702" s="10" t="s">
        <v>324</v>
      </c>
      <c r="O702" s="7"/>
      <c r="P702" s="69"/>
    </row>
    <row r="703" spans="2:16" x14ac:dyDescent="0.3">
      <c r="B703" s="69" t="s">
        <v>320</v>
      </c>
      <c r="C703" s="10" t="s">
        <v>2076</v>
      </c>
      <c r="D703" s="10">
        <v>1</v>
      </c>
      <c r="E703" s="10">
        <v>0</v>
      </c>
      <c r="F703" s="10">
        <v>1</v>
      </c>
      <c r="G703" s="10">
        <v>1</v>
      </c>
      <c r="H703" s="10">
        <v>1</v>
      </c>
      <c r="I703" s="10" t="s">
        <v>322</v>
      </c>
      <c r="J703" s="69">
        <f t="shared" si="67"/>
        <v>10670</v>
      </c>
      <c r="K703" s="10">
        <f t="shared" si="65"/>
        <v>670</v>
      </c>
      <c r="L703" s="10">
        <f t="shared" si="66"/>
        <v>669</v>
      </c>
      <c r="M703" s="10" t="s">
        <v>142</v>
      </c>
      <c r="N703" s="10" t="s">
        <v>324</v>
      </c>
      <c r="O703" s="7"/>
      <c r="P703" s="69"/>
    </row>
    <row r="704" spans="2:16" x14ac:dyDescent="0.3">
      <c r="B704" s="69" t="s">
        <v>320</v>
      </c>
      <c r="C704" s="10" t="s">
        <v>2076</v>
      </c>
      <c r="D704" s="10">
        <v>1</v>
      </c>
      <c r="E704" s="10">
        <v>0</v>
      </c>
      <c r="F704" s="10">
        <v>1</v>
      </c>
      <c r="G704" s="10">
        <v>1</v>
      </c>
      <c r="H704" s="10">
        <v>1</v>
      </c>
      <c r="I704" s="10" t="s">
        <v>322</v>
      </c>
      <c r="J704" s="69">
        <f t="shared" si="67"/>
        <v>10671</v>
      </c>
      <c r="K704" s="10">
        <f t="shared" si="65"/>
        <v>671</v>
      </c>
      <c r="L704" s="10">
        <f t="shared" si="66"/>
        <v>670</v>
      </c>
      <c r="M704" s="10" t="s">
        <v>142</v>
      </c>
      <c r="N704" s="10" t="s">
        <v>324</v>
      </c>
      <c r="O704" s="7"/>
      <c r="P704" s="69"/>
    </row>
    <row r="705" spans="2:16" x14ac:dyDescent="0.3">
      <c r="B705" s="69" t="s">
        <v>320</v>
      </c>
      <c r="C705" s="10" t="s">
        <v>2076</v>
      </c>
      <c r="D705" s="10">
        <v>1</v>
      </c>
      <c r="E705" s="10">
        <v>0</v>
      </c>
      <c r="F705" s="10">
        <v>1</v>
      </c>
      <c r="G705" s="10">
        <v>1</v>
      </c>
      <c r="H705" s="10">
        <v>1</v>
      </c>
      <c r="I705" s="10" t="s">
        <v>322</v>
      </c>
      <c r="J705" s="69">
        <f t="shared" si="67"/>
        <v>10672</v>
      </c>
      <c r="K705" s="10">
        <f t="shared" si="65"/>
        <v>672</v>
      </c>
      <c r="L705" s="10">
        <f t="shared" si="66"/>
        <v>671</v>
      </c>
      <c r="M705" s="10" t="s">
        <v>142</v>
      </c>
      <c r="N705" s="10" t="s">
        <v>324</v>
      </c>
      <c r="O705" s="7"/>
      <c r="P705" s="69"/>
    </row>
    <row r="706" spans="2:16" x14ac:dyDescent="0.3">
      <c r="B706" s="496" t="s">
        <v>1966</v>
      </c>
      <c r="C706" s="496"/>
      <c r="D706" s="496"/>
      <c r="E706" s="496"/>
      <c r="F706" s="496"/>
      <c r="G706" s="496"/>
      <c r="H706" s="496"/>
      <c r="I706" s="496"/>
      <c r="J706" s="496"/>
      <c r="K706" s="496"/>
      <c r="L706" s="496"/>
      <c r="M706" s="496"/>
      <c r="N706" s="496"/>
      <c r="O706" s="496"/>
      <c r="P706" s="496"/>
    </row>
    <row r="707" spans="2:16" x14ac:dyDescent="0.3">
      <c r="B707" s="69" t="s">
        <v>2166</v>
      </c>
      <c r="C707" s="10" t="s">
        <v>2076</v>
      </c>
      <c r="D707" s="10">
        <v>1</v>
      </c>
      <c r="E707" s="10">
        <v>0</v>
      </c>
      <c r="F707" s="10">
        <v>1</v>
      </c>
      <c r="G707" s="10">
        <v>1</v>
      </c>
      <c r="H707" s="10">
        <v>1</v>
      </c>
      <c r="I707" s="10" t="s">
        <v>322</v>
      </c>
      <c r="J707" s="69">
        <f>J705+D705</f>
        <v>10673</v>
      </c>
      <c r="K707" s="10">
        <f t="shared" ref="K707:K738" si="68">J707-10000</f>
        <v>673</v>
      </c>
      <c r="L707" s="10">
        <f t="shared" ref="L707:L738" si="69">K707-1</f>
        <v>672</v>
      </c>
      <c r="M707" s="10" t="s">
        <v>142</v>
      </c>
      <c r="N707" s="10" t="s">
        <v>324</v>
      </c>
      <c r="O707" s="7"/>
      <c r="P707" s="69"/>
    </row>
    <row r="708" spans="2:16" x14ac:dyDescent="0.3">
      <c r="B708" s="69" t="s">
        <v>2167</v>
      </c>
      <c r="C708" s="10" t="s">
        <v>2076</v>
      </c>
      <c r="D708" s="10">
        <v>1</v>
      </c>
      <c r="E708" s="10">
        <v>0</v>
      </c>
      <c r="F708" s="10">
        <v>1</v>
      </c>
      <c r="G708" s="10">
        <v>1</v>
      </c>
      <c r="H708" s="10">
        <v>1</v>
      </c>
      <c r="I708" s="10" t="s">
        <v>322</v>
      </c>
      <c r="J708" s="69">
        <f t="shared" ref="J708:J738" si="70">J707+D707</f>
        <v>10674</v>
      </c>
      <c r="K708" s="10">
        <f t="shared" si="68"/>
        <v>674</v>
      </c>
      <c r="L708" s="10">
        <f t="shared" si="69"/>
        <v>673</v>
      </c>
      <c r="M708" s="10" t="s">
        <v>142</v>
      </c>
      <c r="N708" s="10" t="s">
        <v>324</v>
      </c>
      <c r="O708" s="7"/>
      <c r="P708" s="69"/>
    </row>
    <row r="709" spans="2:16" x14ac:dyDescent="0.3">
      <c r="B709" s="69" t="s">
        <v>2168</v>
      </c>
      <c r="C709" s="10" t="s">
        <v>2076</v>
      </c>
      <c r="D709" s="10">
        <v>1</v>
      </c>
      <c r="E709" s="10">
        <v>0</v>
      </c>
      <c r="F709" s="10">
        <v>1</v>
      </c>
      <c r="G709" s="10">
        <v>1</v>
      </c>
      <c r="H709" s="10">
        <v>1</v>
      </c>
      <c r="I709" s="10" t="s">
        <v>322</v>
      </c>
      <c r="J709" s="69">
        <f t="shared" si="70"/>
        <v>10675</v>
      </c>
      <c r="K709" s="10">
        <f t="shared" si="68"/>
        <v>675</v>
      </c>
      <c r="L709" s="10">
        <f t="shared" si="69"/>
        <v>674</v>
      </c>
      <c r="M709" s="10" t="s">
        <v>142</v>
      </c>
      <c r="N709" s="10" t="s">
        <v>324</v>
      </c>
      <c r="O709" s="7"/>
      <c r="P709" s="69"/>
    </row>
    <row r="710" spans="2:16" x14ac:dyDescent="0.3">
      <c r="B710" s="69" t="s">
        <v>2169</v>
      </c>
      <c r="C710" s="10" t="s">
        <v>2076</v>
      </c>
      <c r="D710" s="10">
        <v>1</v>
      </c>
      <c r="E710" s="10">
        <v>0</v>
      </c>
      <c r="F710" s="10">
        <v>1</v>
      </c>
      <c r="G710" s="10">
        <v>1</v>
      </c>
      <c r="H710" s="10">
        <v>1</v>
      </c>
      <c r="I710" s="10" t="s">
        <v>322</v>
      </c>
      <c r="J710" s="69">
        <f t="shared" si="70"/>
        <v>10676</v>
      </c>
      <c r="K710" s="10">
        <f t="shared" si="68"/>
        <v>676</v>
      </c>
      <c r="L710" s="10">
        <f t="shared" si="69"/>
        <v>675</v>
      </c>
      <c r="M710" s="10" t="s">
        <v>142</v>
      </c>
      <c r="N710" s="10" t="s">
        <v>324</v>
      </c>
      <c r="O710" s="7"/>
      <c r="P710" s="69"/>
    </row>
    <row r="711" spans="2:16" x14ac:dyDescent="0.3">
      <c r="B711" s="69" t="s">
        <v>2170</v>
      </c>
      <c r="C711" s="10" t="s">
        <v>2076</v>
      </c>
      <c r="D711" s="10">
        <v>1</v>
      </c>
      <c r="E711" s="10">
        <v>0</v>
      </c>
      <c r="F711" s="10">
        <v>1</v>
      </c>
      <c r="G711" s="10">
        <v>1</v>
      </c>
      <c r="H711" s="10">
        <v>1</v>
      </c>
      <c r="I711" s="10" t="s">
        <v>322</v>
      </c>
      <c r="J711" s="69">
        <f t="shared" si="70"/>
        <v>10677</v>
      </c>
      <c r="K711" s="10">
        <f t="shared" si="68"/>
        <v>677</v>
      </c>
      <c r="L711" s="10">
        <f t="shared" si="69"/>
        <v>676</v>
      </c>
      <c r="M711" s="10" t="s">
        <v>142</v>
      </c>
      <c r="N711" s="10" t="s">
        <v>324</v>
      </c>
      <c r="O711" s="7"/>
      <c r="P711" s="69"/>
    </row>
    <row r="712" spans="2:16" x14ac:dyDescent="0.3">
      <c r="B712" s="69" t="s">
        <v>2171</v>
      </c>
      <c r="C712" s="10" t="s">
        <v>2076</v>
      </c>
      <c r="D712" s="10">
        <v>1</v>
      </c>
      <c r="E712" s="10">
        <v>0</v>
      </c>
      <c r="F712" s="10">
        <v>1</v>
      </c>
      <c r="G712" s="10">
        <v>1</v>
      </c>
      <c r="H712" s="10">
        <v>1</v>
      </c>
      <c r="I712" s="10" t="s">
        <v>322</v>
      </c>
      <c r="J712" s="69">
        <f t="shared" si="70"/>
        <v>10678</v>
      </c>
      <c r="K712" s="10">
        <f t="shared" si="68"/>
        <v>678</v>
      </c>
      <c r="L712" s="10">
        <f t="shared" si="69"/>
        <v>677</v>
      </c>
      <c r="M712" s="10" t="s">
        <v>142</v>
      </c>
      <c r="N712" s="10" t="s">
        <v>324</v>
      </c>
      <c r="O712" s="7"/>
      <c r="P712" s="69"/>
    </row>
    <row r="713" spans="2:16" x14ac:dyDescent="0.3">
      <c r="B713" s="69" t="s">
        <v>320</v>
      </c>
      <c r="C713" s="10" t="s">
        <v>2076</v>
      </c>
      <c r="D713" s="10">
        <v>1</v>
      </c>
      <c r="E713" s="10">
        <v>0</v>
      </c>
      <c r="F713" s="10">
        <v>1</v>
      </c>
      <c r="G713" s="10">
        <v>1</v>
      </c>
      <c r="H713" s="10">
        <v>1</v>
      </c>
      <c r="I713" s="10" t="s">
        <v>322</v>
      </c>
      <c r="J713" s="69">
        <f t="shared" si="70"/>
        <v>10679</v>
      </c>
      <c r="K713" s="10">
        <f t="shared" si="68"/>
        <v>679</v>
      </c>
      <c r="L713" s="10">
        <f t="shared" si="69"/>
        <v>678</v>
      </c>
      <c r="M713" s="10" t="s">
        <v>142</v>
      </c>
      <c r="N713" s="10" t="s">
        <v>324</v>
      </c>
      <c r="O713" s="7"/>
      <c r="P713" s="69"/>
    </row>
    <row r="714" spans="2:16" x14ac:dyDescent="0.3">
      <c r="B714" s="69" t="s">
        <v>320</v>
      </c>
      <c r="C714" s="10" t="s">
        <v>2076</v>
      </c>
      <c r="D714" s="10">
        <v>1</v>
      </c>
      <c r="E714" s="10">
        <v>0</v>
      </c>
      <c r="F714" s="10">
        <v>1</v>
      </c>
      <c r="G714" s="10">
        <v>1</v>
      </c>
      <c r="H714" s="10">
        <v>1</v>
      </c>
      <c r="I714" s="10" t="s">
        <v>322</v>
      </c>
      <c r="J714" s="69">
        <f t="shared" si="70"/>
        <v>10680</v>
      </c>
      <c r="K714" s="10">
        <f t="shared" si="68"/>
        <v>680</v>
      </c>
      <c r="L714" s="10">
        <f t="shared" si="69"/>
        <v>679</v>
      </c>
      <c r="M714" s="10" t="s">
        <v>142</v>
      </c>
      <c r="N714" s="10" t="s">
        <v>324</v>
      </c>
      <c r="O714" s="7"/>
      <c r="P714" s="69"/>
    </row>
    <row r="715" spans="2:16" x14ac:dyDescent="0.3">
      <c r="B715" s="69" t="s">
        <v>320</v>
      </c>
      <c r="C715" s="10" t="s">
        <v>2076</v>
      </c>
      <c r="D715" s="10">
        <v>1</v>
      </c>
      <c r="E715" s="10">
        <v>0</v>
      </c>
      <c r="F715" s="10">
        <v>1</v>
      </c>
      <c r="G715" s="10">
        <v>1</v>
      </c>
      <c r="H715" s="10">
        <v>1</v>
      </c>
      <c r="I715" s="10" t="s">
        <v>322</v>
      </c>
      <c r="J715" s="69">
        <f t="shared" si="70"/>
        <v>10681</v>
      </c>
      <c r="K715" s="10">
        <f t="shared" si="68"/>
        <v>681</v>
      </c>
      <c r="L715" s="10">
        <f t="shared" si="69"/>
        <v>680</v>
      </c>
      <c r="M715" s="10" t="s">
        <v>142</v>
      </c>
      <c r="N715" s="10" t="s">
        <v>324</v>
      </c>
      <c r="O715" s="7"/>
      <c r="P715" s="69"/>
    </row>
    <row r="716" spans="2:16" x14ac:dyDescent="0.3">
      <c r="B716" s="69" t="s">
        <v>320</v>
      </c>
      <c r="C716" s="10" t="s">
        <v>2076</v>
      </c>
      <c r="D716" s="10">
        <v>1</v>
      </c>
      <c r="E716" s="10">
        <v>0</v>
      </c>
      <c r="F716" s="10">
        <v>1</v>
      </c>
      <c r="G716" s="10">
        <v>1</v>
      </c>
      <c r="H716" s="10">
        <v>1</v>
      </c>
      <c r="I716" s="10" t="s">
        <v>322</v>
      </c>
      <c r="J716" s="69">
        <f t="shared" si="70"/>
        <v>10682</v>
      </c>
      <c r="K716" s="10">
        <f t="shared" si="68"/>
        <v>682</v>
      </c>
      <c r="L716" s="10">
        <f t="shared" si="69"/>
        <v>681</v>
      </c>
      <c r="M716" s="10" t="s">
        <v>142</v>
      </c>
      <c r="N716" s="10" t="s">
        <v>324</v>
      </c>
      <c r="O716" s="7"/>
      <c r="P716" s="69"/>
    </row>
    <row r="717" spans="2:16" x14ac:dyDescent="0.3">
      <c r="B717" s="69" t="s">
        <v>320</v>
      </c>
      <c r="C717" s="10" t="s">
        <v>2076</v>
      </c>
      <c r="D717" s="10">
        <v>1</v>
      </c>
      <c r="E717" s="10">
        <v>0</v>
      </c>
      <c r="F717" s="10">
        <v>1</v>
      </c>
      <c r="G717" s="10">
        <v>1</v>
      </c>
      <c r="H717" s="10">
        <v>1</v>
      </c>
      <c r="I717" s="10" t="s">
        <v>322</v>
      </c>
      <c r="J717" s="69">
        <f t="shared" si="70"/>
        <v>10683</v>
      </c>
      <c r="K717" s="10">
        <f t="shared" si="68"/>
        <v>683</v>
      </c>
      <c r="L717" s="10">
        <f t="shared" si="69"/>
        <v>682</v>
      </c>
      <c r="M717" s="10" t="s">
        <v>142</v>
      </c>
      <c r="N717" s="10" t="s">
        <v>324</v>
      </c>
      <c r="O717" s="7"/>
      <c r="P717" s="69"/>
    </row>
    <row r="718" spans="2:16" x14ac:dyDescent="0.3">
      <c r="B718" s="69" t="s">
        <v>320</v>
      </c>
      <c r="C718" s="10" t="s">
        <v>2076</v>
      </c>
      <c r="D718" s="10">
        <v>1</v>
      </c>
      <c r="E718" s="10">
        <v>0</v>
      </c>
      <c r="F718" s="10">
        <v>1</v>
      </c>
      <c r="G718" s="10">
        <v>1</v>
      </c>
      <c r="H718" s="10">
        <v>1</v>
      </c>
      <c r="I718" s="10" t="s">
        <v>322</v>
      </c>
      <c r="J718" s="69">
        <f t="shared" si="70"/>
        <v>10684</v>
      </c>
      <c r="K718" s="10">
        <f t="shared" si="68"/>
        <v>684</v>
      </c>
      <c r="L718" s="10">
        <f t="shared" si="69"/>
        <v>683</v>
      </c>
      <c r="M718" s="10" t="s">
        <v>142</v>
      </c>
      <c r="N718" s="10" t="s">
        <v>324</v>
      </c>
      <c r="O718" s="7"/>
      <c r="P718" s="69"/>
    </row>
    <row r="719" spans="2:16" x14ac:dyDescent="0.3">
      <c r="B719" s="69" t="s">
        <v>320</v>
      </c>
      <c r="C719" s="10" t="s">
        <v>2076</v>
      </c>
      <c r="D719" s="10">
        <v>1</v>
      </c>
      <c r="E719" s="10">
        <v>0</v>
      </c>
      <c r="F719" s="10">
        <v>1</v>
      </c>
      <c r="G719" s="10">
        <v>1</v>
      </c>
      <c r="H719" s="10">
        <v>1</v>
      </c>
      <c r="I719" s="10" t="s">
        <v>322</v>
      </c>
      <c r="J719" s="69">
        <f t="shared" si="70"/>
        <v>10685</v>
      </c>
      <c r="K719" s="10">
        <f t="shared" si="68"/>
        <v>685</v>
      </c>
      <c r="L719" s="10">
        <f t="shared" si="69"/>
        <v>684</v>
      </c>
      <c r="M719" s="10" t="s">
        <v>142</v>
      </c>
      <c r="N719" s="10" t="s">
        <v>324</v>
      </c>
      <c r="O719" s="7"/>
      <c r="P719" s="69"/>
    </row>
    <row r="720" spans="2:16" x14ac:dyDescent="0.3">
      <c r="B720" s="69" t="s">
        <v>320</v>
      </c>
      <c r="C720" s="10" t="s">
        <v>2076</v>
      </c>
      <c r="D720" s="10">
        <v>1</v>
      </c>
      <c r="E720" s="10">
        <v>0</v>
      </c>
      <c r="F720" s="10">
        <v>1</v>
      </c>
      <c r="G720" s="10">
        <v>1</v>
      </c>
      <c r="H720" s="10">
        <v>1</v>
      </c>
      <c r="I720" s="10" t="s">
        <v>322</v>
      </c>
      <c r="J720" s="69">
        <f t="shared" si="70"/>
        <v>10686</v>
      </c>
      <c r="K720" s="10">
        <f t="shared" si="68"/>
        <v>686</v>
      </c>
      <c r="L720" s="10">
        <f t="shared" si="69"/>
        <v>685</v>
      </c>
      <c r="M720" s="10" t="s">
        <v>142</v>
      </c>
      <c r="N720" s="10" t="s">
        <v>324</v>
      </c>
      <c r="O720" s="7"/>
      <c r="P720" s="69"/>
    </row>
    <row r="721" spans="2:16" x14ac:dyDescent="0.3">
      <c r="B721" s="69" t="s">
        <v>320</v>
      </c>
      <c r="C721" s="10" t="s">
        <v>2076</v>
      </c>
      <c r="D721" s="10">
        <v>1</v>
      </c>
      <c r="E721" s="10">
        <v>0</v>
      </c>
      <c r="F721" s="10">
        <v>1</v>
      </c>
      <c r="G721" s="10">
        <v>1</v>
      </c>
      <c r="H721" s="10">
        <v>1</v>
      </c>
      <c r="I721" s="10" t="s">
        <v>322</v>
      </c>
      <c r="J721" s="69">
        <f t="shared" si="70"/>
        <v>10687</v>
      </c>
      <c r="K721" s="10">
        <f t="shared" si="68"/>
        <v>687</v>
      </c>
      <c r="L721" s="10">
        <f t="shared" si="69"/>
        <v>686</v>
      </c>
      <c r="M721" s="10" t="s">
        <v>142</v>
      </c>
      <c r="N721" s="10" t="s">
        <v>324</v>
      </c>
      <c r="O721" s="7"/>
      <c r="P721" s="69"/>
    </row>
    <row r="722" spans="2:16" x14ac:dyDescent="0.3">
      <c r="B722" s="69" t="s">
        <v>320</v>
      </c>
      <c r="C722" s="10" t="s">
        <v>2076</v>
      </c>
      <c r="D722" s="10">
        <v>1</v>
      </c>
      <c r="E722" s="10">
        <v>0</v>
      </c>
      <c r="F722" s="10">
        <v>1</v>
      </c>
      <c r="G722" s="10">
        <v>1</v>
      </c>
      <c r="H722" s="10">
        <v>1</v>
      </c>
      <c r="I722" s="10" t="s">
        <v>322</v>
      </c>
      <c r="J722" s="69">
        <f t="shared" si="70"/>
        <v>10688</v>
      </c>
      <c r="K722" s="10">
        <f t="shared" si="68"/>
        <v>688</v>
      </c>
      <c r="L722" s="10">
        <f t="shared" si="69"/>
        <v>687</v>
      </c>
      <c r="M722" s="10" t="s">
        <v>142</v>
      </c>
      <c r="N722" s="10" t="s">
        <v>324</v>
      </c>
      <c r="O722" s="7"/>
      <c r="P722" s="69"/>
    </row>
    <row r="723" spans="2:16" x14ac:dyDescent="0.3">
      <c r="B723" s="69" t="s">
        <v>320</v>
      </c>
      <c r="C723" s="10" t="s">
        <v>2076</v>
      </c>
      <c r="D723" s="10">
        <v>1</v>
      </c>
      <c r="E723" s="10">
        <v>0</v>
      </c>
      <c r="F723" s="10">
        <v>1</v>
      </c>
      <c r="G723" s="10">
        <v>1</v>
      </c>
      <c r="H723" s="10">
        <v>1</v>
      </c>
      <c r="I723" s="10" t="s">
        <v>322</v>
      </c>
      <c r="J723" s="69">
        <f t="shared" si="70"/>
        <v>10689</v>
      </c>
      <c r="K723" s="10">
        <f t="shared" si="68"/>
        <v>689</v>
      </c>
      <c r="L723" s="10">
        <f t="shared" si="69"/>
        <v>688</v>
      </c>
      <c r="M723" s="10" t="s">
        <v>142</v>
      </c>
      <c r="N723" s="10" t="s">
        <v>324</v>
      </c>
      <c r="O723" s="7"/>
      <c r="P723" s="69"/>
    </row>
    <row r="724" spans="2:16" x14ac:dyDescent="0.3">
      <c r="B724" s="69" t="s">
        <v>320</v>
      </c>
      <c r="C724" s="10" t="s">
        <v>2076</v>
      </c>
      <c r="D724" s="10">
        <v>1</v>
      </c>
      <c r="E724" s="10">
        <v>0</v>
      </c>
      <c r="F724" s="10">
        <v>1</v>
      </c>
      <c r="G724" s="10">
        <v>1</v>
      </c>
      <c r="H724" s="10">
        <v>1</v>
      </c>
      <c r="I724" s="10" t="s">
        <v>322</v>
      </c>
      <c r="J724" s="69">
        <f t="shared" si="70"/>
        <v>10690</v>
      </c>
      <c r="K724" s="10">
        <f t="shared" si="68"/>
        <v>690</v>
      </c>
      <c r="L724" s="10">
        <f t="shared" si="69"/>
        <v>689</v>
      </c>
      <c r="M724" s="10" t="s">
        <v>142</v>
      </c>
      <c r="N724" s="10" t="s">
        <v>324</v>
      </c>
      <c r="O724" s="7"/>
      <c r="P724" s="69"/>
    </row>
    <row r="725" spans="2:16" x14ac:dyDescent="0.3">
      <c r="B725" s="69" t="s">
        <v>320</v>
      </c>
      <c r="C725" s="10" t="s">
        <v>2076</v>
      </c>
      <c r="D725" s="10">
        <v>1</v>
      </c>
      <c r="E725" s="10">
        <v>0</v>
      </c>
      <c r="F725" s="10">
        <v>1</v>
      </c>
      <c r="G725" s="10">
        <v>1</v>
      </c>
      <c r="H725" s="10">
        <v>1</v>
      </c>
      <c r="I725" s="10" t="s">
        <v>322</v>
      </c>
      <c r="J725" s="69">
        <f t="shared" si="70"/>
        <v>10691</v>
      </c>
      <c r="K725" s="10">
        <f t="shared" si="68"/>
        <v>691</v>
      </c>
      <c r="L725" s="10">
        <f t="shared" si="69"/>
        <v>690</v>
      </c>
      <c r="M725" s="10" t="s">
        <v>142</v>
      </c>
      <c r="N725" s="10" t="s">
        <v>324</v>
      </c>
      <c r="O725" s="7"/>
      <c r="P725" s="69"/>
    </row>
    <row r="726" spans="2:16" x14ac:dyDescent="0.3">
      <c r="B726" s="69" t="s">
        <v>320</v>
      </c>
      <c r="C726" s="10" t="s">
        <v>2076</v>
      </c>
      <c r="D726" s="10">
        <v>1</v>
      </c>
      <c r="E726" s="10">
        <v>0</v>
      </c>
      <c r="F726" s="10">
        <v>1</v>
      </c>
      <c r="G726" s="10">
        <v>1</v>
      </c>
      <c r="H726" s="10">
        <v>1</v>
      </c>
      <c r="I726" s="10" t="s">
        <v>322</v>
      </c>
      <c r="J726" s="69">
        <f t="shared" si="70"/>
        <v>10692</v>
      </c>
      <c r="K726" s="10">
        <f t="shared" si="68"/>
        <v>692</v>
      </c>
      <c r="L726" s="10">
        <f t="shared" si="69"/>
        <v>691</v>
      </c>
      <c r="M726" s="10" t="s">
        <v>142</v>
      </c>
      <c r="N726" s="10" t="s">
        <v>324</v>
      </c>
      <c r="O726" s="7"/>
      <c r="P726" s="69"/>
    </row>
    <row r="727" spans="2:16" x14ac:dyDescent="0.3">
      <c r="B727" s="69" t="s">
        <v>320</v>
      </c>
      <c r="C727" s="10" t="s">
        <v>2076</v>
      </c>
      <c r="D727" s="10">
        <v>1</v>
      </c>
      <c r="E727" s="10">
        <v>0</v>
      </c>
      <c r="F727" s="10">
        <v>1</v>
      </c>
      <c r="G727" s="10">
        <v>1</v>
      </c>
      <c r="H727" s="10">
        <v>1</v>
      </c>
      <c r="I727" s="10" t="s">
        <v>322</v>
      </c>
      <c r="J727" s="69">
        <f t="shared" si="70"/>
        <v>10693</v>
      </c>
      <c r="K727" s="10">
        <f t="shared" si="68"/>
        <v>693</v>
      </c>
      <c r="L727" s="10">
        <f t="shared" si="69"/>
        <v>692</v>
      </c>
      <c r="M727" s="10" t="s">
        <v>142</v>
      </c>
      <c r="N727" s="10" t="s">
        <v>324</v>
      </c>
      <c r="O727" s="7"/>
      <c r="P727" s="69"/>
    </row>
    <row r="728" spans="2:16" x14ac:dyDescent="0.3">
      <c r="B728" s="69" t="s">
        <v>320</v>
      </c>
      <c r="C728" s="10" t="s">
        <v>2076</v>
      </c>
      <c r="D728" s="10">
        <v>1</v>
      </c>
      <c r="E728" s="10">
        <v>0</v>
      </c>
      <c r="F728" s="10">
        <v>1</v>
      </c>
      <c r="G728" s="10">
        <v>1</v>
      </c>
      <c r="H728" s="10">
        <v>1</v>
      </c>
      <c r="I728" s="10" t="s">
        <v>322</v>
      </c>
      <c r="J728" s="69">
        <f t="shared" si="70"/>
        <v>10694</v>
      </c>
      <c r="K728" s="10">
        <f t="shared" si="68"/>
        <v>694</v>
      </c>
      <c r="L728" s="10">
        <f t="shared" si="69"/>
        <v>693</v>
      </c>
      <c r="M728" s="10" t="s">
        <v>142</v>
      </c>
      <c r="N728" s="10" t="s">
        <v>324</v>
      </c>
      <c r="O728" s="7"/>
      <c r="P728" s="69"/>
    </row>
    <row r="729" spans="2:16" x14ac:dyDescent="0.3">
      <c r="B729" s="69" t="s">
        <v>320</v>
      </c>
      <c r="C729" s="10" t="s">
        <v>2076</v>
      </c>
      <c r="D729" s="10">
        <v>1</v>
      </c>
      <c r="E729" s="10">
        <v>0</v>
      </c>
      <c r="F729" s="10">
        <v>1</v>
      </c>
      <c r="G729" s="10">
        <v>1</v>
      </c>
      <c r="H729" s="10">
        <v>1</v>
      </c>
      <c r="I729" s="10" t="s">
        <v>322</v>
      </c>
      <c r="J729" s="69">
        <f t="shared" si="70"/>
        <v>10695</v>
      </c>
      <c r="K729" s="10">
        <f t="shared" si="68"/>
        <v>695</v>
      </c>
      <c r="L729" s="10">
        <f t="shared" si="69"/>
        <v>694</v>
      </c>
      <c r="M729" s="10" t="s">
        <v>142</v>
      </c>
      <c r="N729" s="10" t="s">
        <v>324</v>
      </c>
      <c r="O729" s="7"/>
      <c r="P729" s="69"/>
    </row>
    <row r="730" spans="2:16" x14ac:dyDescent="0.3">
      <c r="B730" s="69" t="s">
        <v>320</v>
      </c>
      <c r="C730" s="10" t="s">
        <v>2076</v>
      </c>
      <c r="D730" s="10">
        <v>1</v>
      </c>
      <c r="E730" s="10">
        <v>0</v>
      </c>
      <c r="F730" s="10">
        <v>1</v>
      </c>
      <c r="G730" s="10">
        <v>1</v>
      </c>
      <c r="H730" s="10">
        <v>1</v>
      </c>
      <c r="I730" s="10" t="s">
        <v>322</v>
      </c>
      <c r="J730" s="69">
        <f t="shared" si="70"/>
        <v>10696</v>
      </c>
      <c r="K730" s="10">
        <f t="shared" si="68"/>
        <v>696</v>
      </c>
      <c r="L730" s="10">
        <f t="shared" si="69"/>
        <v>695</v>
      </c>
      <c r="M730" s="10" t="s">
        <v>142</v>
      </c>
      <c r="N730" s="10" t="s">
        <v>324</v>
      </c>
      <c r="O730" s="7"/>
      <c r="P730" s="69"/>
    </row>
    <row r="731" spans="2:16" x14ac:dyDescent="0.3">
      <c r="B731" s="69" t="s">
        <v>320</v>
      </c>
      <c r="C731" s="10" t="s">
        <v>2076</v>
      </c>
      <c r="D731" s="10">
        <v>1</v>
      </c>
      <c r="E731" s="10">
        <v>0</v>
      </c>
      <c r="F731" s="10">
        <v>1</v>
      </c>
      <c r="G731" s="10">
        <v>1</v>
      </c>
      <c r="H731" s="10">
        <v>1</v>
      </c>
      <c r="I731" s="10" t="s">
        <v>322</v>
      </c>
      <c r="J731" s="69">
        <f t="shared" si="70"/>
        <v>10697</v>
      </c>
      <c r="K731" s="10">
        <f t="shared" si="68"/>
        <v>697</v>
      </c>
      <c r="L731" s="10">
        <f t="shared" si="69"/>
        <v>696</v>
      </c>
      <c r="M731" s="10" t="s">
        <v>142</v>
      </c>
      <c r="N731" s="10" t="s">
        <v>324</v>
      </c>
      <c r="O731" s="7"/>
      <c r="P731" s="69"/>
    </row>
    <row r="732" spans="2:16" x14ac:dyDescent="0.3">
      <c r="B732" s="69" t="s">
        <v>320</v>
      </c>
      <c r="C732" s="10" t="s">
        <v>2076</v>
      </c>
      <c r="D732" s="10">
        <v>1</v>
      </c>
      <c r="E732" s="10">
        <v>0</v>
      </c>
      <c r="F732" s="10">
        <v>1</v>
      </c>
      <c r="G732" s="10">
        <v>1</v>
      </c>
      <c r="H732" s="10">
        <v>1</v>
      </c>
      <c r="I732" s="10" t="s">
        <v>322</v>
      </c>
      <c r="J732" s="69">
        <f t="shared" si="70"/>
        <v>10698</v>
      </c>
      <c r="K732" s="10">
        <f t="shared" si="68"/>
        <v>698</v>
      </c>
      <c r="L732" s="10">
        <f t="shared" si="69"/>
        <v>697</v>
      </c>
      <c r="M732" s="10" t="s">
        <v>142</v>
      </c>
      <c r="N732" s="10" t="s">
        <v>324</v>
      </c>
      <c r="O732" s="7"/>
      <c r="P732" s="69"/>
    </row>
    <row r="733" spans="2:16" x14ac:dyDescent="0.3">
      <c r="B733" s="69" t="s">
        <v>320</v>
      </c>
      <c r="C733" s="10" t="s">
        <v>2076</v>
      </c>
      <c r="D733" s="10">
        <v>1</v>
      </c>
      <c r="E733" s="10">
        <v>0</v>
      </c>
      <c r="F733" s="10">
        <v>1</v>
      </c>
      <c r="G733" s="10">
        <v>1</v>
      </c>
      <c r="H733" s="10">
        <v>1</v>
      </c>
      <c r="I733" s="10" t="s">
        <v>322</v>
      </c>
      <c r="J733" s="69">
        <f t="shared" si="70"/>
        <v>10699</v>
      </c>
      <c r="K733" s="10">
        <f t="shared" si="68"/>
        <v>699</v>
      </c>
      <c r="L733" s="10">
        <f t="shared" si="69"/>
        <v>698</v>
      </c>
      <c r="M733" s="10" t="s">
        <v>142</v>
      </c>
      <c r="N733" s="10" t="s">
        <v>324</v>
      </c>
      <c r="O733" s="7"/>
      <c r="P733" s="69"/>
    </row>
    <row r="734" spans="2:16" x14ac:dyDescent="0.3">
      <c r="B734" s="69" t="s">
        <v>320</v>
      </c>
      <c r="C734" s="10" t="s">
        <v>2076</v>
      </c>
      <c r="D734" s="10">
        <v>1</v>
      </c>
      <c r="E734" s="10">
        <v>0</v>
      </c>
      <c r="F734" s="10">
        <v>1</v>
      </c>
      <c r="G734" s="10">
        <v>1</v>
      </c>
      <c r="H734" s="10">
        <v>1</v>
      </c>
      <c r="I734" s="10" t="s">
        <v>322</v>
      </c>
      <c r="J734" s="69">
        <f t="shared" si="70"/>
        <v>10700</v>
      </c>
      <c r="K734" s="10">
        <f t="shared" si="68"/>
        <v>700</v>
      </c>
      <c r="L734" s="10">
        <f t="shared" si="69"/>
        <v>699</v>
      </c>
      <c r="M734" s="10" t="s">
        <v>142</v>
      </c>
      <c r="N734" s="10" t="s">
        <v>324</v>
      </c>
      <c r="O734" s="7"/>
      <c r="P734" s="69"/>
    </row>
    <row r="735" spans="2:16" x14ac:dyDescent="0.3">
      <c r="B735" s="69" t="s">
        <v>320</v>
      </c>
      <c r="C735" s="10" t="s">
        <v>2076</v>
      </c>
      <c r="D735" s="10">
        <v>1</v>
      </c>
      <c r="E735" s="10">
        <v>0</v>
      </c>
      <c r="F735" s="10">
        <v>1</v>
      </c>
      <c r="G735" s="10">
        <v>1</v>
      </c>
      <c r="H735" s="10">
        <v>1</v>
      </c>
      <c r="I735" s="10" t="s">
        <v>322</v>
      </c>
      <c r="J735" s="69">
        <f t="shared" si="70"/>
        <v>10701</v>
      </c>
      <c r="K735" s="10">
        <f t="shared" si="68"/>
        <v>701</v>
      </c>
      <c r="L735" s="10">
        <f t="shared" si="69"/>
        <v>700</v>
      </c>
      <c r="M735" s="10" t="s">
        <v>142</v>
      </c>
      <c r="N735" s="10" t="s">
        <v>324</v>
      </c>
      <c r="O735" s="7"/>
      <c r="P735" s="69"/>
    </row>
    <row r="736" spans="2:16" x14ac:dyDescent="0.3">
      <c r="B736" s="69" t="s">
        <v>320</v>
      </c>
      <c r="C736" s="10" t="s">
        <v>2076</v>
      </c>
      <c r="D736" s="10">
        <v>1</v>
      </c>
      <c r="E736" s="10">
        <v>0</v>
      </c>
      <c r="F736" s="10">
        <v>1</v>
      </c>
      <c r="G736" s="10">
        <v>1</v>
      </c>
      <c r="H736" s="10">
        <v>1</v>
      </c>
      <c r="I736" s="10" t="s">
        <v>322</v>
      </c>
      <c r="J736" s="69">
        <f t="shared" si="70"/>
        <v>10702</v>
      </c>
      <c r="K736" s="10">
        <f t="shared" si="68"/>
        <v>702</v>
      </c>
      <c r="L736" s="10">
        <f t="shared" si="69"/>
        <v>701</v>
      </c>
      <c r="M736" s="10" t="s">
        <v>142</v>
      </c>
      <c r="N736" s="10" t="s">
        <v>324</v>
      </c>
      <c r="O736" s="7"/>
      <c r="P736" s="69"/>
    </row>
    <row r="737" spans="2:16" x14ac:dyDescent="0.3">
      <c r="B737" s="69" t="s">
        <v>320</v>
      </c>
      <c r="C737" s="10" t="s">
        <v>2076</v>
      </c>
      <c r="D737" s="10">
        <v>1</v>
      </c>
      <c r="E737" s="10">
        <v>0</v>
      </c>
      <c r="F737" s="10">
        <v>1</v>
      </c>
      <c r="G737" s="10">
        <v>1</v>
      </c>
      <c r="H737" s="10">
        <v>1</v>
      </c>
      <c r="I737" s="10" t="s">
        <v>322</v>
      </c>
      <c r="J737" s="69">
        <f t="shared" si="70"/>
        <v>10703</v>
      </c>
      <c r="K737" s="10">
        <f t="shared" si="68"/>
        <v>703</v>
      </c>
      <c r="L737" s="10">
        <f t="shared" si="69"/>
        <v>702</v>
      </c>
      <c r="M737" s="10" t="s">
        <v>142</v>
      </c>
      <c r="N737" s="10" t="s">
        <v>324</v>
      </c>
      <c r="O737" s="7"/>
      <c r="P737" s="69"/>
    </row>
    <row r="738" spans="2:16" x14ac:dyDescent="0.3">
      <c r="B738" s="69" t="s">
        <v>320</v>
      </c>
      <c r="C738" s="10" t="s">
        <v>2076</v>
      </c>
      <c r="D738" s="10">
        <v>1</v>
      </c>
      <c r="E738" s="10">
        <v>0</v>
      </c>
      <c r="F738" s="10">
        <v>1</v>
      </c>
      <c r="G738" s="10">
        <v>1</v>
      </c>
      <c r="H738" s="10">
        <v>1</v>
      </c>
      <c r="I738" s="10" t="s">
        <v>322</v>
      </c>
      <c r="J738" s="69">
        <f t="shared" si="70"/>
        <v>10704</v>
      </c>
      <c r="K738" s="10">
        <f t="shared" si="68"/>
        <v>704</v>
      </c>
      <c r="L738" s="10">
        <f t="shared" si="69"/>
        <v>703</v>
      </c>
      <c r="M738" s="10" t="s">
        <v>142</v>
      </c>
      <c r="N738" s="10" t="s">
        <v>324</v>
      </c>
      <c r="O738" s="7"/>
      <c r="P738" s="69"/>
    </row>
  </sheetData>
  <mergeCells count="32">
    <mergeCell ref="B305:P305"/>
    <mergeCell ref="B338:P338"/>
    <mergeCell ref="B371:P371"/>
    <mergeCell ref="B388:P388"/>
    <mergeCell ref="B673:P673"/>
    <mergeCell ref="B422:P422"/>
    <mergeCell ref="B439:P439"/>
    <mergeCell ref="B456:P456"/>
    <mergeCell ref="B473:P473"/>
    <mergeCell ref="B490:P490"/>
    <mergeCell ref="B507:P507"/>
    <mergeCell ref="B524:P524"/>
    <mergeCell ref="B557:P557"/>
    <mergeCell ref="B574:P574"/>
    <mergeCell ref="B607:P607"/>
    <mergeCell ref="B640:P640"/>
    <mergeCell ref="B86:P86"/>
    <mergeCell ref="B706:P706"/>
    <mergeCell ref="B153:P153"/>
    <mergeCell ref="B3:P3"/>
    <mergeCell ref="B36:P36"/>
    <mergeCell ref="B69:P69"/>
    <mergeCell ref="B103:P103"/>
    <mergeCell ref="B136:P136"/>
    <mergeCell ref="B405:P405"/>
    <mergeCell ref="B170:P170"/>
    <mergeCell ref="B187:P187"/>
    <mergeCell ref="B204:P204"/>
    <mergeCell ref="B221:P221"/>
    <mergeCell ref="B238:P238"/>
    <mergeCell ref="B255:P255"/>
    <mergeCell ref="B272:P272"/>
  </mergeCells>
  <phoneticPr fontId="30" type="noConversion"/>
  <conditionalFormatting sqref="B106:B111">
    <cfRule type="cellIs" dxfId="1105" priority="278" stopIfTrue="1" operator="notEqual">
      <formula>INDIRECT("Dummy_for_Comparison2!"&amp;ADDRESS(ROW(),COLUMN()))</formula>
    </cfRule>
  </conditionalFormatting>
  <conditionalFormatting sqref="B124:B127">
    <cfRule type="cellIs" dxfId="1104" priority="276" stopIfTrue="1" operator="notEqual">
      <formula>INDIRECT("Dummy_for_Comparison2!"&amp;ADDRESS(ROW(),COLUMN()))</formula>
    </cfRule>
  </conditionalFormatting>
  <conditionalFormatting sqref="B641:B650">
    <cfRule type="cellIs" dxfId="1103" priority="23" stopIfTrue="1" operator="notEqual">
      <formula>INDIRECT("Dummy_for_Comparison2!"&amp;ADDRESS(ROW(),COLUMN()))</formula>
    </cfRule>
  </conditionalFormatting>
  <conditionalFormatting sqref="B654">
    <cfRule type="cellIs" dxfId="1102" priority="21" stopIfTrue="1" operator="notEqual">
      <formula>INDIRECT("Dummy_for_Comparison2!"&amp;ADDRESS(ROW(),COLUMN()))</formula>
    </cfRule>
  </conditionalFormatting>
  <conditionalFormatting sqref="B656">
    <cfRule type="cellIs" dxfId="1101" priority="4" stopIfTrue="1" operator="notEqual">
      <formula>INDIRECT("Dummy_for_Comparison2!"&amp;ADDRESS(ROW(),COLUMN()))</formula>
    </cfRule>
  </conditionalFormatting>
  <conditionalFormatting sqref="B674:B693">
    <cfRule type="cellIs" dxfId="1100" priority="17" stopIfTrue="1" operator="notEqual">
      <formula>INDIRECT("Dummy_for_Comparison2!"&amp;ADDRESS(ROW(),COLUMN()))</formula>
    </cfRule>
  </conditionalFormatting>
  <conditionalFormatting sqref="B37:C68">
    <cfRule type="cellIs" dxfId="1099" priority="153" stopIfTrue="1" operator="notEqual">
      <formula>INDIRECT("Dummy_for_Comparison2!"&amp;ADDRESS(ROW(),COLUMN()))</formula>
    </cfRule>
  </conditionalFormatting>
  <conditionalFormatting sqref="B137:I152">
    <cfRule type="cellIs" dxfId="1098" priority="146" stopIfTrue="1" operator="notEqual">
      <formula>INDIRECT("Dummy_for_Comparison2!"&amp;ADDRESS(ROW(),COLUMN()))</formula>
    </cfRule>
  </conditionalFormatting>
  <conditionalFormatting sqref="B154:I169">
    <cfRule type="cellIs" dxfId="1097" priority="145" stopIfTrue="1" operator="notEqual">
      <formula>INDIRECT("Dummy_for_Comparison2!"&amp;ADDRESS(ROW(),COLUMN()))</formula>
    </cfRule>
  </conditionalFormatting>
  <conditionalFormatting sqref="B171:I186">
    <cfRule type="cellIs" dxfId="1096" priority="144" stopIfTrue="1" operator="notEqual">
      <formula>INDIRECT("Dummy_for_Comparison2!"&amp;ADDRESS(ROW(),COLUMN()))</formula>
    </cfRule>
  </conditionalFormatting>
  <conditionalFormatting sqref="B188:I203">
    <cfRule type="cellIs" dxfId="1095" priority="143" stopIfTrue="1" operator="notEqual">
      <formula>INDIRECT("Dummy_for_Comparison2!"&amp;ADDRESS(ROW(),COLUMN()))</formula>
    </cfRule>
  </conditionalFormatting>
  <conditionalFormatting sqref="B205:I220">
    <cfRule type="cellIs" dxfId="1094" priority="142" stopIfTrue="1" operator="notEqual">
      <formula>INDIRECT("Dummy_for_Comparison2!"&amp;ADDRESS(ROW(),COLUMN()))</formula>
    </cfRule>
  </conditionalFormatting>
  <conditionalFormatting sqref="B222:I237">
    <cfRule type="cellIs" dxfId="1093" priority="141" stopIfTrue="1" operator="notEqual">
      <formula>INDIRECT("Dummy_for_Comparison2!"&amp;ADDRESS(ROW(),COLUMN()))</formula>
    </cfRule>
  </conditionalFormatting>
  <conditionalFormatting sqref="B239:I254">
    <cfRule type="cellIs" dxfId="1092" priority="3" stopIfTrue="1" operator="notEqual">
      <formula>INDIRECT("Dummy_for_Comparison2!"&amp;ADDRESS(ROW(),COLUMN()))</formula>
    </cfRule>
  </conditionalFormatting>
  <conditionalFormatting sqref="B256:I271">
    <cfRule type="cellIs" dxfId="1091" priority="139" stopIfTrue="1" operator="notEqual">
      <formula>INDIRECT("Dummy_for_Comparison2!"&amp;ADDRESS(ROW(),COLUMN()))</formula>
    </cfRule>
  </conditionalFormatting>
  <conditionalFormatting sqref="B273:I304">
    <cfRule type="cellIs" dxfId="1090" priority="27" stopIfTrue="1" operator="notEqual">
      <formula>INDIRECT("Dummy_for_Comparison2!"&amp;ADDRESS(ROW(),COLUMN()))</formula>
    </cfRule>
  </conditionalFormatting>
  <conditionalFormatting sqref="B306:I324 C325:I325 B326:I337">
    <cfRule type="cellIs" dxfId="1089" priority="2" stopIfTrue="1" operator="notEqual">
      <formula>INDIRECT("Dummy_for_Comparison2!"&amp;ADDRESS(ROW(),COLUMN()))</formula>
    </cfRule>
  </conditionalFormatting>
  <conditionalFormatting sqref="B339:I357 C358:I358 B359:I370">
    <cfRule type="cellIs" dxfId="1088" priority="1" stopIfTrue="1" operator="notEqual">
      <formula>INDIRECT("Dummy_for_Comparison2!"&amp;ADDRESS(ROW(),COLUMN()))</formula>
    </cfRule>
  </conditionalFormatting>
  <conditionalFormatting sqref="B372:I387">
    <cfRule type="cellIs" dxfId="1087" priority="132" stopIfTrue="1" operator="notEqual">
      <formula>INDIRECT("Dummy_for_Comparison2!"&amp;ADDRESS(ROW(),COLUMN()))</formula>
    </cfRule>
  </conditionalFormatting>
  <conditionalFormatting sqref="B389:I404">
    <cfRule type="cellIs" dxfId="1086" priority="131" stopIfTrue="1" operator="notEqual">
      <formula>INDIRECT("Dummy_for_Comparison2!"&amp;ADDRESS(ROW(),COLUMN()))</formula>
    </cfRule>
  </conditionalFormatting>
  <conditionalFormatting sqref="B406:I421">
    <cfRule type="cellIs" dxfId="1085" priority="130" stopIfTrue="1" operator="notEqual">
      <formula>INDIRECT("Dummy_for_Comparison2!"&amp;ADDRESS(ROW(),COLUMN()))</formula>
    </cfRule>
  </conditionalFormatting>
  <conditionalFormatting sqref="B423:I438">
    <cfRule type="cellIs" dxfId="1084" priority="129" stopIfTrue="1" operator="notEqual">
      <formula>INDIRECT("Dummy_for_Comparison2!"&amp;ADDRESS(ROW(),COLUMN()))</formula>
    </cfRule>
  </conditionalFormatting>
  <conditionalFormatting sqref="B440:I455">
    <cfRule type="cellIs" dxfId="1083" priority="128" stopIfTrue="1" operator="notEqual">
      <formula>INDIRECT("Dummy_for_Comparison2!"&amp;ADDRESS(ROW(),COLUMN()))</formula>
    </cfRule>
  </conditionalFormatting>
  <conditionalFormatting sqref="B457:I472">
    <cfRule type="cellIs" dxfId="1082" priority="127" stopIfTrue="1" operator="notEqual">
      <formula>INDIRECT("Dummy_for_Comparison2!"&amp;ADDRESS(ROW(),COLUMN()))</formula>
    </cfRule>
  </conditionalFormatting>
  <conditionalFormatting sqref="B474:I489">
    <cfRule type="cellIs" dxfId="1081" priority="126" stopIfTrue="1" operator="notEqual">
      <formula>INDIRECT("Dummy_for_Comparison2!"&amp;ADDRESS(ROW(),COLUMN()))</formula>
    </cfRule>
  </conditionalFormatting>
  <conditionalFormatting sqref="B491:I506">
    <cfRule type="cellIs" dxfId="1080" priority="125" stopIfTrue="1" operator="notEqual">
      <formula>INDIRECT("Dummy_for_Comparison2!"&amp;ADDRESS(ROW(),COLUMN()))</formula>
    </cfRule>
  </conditionalFormatting>
  <conditionalFormatting sqref="B508:I523">
    <cfRule type="cellIs" dxfId="1079" priority="124" stopIfTrue="1" operator="notEqual">
      <formula>INDIRECT("Dummy_for_Comparison2!"&amp;ADDRESS(ROW(),COLUMN()))</formula>
    </cfRule>
  </conditionalFormatting>
  <conditionalFormatting sqref="B525:I556">
    <cfRule type="cellIs" dxfId="1078" priority="122" stopIfTrue="1" operator="notEqual">
      <formula>INDIRECT("Dummy_for_Comparison2!"&amp;ADDRESS(ROW(),COLUMN()))</formula>
    </cfRule>
  </conditionalFormatting>
  <conditionalFormatting sqref="B558:I573">
    <cfRule type="cellIs" dxfId="1077" priority="9" stopIfTrue="1" operator="notEqual">
      <formula>INDIRECT("Dummy_for_Comparison2!"&amp;ADDRESS(ROW(),COLUMN()))</formula>
    </cfRule>
  </conditionalFormatting>
  <conditionalFormatting sqref="B575:I606">
    <cfRule type="cellIs" dxfId="1076" priority="119" stopIfTrue="1" operator="notEqual">
      <formula>INDIRECT("Dummy_for_Comparison2!"&amp;ADDRESS(ROW(),COLUMN()))</formula>
    </cfRule>
  </conditionalFormatting>
  <conditionalFormatting sqref="B608:I639">
    <cfRule type="cellIs" dxfId="1075" priority="20" stopIfTrue="1" operator="notEqual">
      <formula>INDIRECT("Dummy_for_Comparison2!"&amp;ADDRESS(ROW(),COLUMN()))</formula>
    </cfRule>
  </conditionalFormatting>
  <conditionalFormatting sqref="B2:L2">
    <cfRule type="cellIs" dxfId="1074" priority="68" stopIfTrue="1" operator="notEqual">
      <formula>INDIRECT("Dummy_for_Comparison2!"&amp;ADDRESS(ROW(),COLUMN()))</formula>
    </cfRule>
  </conditionalFormatting>
  <conditionalFormatting sqref="B4:L4 K5:L35">
    <cfRule type="cellIs" dxfId="1073" priority="287" stopIfTrue="1" operator="notEqual">
      <formula>INDIRECT("Dummy_for_Comparison2!"&amp;ADDRESS(ROW(),COLUMN()))</formula>
    </cfRule>
  </conditionalFormatting>
  <conditionalFormatting sqref="B70:N85 B87:N102">
    <cfRule type="cellIs" dxfId="1072" priority="66" stopIfTrue="1" operator="notEqual">
      <formula>INDIRECT("Dummy_for_Comparison2!"&amp;ADDRESS(ROW(),COLUMN()))</formula>
    </cfRule>
  </conditionalFormatting>
  <conditionalFormatting sqref="C104:I135">
    <cfRule type="cellIs" dxfId="1071" priority="147" stopIfTrue="1" operator="notEqual">
      <formula>INDIRECT("Dummy_for_Comparison2!"&amp;ADDRESS(ROW(),COLUMN()))</formula>
    </cfRule>
  </conditionalFormatting>
  <conditionalFormatting sqref="C641:I672">
    <cfRule type="cellIs" dxfId="1070" priority="115" stopIfTrue="1" operator="notEqual">
      <formula>INDIRECT("Dummy_for_Comparison2!"&amp;ADDRESS(ROW(),COLUMN()))</formula>
    </cfRule>
  </conditionalFormatting>
  <conditionalFormatting sqref="C674:I705">
    <cfRule type="cellIs" dxfId="1069" priority="113" stopIfTrue="1" operator="notEqual">
      <formula>INDIRECT("Dummy_for_Comparison2!"&amp;ADDRESS(ROW(),COLUMN()))</formula>
    </cfRule>
  </conditionalFormatting>
  <conditionalFormatting sqref="C707:I738">
    <cfRule type="cellIs" dxfId="1068" priority="111" stopIfTrue="1" operator="notEqual">
      <formula>INDIRECT("Dummy_for_Comparison2!"&amp;ADDRESS(ROW(),COLUMN()))</formula>
    </cfRule>
  </conditionalFormatting>
  <conditionalFormatting sqref="D5:H19 I12:I19">
    <cfRule type="cellIs" dxfId="1067" priority="324" stopIfTrue="1" operator="notEqual">
      <formula>INDIRECT("Dummy_for_Comparison2!"&amp;ADDRESS(ROW(),COLUMN()))</formula>
    </cfRule>
  </conditionalFormatting>
  <conditionalFormatting sqref="D38:H52 I45:I52">
    <cfRule type="cellIs" dxfId="1066" priority="312" stopIfTrue="1" operator="notEqual">
      <formula>INDIRECT("Dummy_for_Comparison2!"&amp;ADDRESS(ROW(),COLUMN()))</formula>
    </cfRule>
  </conditionalFormatting>
  <conditionalFormatting sqref="D20:I20">
    <cfRule type="cellIs" dxfId="1065" priority="303" stopIfTrue="1" operator="notEqual">
      <formula>INDIRECT("Dummy_for_Comparison2!"&amp;ADDRESS(ROW(),COLUMN()))</formula>
    </cfRule>
  </conditionalFormatting>
  <conditionalFormatting sqref="D53:I53">
    <cfRule type="cellIs" dxfId="1064" priority="291" stopIfTrue="1" operator="notEqual">
      <formula>INDIRECT("Dummy_for_Comparison2!"&amp;ADDRESS(ROW(),COLUMN()))</formula>
    </cfRule>
  </conditionalFormatting>
  <conditionalFormatting sqref="D37:J37 I38:J44 J45:J53">
    <cfRule type="cellIs" dxfId="1063" priority="315" stopIfTrue="1" operator="notEqual">
      <formula>INDIRECT("Dummy_for_Comparison2!"&amp;ADDRESS(ROW(),COLUMN()))</formula>
    </cfRule>
  </conditionalFormatting>
  <conditionalFormatting sqref="D54:J68">
    <cfRule type="cellIs" dxfId="1062" priority="288" stopIfTrue="1" operator="notEqual">
      <formula>INDIRECT("Dummy_for_Comparison2!"&amp;ADDRESS(ROW(),COLUMN()))</formula>
    </cfRule>
  </conditionalFormatting>
  <conditionalFormatting sqref="I5:J11 B5:C35 J12:J20">
    <cfRule type="cellIs" dxfId="1061" priority="327" stopIfTrue="1" operator="notEqual">
      <formula>INDIRECT("Dummy_for_Comparison2!"&amp;ADDRESS(ROW(),COLUMN()))</formula>
    </cfRule>
  </conditionalFormatting>
  <conditionalFormatting sqref="K104:N135">
    <cfRule type="cellIs" dxfId="1060" priority="65" stopIfTrue="1" operator="notEqual">
      <formula>INDIRECT("Dummy_for_Comparison2!"&amp;ADDRESS(ROW(),COLUMN()))</formula>
    </cfRule>
  </conditionalFormatting>
  <conditionalFormatting sqref="K137:N152">
    <cfRule type="cellIs" dxfId="1059" priority="64" stopIfTrue="1" operator="notEqual">
      <formula>INDIRECT("Dummy_for_Comparison2!"&amp;ADDRESS(ROW(),COLUMN()))</formula>
    </cfRule>
  </conditionalFormatting>
  <conditionalFormatting sqref="K154:N169">
    <cfRule type="cellIs" dxfId="1058" priority="63" stopIfTrue="1" operator="notEqual">
      <formula>INDIRECT("Dummy_for_Comparison2!"&amp;ADDRESS(ROW(),COLUMN()))</formula>
    </cfRule>
  </conditionalFormatting>
  <conditionalFormatting sqref="K171:N186">
    <cfRule type="cellIs" dxfId="1057" priority="62" stopIfTrue="1" operator="notEqual">
      <formula>INDIRECT("Dummy_for_Comparison2!"&amp;ADDRESS(ROW(),COLUMN()))</formula>
    </cfRule>
  </conditionalFormatting>
  <conditionalFormatting sqref="K188:N203">
    <cfRule type="cellIs" dxfId="1056" priority="61" stopIfTrue="1" operator="notEqual">
      <formula>INDIRECT("Dummy_for_Comparison2!"&amp;ADDRESS(ROW(),COLUMN()))</formula>
    </cfRule>
  </conditionalFormatting>
  <conditionalFormatting sqref="K205:N220">
    <cfRule type="cellIs" dxfId="1055" priority="60" stopIfTrue="1" operator="notEqual">
      <formula>INDIRECT("Dummy_for_Comparison2!"&amp;ADDRESS(ROW(),COLUMN()))</formula>
    </cfRule>
  </conditionalFormatting>
  <conditionalFormatting sqref="K222:N237">
    <cfRule type="cellIs" dxfId="1054" priority="59" stopIfTrue="1" operator="notEqual">
      <formula>INDIRECT("Dummy_for_Comparison2!"&amp;ADDRESS(ROW(),COLUMN()))</formula>
    </cfRule>
  </conditionalFormatting>
  <conditionalFormatting sqref="K239:N254">
    <cfRule type="cellIs" dxfId="1053" priority="58" stopIfTrue="1" operator="notEqual">
      <formula>INDIRECT("Dummy_for_Comparison2!"&amp;ADDRESS(ROW(),COLUMN()))</formula>
    </cfRule>
  </conditionalFormatting>
  <conditionalFormatting sqref="K256:N271">
    <cfRule type="cellIs" dxfId="1052" priority="57" stopIfTrue="1" operator="notEqual">
      <formula>INDIRECT("Dummy_for_Comparison2!"&amp;ADDRESS(ROW(),COLUMN()))</formula>
    </cfRule>
  </conditionalFormatting>
  <conditionalFormatting sqref="K273:N304">
    <cfRule type="cellIs" dxfId="1051" priority="55" stopIfTrue="1" operator="notEqual">
      <formula>INDIRECT("Dummy_for_Comparison2!"&amp;ADDRESS(ROW(),COLUMN()))</formula>
    </cfRule>
  </conditionalFormatting>
  <conditionalFormatting sqref="K306:N337">
    <cfRule type="cellIs" dxfId="1050" priority="53" stopIfTrue="1" operator="notEqual">
      <formula>INDIRECT("Dummy_for_Comparison2!"&amp;ADDRESS(ROW(),COLUMN()))</formula>
    </cfRule>
  </conditionalFormatting>
  <conditionalFormatting sqref="K339:N370">
    <cfRule type="cellIs" dxfId="1049" priority="12" stopIfTrue="1" operator="notEqual">
      <formula>INDIRECT("Dummy_for_Comparison2!"&amp;ADDRESS(ROW(),COLUMN()))</formula>
    </cfRule>
  </conditionalFormatting>
  <conditionalFormatting sqref="K372:N387">
    <cfRule type="cellIs" dxfId="1048" priority="50" stopIfTrue="1" operator="notEqual">
      <formula>INDIRECT("Dummy_for_Comparison2!"&amp;ADDRESS(ROW(),COLUMN()))</formula>
    </cfRule>
  </conditionalFormatting>
  <conditionalFormatting sqref="K389:N404">
    <cfRule type="cellIs" dxfId="1047" priority="49" stopIfTrue="1" operator="notEqual">
      <formula>INDIRECT("Dummy_for_Comparison2!"&amp;ADDRESS(ROW(),COLUMN()))</formula>
    </cfRule>
  </conditionalFormatting>
  <conditionalFormatting sqref="K406:N421">
    <cfRule type="cellIs" dxfId="1046" priority="48" stopIfTrue="1" operator="notEqual">
      <formula>INDIRECT("Dummy_for_Comparison2!"&amp;ADDRESS(ROW(),COLUMN()))</formula>
    </cfRule>
  </conditionalFormatting>
  <conditionalFormatting sqref="K423:N438">
    <cfRule type="cellIs" dxfId="1045" priority="47" stopIfTrue="1" operator="notEqual">
      <formula>INDIRECT("Dummy_for_Comparison2!"&amp;ADDRESS(ROW(),COLUMN()))</formula>
    </cfRule>
  </conditionalFormatting>
  <conditionalFormatting sqref="K440:N455">
    <cfRule type="cellIs" dxfId="1044" priority="46" stopIfTrue="1" operator="notEqual">
      <formula>INDIRECT("Dummy_for_Comparison2!"&amp;ADDRESS(ROW(),COLUMN()))</formula>
    </cfRule>
  </conditionalFormatting>
  <conditionalFormatting sqref="K457:N472">
    <cfRule type="cellIs" dxfId="1043" priority="45" stopIfTrue="1" operator="notEqual">
      <formula>INDIRECT("Dummy_for_Comparison2!"&amp;ADDRESS(ROW(),COLUMN()))</formula>
    </cfRule>
  </conditionalFormatting>
  <conditionalFormatting sqref="K474:N489">
    <cfRule type="cellIs" dxfId="1042" priority="44" stopIfTrue="1" operator="notEqual">
      <formula>INDIRECT("Dummy_for_Comparison2!"&amp;ADDRESS(ROW(),COLUMN()))</formula>
    </cfRule>
  </conditionalFormatting>
  <conditionalFormatting sqref="K491:N506">
    <cfRule type="cellIs" dxfId="1041" priority="43" stopIfTrue="1" operator="notEqual">
      <formula>INDIRECT("Dummy_for_Comparison2!"&amp;ADDRESS(ROW(),COLUMN()))</formula>
    </cfRule>
  </conditionalFormatting>
  <conditionalFormatting sqref="K508:N523">
    <cfRule type="cellIs" dxfId="1040" priority="42" stopIfTrue="1" operator="notEqual">
      <formula>INDIRECT("Dummy_for_Comparison2!"&amp;ADDRESS(ROW(),COLUMN()))</formula>
    </cfRule>
  </conditionalFormatting>
  <conditionalFormatting sqref="K525:N556">
    <cfRule type="cellIs" dxfId="1039" priority="40" stopIfTrue="1" operator="notEqual">
      <formula>INDIRECT("Dummy_for_Comparison2!"&amp;ADDRESS(ROW(),COLUMN()))</formula>
    </cfRule>
  </conditionalFormatting>
  <conditionalFormatting sqref="K558:N573">
    <cfRule type="cellIs" dxfId="1038" priority="39" stopIfTrue="1" operator="notEqual">
      <formula>INDIRECT("Dummy_for_Comparison2!"&amp;ADDRESS(ROW(),COLUMN()))</formula>
    </cfRule>
  </conditionalFormatting>
  <conditionalFormatting sqref="K575:N606">
    <cfRule type="cellIs" dxfId="1037" priority="37" stopIfTrue="1" operator="notEqual">
      <formula>INDIRECT("Dummy_for_Comparison2!"&amp;ADDRESS(ROW(),COLUMN()))</formula>
    </cfRule>
  </conditionalFormatting>
  <conditionalFormatting sqref="K608:N639">
    <cfRule type="cellIs" dxfId="1036" priority="35" stopIfTrue="1" operator="notEqual">
      <formula>INDIRECT("Dummy_for_Comparison2!"&amp;ADDRESS(ROW(),COLUMN()))</formula>
    </cfRule>
  </conditionalFormatting>
  <conditionalFormatting sqref="K641:N672">
    <cfRule type="cellIs" dxfId="1035" priority="33" stopIfTrue="1" operator="notEqual">
      <formula>INDIRECT("Dummy_for_Comparison2!"&amp;ADDRESS(ROW(),COLUMN()))</formula>
    </cfRule>
  </conditionalFormatting>
  <conditionalFormatting sqref="K674:N705">
    <cfRule type="cellIs" dxfId="1034" priority="31" stopIfTrue="1" operator="notEqual">
      <formula>INDIRECT("Dummy_for_Comparison2!"&amp;ADDRESS(ROW(),COLUMN()))</formula>
    </cfRule>
  </conditionalFormatting>
  <conditionalFormatting sqref="K707:N738">
    <cfRule type="cellIs" dxfId="1033" priority="29" stopIfTrue="1" operator="notEqual">
      <formula>INDIRECT("Dummy_for_Comparison2!"&amp;ADDRESS(ROW(),COLUMN()))</formula>
    </cfRule>
  </conditionalFormatting>
  <conditionalFormatting sqref="K37:P68">
    <cfRule type="cellIs" dxfId="1032" priority="67" stopIfTrue="1" operator="notEqual">
      <formula>INDIRECT("Dummy_for_Comparison2!"&amp;ADDRESS(ROW(),COLUMN()))</formula>
    </cfRule>
  </conditionalFormatting>
  <conditionalFormatting sqref="M2:N2">
    <cfRule type="cellIs" dxfId="1031" priority="172" stopIfTrue="1" operator="notEqual">
      <formula>INDIRECT("Dummy_for_Comparison6!"&amp;ADDRESS(ROW(),COLUMN()))</formula>
    </cfRule>
  </conditionalFormatting>
  <conditionalFormatting sqref="M4:P35 D21:J35">
    <cfRule type="cellIs" dxfId="1030" priority="300" stopIfTrue="1" operator="notEqual">
      <formula>INDIRECT("Dummy_for_Comparison2!"&amp;ADDRESS(ROW(),COLUMN()))</formula>
    </cfRule>
  </conditionalFormatting>
  <conditionalFormatting sqref="O2:P2">
    <cfRule type="cellIs" dxfId="1029" priority="173" stopIfTrue="1" operator="notEqual">
      <formula>INDIRECT("Dummy_for_Comparison2!"&amp;ADDRESS(ROW(),COLUMN()))</formula>
    </cfRule>
  </conditionalFormatting>
  <conditionalFormatting sqref="R4:S11">
    <cfRule type="cellIs" dxfId="1028" priority="333" stopIfTrue="1" operator="notEqual">
      <formula>INDIRECT("Dummy_for_Comparison9!"&amp;ADDRESS(ROW(),COLUMN()))</formula>
    </cfRule>
  </conditionalFormatting>
  <conditionalFormatting sqref="R20:S27">
    <cfRule type="cellIs" dxfId="1027" priority="309" stopIfTrue="1" operator="notEqual">
      <formula>INDIRECT("Dummy_for_Comparison9!"&amp;ADDRESS(ROW(),COLUMN()))</formula>
    </cfRule>
  </conditionalFormatting>
  <conditionalFormatting sqref="R37:S44">
    <cfRule type="cellIs" dxfId="1026" priority="321" stopIfTrue="1" operator="notEqual">
      <formula>INDIRECT("Dummy_for_Comparison9!"&amp;ADDRESS(ROW(),COLUMN()))</formula>
    </cfRule>
  </conditionalFormatting>
  <conditionalFormatting sqref="R53:S60">
    <cfRule type="cellIs" dxfId="1025" priority="297" stopIfTrue="1" operator="notEqual">
      <formula>INDIRECT("Dummy_for_Comparison9!"&amp;ADDRESS(ROW(),COLUMN()))</formula>
    </cfRule>
  </conditionalFormatting>
  <conditionalFormatting sqref="R14:U15">
    <cfRule type="cellIs" dxfId="1024" priority="325" stopIfTrue="1" operator="notEqual">
      <formula>INDIRECT("Dummy_for_Comparison7!"&amp;ADDRESS(ROW(),COLUMN()))</formula>
    </cfRule>
  </conditionalFormatting>
  <conditionalFormatting sqref="R18:U19">
    <cfRule type="cellIs" dxfId="1023" priority="328" stopIfTrue="1" operator="notEqual">
      <formula>INDIRECT("Dummy_for_Comparison7!"&amp;ADDRESS(ROW(),COLUMN()))</formula>
    </cfRule>
  </conditionalFormatting>
  <conditionalFormatting sqref="R30:U31">
    <cfRule type="cellIs" dxfId="1022" priority="301" stopIfTrue="1" operator="notEqual">
      <formula>INDIRECT("Dummy_for_Comparison7!"&amp;ADDRESS(ROW(),COLUMN()))</formula>
    </cfRule>
  </conditionalFormatting>
  <conditionalFormatting sqref="R34:U35">
    <cfRule type="cellIs" dxfId="1021" priority="304" stopIfTrue="1" operator="notEqual">
      <formula>INDIRECT("Dummy_for_Comparison7!"&amp;ADDRESS(ROW(),COLUMN()))</formula>
    </cfRule>
  </conditionalFormatting>
  <conditionalFormatting sqref="R47:U48">
    <cfRule type="cellIs" dxfId="1020" priority="313" stopIfTrue="1" operator="notEqual">
      <formula>INDIRECT("Dummy_for_Comparison7!"&amp;ADDRESS(ROW(),COLUMN()))</formula>
    </cfRule>
  </conditionalFormatting>
  <conditionalFormatting sqref="R51:U52">
    <cfRule type="cellIs" dxfId="1019" priority="316" stopIfTrue="1" operator="notEqual">
      <formula>INDIRECT("Dummy_for_Comparison7!"&amp;ADDRESS(ROW(),COLUMN()))</formula>
    </cfRule>
  </conditionalFormatting>
  <conditionalFormatting sqref="R63:U64">
    <cfRule type="cellIs" dxfId="1018" priority="289" stopIfTrue="1" operator="notEqual">
      <formula>INDIRECT("Dummy_for_Comparison7!"&amp;ADDRESS(ROW(),COLUMN()))</formula>
    </cfRule>
  </conditionalFormatting>
  <conditionalFormatting sqref="R67:U68">
    <cfRule type="cellIs" dxfId="1017" priority="292" stopIfTrue="1" operator="notEqual">
      <formula>INDIRECT("Dummy_for_Comparison7!"&amp;ADDRESS(ROW(),COLUMN()))</formula>
    </cfRule>
  </conditionalFormatting>
  <conditionalFormatting sqref="T4:V7 T8:T11">
    <cfRule type="cellIs" dxfId="1016" priority="331" stopIfTrue="1" operator="notEqual">
      <formula>INDIRECT("Dummy_for_Comparison9!"&amp;ADDRESS(ROW(),COLUMN()))</formula>
    </cfRule>
  </conditionalFormatting>
  <conditionalFormatting sqref="T20:V23 T24:T27">
    <cfRule type="cellIs" dxfId="1015" priority="307" stopIfTrue="1" operator="notEqual">
      <formula>INDIRECT("Dummy_for_Comparison9!"&amp;ADDRESS(ROW(),COLUMN()))</formula>
    </cfRule>
  </conditionalFormatting>
  <conditionalFormatting sqref="T37:V40 T41:T44">
    <cfRule type="cellIs" dxfId="1014" priority="319" stopIfTrue="1" operator="notEqual">
      <formula>INDIRECT("Dummy_for_Comparison9!"&amp;ADDRESS(ROW(),COLUMN()))</formula>
    </cfRule>
  </conditionalFormatting>
  <conditionalFormatting sqref="T53:V56 T57:T60">
    <cfRule type="cellIs" dxfId="1013" priority="295" stopIfTrue="1" operator="notEqual">
      <formula>INDIRECT("Dummy_for_Comparison9!"&amp;ADDRESS(ROW(),COLUMN()))</formula>
    </cfRule>
  </conditionalFormatting>
  <conditionalFormatting sqref="U10:U11">
    <cfRule type="cellIs" dxfId="1012" priority="329" stopIfTrue="1" operator="notEqual">
      <formula>INDIRECT("Dummy_for_Comparison9!"&amp;ADDRESS(ROW(),COLUMN()))</formula>
    </cfRule>
  </conditionalFormatting>
  <conditionalFormatting sqref="U26:U27">
    <cfRule type="cellIs" dxfId="1011" priority="305" stopIfTrue="1" operator="notEqual">
      <formula>INDIRECT("Dummy_for_Comparison9!"&amp;ADDRESS(ROW(),COLUMN()))</formula>
    </cfRule>
  </conditionalFormatting>
  <conditionalFormatting sqref="U43:U44">
    <cfRule type="cellIs" dxfId="1010" priority="317" stopIfTrue="1" operator="notEqual">
      <formula>INDIRECT("Dummy_for_Comparison9!"&amp;ADDRESS(ROW(),COLUMN()))</formula>
    </cfRule>
  </conditionalFormatting>
  <conditionalFormatting sqref="U59:U60">
    <cfRule type="cellIs" dxfId="1009" priority="293" stopIfTrue="1" operator="notEqual">
      <formula>INDIRECT("Dummy_for_Comparison9!"&amp;ADDRESS(ROW(),COLUMN()))</formula>
    </cfRule>
  </conditionalFormatting>
  <pageMargins left="0.7" right="0.7" top="0.75" bottom="0.75" header="0.3" footer="0.3"/>
  <pageSetup paperSize="9" orientation="portrait" r:id="rId1"/>
  <headerFooter>
    <oddFooter>&amp;C_x000D_&amp;1#&amp;"Calibri"&amp;6&amp;K626469 General</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Y186"/>
  <sheetViews>
    <sheetView topLeftCell="A20" zoomScale="81" zoomScaleNormal="81" workbookViewId="0">
      <selection activeCell="D25" sqref="D25:D40"/>
    </sheetView>
  </sheetViews>
  <sheetFormatPr defaultRowHeight="14.4" x14ac:dyDescent="0.3"/>
  <cols>
    <col min="2" max="2" width="30.5546875" bestFit="1" customWidth="1"/>
    <col min="3" max="3" width="12.5546875" customWidth="1"/>
    <col min="4" max="4" width="12.77734375" customWidth="1"/>
    <col min="5" max="5" width="12.44140625" customWidth="1"/>
    <col min="6" max="6" width="11.5546875" customWidth="1"/>
    <col min="7" max="7" width="13" customWidth="1"/>
    <col min="9" max="9" width="12.44140625" customWidth="1"/>
    <col min="10" max="10" width="17.5546875" customWidth="1"/>
    <col min="11" max="13" width="12.44140625" customWidth="1"/>
    <col min="14" max="15" width="11.44140625" customWidth="1"/>
  </cols>
  <sheetData>
    <row r="1" spans="1:25" ht="15" thickBot="1" x14ac:dyDescent="0.35"/>
    <row r="2" spans="1:25" ht="49.2" thickBot="1" x14ac:dyDescent="0.35">
      <c r="A2" s="57"/>
      <c r="B2" s="84" t="s">
        <v>303</v>
      </c>
      <c r="C2" s="139" t="s">
        <v>304</v>
      </c>
      <c r="D2" s="65" t="s">
        <v>305</v>
      </c>
      <c r="E2" s="65" t="s">
        <v>306</v>
      </c>
      <c r="F2" s="65" t="s">
        <v>307</v>
      </c>
      <c r="G2" s="65" t="s">
        <v>308</v>
      </c>
      <c r="H2" s="65" t="s">
        <v>309</v>
      </c>
      <c r="I2" s="65" t="s">
        <v>310</v>
      </c>
      <c r="J2" s="65" t="s">
        <v>311</v>
      </c>
      <c r="K2" s="65" t="s">
        <v>745</v>
      </c>
      <c r="L2" s="65" t="s">
        <v>312</v>
      </c>
      <c r="M2" s="65" t="s">
        <v>313</v>
      </c>
      <c r="N2" s="71" t="s">
        <v>314</v>
      </c>
      <c r="O2" s="71" t="s">
        <v>315</v>
      </c>
      <c r="P2" s="65" t="s">
        <v>316</v>
      </c>
      <c r="Q2" s="65" t="s">
        <v>317</v>
      </c>
      <c r="R2" s="66" t="s">
        <v>318</v>
      </c>
    </row>
    <row r="3" spans="1:25" ht="16.2" x14ac:dyDescent="0.3">
      <c r="B3" s="505" t="s">
        <v>2204</v>
      </c>
      <c r="C3" s="506"/>
      <c r="D3" s="506"/>
      <c r="E3" s="506"/>
      <c r="F3" s="506"/>
      <c r="G3" s="506"/>
      <c r="H3" s="506"/>
      <c r="I3" s="506"/>
      <c r="J3" s="506"/>
      <c r="K3" s="506"/>
      <c r="L3" s="506"/>
      <c r="M3" s="506"/>
      <c r="N3" s="506"/>
      <c r="O3" s="506"/>
      <c r="P3" s="506"/>
      <c r="Q3" s="506"/>
      <c r="R3" s="507"/>
      <c r="X3" s="60"/>
      <c r="Y3" s="60"/>
    </row>
    <row r="4" spans="1:25" s="6" customFormat="1" ht="16.2" x14ac:dyDescent="0.3">
      <c r="B4" s="10" t="s">
        <v>2205</v>
      </c>
      <c r="C4" s="10" t="s">
        <v>321</v>
      </c>
      <c r="D4" s="10">
        <v>64</v>
      </c>
      <c r="E4" s="10">
        <f>D4/2</f>
        <v>32</v>
      </c>
      <c r="F4" s="10">
        <v>0</v>
      </c>
      <c r="G4" s="10">
        <v>65535</v>
      </c>
      <c r="H4" s="10">
        <v>1</v>
      </c>
      <c r="I4" s="10">
        <v>1</v>
      </c>
      <c r="J4" s="10" t="s">
        <v>322</v>
      </c>
      <c r="K4" s="10">
        <v>46001</v>
      </c>
      <c r="L4" s="10">
        <f>K4-40000</f>
        <v>6001</v>
      </c>
      <c r="M4" s="10">
        <f t="shared" ref="M4:M67" si="0">L4-1</f>
        <v>6000</v>
      </c>
      <c r="N4" s="10" t="s">
        <v>323</v>
      </c>
      <c r="O4" s="10" t="s">
        <v>327</v>
      </c>
      <c r="P4" s="7"/>
      <c r="Q4" s="85"/>
      <c r="R4" s="59"/>
      <c r="S4" s="8"/>
      <c r="T4" s="13"/>
      <c r="U4" s="33"/>
    </row>
    <row r="5" spans="1:25" s="6" customFormat="1" ht="16.2" x14ac:dyDescent="0.3">
      <c r="B5" s="10" t="s">
        <v>2206</v>
      </c>
      <c r="C5" s="10" t="s">
        <v>321</v>
      </c>
      <c r="D5" s="10">
        <v>64</v>
      </c>
      <c r="E5" s="10">
        <f t="shared" ref="E5:E19" si="1">D5/2</f>
        <v>32</v>
      </c>
      <c r="F5" s="10">
        <v>0</v>
      </c>
      <c r="G5" s="10">
        <v>65535</v>
      </c>
      <c r="H5" s="10">
        <v>1</v>
      </c>
      <c r="I5" s="10">
        <v>1</v>
      </c>
      <c r="J5" s="10" t="s">
        <v>322</v>
      </c>
      <c r="K5" s="10">
        <f t="shared" ref="K5:K19" si="2">K4+E4</f>
        <v>46033</v>
      </c>
      <c r="L5" s="10">
        <f t="shared" ref="L5:L23" si="3">K5-40000</f>
        <v>6033</v>
      </c>
      <c r="M5" s="10">
        <f t="shared" si="0"/>
        <v>6032</v>
      </c>
      <c r="N5" s="10" t="s">
        <v>323</v>
      </c>
      <c r="O5" s="10" t="s">
        <v>327</v>
      </c>
      <c r="P5" s="7"/>
      <c r="Q5" s="85"/>
      <c r="R5" s="59"/>
      <c r="S5" s="8"/>
      <c r="T5" s="13"/>
      <c r="U5" s="33"/>
    </row>
    <row r="6" spans="1:25" s="6" customFormat="1" ht="15.75" customHeight="1" x14ac:dyDescent="0.3">
      <c r="B6" s="10" t="s">
        <v>2207</v>
      </c>
      <c r="C6" s="10" t="s">
        <v>321</v>
      </c>
      <c r="D6" s="10">
        <v>64</v>
      </c>
      <c r="E6" s="10">
        <f>D6/2</f>
        <v>32</v>
      </c>
      <c r="F6" s="10">
        <v>0</v>
      </c>
      <c r="G6" s="10">
        <v>65535</v>
      </c>
      <c r="H6" s="10">
        <v>1</v>
      </c>
      <c r="I6" s="10">
        <v>1</v>
      </c>
      <c r="J6" s="10" t="s">
        <v>322</v>
      </c>
      <c r="K6" s="10">
        <f t="shared" si="2"/>
        <v>46065</v>
      </c>
      <c r="L6" s="10">
        <f t="shared" si="3"/>
        <v>6065</v>
      </c>
      <c r="M6" s="10">
        <f t="shared" si="0"/>
        <v>6064</v>
      </c>
      <c r="N6" s="10" t="s">
        <v>323</v>
      </c>
      <c r="O6" s="10" t="s">
        <v>327</v>
      </c>
      <c r="P6" s="7"/>
      <c r="Q6" s="86"/>
      <c r="R6" s="86"/>
      <c r="S6" s="13"/>
      <c r="T6" s="13"/>
      <c r="U6" s="33"/>
    </row>
    <row r="7" spans="1:25" s="6" customFormat="1" ht="16.2" x14ac:dyDescent="0.3">
      <c r="B7" s="10" t="s">
        <v>2208</v>
      </c>
      <c r="C7" s="10" t="s">
        <v>321</v>
      </c>
      <c r="D7" s="10">
        <v>64</v>
      </c>
      <c r="E7" s="10">
        <f>D7/2</f>
        <v>32</v>
      </c>
      <c r="F7" s="10">
        <v>0</v>
      </c>
      <c r="G7" s="10">
        <v>65535</v>
      </c>
      <c r="H7" s="10">
        <v>1</v>
      </c>
      <c r="I7" s="10">
        <v>1</v>
      </c>
      <c r="J7" s="10" t="s">
        <v>322</v>
      </c>
      <c r="K7" s="10">
        <f t="shared" si="2"/>
        <v>46097</v>
      </c>
      <c r="L7" s="10">
        <f t="shared" si="3"/>
        <v>6097</v>
      </c>
      <c r="M7" s="10">
        <f t="shared" si="0"/>
        <v>6096</v>
      </c>
      <c r="N7" s="10" t="s">
        <v>323</v>
      </c>
      <c r="O7" s="10" t="s">
        <v>327</v>
      </c>
      <c r="P7" s="7"/>
      <c r="Q7" s="86"/>
      <c r="R7" s="86"/>
      <c r="S7" s="13"/>
      <c r="T7" s="13"/>
      <c r="U7" s="33"/>
    </row>
    <row r="8" spans="1:25" s="6" customFormat="1" ht="15.6" x14ac:dyDescent="0.3">
      <c r="B8" s="10" t="s">
        <v>2209</v>
      </c>
      <c r="C8" s="10" t="s">
        <v>321</v>
      </c>
      <c r="D8" s="10">
        <v>64</v>
      </c>
      <c r="E8" s="10">
        <f t="shared" si="1"/>
        <v>32</v>
      </c>
      <c r="F8" s="10">
        <v>0</v>
      </c>
      <c r="G8" s="10">
        <v>65535</v>
      </c>
      <c r="H8" s="10">
        <v>1</v>
      </c>
      <c r="I8" s="10">
        <v>1</v>
      </c>
      <c r="J8" s="10" t="s">
        <v>322</v>
      </c>
      <c r="K8" s="10">
        <f t="shared" si="2"/>
        <v>46129</v>
      </c>
      <c r="L8" s="10">
        <f t="shared" si="3"/>
        <v>6129</v>
      </c>
      <c r="M8" s="10">
        <f t="shared" si="0"/>
        <v>6128</v>
      </c>
      <c r="N8" s="10" t="s">
        <v>323</v>
      </c>
      <c r="O8" s="10" t="s">
        <v>327</v>
      </c>
      <c r="P8" s="7"/>
      <c r="Q8" s="86"/>
      <c r="R8" s="86"/>
      <c r="S8" s="8"/>
      <c r="T8" s="21"/>
    </row>
    <row r="9" spans="1:25" s="6" customFormat="1" ht="15.6" x14ac:dyDescent="0.3">
      <c r="B9" s="10" t="s">
        <v>2210</v>
      </c>
      <c r="C9" s="10" t="s">
        <v>321</v>
      </c>
      <c r="D9" s="10">
        <v>64</v>
      </c>
      <c r="E9" s="10">
        <f t="shared" si="1"/>
        <v>32</v>
      </c>
      <c r="F9" s="10">
        <v>0</v>
      </c>
      <c r="G9" s="10">
        <v>65535</v>
      </c>
      <c r="H9" s="10">
        <v>1</v>
      </c>
      <c r="I9" s="10">
        <v>1</v>
      </c>
      <c r="J9" s="10" t="s">
        <v>322</v>
      </c>
      <c r="K9" s="10">
        <f t="shared" si="2"/>
        <v>46161</v>
      </c>
      <c r="L9" s="10">
        <f t="shared" si="3"/>
        <v>6161</v>
      </c>
      <c r="M9" s="10">
        <f t="shared" si="0"/>
        <v>6160</v>
      </c>
      <c r="N9" s="10" t="s">
        <v>323</v>
      </c>
      <c r="O9" s="10" t="s">
        <v>327</v>
      </c>
      <c r="P9" s="7"/>
      <c r="Q9" s="86"/>
      <c r="R9" s="86"/>
      <c r="S9" s="8"/>
      <c r="T9" s="21"/>
    </row>
    <row r="10" spans="1:25" s="6" customFormat="1" ht="15.6" x14ac:dyDescent="0.3">
      <c r="B10" s="10" t="s">
        <v>2211</v>
      </c>
      <c r="C10" s="10" t="s">
        <v>321</v>
      </c>
      <c r="D10" s="10">
        <v>64</v>
      </c>
      <c r="E10" s="10">
        <f t="shared" si="1"/>
        <v>32</v>
      </c>
      <c r="F10" s="10">
        <v>0</v>
      </c>
      <c r="G10" s="10">
        <v>65535</v>
      </c>
      <c r="H10" s="10">
        <v>1</v>
      </c>
      <c r="I10" s="10">
        <v>1</v>
      </c>
      <c r="J10" s="10" t="s">
        <v>322</v>
      </c>
      <c r="K10" s="10">
        <f t="shared" si="2"/>
        <v>46193</v>
      </c>
      <c r="L10" s="10">
        <f t="shared" si="3"/>
        <v>6193</v>
      </c>
      <c r="M10" s="10">
        <f t="shared" si="0"/>
        <v>6192</v>
      </c>
      <c r="N10" s="10" t="s">
        <v>323</v>
      </c>
      <c r="O10" s="10" t="s">
        <v>327</v>
      </c>
      <c r="P10" s="7"/>
      <c r="Q10" s="86"/>
      <c r="R10" s="86"/>
      <c r="S10" s="8"/>
      <c r="T10" s="13"/>
    </row>
    <row r="11" spans="1:25" s="6" customFormat="1" ht="15.6" x14ac:dyDescent="0.3">
      <c r="B11" s="10" t="s">
        <v>2212</v>
      </c>
      <c r="C11" s="10" t="s">
        <v>321</v>
      </c>
      <c r="D11" s="10">
        <v>64</v>
      </c>
      <c r="E11" s="10">
        <f t="shared" si="1"/>
        <v>32</v>
      </c>
      <c r="F11" s="10">
        <v>0</v>
      </c>
      <c r="G11" s="10">
        <v>65535</v>
      </c>
      <c r="H11" s="10">
        <v>1</v>
      </c>
      <c r="I11" s="10">
        <v>1</v>
      </c>
      <c r="J11" s="10" t="s">
        <v>322</v>
      </c>
      <c r="K11" s="10">
        <f t="shared" si="2"/>
        <v>46225</v>
      </c>
      <c r="L11" s="10">
        <f t="shared" si="3"/>
        <v>6225</v>
      </c>
      <c r="M11" s="10">
        <f t="shared" si="0"/>
        <v>6224</v>
      </c>
      <c r="N11" s="10" t="s">
        <v>323</v>
      </c>
      <c r="O11" s="10" t="s">
        <v>327</v>
      </c>
      <c r="P11" s="7"/>
      <c r="Q11" s="86"/>
      <c r="R11" s="86"/>
      <c r="S11" s="8"/>
      <c r="T11" s="13"/>
    </row>
    <row r="12" spans="1:25" s="6" customFormat="1" ht="15.6" x14ac:dyDescent="0.3">
      <c r="B12" s="10" t="s">
        <v>2213</v>
      </c>
      <c r="C12" s="10" t="s">
        <v>321</v>
      </c>
      <c r="D12" s="10">
        <v>64</v>
      </c>
      <c r="E12" s="10">
        <f t="shared" si="1"/>
        <v>32</v>
      </c>
      <c r="F12" s="10">
        <v>0</v>
      </c>
      <c r="G12" s="10">
        <v>65535</v>
      </c>
      <c r="H12" s="10">
        <v>1</v>
      </c>
      <c r="I12" s="10">
        <v>1</v>
      </c>
      <c r="J12" s="10" t="s">
        <v>322</v>
      </c>
      <c r="K12" s="10">
        <f t="shared" si="2"/>
        <v>46257</v>
      </c>
      <c r="L12" s="10">
        <f t="shared" si="3"/>
        <v>6257</v>
      </c>
      <c r="M12" s="10">
        <f t="shared" si="0"/>
        <v>6256</v>
      </c>
      <c r="N12" s="10" t="s">
        <v>323</v>
      </c>
      <c r="O12" s="10" t="s">
        <v>327</v>
      </c>
      <c r="P12" s="7"/>
      <c r="Q12" s="69"/>
      <c r="R12" s="69"/>
      <c r="S12" s="21"/>
      <c r="T12" s="21"/>
    </row>
    <row r="13" spans="1:25" s="6" customFormat="1" ht="15.6" x14ac:dyDescent="0.3">
      <c r="B13" s="10" t="s">
        <v>2214</v>
      </c>
      <c r="C13" s="10" t="s">
        <v>321</v>
      </c>
      <c r="D13" s="10">
        <v>64</v>
      </c>
      <c r="E13" s="10">
        <f t="shared" si="1"/>
        <v>32</v>
      </c>
      <c r="F13" s="10">
        <v>0</v>
      </c>
      <c r="G13" s="10">
        <v>65535</v>
      </c>
      <c r="H13" s="10">
        <v>1</v>
      </c>
      <c r="I13" s="10">
        <v>1</v>
      </c>
      <c r="J13" s="10" t="s">
        <v>322</v>
      </c>
      <c r="K13" s="10">
        <f t="shared" si="2"/>
        <v>46289</v>
      </c>
      <c r="L13" s="10">
        <f t="shared" si="3"/>
        <v>6289</v>
      </c>
      <c r="M13" s="10">
        <f t="shared" si="0"/>
        <v>6288</v>
      </c>
      <c r="N13" s="10" t="s">
        <v>323</v>
      </c>
      <c r="O13" s="10" t="s">
        <v>327</v>
      </c>
      <c r="P13" s="7"/>
      <c r="Q13" s="69"/>
      <c r="R13" s="69"/>
      <c r="S13" s="21"/>
      <c r="T13" s="21"/>
    </row>
    <row r="14" spans="1:25" s="6" customFormat="1" ht="15.6" x14ac:dyDescent="0.3">
      <c r="B14" s="10" t="s">
        <v>2215</v>
      </c>
      <c r="C14" s="10" t="s">
        <v>321</v>
      </c>
      <c r="D14" s="10">
        <v>64</v>
      </c>
      <c r="E14" s="10">
        <f t="shared" si="1"/>
        <v>32</v>
      </c>
      <c r="F14" s="10">
        <v>0</v>
      </c>
      <c r="G14" s="10">
        <v>65535</v>
      </c>
      <c r="H14" s="10">
        <v>1</v>
      </c>
      <c r="I14" s="10">
        <v>1</v>
      </c>
      <c r="J14" s="10" t="s">
        <v>322</v>
      </c>
      <c r="K14" s="10">
        <f t="shared" si="2"/>
        <v>46321</v>
      </c>
      <c r="L14" s="10">
        <f t="shared" si="3"/>
        <v>6321</v>
      </c>
      <c r="M14" s="10">
        <f t="shared" si="0"/>
        <v>6320</v>
      </c>
      <c r="N14" s="10" t="s">
        <v>323</v>
      </c>
      <c r="O14" s="10" t="s">
        <v>327</v>
      </c>
      <c r="P14" s="7"/>
      <c r="Q14" s="69"/>
      <c r="R14" s="69"/>
      <c r="S14" s="21"/>
      <c r="T14" s="21"/>
    </row>
    <row r="15" spans="1:25" s="6" customFormat="1" ht="15.6" x14ac:dyDescent="0.3">
      <c r="B15" s="10" t="s">
        <v>2216</v>
      </c>
      <c r="C15" s="10" t="s">
        <v>321</v>
      </c>
      <c r="D15" s="10">
        <v>64</v>
      </c>
      <c r="E15" s="10">
        <f t="shared" si="1"/>
        <v>32</v>
      </c>
      <c r="F15" s="10">
        <v>0</v>
      </c>
      <c r="G15" s="10">
        <v>65535</v>
      </c>
      <c r="H15" s="10">
        <v>1</v>
      </c>
      <c r="I15" s="10">
        <v>1</v>
      </c>
      <c r="J15" s="10" t="s">
        <v>322</v>
      </c>
      <c r="K15" s="10">
        <f t="shared" si="2"/>
        <v>46353</v>
      </c>
      <c r="L15" s="10">
        <f t="shared" si="3"/>
        <v>6353</v>
      </c>
      <c r="M15" s="10">
        <f t="shared" si="0"/>
        <v>6352</v>
      </c>
      <c r="N15" s="10" t="s">
        <v>323</v>
      </c>
      <c r="O15" s="10" t="s">
        <v>327</v>
      </c>
      <c r="P15" s="7"/>
      <c r="Q15" s="69"/>
      <c r="R15" s="69"/>
      <c r="S15" s="21"/>
      <c r="T15" s="21"/>
    </row>
    <row r="16" spans="1:25" s="6" customFormat="1" ht="15.6" x14ac:dyDescent="0.3">
      <c r="B16" s="10" t="s">
        <v>2217</v>
      </c>
      <c r="C16" s="10" t="s">
        <v>321</v>
      </c>
      <c r="D16" s="10">
        <v>64</v>
      </c>
      <c r="E16" s="10">
        <f t="shared" si="1"/>
        <v>32</v>
      </c>
      <c r="F16" s="10">
        <v>0</v>
      </c>
      <c r="G16" s="10">
        <v>65535</v>
      </c>
      <c r="H16" s="10">
        <v>1</v>
      </c>
      <c r="I16" s="10">
        <v>1</v>
      </c>
      <c r="J16" s="10" t="s">
        <v>322</v>
      </c>
      <c r="K16" s="10">
        <f t="shared" si="2"/>
        <v>46385</v>
      </c>
      <c r="L16" s="10">
        <f t="shared" si="3"/>
        <v>6385</v>
      </c>
      <c r="M16" s="10">
        <f t="shared" si="0"/>
        <v>6384</v>
      </c>
      <c r="N16" s="10" t="s">
        <v>323</v>
      </c>
      <c r="O16" s="10" t="s">
        <v>327</v>
      </c>
      <c r="P16" s="7"/>
      <c r="Q16" s="69"/>
      <c r="R16" s="69"/>
      <c r="S16" s="21"/>
      <c r="T16" s="21"/>
    </row>
    <row r="17" spans="2:25" s="6" customFormat="1" ht="15.6" x14ac:dyDescent="0.3">
      <c r="B17" s="10" t="s">
        <v>2218</v>
      </c>
      <c r="C17" s="10" t="s">
        <v>321</v>
      </c>
      <c r="D17" s="10">
        <v>64</v>
      </c>
      <c r="E17" s="10">
        <f t="shared" si="1"/>
        <v>32</v>
      </c>
      <c r="F17" s="10">
        <v>0</v>
      </c>
      <c r="G17" s="10">
        <v>65535</v>
      </c>
      <c r="H17" s="10">
        <v>1</v>
      </c>
      <c r="I17" s="10">
        <v>1</v>
      </c>
      <c r="J17" s="10" t="s">
        <v>322</v>
      </c>
      <c r="K17" s="10">
        <f t="shared" si="2"/>
        <v>46417</v>
      </c>
      <c r="L17" s="10">
        <f t="shared" si="3"/>
        <v>6417</v>
      </c>
      <c r="M17" s="10">
        <f t="shared" si="0"/>
        <v>6416</v>
      </c>
      <c r="N17" s="10" t="s">
        <v>323</v>
      </c>
      <c r="O17" s="10" t="s">
        <v>327</v>
      </c>
      <c r="P17" s="7"/>
      <c r="Q17" s="69"/>
      <c r="R17" s="69"/>
      <c r="S17" s="21"/>
      <c r="T17" s="21"/>
    </row>
    <row r="18" spans="2:25" s="6" customFormat="1" ht="15.6" x14ac:dyDescent="0.3">
      <c r="B18" s="10" t="s">
        <v>2219</v>
      </c>
      <c r="C18" s="10" t="s">
        <v>321</v>
      </c>
      <c r="D18" s="10">
        <v>64</v>
      </c>
      <c r="E18" s="10">
        <f t="shared" si="1"/>
        <v>32</v>
      </c>
      <c r="F18" s="10">
        <v>0</v>
      </c>
      <c r="G18" s="10">
        <v>65535</v>
      </c>
      <c r="H18" s="10">
        <v>1</v>
      </c>
      <c r="I18" s="10">
        <v>1</v>
      </c>
      <c r="J18" s="10" t="s">
        <v>322</v>
      </c>
      <c r="K18" s="10">
        <f t="shared" si="2"/>
        <v>46449</v>
      </c>
      <c r="L18" s="10">
        <f t="shared" si="3"/>
        <v>6449</v>
      </c>
      <c r="M18" s="10">
        <f t="shared" si="0"/>
        <v>6448</v>
      </c>
      <c r="N18" s="10" t="s">
        <v>323</v>
      </c>
      <c r="O18" s="10" t="s">
        <v>327</v>
      </c>
      <c r="P18" s="7"/>
      <c r="Q18" s="69"/>
      <c r="R18" s="69"/>
      <c r="S18" s="21"/>
      <c r="T18" s="21"/>
    </row>
    <row r="19" spans="2:25" s="6" customFormat="1" ht="15.6" x14ac:dyDescent="0.3">
      <c r="B19" s="10" t="s">
        <v>2220</v>
      </c>
      <c r="C19" s="10" t="s">
        <v>321</v>
      </c>
      <c r="D19" s="10">
        <v>64</v>
      </c>
      <c r="E19" s="10">
        <f t="shared" si="1"/>
        <v>32</v>
      </c>
      <c r="F19" s="10">
        <v>0</v>
      </c>
      <c r="G19" s="10">
        <v>65535</v>
      </c>
      <c r="H19" s="10">
        <v>1</v>
      </c>
      <c r="I19" s="10">
        <v>1</v>
      </c>
      <c r="J19" s="10" t="s">
        <v>322</v>
      </c>
      <c r="K19" s="10">
        <f t="shared" si="2"/>
        <v>46481</v>
      </c>
      <c r="L19" s="10">
        <f t="shared" si="3"/>
        <v>6481</v>
      </c>
      <c r="M19" s="10">
        <f t="shared" si="0"/>
        <v>6480</v>
      </c>
      <c r="N19" s="10" t="s">
        <v>323</v>
      </c>
      <c r="O19" s="10" t="s">
        <v>327</v>
      </c>
      <c r="P19" s="7"/>
      <c r="Q19" s="69"/>
      <c r="R19" s="69"/>
      <c r="S19" s="21"/>
      <c r="T19" s="21"/>
    </row>
    <row r="20" spans="2:25" s="6" customFormat="1" ht="15.6" x14ac:dyDescent="0.3">
      <c r="B20" s="10" t="s">
        <v>2221</v>
      </c>
      <c r="C20" s="10" t="s">
        <v>321</v>
      </c>
      <c r="D20" s="10">
        <v>64</v>
      </c>
      <c r="E20" s="10">
        <f t="shared" ref="E20:E23" si="4">D20/2</f>
        <v>32</v>
      </c>
      <c r="F20" s="10">
        <v>0</v>
      </c>
      <c r="G20" s="10">
        <v>65535</v>
      </c>
      <c r="H20" s="10">
        <v>1</v>
      </c>
      <c r="I20" s="10">
        <v>1</v>
      </c>
      <c r="J20" s="10" t="s">
        <v>322</v>
      </c>
      <c r="K20" s="10">
        <f t="shared" ref="K20:K23" si="5">K19+E19</f>
        <v>46513</v>
      </c>
      <c r="L20" s="10">
        <f t="shared" si="3"/>
        <v>6513</v>
      </c>
      <c r="M20" s="10">
        <f t="shared" si="0"/>
        <v>6512</v>
      </c>
      <c r="N20" s="10" t="s">
        <v>323</v>
      </c>
      <c r="O20" s="10" t="s">
        <v>327</v>
      </c>
      <c r="P20" s="7"/>
      <c r="Q20" s="69"/>
      <c r="R20" s="69"/>
      <c r="S20" s="21"/>
      <c r="T20" s="21"/>
    </row>
    <row r="21" spans="2:25" s="6" customFormat="1" ht="15.6" x14ac:dyDescent="0.3">
      <c r="B21" s="10" t="s">
        <v>2222</v>
      </c>
      <c r="C21" s="10" t="s">
        <v>321</v>
      </c>
      <c r="D21" s="10">
        <v>64</v>
      </c>
      <c r="E21" s="10">
        <f t="shared" si="4"/>
        <v>32</v>
      </c>
      <c r="F21" s="10">
        <v>0</v>
      </c>
      <c r="G21" s="10">
        <v>65535</v>
      </c>
      <c r="H21" s="10">
        <v>1</v>
      </c>
      <c r="I21" s="10">
        <v>1</v>
      </c>
      <c r="J21" s="10" t="s">
        <v>322</v>
      </c>
      <c r="K21" s="10">
        <f t="shared" si="5"/>
        <v>46545</v>
      </c>
      <c r="L21" s="10">
        <f t="shared" si="3"/>
        <v>6545</v>
      </c>
      <c r="M21" s="10">
        <f t="shared" si="0"/>
        <v>6544</v>
      </c>
      <c r="N21" s="10" t="s">
        <v>323</v>
      </c>
      <c r="O21" s="10" t="s">
        <v>327</v>
      </c>
      <c r="P21" s="7"/>
      <c r="Q21" s="69"/>
      <c r="R21" s="69"/>
      <c r="S21" s="21"/>
      <c r="T21" s="21"/>
    </row>
    <row r="22" spans="2:25" s="6" customFormat="1" ht="15.6" x14ac:dyDescent="0.3">
      <c r="B22" s="10" t="s">
        <v>2223</v>
      </c>
      <c r="C22" s="10" t="s">
        <v>321</v>
      </c>
      <c r="D22" s="10">
        <v>64</v>
      </c>
      <c r="E22" s="10">
        <f t="shared" si="4"/>
        <v>32</v>
      </c>
      <c r="F22" s="10">
        <v>0</v>
      </c>
      <c r="G22" s="10">
        <v>65535</v>
      </c>
      <c r="H22" s="10">
        <v>1</v>
      </c>
      <c r="I22" s="10">
        <v>1</v>
      </c>
      <c r="J22" s="10" t="s">
        <v>322</v>
      </c>
      <c r="K22" s="10">
        <f t="shared" si="5"/>
        <v>46577</v>
      </c>
      <c r="L22" s="10">
        <f t="shared" si="3"/>
        <v>6577</v>
      </c>
      <c r="M22" s="10">
        <f t="shared" si="0"/>
        <v>6576</v>
      </c>
      <c r="N22" s="10" t="s">
        <v>323</v>
      </c>
      <c r="O22" s="10" t="s">
        <v>327</v>
      </c>
      <c r="P22" s="7"/>
      <c r="Q22" s="69"/>
      <c r="R22" s="69"/>
      <c r="S22" s="21"/>
      <c r="T22" s="21"/>
    </row>
    <row r="23" spans="2:25" s="6" customFormat="1" ht="15.6" x14ac:dyDescent="0.3">
      <c r="B23" s="10" t="s">
        <v>2224</v>
      </c>
      <c r="C23" s="10" t="s">
        <v>321</v>
      </c>
      <c r="D23" s="10">
        <v>64</v>
      </c>
      <c r="E23" s="10">
        <f t="shared" si="4"/>
        <v>32</v>
      </c>
      <c r="F23" s="10">
        <v>0</v>
      </c>
      <c r="G23" s="10">
        <v>65535</v>
      </c>
      <c r="H23" s="10">
        <v>1</v>
      </c>
      <c r="I23" s="10">
        <v>1</v>
      </c>
      <c r="J23" s="10" t="s">
        <v>322</v>
      </c>
      <c r="K23" s="10">
        <f t="shared" si="5"/>
        <v>46609</v>
      </c>
      <c r="L23" s="10">
        <f t="shared" si="3"/>
        <v>6609</v>
      </c>
      <c r="M23" s="10">
        <f t="shared" si="0"/>
        <v>6608</v>
      </c>
      <c r="N23" s="10" t="s">
        <v>323</v>
      </c>
      <c r="O23" s="10" t="s">
        <v>327</v>
      </c>
      <c r="P23" s="7"/>
      <c r="Q23" s="69"/>
      <c r="R23" s="69"/>
      <c r="S23" s="21"/>
      <c r="T23" s="21"/>
    </row>
    <row r="24" spans="2:25" ht="16.2" x14ac:dyDescent="0.3">
      <c r="B24" s="504" t="s">
        <v>2225</v>
      </c>
      <c r="C24" s="504"/>
      <c r="D24" s="504"/>
      <c r="E24" s="504"/>
      <c r="F24" s="504"/>
      <c r="G24" s="504"/>
      <c r="H24" s="504"/>
      <c r="I24" s="504"/>
      <c r="J24" s="504"/>
      <c r="K24" s="504"/>
      <c r="L24" s="504"/>
      <c r="M24" s="504"/>
      <c r="N24" s="504"/>
      <c r="O24" s="504"/>
      <c r="P24" s="504"/>
      <c r="Q24" s="504"/>
      <c r="R24" s="504"/>
      <c r="X24" s="60"/>
      <c r="Y24" s="60"/>
    </row>
    <row r="25" spans="2:25" s="6" customFormat="1" ht="16.2" x14ac:dyDescent="0.3">
      <c r="B25" s="10" t="s">
        <v>2205</v>
      </c>
      <c r="C25" s="10" t="s">
        <v>321</v>
      </c>
      <c r="D25" s="10">
        <v>16</v>
      </c>
      <c r="E25" s="10">
        <f>D25/2</f>
        <v>8</v>
      </c>
      <c r="F25" s="10">
        <v>0</v>
      </c>
      <c r="G25" s="10">
        <v>65535</v>
      </c>
      <c r="H25" s="10">
        <v>1</v>
      </c>
      <c r="I25" s="10">
        <v>1</v>
      </c>
      <c r="J25" s="10" t="s">
        <v>322</v>
      </c>
      <c r="K25" s="10">
        <f>47001</f>
        <v>47001</v>
      </c>
      <c r="L25" s="10">
        <f>K25-40000</f>
        <v>7001</v>
      </c>
      <c r="M25" s="10">
        <f t="shared" si="0"/>
        <v>7000</v>
      </c>
      <c r="N25" s="10" t="s">
        <v>323</v>
      </c>
      <c r="O25" s="10" t="s">
        <v>327</v>
      </c>
      <c r="P25" s="7"/>
      <c r="Q25" s="85"/>
      <c r="R25" s="59"/>
      <c r="S25" s="8"/>
      <c r="T25" s="13"/>
      <c r="U25" s="33"/>
    </row>
    <row r="26" spans="2:25" s="6" customFormat="1" ht="16.2" x14ac:dyDescent="0.3">
      <c r="B26" s="10" t="s">
        <v>2206</v>
      </c>
      <c r="C26" s="10" t="s">
        <v>321</v>
      </c>
      <c r="D26" s="10">
        <v>16</v>
      </c>
      <c r="E26" s="10">
        <f t="shared" ref="E26" si="6">D26/2</f>
        <v>8</v>
      </c>
      <c r="F26" s="10">
        <v>0</v>
      </c>
      <c r="G26" s="10">
        <v>65535</v>
      </c>
      <c r="H26" s="10">
        <v>1</v>
      </c>
      <c r="I26" s="10">
        <v>1</v>
      </c>
      <c r="J26" s="10" t="s">
        <v>322</v>
      </c>
      <c r="K26" s="10">
        <f t="shared" ref="K26:K89" si="7">K25+E25</f>
        <v>47009</v>
      </c>
      <c r="L26" s="10">
        <f t="shared" ref="L26:L89" si="8">K26-40000</f>
        <v>7009</v>
      </c>
      <c r="M26" s="10">
        <f t="shared" si="0"/>
        <v>7008</v>
      </c>
      <c r="N26" s="10" t="s">
        <v>323</v>
      </c>
      <c r="O26" s="10" t="s">
        <v>327</v>
      </c>
      <c r="P26" s="7"/>
      <c r="Q26" s="85"/>
      <c r="R26" s="59"/>
      <c r="S26" s="8"/>
      <c r="T26" s="13"/>
      <c r="U26" s="33"/>
    </row>
    <row r="27" spans="2:25" s="6" customFormat="1" ht="15.75" customHeight="1" x14ac:dyDescent="0.3">
      <c r="B27" s="10" t="s">
        <v>2207</v>
      </c>
      <c r="C27" s="10" t="s">
        <v>321</v>
      </c>
      <c r="D27" s="10">
        <v>16</v>
      </c>
      <c r="E27" s="10">
        <f>D27/2</f>
        <v>8</v>
      </c>
      <c r="F27" s="10">
        <v>0</v>
      </c>
      <c r="G27" s="10">
        <v>65535</v>
      </c>
      <c r="H27" s="10">
        <v>1</v>
      </c>
      <c r="I27" s="10">
        <v>1</v>
      </c>
      <c r="J27" s="10" t="s">
        <v>322</v>
      </c>
      <c r="K27" s="10">
        <f t="shared" si="7"/>
        <v>47017</v>
      </c>
      <c r="L27" s="10">
        <f t="shared" si="8"/>
        <v>7017</v>
      </c>
      <c r="M27" s="10">
        <f t="shared" si="0"/>
        <v>7016</v>
      </c>
      <c r="N27" s="10" t="s">
        <v>323</v>
      </c>
      <c r="O27" s="10" t="s">
        <v>327</v>
      </c>
      <c r="P27" s="7"/>
      <c r="Q27" s="86"/>
      <c r="R27" s="86"/>
      <c r="S27" s="13"/>
      <c r="T27" s="13"/>
      <c r="U27" s="33"/>
    </row>
    <row r="28" spans="2:25" s="6" customFormat="1" ht="16.2" x14ac:dyDescent="0.3">
      <c r="B28" s="10" t="s">
        <v>2208</v>
      </c>
      <c r="C28" s="10" t="s">
        <v>321</v>
      </c>
      <c r="D28" s="10">
        <v>16</v>
      </c>
      <c r="E28" s="10">
        <f>D28/2</f>
        <v>8</v>
      </c>
      <c r="F28" s="10">
        <v>0</v>
      </c>
      <c r="G28" s="10">
        <v>65535</v>
      </c>
      <c r="H28" s="10">
        <v>1</v>
      </c>
      <c r="I28" s="10">
        <v>1</v>
      </c>
      <c r="J28" s="10" t="s">
        <v>322</v>
      </c>
      <c r="K28" s="10">
        <f t="shared" si="7"/>
        <v>47025</v>
      </c>
      <c r="L28" s="10">
        <f t="shared" si="8"/>
        <v>7025</v>
      </c>
      <c r="M28" s="10">
        <f t="shared" si="0"/>
        <v>7024</v>
      </c>
      <c r="N28" s="10" t="s">
        <v>323</v>
      </c>
      <c r="O28" s="10" t="s">
        <v>327</v>
      </c>
      <c r="P28" s="7"/>
      <c r="Q28" s="86"/>
      <c r="R28" s="86"/>
      <c r="S28" s="13"/>
      <c r="T28" s="13"/>
      <c r="U28" s="33"/>
    </row>
    <row r="29" spans="2:25" s="6" customFormat="1" ht="15.6" x14ac:dyDescent="0.3">
      <c r="B29" s="10" t="s">
        <v>2209</v>
      </c>
      <c r="C29" s="10" t="s">
        <v>321</v>
      </c>
      <c r="D29" s="10">
        <v>16</v>
      </c>
      <c r="E29" s="10">
        <f t="shared" ref="E29:E40" si="9">D29/2</f>
        <v>8</v>
      </c>
      <c r="F29" s="10">
        <v>0</v>
      </c>
      <c r="G29" s="10">
        <v>65535</v>
      </c>
      <c r="H29" s="10">
        <v>1</v>
      </c>
      <c r="I29" s="10">
        <v>1</v>
      </c>
      <c r="J29" s="10" t="s">
        <v>322</v>
      </c>
      <c r="K29" s="10">
        <f t="shared" si="7"/>
        <v>47033</v>
      </c>
      <c r="L29" s="10">
        <f t="shared" si="8"/>
        <v>7033</v>
      </c>
      <c r="M29" s="10">
        <f t="shared" si="0"/>
        <v>7032</v>
      </c>
      <c r="N29" s="10" t="s">
        <v>323</v>
      </c>
      <c r="O29" s="10" t="s">
        <v>327</v>
      </c>
      <c r="P29" s="7"/>
      <c r="Q29" s="86"/>
      <c r="R29" s="86"/>
      <c r="S29" s="8"/>
      <c r="T29" s="21"/>
    </row>
    <row r="30" spans="2:25" s="6" customFormat="1" ht="15.6" x14ac:dyDescent="0.3">
      <c r="B30" s="10" t="s">
        <v>2210</v>
      </c>
      <c r="C30" s="10" t="s">
        <v>321</v>
      </c>
      <c r="D30" s="10">
        <v>16</v>
      </c>
      <c r="E30" s="10">
        <f t="shared" si="9"/>
        <v>8</v>
      </c>
      <c r="F30" s="10">
        <v>0</v>
      </c>
      <c r="G30" s="10">
        <v>65535</v>
      </c>
      <c r="H30" s="10">
        <v>1</v>
      </c>
      <c r="I30" s="10">
        <v>1</v>
      </c>
      <c r="J30" s="10" t="s">
        <v>322</v>
      </c>
      <c r="K30" s="10">
        <f t="shared" si="7"/>
        <v>47041</v>
      </c>
      <c r="L30" s="10">
        <f t="shared" si="8"/>
        <v>7041</v>
      </c>
      <c r="M30" s="10">
        <f t="shared" si="0"/>
        <v>7040</v>
      </c>
      <c r="N30" s="10" t="s">
        <v>323</v>
      </c>
      <c r="O30" s="10" t="s">
        <v>327</v>
      </c>
      <c r="P30" s="7"/>
      <c r="Q30" s="86"/>
      <c r="R30" s="86"/>
      <c r="S30" s="8"/>
      <c r="T30" s="21"/>
    </row>
    <row r="31" spans="2:25" s="6" customFormat="1" ht="15.6" x14ac:dyDescent="0.3">
      <c r="B31" s="10" t="s">
        <v>2211</v>
      </c>
      <c r="C31" s="10" t="s">
        <v>321</v>
      </c>
      <c r="D31" s="10">
        <v>16</v>
      </c>
      <c r="E31" s="10">
        <f t="shared" si="9"/>
        <v>8</v>
      </c>
      <c r="F31" s="10">
        <v>0</v>
      </c>
      <c r="G31" s="10">
        <v>65535</v>
      </c>
      <c r="H31" s="10">
        <v>1</v>
      </c>
      <c r="I31" s="10">
        <v>1</v>
      </c>
      <c r="J31" s="10" t="s">
        <v>322</v>
      </c>
      <c r="K31" s="10">
        <f t="shared" si="7"/>
        <v>47049</v>
      </c>
      <c r="L31" s="10">
        <f t="shared" si="8"/>
        <v>7049</v>
      </c>
      <c r="M31" s="10">
        <f t="shared" si="0"/>
        <v>7048</v>
      </c>
      <c r="N31" s="10" t="s">
        <v>323</v>
      </c>
      <c r="O31" s="10" t="s">
        <v>327</v>
      </c>
      <c r="P31" s="7"/>
      <c r="Q31" s="86"/>
      <c r="R31" s="86"/>
      <c r="S31" s="8"/>
      <c r="T31" s="13"/>
    </row>
    <row r="32" spans="2:25" s="6" customFormat="1" ht="15.6" x14ac:dyDescent="0.3">
      <c r="B32" s="10" t="s">
        <v>2212</v>
      </c>
      <c r="C32" s="10" t="s">
        <v>321</v>
      </c>
      <c r="D32" s="10">
        <v>16</v>
      </c>
      <c r="E32" s="10">
        <f t="shared" si="9"/>
        <v>8</v>
      </c>
      <c r="F32" s="10">
        <v>0</v>
      </c>
      <c r="G32" s="10">
        <v>65535</v>
      </c>
      <c r="H32" s="10">
        <v>1</v>
      </c>
      <c r="I32" s="10">
        <v>1</v>
      </c>
      <c r="J32" s="10" t="s">
        <v>322</v>
      </c>
      <c r="K32" s="10">
        <f t="shared" si="7"/>
        <v>47057</v>
      </c>
      <c r="L32" s="10">
        <f t="shared" si="8"/>
        <v>7057</v>
      </c>
      <c r="M32" s="10">
        <f t="shared" si="0"/>
        <v>7056</v>
      </c>
      <c r="N32" s="10" t="s">
        <v>323</v>
      </c>
      <c r="O32" s="10" t="s">
        <v>327</v>
      </c>
      <c r="P32" s="7"/>
      <c r="Q32" s="86"/>
      <c r="R32" s="86"/>
      <c r="S32" s="8"/>
      <c r="T32" s="13"/>
    </row>
    <row r="33" spans="2:21" s="6" customFormat="1" ht="15.6" x14ac:dyDescent="0.3">
      <c r="B33" s="10" t="s">
        <v>2213</v>
      </c>
      <c r="C33" s="10" t="s">
        <v>321</v>
      </c>
      <c r="D33" s="10">
        <v>16</v>
      </c>
      <c r="E33" s="10">
        <f t="shared" si="9"/>
        <v>8</v>
      </c>
      <c r="F33" s="10">
        <v>0</v>
      </c>
      <c r="G33" s="10">
        <v>65535</v>
      </c>
      <c r="H33" s="10">
        <v>1</v>
      </c>
      <c r="I33" s="10">
        <v>1</v>
      </c>
      <c r="J33" s="10" t="s">
        <v>322</v>
      </c>
      <c r="K33" s="10">
        <f t="shared" si="7"/>
        <v>47065</v>
      </c>
      <c r="L33" s="10">
        <f t="shared" si="8"/>
        <v>7065</v>
      </c>
      <c r="M33" s="10">
        <f t="shared" si="0"/>
        <v>7064</v>
      </c>
      <c r="N33" s="10" t="s">
        <v>323</v>
      </c>
      <c r="O33" s="10" t="s">
        <v>327</v>
      </c>
      <c r="P33" s="7"/>
      <c r="Q33" s="69"/>
      <c r="R33" s="69"/>
      <c r="S33" s="21"/>
      <c r="T33" s="21"/>
    </row>
    <row r="34" spans="2:21" s="6" customFormat="1" ht="15.6" x14ac:dyDescent="0.3">
      <c r="B34" s="10" t="s">
        <v>2214</v>
      </c>
      <c r="C34" s="10" t="s">
        <v>321</v>
      </c>
      <c r="D34" s="10">
        <v>16</v>
      </c>
      <c r="E34" s="10">
        <f t="shared" si="9"/>
        <v>8</v>
      </c>
      <c r="F34" s="10">
        <v>0</v>
      </c>
      <c r="G34" s="10">
        <v>65535</v>
      </c>
      <c r="H34" s="10">
        <v>1</v>
      </c>
      <c r="I34" s="10">
        <v>1</v>
      </c>
      <c r="J34" s="10" t="s">
        <v>322</v>
      </c>
      <c r="K34" s="10">
        <f t="shared" si="7"/>
        <v>47073</v>
      </c>
      <c r="L34" s="10">
        <f t="shared" si="8"/>
        <v>7073</v>
      </c>
      <c r="M34" s="10">
        <f t="shared" si="0"/>
        <v>7072</v>
      </c>
      <c r="N34" s="10" t="s">
        <v>323</v>
      </c>
      <c r="O34" s="10" t="s">
        <v>327</v>
      </c>
      <c r="P34" s="7"/>
      <c r="Q34" s="69"/>
      <c r="R34" s="69"/>
      <c r="S34" s="21"/>
      <c r="T34" s="21"/>
    </row>
    <row r="35" spans="2:21" s="6" customFormat="1" ht="15.6" x14ac:dyDescent="0.3">
      <c r="B35" s="10" t="s">
        <v>2215</v>
      </c>
      <c r="C35" s="10" t="s">
        <v>321</v>
      </c>
      <c r="D35" s="10">
        <v>16</v>
      </c>
      <c r="E35" s="10">
        <f t="shared" si="9"/>
        <v>8</v>
      </c>
      <c r="F35" s="10">
        <v>0</v>
      </c>
      <c r="G35" s="10">
        <v>65535</v>
      </c>
      <c r="H35" s="10">
        <v>1</v>
      </c>
      <c r="I35" s="10">
        <v>1</v>
      </c>
      <c r="J35" s="10" t="s">
        <v>322</v>
      </c>
      <c r="K35" s="10">
        <f t="shared" si="7"/>
        <v>47081</v>
      </c>
      <c r="L35" s="10">
        <f t="shared" si="8"/>
        <v>7081</v>
      </c>
      <c r="M35" s="10">
        <f t="shared" si="0"/>
        <v>7080</v>
      </c>
      <c r="N35" s="10" t="s">
        <v>323</v>
      </c>
      <c r="O35" s="10" t="s">
        <v>327</v>
      </c>
      <c r="P35" s="7"/>
      <c r="Q35" s="69"/>
      <c r="R35" s="69"/>
      <c r="S35" s="21"/>
      <c r="T35" s="21"/>
    </row>
    <row r="36" spans="2:21" s="6" customFormat="1" ht="15.6" x14ac:dyDescent="0.3">
      <c r="B36" s="10" t="s">
        <v>2216</v>
      </c>
      <c r="C36" s="10" t="s">
        <v>321</v>
      </c>
      <c r="D36" s="10">
        <v>16</v>
      </c>
      <c r="E36" s="10">
        <f t="shared" si="9"/>
        <v>8</v>
      </c>
      <c r="F36" s="10">
        <v>0</v>
      </c>
      <c r="G36" s="10">
        <v>65535</v>
      </c>
      <c r="H36" s="10">
        <v>1</v>
      </c>
      <c r="I36" s="10">
        <v>1</v>
      </c>
      <c r="J36" s="10" t="s">
        <v>322</v>
      </c>
      <c r="K36" s="10">
        <f t="shared" si="7"/>
        <v>47089</v>
      </c>
      <c r="L36" s="10">
        <f t="shared" si="8"/>
        <v>7089</v>
      </c>
      <c r="M36" s="10">
        <f t="shared" si="0"/>
        <v>7088</v>
      </c>
      <c r="N36" s="10" t="s">
        <v>323</v>
      </c>
      <c r="O36" s="10" t="s">
        <v>327</v>
      </c>
      <c r="P36" s="7"/>
      <c r="Q36" s="69"/>
      <c r="R36" s="69"/>
      <c r="S36" s="21"/>
      <c r="T36" s="21"/>
    </row>
    <row r="37" spans="2:21" s="6" customFormat="1" ht="15.6" x14ac:dyDescent="0.3">
      <c r="B37" s="10" t="s">
        <v>2217</v>
      </c>
      <c r="C37" s="10" t="s">
        <v>321</v>
      </c>
      <c r="D37" s="10">
        <v>16</v>
      </c>
      <c r="E37" s="10">
        <f t="shared" si="9"/>
        <v>8</v>
      </c>
      <c r="F37" s="10">
        <v>0</v>
      </c>
      <c r="G37" s="10">
        <v>65535</v>
      </c>
      <c r="H37" s="10">
        <v>1</v>
      </c>
      <c r="I37" s="10">
        <v>1</v>
      </c>
      <c r="J37" s="10" t="s">
        <v>322</v>
      </c>
      <c r="K37" s="10">
        <f t="shared" si="7"/>
        <v>47097</v>
      </c>
      <c r="L37" s="10">
        <f t="shared" si="8"/>
        <v>7097</v>
      </c>
      <c r="M37" s="10">
        <f t="shared" si="0"/>
        <v>7096</v>
      </c>
      <c r="N37" s="10" t="s">
        <v>323</v>
      </c>
      <c r="O37" s="10" t="s">
        <v>327</v>
      </c>
      <c r="P37" s="7"/>
      <c r="Q37" s="69"/>
      <c r="R37" s="69"/>
      <c r="S37" s="21"/>
      <c r="T37" s="21"/>
    </row>
    <row r="38" spans="2:21" s="6" customFormat="1" ht="15.6" x14ac:dyDescent="0.3">
      <c r="B38" s="10" t="s">
        <v>2218</v>
      </c>
      <c r="C38" s="10" t="s">
        <v>321</v>
      </c>
      <c r="D38" s="10">
        <v>16</v>
      </c>
      <c r="E38" s="10">
        <f t="shared" si="9"/>
        <v>8</v>
      </c>
      <c r="F38" s="10">
        <v>0</v>
      </c>
      <c r="G38" s="10">
        <v>65535</v>
      </c>
      <c r="H38" s="10">
        <v>1</v>
      </c>
      <c r="I38" s="10">
        <v>1</v>
      </c>
      <c r="J38" s="10" t="s">
        <v>322</v>
      </c>
      <c r="K38" s="10">
        <f t="shared" si="7"/>
        <v>47105</v>
      </c>
      <c r="L38" s="10">
        <f t="shared" si="8"/>
        <v>7105</v>
      </c>
      <c r="M38" s="10">
        <f t="shared" si="0"/>
        <v>7104</v>
      </c>
      <c r="N38" s="10" t="s">
        <v>323</v>
      </c>
      <c r="O38" s="10" t="s">
        <v>327</v>
      </c>
      <c r="P38" s="7"/>
      <c r="Q38" s="69"/>
      <c r="R38" s="69"/>
      <c r="S38" s="21"/>
      <c r="T38" s="21"/>
    </row>
    <row r="39" spans="2:21" s="6" customFormat="1" ht="15.6" x14ac:dyDescent="0.3">
      <c r="B39" s="10" t="s">
        <v>2219</v>
      </c>
      <c r="C39" s="10" t="s">
        <v>321</v>
      </c>
      <c r="D39" s="10">
        <v>16</v>
      </c>
      <c r="E39" s="10">
        <f t="shared" si="9"/>
        <v>8</v>
      </c>
      <c r="F39" s="10">
        <v>0</v>
      </c>
      <c r="G39" s="10">
        <v>65535</v>
      </c>
      <c r="H39" s="10">
        <v>1</v>
      </c>
      <c r="I39" s="10">
        <v>1</v>
      </c>
      <c r="J39" s="10" t="s">
        <v>322</v>
      </c>
      <c r="K39" s="10">
        <f t="shared" si="7"/>
        <v>47113</v>
      </c>
      <c r="L39" s="10">
        <f t="shared" si="8"/>
        <v>7113</v>
      </c>
      <c r="M39" s="10">
        <f t="shared" si="0"/>
        <v>7112</v>
      </c>
      <c r="N39" s="10" t="s">
        <v>323</v>
      </c>
      <c r="O39" s="10" t="s">
        <v>327</v>
      </c>
      <c r="P39" s="7"/>
      <c r="Q39" s="69"/>
      <c r="R39" s="69"/>
      <c r="S39" s="21"/>
      <c r="T39" s="21"/>
    </row>
    <row r="40" spans="2:21" s="6" customFormat="1" ht="15.6" x14ac:dyDescent="0.3">
      <c r="B40" s="10" t="s">
        <v>2220</v>
      </c>
      <c r="C40" s="10" t="s">
        <v>321</v>
      </c>
      <c r="D40" s="10">
        <v>16</v>
      </c>
      <c r="E40" s="10">
        <f t="shared" si="9"/>
        <v>8</v>
      </c>
      <c r="F40" s="10">
        <v>0</v>
      </c>
      <c r="G40" s="10">
        <v>65535</v>
      </c>
      <c r="H40" s="10">
        <v>1</v>
      </c>
      <c r="I40" s="10">
        <v>1</v>
      </c>
      <c r="J40" s="10" t="s">
        <v>322</v>
      </c>
      <c r="K40" s="10">
        <f t="shared" si="7"/>
        <v>47121</v>
      </c>
      <c r="L40" s="10">
        <f t="shared" si="8"/>
        <v>7121</v>
      </c>
      <c r="M40" s="10">
        <f t="shared" si="0"/>
        <v>7120</v>
      </c>
      <c r="N40" s="10" t="s">
        <v>323</v>
      </c>
      <c r="O40" s="10" t="s">
        <v>327</v>
      </c>
      <c r="P40" s="7"/>
      <c r="Q40" s="69"/>
      <c r="R40" s="69"/>
      <c r="S40" s="21"/>
      <c r="T40" s="21"/>
    </row>
    <row r="41" spans="2:21" s="6" customFormat="1" ht="16.2" x14ac:dyDescent="0.3">
      <c r="B41" s="10" t="s">
        <v>2221</v>
      </c>
      <c r="C41" s="10" t="s">
        <v>321</v>
      </c>
      <c r="D41" s="10">
        <v>16</v>
      </c>
      <c r="E41" s="10">
        <f>D41/2</f>
        <v>8</v>
      </c>
      <c r="F41" s="10">
        <v>0</v>
      </c>
      <c r="G41" s="10">
        <v>65535</v>
      </c>
      <c r="H41" s="10">
        <v>1</v>
      </c>
      <c r="I41" s="10">
        <v>1</v>
      </c>
      <c r="J41" s="10" t="s">
        <v>322</v>
      </c>
      <c r="K41" s="10">
        <f t="shared" si="7"/>
        <v>47129</v>
      </c>
      <c r="L41" s="10">
        <f t="shared" si="8"/>
        <v>7129</v>
      </c>
      <c r="M41" s="10">
        <f t="shared" si="0"/>
        <v>7128</v>
      </c>
      <c r="N41" s="10" t="s">
        <v>323</v>
      </c>
      <c r="O41" s="10" t="s">
        <v>327</v>
      </c>
      <c r="P41" s="7"/>
      <c r="Q41" s="85"/>
      <c r="R41" s="59"/>
      <c r="S41" s="8"/>
      <c r="T41" s="13"/>
      <c r="U41" s="33"/>
    </row>
    <row r="42" spans="2:21" s="6" customFormat="1" ht="16.2" x14ac:dyDescent="0.3">
      <c r="B42" s="10" t="s">
        <v>2222</v>
      </c>
      <c r="C42" s="10" t="s">
        <v>321</v>
      </c>
      <c r="D42" s="10">
        <v>16</v>
      </c>
      <c r="E42" s="10">
        <f t="shared" ref="E42" si="10">D42/2</f>
        <v>8</v>
      </c>
      <c r="F42" s="10">
        <v>0</v>
      </c>
      <c r="G42" s="10">
        <v>65535</v>
      </c>
      <c r="H42" s="10">
        <v>1</v>
      </c>
      <c r="I42" s="10">
        <v>1</v>
      </c>
      <c r="J42" s="10" t="s">
        <v>322</v>
      </c>
      <c r="K42" s="10">
        <f t="shared" si="7"/>
        <v>47137</v>
      </c>
      <c r="L42" s="10">
        <f t="shared" si="8"/>
        <v>7137</v>
      </c>
      <c r="M42" s="10">
        <f t="shared" si="0"/>
        <v>7136</v>
      </c>
      <c r="N42" s="10" t="s">
        <v>323</v>
      </c>
      <c r="O42" s="10" t="s">
        <v>327</v>
      </c>
      <c r="P42" s="7"/>
      <c r="Q42" s="85"/>
      <c r="R42" s="59"/>
      <c r="S42" s="8"/>
      <c r="T42" s="13"/>
      <c r="U42" s="33"/>
    </row>
    <row r="43" spans="2:21" s="6" customFormat="1" ht="15.75" customHeight="1" x14ac:dyDescent="0.3">
      <c r="B43" s="10" t="s">
        <v>2223</v>
      </c>
      <c r="C43" s="10" t="s">
        <v>321</v>
      </c>
      <c r="D43" s="10">
        <v>16</v>
      </c>
      <c r="E43" s="10">
        <f>D43/2</f>
        <v>8</v>
      </c>
      <c r="F43" s="10">
        <v>0</v>
      </c>
      <c r="G43" s="10">
        <v>65535</v>
      </c>
      <c r="H43" s="10">
        <v>1</v>
      </c>
      <c r="I43" s="10">
        <v>1</v>
      </c>
      <c r="J43" s="10" t="s">
        <v>322</v>
      </c>
      <c r="K43" s="10">
        <f t="shared" si="7"/>
        <v>47145</v>
      </c>
      <c r="L43" s="10">
        <f t="shared" si="8"/>
        <v>7145</v>
      </c>
      <c r="M43" s="10">
        <f t="shared" si="0"/>
        <v>7144</v>
      </c>
      <c r="N43" s="10" t="s">
        <v>323</v>
      </c>
      <c r="O43" s="10" t="s">
        <v>327</v>
      </c>
      <c r="P43" s="7"/>
      <c r="Q43" s="86"/>
      <c r="R43" s="86"/>
      <c r="S43" s="13"/>
      <c r="T43" s="13"/>
      <c r="U43" s="33"/>
    </row>
    <row r="44" spans="2:21" s="6" customFormat="1" ht="16.2" x14ac:dyDescent="0.3">
      <c r="B44" s="10" t="s">
        <v>2224</v>
      </c>
      <c r="C44" s="10" t="s">
        <v>321</v>
      </c>
      <c r="D44" s="10">
        <v>16</v>
      </c>
      <c r="E44" s="10">
        <f>D44/2</f>
        <v>8</v>
      </c>
      <c r="F44" s="10">
        <v>0</v>
      </c>
      <c r="G44" s="10">
        <v>65535</v>
      </c>
      <c r="H44" s="10">
        <v>1</v>
      </c>
      <c r="I44" s="10">
        <v>1</v>
      </c>
      <c r="J44" s="10" t="s">
        <v>322</v>
      </c>
      <c r="K44" s="10">
        <f t="shared" si="7"/>
        <v>47153</v>
      </c>
      <c r="L44" s="10">
        <f t="shared" si="8"/>
        <v>7153</v>
      </c>
      <c r="M44" s="10">
        <f t="shared" si="0"/>
        <v>7152</v>
      </c>
      <c r="N44" s="10" t="s">
        <v>323</v>
      </c>
      <c r="O44" s="10" t="s">
        <v>327</v>
      </c>
      <c r="P44" s="7"/>
      <c r="Q44" s="86"/>
      <c r="R44" s="86"/>
      <c r="S44" s="13"/>
      <c r="T44" s="13"/>
      <c r="U44" s="33"/>
    </row>
    <row r="45" spans="2:21" s="6" customFormat="1" ht="15.6" x14ac:dyDescent="0.3">
      <c r="B45" s="10" t="s">
        <v>2226</v>
      </c>
      <c r="C45" s="10" t="s">
        <v>321</v>
      </c>
      <c r="D45" s="10">
        <v>16</v>
      </c>
      <c r="E45" s="10">
        <f t="shared" ref="E45:E56" si="11">D45/2</f>
        <v>8</v>
      </c>
      <c r="F45" s="10">
        <v>0</v>
      </c>
      <c r="G45" s="10">
        <v>65535</v>
      </c>
      <c r="H45" s="10">
        <v>1</v>
      </c>
      <c r="I45" s="10">
        <v>1</v>
      </c>
      <c r="J45" s="10" t="s">
        <v>322</v>
      </c>
      <c r="K45" s="10">
        <f t="shared" si="7"/>
        <v>47161</v>
      </c>
      <c r="L45" s="10">
        <f t="shared" si="8"/>
        <v>7161</v>
      </c>
      <c r="M45" s="10">
        <f t="shared" si="0"/>
        <v>7160</v>
      </c>
      <c r="N45" s="10" t="s">
        <v>323</v>
      </c>
      <c r="O45" s="10" t="s">
        <v>327</v>
      </c>
      <c r="P45" s="7"/>
      <c r="Q45" s="86"/>
      <c r="R45" s="86"/>
      <c r="S45" s="8"/>
      <c r="T45" s="21"/>
    </row>
    <row r="46" spans="2:21" s="6" customFormat="1" ht="15.6" x14ac:dyDescent="0.3">
      <c r="B46" s="10" t="s">
        <v>2227</v>
      </c>
      <c r="C46" s="10" t="s">
        <v>321</v>
      </c>
      <c r="D46" s="10">
        <v>16</v>
      </c>
      <c r="E46" s="10">
        <f t="shared" si="11"/>
        <v>8</v>
      </c>
      <c r="F46" s="10">
        <v>0</v>
      </c>
      <c r="G46" s="10">
        <v>65535</v>
      </c>
      <c r="H46" s="10">
        <v>1</v>
      </c>
      <c r="I46" s="10">
        <v>1</v>
      </c>
      <c r="J46" s="10" t="s">
        <v>322</v>
      </c>
      <c r="K46" s="10">
        <f t="shared" si="7"/>
        <v>47169</v>
      </c>
      <c r="L46" s="10">
        <f t="shared" si="8"/>
        <v>7169</v>
      </c>
      <c r="M46" s="10">
        <f t="shared" si="0"/>
        <v>7168</v>
      </c>
      <c r="N46" s="10" t="s">
        <v>323</v>
      </c>
      <c r="O46" s="10" t="s">
        <v>327</v>
      </c>
      <c r="P46" s="7"/>
      <c r="Q46" s="86"/>
      <c r="R46" s="86"/>
      <c r="S46" s="8"/>
      <c r="T46" s="21"/>
    </row>
    <row r="47" spans="2:21" s="6" customFormat="1" ht="15.6" x14ac:dyDescent="0.3">
      <c r="B47" s="10" t="s">
        <v>2228</v>
      </c>
      <c r="C47" s="10" t="s">
        <v>321</v>
      </c>
      <c r="D47" s="10">
        <v>16</v>
      </c>
      <c r="E47" s="10">
        <f t="shared" si="11"/>
        <v>8</v>
      </c>
      <c r="F47" s="10">
        <v>0</v>
      </c>
      <c r="G47" s="10">
        <v>65535</v>
      </c>
      <c r="H47" s="10">
        <v>1</v>
      </c>
      <c r="I47" s="10">
        <v>1</v>
      </c>
      <c r="J47" s="10" t="s">
        <v>322</v>
      </c>
      <c r="K47" s="10">
        <f t="shared" si="7"/>
        <v>47177</v>
      </c>
      <c r="L47" s="10">
        <f t="shared" si="8"/>
        <v>7177</v>
      </c>
      <c r="M47" s="10">
        <f t="shared" si="0"/>
        <v>7176</v>
      </c>
      <c r="N47" s="10" t="s">
        <v>323</v>
      </c>
      <c r="O47" s="10" t="s">
        <v>327</v>
      </c>
      <c r="P47" s="7"/>
      <c r="Q47" s="86"/>
      <c r="R47" s="86"/>
      <c r="S47" s="8"/>
      <c r="T47" s="13"/>
    </row>
    <row r="48" spans="2:21" s="6" customFormat="1" ht="15.6" x14ac:dyDescent="0.3">
      <c r="B48" s="10" t="s">
        <v>2229</v>
      </c>
      <c r="C48" s="10" t="s">
        <v>321</v>
      </c>
      <c r="D48" s="10">
        <v>16</v>
      </c>
      <c r="E48" s="10">
        <f t="shared" si="11"/>
        <v>8</v>
      </c>
      <c r="F48" s="10">
        <v>0</v>
      </c>
      <c r="G48" s="10">
        <v>65535</v>
      </c>
      <c r="H48" s="10">
        <v>1</v>
      </c>
      <c r="I48" s="10">
        <v>1</v>
      </c>
      <c r="J48" s="10" t="s">
        <v>322</v>
      </c>
      <c r="K48" s="10">
        <f t="shared" si="7"/>
        <v>47185</v>
      </c>
      <c r="L48" s="10">
        <f t="shared" si="8"/>
        <v>7185</v>
      </c>
      <c r="M48" s="10">
        <f t="shared" si="0"/>
        <v>7184</v>
      </c>
      <c r="N48" s="10" t="s">
        <v>323</v>
      </c>
      <c r="O48" s="10" t="s">
        <v>327</v>
      </c>
      <c r="P48" s="7"/>
      <c r="Q48" s="86"/>
      <c r="R48" s="86"/>
      <c r="S48" s="8"/>
      <c r="T48" s="13"/>
    </row>
    <row r="49" spans="2:25" s="6" customFormat="1" ht="15.6" x14ac:dyDescent="0.3">
      <c r="B49" s="10" t="s">
        <v>2230</v>
      </c>
      <c r="C49" s="10" t="s">
        <v>321</v>
      </c>
      <c r="D49" s="10">
        <v>16</v>
      </c>
      <c r="E49" s="10">
        <f t="shared" si="11"/>
        <v>8</v>
      </c>
      <c r="F49" s="10">
        <v>0</v>
      </c>
      <c r="G49" s="10">
        <v>65535</v>
      </c>
      <c r="H49" s="10">
        <v>1</v>
      </c>
      <c r="I49" s="10">
        <v>1</v>
      </c>
      <c r="J49" s="10" t="s">
        <v>322</v>
      </c>
      <c r="K49" s="10">
        <f t="shared" si="7"/>
        <v>47193</v>
      </c>
      <c r="L49" s="10">
        <f t="shared" si="8"/>
        <v>7193</v>
      </c>
      <c r="M49" s="10">
        <f t="shared" si="0"/>
        <v>7192</v>
      </c>
      <c r="N49" s="10" t="s">
        <v>323</v>
      </c>
      <c r="O49" s="10" t="s">
        <v>327</v>
      </c>
      <c r="P49" s="7"/>
      <c r="Q49" s="69"/>
      <c r="R49" s="69"/>
      <c r="S49" s="21"/>
      <c r="T49" s="21"/>
    </row>
    <row r="50" spans="2:25" s="6" customFormat="1" ht="15.6" x14ac:dyDescent="0.3">
      <c r="B50" s="10" t="s">
        <v>2231</v>
      </c>
      <c r="C50" s="10" t="s">
        <v>321</v>
      </c>
      <c r="D50" s="10">
        <v>16</v>
      </c>
      <c r="E50" s="10">
        <f t="shared" si="11"/>
        <v>8</v>
      </c>
      <c r="F50" s="10">
        <v>0</v>
      </c>
      <c r="G50" s="10">
        <v>65535</v>
      </c>
      <c r="H50" s="10">
        <v>1</v>
      </c>
      <c r="I50" s="10">
        <v>1</v>
      </c>
      <c r="J50" s="10" t="s">
        <v>322</v>
      </c>
      <c r="K50" s="10">
        <f t="shared" si="7"/>
        <v>47201</v>
      </c>
      <c r="L50" s="10">
        <f t="shared" si="8"/>
        <v>7201</v>
      </c>
      <c r="M50" s="10">
        <f t="shared" si="0"/>
        <v>7200</v>
      </c>
      <c r="N50" s="10" t="s">
        <v>323</v>
      </c>
      <c r="O50" s="10" t="s">
        <v>327</v>
      </c>
      <c r="P50" s="7"/>
      <c r="Q50" s="69"/>
      <c r="R50" s="69"/>
      <c r="S50" s="21"/>
      <c r="T50" s="21"/>
    </row>
    <row r="51" spans="2:25" s="6" customFormat="1" ht="15.6" x14ac:dyDescent="0.3">
      <c r="B51" s="10" t="s">
        <v>2232</v>
      </c>
      <c r="C51" s="10" t="s">
        <v>321</v>
      </c>
      <c r="D51" s="10">
        <v>16</v>
      </c>
      <c r="E51" s="10">
        <f t="shared" si="11"/>
        <v>8</v>
      </c>
      <c r="F51" s="10">
        <v>0</v>
      </c>
      <c r="G51" s="10">
        <v>65535</v>
      </c>
      <c r="H51" s="10">
        <v>1</v>
      </c>
      <c r="I51" s="10">
        <v>1</v>
      </c>
      <c r="J51" s="10" t="s">
        <v>322</v>
      </c>
      <c r="K51" s="10">
        <f t="shared" si="7"/>
        <v>47209</v>
      </c>
      <c r="L51" s="10">
        <f t="shared" si="8"/>
        <v>7209</v>
      </c>
      <c r="M51" s="10">
        <f t="shared" si="0"/>
        <v>7208</v>
      </c>
      <c r="N51" s="10" t="s">
        <v>323</v>
      </c>
      <c r="O51" s="10" t="s">
        <v>327</v>
      </c>
      <c r="P51" s="7"/>
      <c r="Q51" s="69"/>
      <c r="R51" s="69"/>
      <c r="S51" s="21"/>
      <c r="T51" s="21"/>
    </row>
    <row r="52" spans="2:25" s="6" customFormat="1" ht="15.6" x14ac:dyDescent="0.3">
      <c r="B52" s="10" t="s">
        <v>2233</v>
      </c>
      <c r="C52" s="10" t="s">
        <v>321</v>
      </c>
      <c r="D52" s="10">
        <v>16</v>
      </c>
      <c r="E52" s="10">
        <f t="shared" si="11"/>
        <v>8</v>
      </c>
      <c r="F52" s="10">
        <v>0</v>
      </c>
      <c r="G52" s="10">
        <v>65535</v>
      </c>
      <c r="H52" s="10">
        <v>1</v>
      </c>
      <c r="I52" s="10">
        <v>1</v>
      </c>
      <c r="J52" s="10" t="s">
        <v>322</v>
      </c>
      <c r="K52" s="10">
        <f t="shared" si="7"/>
        <v>47217</v>
      </c>
      <c r="L52" s="10">
        <f t="shared" si="8"/>
        <v>7217</v>
      </c>
      <c r="M52" s="10">
        <f t="shared" si="0"/>
        <v>7216</v>
      </c>
      <c r="N52" s="10" t="s">
        <v>323</v>
      </c>
      <c r="O52" s="10" t="s">
        <v>327</v>
      </c>
      <c r="P52" s="7"/>
      <c r="Q52" s="69"/>
      <c r="R52" s="69"/>
      <c r="S52" s="21"/>
      <c r="T52" s="21"/>
    </row>
    <row r="53" spans="2:25" s="6" customFormat="1" ht="15.6" x14ac:dyDescent="0.3">
      <c r="B53" s="10" t="s">
        <v>2234</v>
      </c>
      <c r="C53" s="10" t="s">
        <v>321</v>
      </c>
      <c r="D53" s="10">
        <v>16</v>
      </c>
      <c r="E53" s="10">
        <f t="shared" si="11"/>
        <v>8</v>
      </c>
      <c r="F53" s="10">
        <v>0</v>
      </c>
      <c r="G53" s="10">
        <v>65535</v>
      </c>
      <c r="H53" s="10">
        <v>1</v>
      </c>
      <c r="I53" s="10">
        <v>1</v>
      </c>
      <c r="J53" s="10" t="s">
        <v>322</v>
      </c>
      <c r="K53" s="10">
        <f t="shared" si="7"/>
        <v>47225</v>
      </c>
      <c r="L53" s="10">
        <f t="shared" si="8"/>
        <v>7225</v>
      </c>
      <c r="M53" s="10">
        <f t="shared" si="0"/>
        <v>7224</v>
      </c>
      <c r="N53" s="10" t="s">
        <v>323</v>
      </c>
      <c r="O53" s="10" t="s">
        <v>327</v>
      </c>
      <c r="P53" s="7"/>
      <c r="Q53" s="69"/>
      <c r="R53" s="69"/>
      <c r="S53" s="21"/>
      <c r="T53" s="21"/>
    </row>
    <row r="54" spans="2:25" s="6" customFormat="1" ht="15.6" x14ac:dyDescent="0.3">
      <c r="B54" s="10" t="s">
        <v>2235</v>
      </c>
      <c r="C54" s="10" t="s">
        <v>321</v>
      </c>
      <c r="D54" s="10">
        <v>16</v>
      </c>
      <c r="E54" s="10">
        <f t="shared" si="11"/>
        <v>8</v>
      </c>
      <c r="F54" s="10">
        <v>0</v>
      </c>
      <c r="G54" s="10">
        <v>65535</v>
      </c>
      <c r="H54" s="10">
        <v>1</v>
      </c>
      <c r="I54" s="10">
        <v>1</v>
      </c>
      <c r="J54" s="10" t="s">
        <v>322</v>
      </c>
      <c r="K54" s="10">
        <f t="shared" si="7"/>
        <v>47233</v>
      </c>
      <c r="L54" s="10">
        <f t="shared" si="8"/>
        <v>7233</v>
      </c>
      <c r="M54" s="10">
        <f t="shared" si="0"/>
        <v>7232</v>
      </c>
      <c r="N54" s="10" t="s">
        <v>323</v>
      </c>
      <c r="O54" s="10" t="s">
        <v>327</v>
      </c>
      <c r="P54" s="7"/>
      <c r="Q54" s="69"/>
      <c r="R54" s="69"/>
      <c r="S54" s="21"/>
      <c r="T54" s="21"/>
    </row>
    <row r="55" spans="2:25" s="6" customFormat="1" ht="15.6" x14ac:dyDescent="0.3">
      <c r="B55" s="10" t="s">
        <v>2236</v>
      </c>
      <c r="C55" s="10" t="s">
        <v>321</v>
      </c>
      <c r="D55" s="10">
        <v>16</v>
      </c>
      <c r="E55" s="10">
        <f t="shared" si="11"/>
        <v>8</v>
      </c>
      <c r="F55" s="10">
        <v>0</v>
      </c>
      <c r="G55" s="10">
        <v>65535</v>
      </c>
      <c r="H55" s="10">
        <v>1</v>
      </c>
      <c r="I55" s="10">
        <v>1</v>
      </c>
      <c r="J55" s="10" t="s">
        <v>322</v>
      </c>
      <c r="K55" s="10">
        <f t="shared" si="7"/>
        <v>47241</v>
      </c>
      <c r="L55" s="10">
        <f t="shared" si="8"/>
        <v>7241</v>
      </c>
      <c r="M55" s="10">
        <f t="shared" si="0"/>
        <v>7240</v>
      </c>
      <c r="N55" s="10" t="s">
        <v>323</v>
      </c>
      <c r="O55" s="10" t="s">
        <v>327</v>
      </c>
      <c r="P55" s="7"/>
      <c r="Q55" s="69"/>
      <c r="R55" s="69"/>
      <c r="S55" s="21"/>
      <c r="T55" s="21"/>
    </row>
    <row r="56" spans="2:25" s="6" customFormat="1" ht="15.6" x14ac:dyDescent="0.3">
      <c r="B56" s="10" t="s">
        <v>2237</v>
      </c>
      <c r="C56" s="10" t="s">
        <v>321</v>
      </c>
      <c r="D56" s="10">
        <v>16</v>
      </c>
      <c r="E56" s="10">
        <f t="shared" si="11"/>
        <v>8</v>
      </c>
      <c r="F56" s="10">
        <v>0</v>
      </c>
      <c r="G56" s="10">
        <v>65535</v>
      </c>
      <c r="H56" s="10">
        <v>1</v>
      </c>
      <c r="I56" s="10">
        <v>1</v>
      </c>
      <c r="J56" s="10" t="s">
        <v>322</v>
      </c>
      <c r="K56" s="10">
        <f t="shared" si="7"/>
        <v>47249</v>
      </c>
      <c r="L56" s="10">
        <f t="shared" si="8"/>
        <v>7249</v>
      </c>
      <c r="M56" s="10">
        <f t="shared" si="0"/>
        <v>7248</v>
      </c>
      <c r="N56" s="10" t="s">
        <v>323</v>
      </c>
      <c r="O56" s="10" t="s">
        <v>327</v>
      </c>
      <c r="P56" s="7"/>
      <c r="Q56" s="69"/>
      <c r="R56" s="69"/>
      <c r="S56" s="21"/>
      <c r="T56" s="21"/>
    </row>
    <row r="57" spans="2:25" ht="15.6" x14ac:dyDescent="0.3">
      <c r="B57" s="10" t="s">
        <v>2238</v>
      </c>
      <c r="C57" s="10" t="s">
        <v>321</v>
      </c>
      <c r="D57" s="10">
        <v>16</v>
      </c>
      <c r="E57" s="10">
        <f>D57/2</f>
        <v>8</v>
      </c>
      <c r="F57" s="10">
        <v>0</v>
      </c>
      <c r="G57" s="10">
        <v>65535</v>
      </c>
      <c r="H57" s="10">
        <v>1</v>
      </c>
      <c r="I57" s="10">
        <v>1</v>
      </c>
      <c r="J57" s="10" t="s">
        <v>322</v>
      </c>
      <c r="K57" s="10">
        <f t="shared" si="7"/>
        <v>47257</v>
      </c>
      <c r="L57" s="10">
        <f t="shared" si="8"/>
        <v>7257</v>
      </c>
      <c r="M57" s="10">
        <f t="shared" si="0"/>
        <v>7256</v>
      </c>
      <c r="N57" s="10" t="s">
        <v>323</v>
      </c>
      <c r="O57" s="10" t="s">
        <v>327</v>
      </c>
      <c r="P57" s="55"/>
      <c r="Q57" s="55"/>
      <c r="R57" s="55"/>
      <c r="X57" s="60"/>
      <c r="Y57" s="60"/>
    </row>
    <row r="58" spans="2:25" s="6" customFormat="1" ht="16.2" x14ac:dyDescent="0.3">
      <c r="B58" s="10" t="s">
        <v>2239</v>
      </c>
      <c r="C58" s="10" t="s">
        <v>321</v>
      </c>
      <c r="D58" s="10">
        <v>16</v>
      </c>
      <c r="E58" s="10">
        <f t="shared" ref="E58" si="12">D58/2</f>
        <v>8</v>
      </c>
      <c r="F58" s="10">
        <v>0</v>
      </c>
      <c r="G58" s="10">
        <v>65535</v>
      </c>
      <c r="H58" s="10">
        <v>1</v>
      </c>
      <c r="I58" s="10">
        <v>1</v>
      </c>
      <c r="J58" s="10" t="s">
        <v>322</v>
      </c>
      <c r="K58" s="10">
        <f t="shared" si="7"/>
        <v>47265</v>
      </c>
      <c r="L58" s="10">
        <f t="shared" si="8"/>
        <v>7265</v>
      </c>
      <c r="M58" s="10">
        <f t="shared" si="0"/>
        <v>7264</v>
      </c>
      <c r="N58" s="10" t="s">
        <v>323</v>
      </c>
      <c r="O58" s="10" t="s">
        <v>327</v>
      </c>
      <c r="P58" s="7"/>
      <c r="Q58" s="85"/>
      <c r="R58" s="59"/>
      <c r="S58" s="8"/>
      <c r="T58" s="13"/>
      <c r="U58" s="33"/>
    </row>
    <row r="59" spans="2:25" s="6" customFormat="1" ht="16.2" x14ac:dyDescent="0.3">
      <c r="B59" s="10" t="s">
        <v>2240</v>
      </c>
      <c r="C59" s="10" t="s">
        <v>321</v>
      </c>
      <c r="D59" s="10">
        <v>16</v>
      </c>
      <c r="E59" s="10">
        <f>D59/2</f>
        <v>8</v>
      </c>
      <c r="F59" s="10">
        <v>0</v>
      </c>
      <c r="G59" s="10">
        <v>65535</v>
      </c>
      <c r="H59" s="10">
        <v>1</v>
      </c>
      <c r="I59" s="10">
        <v>1</v>
      </c>
      <c r="J59" s="10" t="s">
        <v>322</v>
      </c>
      <c r="K59" s="10">
        <f t="shared" si="7"/>
        <v>47273</v>
      </c>
      <c r="L59" s="10">
        <f t="shared" si="8"/>
        <v>7273</v>
      </c>
      <c r="M59" s="10">
        <f t="shared" si="0"/>
        <v>7272</v>
      </c>
      <c r="N59" s="10" t="s">
        <v>323</v>
      </c>
      <c r="O59" s="10" t="s">
        <v>327</v>
      </c>
      <c r="P59" s="7"/>
      <c r="Q59" s="85"/>
      <c r="R59" s="59"/>
      <c r="S59" s="8"/>
      <c r="T59" s="13"/>
      <c r="U59" s="33"/>
    </row>
    <row r="60" spans="2:25" s="6" customFormat="1" ht="15.75" customHeight="1" x14ac:dyDescent="0.3">
      <c r="B60" s="10" t="s">
        <v>2241</v>
      </c>
      <c r="C60" s="10" t="s">
        <v>321</v>
      </c>
      <c r="D60" s="10">
        <v>16</v>
      </c>
      <c r="E60" s="10">
        <f>D60/2</f>
        <v>8</v>
      </c>
      <c r="F60" s="10">
        <v>0</v>
      </c>
      <c r="G60" s="10">
        <v>65535</v>
      </c>
      <c r="H60" s="10">
        <v>1</v>
      </c>
      <c r="I60" s="10">
        <v>1</v>
      </c>
      <c r="J60" s="10" t="s">
        <v>322</v>
      </c>
      <c r="K60" s="10">
        <f t="shared" si="7"/>
        <v>47281</v>
      </c>
      <c r="L60" s="10">
        <f t="shared" si="8"/>
        <v>7281</v>
      </c>
      <c r="M60" s="10">
        <f t="shared" si="0"/>
        <v>7280</v>
      </c>
      <c r="N60" s="10" t="s">
        <v>323</v>
      </c>
      <c r="O60" s="10" t="s">
        <v>327</v>
      </c>
      <c r="P60" s="7"/>
      <c r="Q60" s="86"/>
      <c r="R60" s="86"/>
      <c r="S60" s="13"/>
      <c r="T60" s="13"/>
      <c r="U60" s="33"/>
    </row>
    <row r="61" spans="2:25" s="6" customFormat="1" ht="16.2" x14ac:dyDescent="0.3">
      <c r="B61" s="10" t="s">
        <v>2242</v>
      </c>
      <c r="C61" s="10" t="s">
        <v>321</v>
      </c>
      <c r="D61" s="10">
        <v>16</v>
      </c>
      <c r="E61" s="10">
        <f t="shared" ref="E61:E72" si="13">D61/2</f>
        <v>8</v>
      </c>
      <c r="F61" s="10">
        <v>0</v>
      </c>
      <c r="G61" s="10">
        <v>65535</v>
      </c>
      <c r="H61" s="10">
        <v>1</v>
      </c>
      <c r="I61" s="10">
        <v>1</v>
      </c>
      <c r="J61" s="10" t="s">
        <v>322</v>
      </c>
      <c r="K61" s="10">
        <f t="shared" si="7"/>
        <v>47289</v>
      </c>
      <c r="L61" s="10">
        <f t="shared" si="8"/>
        <v>7289</v>
      </c>
      <c r="M61" s="10">
        <f t="shared" si="0"/>
        <v>7288</v>
      </c>
      <c r="N61" s="10" t="s">
        <v>323</v>
      </c>
      <c r="O61" s="10" t="s">
        <v>327</v>
      </c>
      <c r="P61" s="7"/>
      <c r="Q61" s="86"/>
      <c r="R61" s="86"/>
      <c r="S61" s="13"/>
      <c r="T61" s="13"/>
      <c r="U61" s="33"/>
    </row>
    <row r="62" spans="2:25" s="6" customFormat="1" ht="15.6" x14ac:dyDescent="0.3">
      <c r="B62" s="10" t="s">
        <v>2243</v>
      </c>
      <c r="C62" s="10" t="s">
        <v>321</v>
      </c>
      <c r="D62" s="10">
        <v>16</v>
      </c>
      <c r="E62" s="10">
        <f t="shared" si="13"/>
        <v>8</v>
      </c>
      <c r="F62" s="10">
        <v>0</v>
      </c>
      <c r="G62" s="10">
        <v>65535</v>
      </c>
      <c r="H62" s="10">
        <v>1</v>
      </c>
      <c r="I62" s="10">
        <v>1</v>
      </c>
      <c r="J62" s="10" t="s">
        <v>322</v>
      </c>
      <c r="K62" s="10">
        <f t="shared" si="7"/>
        <v>47297</v>
      </c>
      <c r="L62" s="10">
        <f t="shared" si="8"/>
        <v>7297</v>
      </c>
      <c r="M62" s="10">
        <f t="shared" si="0"/>
        <v>7296</v>
      </c>
      <c r="N62" s="10" t="s">
        <v>323</v>
      </c>
      <c r="O62" s="10" t="s">
        <v>327</v>
      </c>
      <c r="P62" s="7"/>
      <c r="Q62" s="86"/>
      <c r="R62" s="86"/>
      <c r="S62" s="8"/>
      <c r="T62" s="21"/>
    </row>
    <row r="63" spans="2:25" s="6" customFormat="1" ht="15.6" x14ac:dyDescent="0.3">
      <c r="B63" s="10" t="s">
        <v>2244</v>
      </c>
      <c r="C63" s="10" t="s">
        <v>321</v>
      </c>
      <c r="D63" s="10">
        <v>16</v>
      </c>
      <c r="E63" s="10">
        <f t="shared" si="13"/>
        <v>8</v>
      </c>
      <c r="F63" s="10">
        <v>0</v>
      </c>
      <c r="G63" s="10">
        <v>65535</v>
      </c>
      <c r="H63" s="10">
        <v>1</v>
      </c>
      <c r="I63" s="10">
        <v>1</v>
      </c>
      <c r="J63" s="10" t="s">
        <v>322</v>
      </c>
      <c r="K63" s="10">
        <f t="shared" si="7"/>
        <v>47305</v>
      </c>
      <c r="L63" s="10">
        <f t="shared" si="8"/>
        <v>7305</v>
      </c>
      <c r="M63" s="10">
        <f t="shared" si="0"/>
        <v>7304</v>
      </c>
      <c r="N63" s="10" t="s">
        <v>323</v>
      </c>
      <c r="O63" s="10" t="s">
        <v>327</v>
      </c>
      <c r="P63" s="7"/>
      <c r="Q63" s="86"/>
      <c r="R63" s="86"/>
      <c r="S63" s="8"/>
      <c r="T63" s="21"/>
    </row>
    <row r="64" spans="2:25" s="6" customFormat="1" ht="15.6" x14ac:dyDescent="0.3">
      <c r="B64" s="10" t="s">
        <v>2245</v>
      </c>
      <c r="C64" s="10" t="s">
        <v>321</v>
      </c>
      <c r="D64" s="10">
        <v>16</v>
      </c>
      <c r="E64" s="10">
        <f t="shared" si="13"/>
        <v>8</v>
      </c>
      <c r="F64" s="10">
        <v>0</v>
      </c>
      <c r="G64" s="10">
        <v>65535</v>
      </c>
      <c r="H64" s="10">
        <v>1</v>
      </c>
      <c r="I64" s="10">
        <v>1</v>
      </c>
      <c r="J64" s="10" t="s">
        <v>322</v>
      </c>
      <c r="K64" s="10">
        <f t="shared" si="7"/>
        <v>47313</v>
      </c>
      <c r="L64" s="10">
        <f t="shared" si="8"/>
        <v>7313</v>
      </c>
      <c r="M64" s="10">
        <f t="shared" si="0"/>
        <v>7312</v>
      </c>
      <c r="N64" s="10" t="s">
        <v>323</v>
      </c>
      <c r="O64" s="10" t="s">
        <v>327</v>
      </c>
      <c r="P64" s="7"/>
      <c r="Q64" s="86"/>
      <c r="R64" s="86"/>
      <c r="S64" s="8"/>
      <c r="T64" s="13"/>
    </row>
    <row r="65" spans="2:25" s="6" customFormat="1" ht="15.6" x14ac:dyDescent="0.3">
      <c r="B65" s="10" t="s">
        <v>2246</v>
      </c>
      <c r="C65" s="10" t="s">
        <v>321</v>
      </c>
      <c r="D65" s="10">
        <v>16</v>
      </c>
      <c r="E65" s="10">
        <f t="shared" si="13"/>
        <v>8</v>
      </c>
      <c r="F65" s="10">
        <v>0</v>
      </c>
      <c r="G65" s="10">
        <v>65535</v>
      </c>
      <c r="H65" s="10">
        <v>1</v>
      </c>
      <c r="I65" s="10">
        <v>1</v>
      </c>
      <c r="J65" s="10" t="s">
        <v>322</v>
      </c>
      <c r="K65" s="10">
        <f t="shared" si="7"/>
        <v>47321</v>
      </c>
      <c r="L65" s="10">
        <f t="shared" si="8"/>
        <v>7321</v>
      </c>
      <c r="M65" s="10">
        <f t="shared" si="0"/>
        <v>7320</v>
      </c>
      <c r="N65" s="10" t="s">
        <v>323</v>
      </c>
      <c r="O65" s="10" t="s">
        <v>327</v>
      </c>
      <c r="P65" s="7"/>
      <c r="Q65" s="86"/>
      <c r="R65" s="86"/>
      <c r="S65" s="8"/>
      <c r="T65" s="13"/>
    </row>
    <row r="66" spans="2:25" s="6" customFormat="1" ht="15.6" x14ac:dyDescent="0.3">
      <c r="B66" s="10" t="s">
        <v>2247</v>
      </c>
      <c r="C66" s="10" t="s">
        <v>321</v>
      </c>
      <c r="D66" s="10">
        <v>16</v>
      </c>
      <c r="E66" s="10">
        <f t="shared" si="13"/>
        <v>8</v>
      </c>
      <c r="F66" s="10">
        <v>0</v>
      </c>
      <c r="G66" s="10">
        <v>65535</v>
      </c>
      <c r="H66" s="10">
        <v>1</v>
      </c>
      <c r="I66" s="10">
        <v>1</v>
      </c>
      <c r="J66" s="10" t="s">
        <v>322</v>
      </c>
      <c r="K66" s="10">
        <f t="shared" si="7"/>
        <v>47329</v>
      </c>
      <c r="L66" s="10">
        <f t="shared" si="8"/>
        <v>7329</v>
      </c>
      <c r="M66" s="10">
        <f t="shared" si="0"/>
        <v>7328</v>
      </c>
      <c r="N66" s="10" t="s">
        <v>323</v>
      </c>
      <c r="O66" s="10" t="s">
        <v>327</v>
      </c>
      <c r="P66" s="7"/>
      <c r="Q66" s="69"/>
      <c r="R66" s="69"/>
      <c r="S66" s="21"/>
      <c r="T66" s="21"/>
    </row>
    <row r="67" spans="2:25" s="6" customFormat="1" ht="15.6" x14ac:dyDescent="0.3">
      <c r="B67" s="10" t="s">
        <v>2248</v>
      </c>
      <c r="C67" s="10" t="s">
        <v>321</v>
      </c>
      <c r="D67" s="10">
        <v>16</v>
      </c>
      <c r="E67" s="10">
        <f t="shared" si="13"/>
        <v>8</v>
      </c>
      <c r="F67" s="10">
        <v>0</v>
      </c>
      <c r="G67" s="10">
        <v>65535</v>
      </c>
      <c r="H67" s="10">
        <v>1</v>
      </c>
      <c r="I67" s="10">
        <v>1</v>
      </c>
      <c r="J67" s="10" t="s">
        <v>322</v>
      </c>
      <c r="K67" s="10">
        <f t="shared" si="7"/>
        <v>47337</v>
      </c>
      <c r="L67" s="10">
        <f t="shared" si="8"/>
        <v>7337</v>
      </c>
      <c r="M67" s="10">
        <f t="shared" si="0"/>
        <v>7336</v>
      </c>
      <c r="N67" s="10" t="s">
        <v>323</v>
      </c>
      <c r="O67" s="10" t="s">
        <v>327</v>
      </c>
      <c r="P67" s="7"/>
      <c r="Q67" s="69"/>
      <c r="R67" s="69"/>
      <c r="S67" s="21"/>
      <c r="T67" s="21"/>
    </row>
    <row r="68" spans="2:25" s="6" customFormat="1" ht="15.6" x14ac:dyDescent="0.3">
      <c r="B68" s="10" t="s">
        <v>2249</v>
      </c>
      <c r="C68" s="10" t="s">
        <v>321</v>
      </c>
      <c r="D68" s="10">
        <v>16</v>
      </c>
      <c r="E68" s="10">
        <f t="shared" si="13"/>
        <v>8</v>
      </c>
      <c r="F68" s="10">
        <v>0</v>
      </c>
      <c r="G68" s="10">
        <v>65535</v>
      </c>
      <c r="H68" s="10">
        <v>1</v>
      </c>
      <c r="I68" s="10">
        <v>1</v>
      </c>
      <c r="J68" s="10" t="s">
        <v>322</v>
      </c>
      <c r="K68" s="10">
        <f t="shared" si="7"/>
        <v>47345</v>
      </c>
      <c r="L68" s="10">
        <f t="shared" si="8"/>
        <v>7345</v>
      </c>
      <c r="M68" s="10">
        <f t="shared" ref="M68:M131" si="14">L68-1</f>
        <v>7344</v>
      </c>
      <c r="N68" s="10" t="s">
        <v>323</v>
      </c>
      <c r="O68" s="10" t="s">
        <v>327</v>
      </c>
      <c r="P68" s="7"/>
      <c r="Q68" s="69"/>
      <c r="R68" s="69"/>
      <c r="S68" s="21"/>
      <c r="T68" s="21"/>
    </row>
    <row r="69" spans="2:25" s="6" customFormat="1" ht="15.6" x14ac:dyDescent="0.3">
      <c r="B69" s="10" t="s">
        <v>2250</v>
      </c>
      <c r="C69" s="10" t="s">
        <v>321</v>
      </c>
      <c r="D69" s="10">
        <v>16</v>
      </c>
      <c r="E69" s="10">
        <f t="shared" si="13"/>
        <v>8</v>
      </c>
      <c r="F69" s="10">
        <v>0</v>
      </c>
      <c r="G69" s="10">
        <v>65535</v>
      </c>
      <c r="H69" s="10">
        <v>1</v>
      </c>
      <c r="I69" s="10">
        <v>1</v>
      </c>
      <c r="J69" s="10" t="s">
        <v>322</v>
      </c>
      <c r="K69" s="10">
        <f t="shared" si="7"/>
        <v>47353</v>
      </c>
      <c r="L69" s="10">
        <f t="shared" si="8"/>
        <v>7353</v>
      </c>
      <c r="M69" s="10">
        <f t="shared" si="14"/>
        <v>7352</v>
      </c>
      <c r="N69" s="10" t="s">
        <v>323</v>
      </c>
      <c r="O69" s="10" t="s">
        <v>327</v>
      </c>
      <c r="P69" s="7"/>
      <c r="Q69" s="69"/>
      <c r="R69" s="69"/>
      <c r="S69" s="21"/>
      <c r="T69" s="21"/>
    </row>
    <row r="70" spans="2:25" s="6" customFormat="1" ht="15.6" x14ac:dyDescent="0.3">
      <c r="B70" s="10" t="s">
        <v>2251</v>
      </c>
      <c r="C70" s="10" t="s">
        <v>321</v>
      </c>
      <c r="D70" s="10">
        <v>16</v>
      </c>
      <c r="E70" s="10">
        <f t="shared" si="13"/>
        <v>8</v>
      </c>
      <c r="F70" s="10">
        <v>0</v>
      </c>
      <c r="G70" s="10">
        <v>65535</v>
      </c>
      <c r="H70" s="10">
        <v>1</v>
      </c>
      <c r="I70" s="10">
        <v>1</v>
      </c>
      <c r="J70" s="10" t="s">
        <v>322</v>
      </c>
      <c r="K70" s="10">
        <f t="shared" si="7"/>
        <v>47361</v>
      </c>
      <c r="L70" s="10">
        <f t="shared" si="8"/>
        <v>7361</v>
      </c>
      <c r="M70" s="10">
        <f t="shared" si="14"/>
        <v>7360</v>
      </c>
      <c r="N70" s="10" t="s">
        <v>323</v>
      </c>
      <c r="O70" s="10" t="s">
        <v>327</v>
      </c>
      <c r="P70" s="7"/>
      <c r="Q70" s="69"/>
      <c r="R70" s="69"/>
      <c r="S70" s="21"/>
      <c r="T70" s="21"/>
    </row>
    <row r="71" spans="2:25" s="6" customFormat="1" ht="15.6" x14ac:dyDescent="0.3">
      <c r="B71" s="10" t="s">
        <v>2252</v>
      </c>
      <c r="C71" s="10" t="s">
        <v>321</v>
      </c>
      <c r="D71" s="10">
        <v>16</v>
      </c>
      <c r="E71" s="10">
        <f t="shared" si="13"/>
        <v>8</v>
      </c>
      <c r="F71" s="10">
        <v>0</v>
      </c>
      <c r="G71" s="10">
        <v>65535</v>
      </c>
      <c r="H71" s="10">
        <v>1</v>
      </c>
      <c r="I71" s="10">
        <v>1</v>
      </c>
      <c r="J71" s="10" t="s">
        <v>322</v>
      </c>
      <c r="K71" s="10">
        <f t="shared" si="7"/>
        <v>47369</v>
      </c>
      <c r="L71" s="10">
        <f t="shared" si="8"/>
        <v>7369</v>
      </c>
      <c r="M71" s="10">
        <f t="shared" si="14"/>
        <v>7368</v>
      </c>
      <c r="N71" s="10" t="s">
        <v>323</v>
      </c>
      <c r="O71" s="10" t="s">
        <v>327</v>
      </c>
      <c r="P71" s="7"/>
      <c r="Q71" s="69"/>
      <c r="R71" s="69"/>
      <c r="S71" s="21"/>
      <c r="T71" s="21"/>
    </row>
    <row r="72" spans="2:25" s="6" customFormat="1" ht="15.6" x14ac:dyDescent="0.3">
      <c r="B72" s="117" t="s">
        <v>2253</v>
      </c>
      <c r="C72" s="10" t="s">
        <v>321</v>
      </c>
      <c r="D72" s="10">
        <v>16</v>
      </c>
      <c r="E72" s="10">
        <f t="shared" si="13"/>
        <v>8</v>
      </c>
      <c r="F72" s="10">
        <v>0</v>
      </c>
      <c r="G72" s="10">
        <v>65535</v>
      </c>
      <c r="H72" s="10">
        <v>1</v>
      </c>
      <c r="I72" s="10">
        <v>1</v>
      </c>
      <c r="J72" s="10" t="s">
        <v>322</v>
      </c>
      <c r="K72" s="10">
        <f t="shared" si="7"/>
        <v>47377</v>
      </c>
      <c r="L72" s="10">
        <f t="shared" si="8"/>
        <v>7377</v>
      </c>
      <c r="M72" s="10">
        <f t="shared" si="14"/>
        <v>7376</v>
      </c>
      <c r="N72" s="10" t="s">
        <v>323</v>
      </c>
      <c r="O72" s="10" t="s">
        <v>327</v>
      </c>
      <c r="P72" s="7"/>
      <c r="Q72" s="69"/>
      <c r="R72" s="69"/>
      <c r="S72" s="21"/>
      <c r="T72" s="21"/>
    </row>
    <row r="73" spans="2:25" s="6" customFormat="1" ht="15.6" x14ac:dyDescent="0.3">
      <c r="B73" s="117" t="s">
        <v>2254</v>
      </c>
      <c r="C73" s="10" t="s">
        <v>321</v>
      </c>
      <c r="D73" s="10">
        <v>16</v>
      </c>
      <c r="E73" s="10">
        <f>D73/2</f>
        <v>8</v>
      </c>
      <c r="F73" s="10">
        <v>0</v>
      </c>
      <c r="G73" s="10">
        <v>65535</v>
      </c>
      <c r="H73" s="10">
        <v>1</v>
      </c>
      <c r="I73" s="10">
        <v>1</v>
      </c>
      <c r="J73" s="10" t="s">
        <v>322</v>
      </c>
      <c r="K73" s="10">
        <f t="shared" si="7"/>
        <v>47385</v>
      </c>
      <c r="L73" s="10">
        <f t="shared" si="8"/>
        <v>7385</v>
      </c>
      <c r="M73" s="10">
        <f t="shared" si="14"/>
        <v>7384</v>
      </c>
      <c r="N73" s="10" t="s">
        <v>323</v>
      </c>
      <c r="O73" s="10" t="s">
        <v>327</v>
      </c>
      <c r="P73" s="7"/>
      <c r="Q73" s="69"/>
      <c r="R73" s="69"/>
      <c r="S73" s="21"/>
      <c r="T73" s="21"/>
    </row>
    <row r="74" spans="2:25" ht="15.6" x14ac:dyDescent="0.3">
      <c r="B74" s="10" t="s">
        <v>2255</v>
      </c>
      <c r="C74" s="10" t="s">
        <v>321</v>
      </c>
      <c r="D74" s="10">
        <v>16</v>
      </c>
      <c r="E74" s="10">
        <f t="shared" ref="E74" si="15">D74/2</f>
        <v>8</v>
      </c>
      <c r="F74" s="10">
        <v>0</v>
      </c>
      <c r="G74" s="10">
        <v>65535</v>
      </c>
      <c r="H74" s="10">
        <v>1</v>
      </c>
      <c r="I74" s="10">
        <v>1</v>
      </c>
      <c r="J74" s="10" t="s">
        <v>322</v>
      </c>
      <c r="K74" s="10">
        <f t="shared" si="7"/>
        <v>47393</v>
      </c>
      <c r="L74" s="10">
        <f t="shared" si="8"/>
        <v>7393</v>
      </c>
      <c r="M74" s="10">
        <f t="shared" si="14"/>
        <v>7392</v>
      </c>
      <c r="N74" s="10" t="s">
        <v>323</v>
      </c>
      <c r="O74" s="10" t="s">
        <v>327</v>
      </c>
      <c r="P74" s="55"/>
      <c r="Q74" s="55"/>
      <c r="R74" s="55"/>
      <c r="X74" s="60"/>
      <c r="Y74" s="60"/>
    </row>
    <row r="75" spans="2:25" s="6" customFormat="1" ht="16.2" x14ac:dyDescent="0.3">
      <c r="B75" s="10" t="s">
        <v>2256</v>
      </c>
      <c r="C75" s="10" t="s">
        <v>321</v>
      </c>
      <c r="D75" s="10">
        <v>16</v>
      </c>
      <c r="E75" s="10">
        <f>D75/2</f>
        <v>8</v>
      </c>
      <c r="F75" s="10">
        <v>0</v>
      </c>
      <c r="G75" s="10">
        <v>65535</v>
      </c>
      <c r="H75" s="10">
        <v>1</v>
      </c>
      <c r="I75" s="10">
        <v>1</v>
      </c>
      <c r="J75" s="10" t="s">
        <v>322</v>
      </c>
      <c r="K75" s="10">
        <f t="shared" si="7"/>
        <v>47401</v>
      </c>
      <c r="L75" s="10">
        <f t="shared" si="8"/>
        <v>7401</v>
      </c>
      <c r="M75" s="10">
        <f t="shared" si="14"/>
        <v>7400</v>
      </c>
      <c r="N75" s="10" t="s">
        <v>323</v>
      </c>
      <c r="O75" s="10" t="s">
        <v>327</v>
      </c>
      <c r="P75" s="7"/>
      <c r="Q75" s="85"/>
      <c r="R75" s="59"/>
      <c r="S75" s="8"/>
      <c r="T75" s="13"/>
      <c r="U75" s="33"/>
    </row>
    <row r="76" spans="2:25" ht="15.6" x14ac:dyDescent="0.3">
      <c r="B76" s="10" t="s">
        <v>2257</v>
      </c>
      <c r="C76" s="10" t="s">
        <v>321</v>
      </c>
      <c r="D76" s="10">
        <v>16</v>
      </c>
      <c r="E76" s="10">
        <f>D76/2</f>
        <v>8</v>
      </c>
      <c r="F76" s="10">
        <v>0</v>
      </c>
      <c r="G76" s="10">
        <v>65535</v>
      </c>
      <c r="H76" s="10">
        <v>1</v>
      </c>
      <c r="I76" s="10">
        <v>1</v>
      </c>
      <c r="J76" s="10" t="s">
        <v>322</v>
      </c>
      <c r="K76" s="10">
        <f t="shared" si="7"/>
        <v>47409</v>
      </c>
      <c r="L76" s="10">
        <f t="shared" si="8"/>
        <v>7409</v>
      </c>
      <c r="M76" s="10">
        <f t="shared" si="14"/>
        <v>7408</v>
      </c>
      <c r="N76" s="10" t="s">
        <v>323</v>
      </c>
      <c r="O76" s="10" t="s">
        <v>327</v>
      </c>
      <c r="P76" s="55"/>
      <c r="Q76" s="55"/>
      <c r="R76" s="55"/>
    </row>
    <row r="77" spans="2:25" ht="15.6" x14ac:dyDescent="0.3">
      <c r="B77" s="10" t="s">
        <v>2258</v>
      </c>
      <c r="C77" s="10" t="s">
        <v>321</v>
      </c>
      <c r="D77" s="10">
        <v>16</v>
      </c>
      <c r="E77" s="10">
        <f t="shared" ref="E77:E88" si="16">D77/2</f>
        <v>8</v>
      </c>
      <c r="F77" s="10">
        <v>0</v>
      </c>
      <c r="G77" s="10">
        <v>65535</v>
      </c>
      <c r="H77" s="10">
        <v>1</v>
      </c>
      <c r="I77" s="10">
        <v>1</v>
      </c>
      <c r="J77" s="10" t="s">
        <v>322</v>
      </c>
      <c r="K77" s="10">
        <f t="shared" si="7"/>
        <v>47417</v>
      </c>
      <c r="L77" s="10">
        <f t="shared" si="8"/>
        <v>7417</v>
      </c>
      <c r="M77" s="10">
        <f t="shared" si="14"/>
        <v>7416</v>
      </c>
      <c r="N77" s="10" t="s">
        <v>323</v>
      </c>
      <c r="O77" s="10" t="s">
        <v>327</v>
      </c>
      <c r="P77" s="55"/>
      <c r="Q77" s="55"/>
      <c r="R77" s="55"/>
    </row>
    <row r="78" spans="2:25" ht="15.6" x14ac:dyDescent="0.3">
      <c r="B78" s="10" t="s">
        <v>2259</v>
      </c>
      <c r="C78" s="10" t="s">
        <v>321</v>
      </c>
      <c r="D78" s="10">
        <v>16</v>
      </c>
      <c r="E78" s="10">
        <f t="shared" si="16"/>
        <v>8</v>
      </c>
      <c r="F78" s="10">
        <v>0</v>
      </c>
      <c r="G78" s="10">
        <v>65535</v>
      </c>
      <c r="H78" s="10">
        <v>1</v>
      </c>
      <c r="I78" s="10">
        <v>1</v>
      </c>
      <c r="J78" s="10" t="s">
        <v>322</v>
      </c>
      <c r="K78" s="10">
        <f t="shared" si="7"/>
        <v>47425</v>
      </c>
      <c r="L78" s="10">
        <f t="shared" si="8"/>
        <v>7425</v>
      </c>
      <c r="M78" s="10">
        <f t="shared" si="14"/>
        <v>7424</v>
      </c>
      <c r="N78" s="10" t="s">
        <v>323</v>
      </c>
      <c r="O78" s="10" t="s">
        <v>327</v>
      </c>
      <c r="P78" s="55"/>
      <c r="Q78" s="55"/>
      <c r="R78" s="55"/>
    </row>
    <row r="79" spans="2:25" ht="15.6" x14ac:dyDescent="0.3">
      <c r="B79" s="10" t="s">
        <v>2260</v>
      </c>
      <c r="C79" s="10" t="s">
        <v>321</v>
      </c>
      <c r="D79" s="10">
        <v>16</v>
      </c>
      <c r="E79" s="10">
        <f t="shared" si="16"/>
        <v>8</v>
      </c>
      <c r="F79" s="10">
        <v>0</v>
      </c>
      <c r="G79" s="10">
        <v>65535</v>
      </c>
      <c r="H79" s="10">
        <v>1</v>
      </c>
      <c r="I79" s="10">
        <v>1</v>
      </c>
      <c r="J79" s="10" t="s">
        <v>322</v>
      </c>
      <c r="K79" s="10">
        <f t="shared" si="7"/>
        <v>47433</v>
      </c>
      <c r="L79" s="10">
        <f t="shared" si="8"/>
        <v>7433</v>
      </c>
      <c r="M79" s="10">
        <f t="shared" si="14"/>
        <v>7432</v>
      </c>
      <c r="N79" s="10" t="s">
        <v>323</v>
      </c>
      <c r="O79" s="10" t="s">
        <v>327</v>
      </c>
      <c r="P79" s="55"/>
      <c r="Q79" s="55"/>
      <c r="R79" s="55"/>
    </row>
    <row r="80" spans="2:25" ht="15.6" x14ac:dyDescent="0.3">
      <c r="B80" s="10" t="s">
        <v>2261</v>
      </c>
      <c r="C80" s="10" t="s">
        <v>321</v>
      </c>
      <c r="D80" s="10">
        <v>16</v>
      </c>
      <c r="E80" s="10">
        <f t="shared" si="16"/>
        <v>8</v>
      </c>
      <c r="F80" s="10">
        <v>0</v>
      </c>
      <c r="G80" s="10">
        <v>65535</v>
      </c>
      <c r="H80" s="10">
        <v>1</v>
      </c>
      <c r="I80" s="10">
        <v>1</v>
      </c>
      <c r="J80" s="10" t="s">
        <v>322</v>
      </c>
      <c r="K80" s="10">
        <f t="shared" si="7"/>
        <v>47441</v>
      </c>
      <c r="L80" s="10">
        <f t="shared" si="8"/>
        <v>7441</v>
      </c>
      <c r="M80" s="10">
        <f t="shared" si="14"/>
        <v>7440</v>
      </c>
      <c r="N80" s="10" t="s">
        <v>323</v>
      </c>
      <c r="O80" s="10" t="s">
        <v>327</v>
      </c>
      <c r="P80" s="55"/>
      <c r="Q80" s="55"/>
      <c r="R80" s="55"/>
    </row>
    <row r="81" spans="2:18" ht="15.6" x14ac:dyDescent="0.3">
      <c r="B81" s="10" t="s">
        <v>2262</v>
      </c>
      <c r="C81" s="10" t="s">
        <v>321</v>
      </c>
      <c r="D81" s="10">
        <v>16</v>
      </c>
      <c r="E81" s="10">
        <f t="shared" si="16"/>
        <v>8</v>
      </c>
      <c r="F81" s="10">
        <v>0</v>
      </c>
      <c r="G81" s="10">
        <v>65535</v>
      </c>
      <c r="H81" s="10">
        <v>1</v>
      </c>
      <c r="I81" s="10">
        <v>1</v>
      </c>
      <c r="J81" s="10" t="s">
        <v>322</v>
      </c>
      <c r="K81" s="10">
        <f t="shared" si="7"/>
        <v>47449</v>
      </c>
      <c r="L81" s="10">
        <f t="shared" si="8"/>
        <v>7449</v>
      </c>
      <c r="M81" s="10">
        <f t="shared" si="14"/>
        <v>7448</v>
      </c>
      <c r="N81" s="10" t="s">
        <v>323</v>
      </c>
      <c r="O81" s="10" t="s">
        <v>327</v>
      </c>
      <c r="P81" s="55"/>
      <c r="Q81" s="55"/>
      <c r="R81" s="55"/>
    </row>
    <row r="82" spans="2:18" ht="15.6" x14ac:dyDescent="0.3">
      <c r="B82" s="10" t="s">
        <v>2263</v>
      </c>
      <c r="C82" s="10" t="s">
        <v>321</v>
      </c>
      <c r="D82" s="10">
        <v>16</v>
      </c>
      <c r="E82" s="10">
        <f t="shared" si="16"/>
        <v>8</v>
      </c>
      <c r="F82" s="10">
        <v>0</v>
      </c>
      <c r="G82" s="10">
        <v>65535</v>
      </c>
      <c r="H82" s="10">
        <v>1</v>
      </c>
      <c r="I82" s="10">
        <v>1</v>
      </c>
      <c r="J82" s="10" t="s">
        <v>322</v>
      </c>
      <c r="K82" s="10">
        <f t="shared" si="7"/>
        <v>47457</v>
      </c>
      <c r="L82" s="10">
        <f t="shared" si="8"/>
        <v>7457</v>
      </c>
      <c r="M82" s="10">
        <f t="shared" si="14"/>
        <v>7456</v>
      </c>
      <c r="N82" s="10" t="s">
        <v>323</v>
      </c>
      <c r="O82" s="10" t="s">
        <v>327</v>
      </c>
      <c r="P82" s="55"/>
      <c r="Q82" s="55"/>
      <c r="R82" s="55"/>
    </row>
    <row r="83" spans="2:18" ht="15.6" x14ac:dyDescent="0.3">
      <c r="B83" s="10" t="s">
        <v>2264</v>
      </c>
      <c r="C83" s="10" t="s">
        <v>321</v>
      </c>
      <c r="D83" s="10">
        <v>16</v>
      </c>
      <c r="E83" s="10">
        <f t="shared" si="16"/>
        <v>8</v>
      </c>
      <c r="F83" s="10">
        <v>0</v>
      </c>
      <c r="G83" s="10">
        <v>65535</v>
      </c>
      <c r="H83" s="10">
        <v>1</v>
      </c>
      <c r="I83" s="10">
        <v>1</v>
      </c>
      <c r="J83" s="10" t="s">
        <v>322</v>
      </c>
      <c r="K83" s="10">
        <f t="shared" si="7"/>
        <v>47465</v>
      </c>
      <c r="L83" s="10">
        <f t="shared" si="8"/>
        <v>7465</v>
      </c>
      <c r="M83" s="10">
        <f t="shared" si="14"/>
        <v>7464</v>
      </c>
      <c r="N83" s="10" t="s">
        <v>323</v>
      </c>
      <c r="O83" s="10" t="s">
        <v>327</v>
      </c>
      <c r="P83" s="55"/>
      <c r="Q83" s="55"/>
      <c r="R83" s="55"/>
    </row>
    <row r="84" spans="2:18" ht="15.6" x14ac:dyDescent="0.3">
      <c r="B84" s="10" t="s">
        <v>2265</v>
      </c>
      <c r="C84" s="10" t="s">
        <v>321</v>
      </c>
      <c r="D84" s="10">
        <v>16</v>
      </c>
      <c r="E84" s="10">
        <f t="shared" si="16"/>
        <v>8</v>
      </c>
      <c r="F84" s="10">
        <v>0</v>
      </c>
      <c r="G84" s="10">
        <v>65535</v>
      </c>
      <c r="H84" s="10">
        <v>1</v>
      </c>
      <c r="I84" s="10">
        <v>1</v>
      </c>
      <c r="J84" s="10" t="s">
        <v>322</v>
      </c>
      <c r="K84" s="10">
        <f t="shared" si="7"/>
        <v>47473</v>
      </c>
      <c r="L84" s="10">
        <f t="shared" si="8"/>
        <v>7473</v>
      </c>
      <c r="M84" s="10">
        <f t="shared" si="14"/>
        <v>7472</v>
      </c>
      <c r="N84" s="10" t="s">
        <v>323</v>
      </c>
      <c r="O84" s="10" t="s">
        <v>327</v>
      </c>
      <c r="P84" s="55"/>
      <c r="Q84" s="55"/>
      <c r="R84" s="55"/>
    </row>
    <row r="85" spans="2:18" ht="15.6" x14ac:dyDescent="0.3">
      <c r="B85" s="10" t="s">
        <v>2266</v>
      </c>
      <c r="C85" s="10" t="s">
        <v>321</v>
      </c>
      <c r="D85" s="10">
        <v>16</v>
      </c>
      <c r="E85" s="10">
        <f t="shared" si="16"/>
        <v>8</v>
      </c>
      <c r="F85" s="10">
        <v>0</v>
      </c>
      <c r="G85" s="10">
        <v>65535</v>
      </c>
      <c r="H85" s="10">
        <v>1</v>
      </c>
      <c r="I85" s="10">
        <v>1</v>
      </c>
      <c r="J85" s="10" t="s">
        <v>322</v>
      </c>
      <c r="K85" s="10">
        <f t="shared" si="7"/>
        <v>47481</v>
      </c>
      <c r="L85" s="10">
        <f t="shared" si="8"/>
        <v>7481</v>
      </c>
      <c r="M85" s="10">
        <f t="shared" si="14"/>
        <v>7480</v>
      </c>
      <c r="N85" s="10" t="s">
        <v>323</v>
      </c>
      <c r="O85" s="10" t="s">
        <v>327</v>
      </c>
      <c r="P85" s="55"/>
      <c r="Q85" s="55"/>
      <c r="R85" s="55"/>
    </row>
    <row r="86" spans="2:18" ht="15.6" x14ac:dyDescent="0.3">
      <c r="B86" s="10" t="s">
        <v>2267</v>
      </c>
      <c r="C86" s="10" t="s">
        <v>321</v>
      </c>
      <c r="D86" s="10">
        <v>16</v>
      </c>
      <c r="E86" s="10">
        <f t="shared" si="16"/>
        <v>8</v>
      </c>
      <c r="F86" s="10">
        <v>0</v>
      </c>
      <c r="G86" s="10">
        <v>65535</v>
      </c>
      <c r="H86" s="10">
        <v>1</v>
      </c>
      <c r="I86" s="10">
        <v>1</v>
      </c>
      <c r="J86" s="10" t="s">
        <v>322</v>
      </c>
      <c r="K86" s="10">
        <f t="shared" si="7"/>
        <v>47489</v>
      </c>
      <c r="L86" s="10">
        <f t="shared" si="8"/>
        <v>7489</v>
      </c>
      <c r="M86" s="10">
        <f t="shared" si="14"/>
        <v>7488</v>
      </c>
      <c r="N86" s="10" t="s">
        <v>323</v>
      </c>
      <c r="O86" s="10" t="s">
        <v>327</v>
      </c>
      <c r="P86" s="55"/>
      <c r="Q86" s="55"/>
      <c r="R86" s="55"/>
    </row>
    <row r="87" spans="2:18" ht="15.6" x14ac:dyDescent="0.3">
      <c r="B87" s="10" t="s">
        <v>2268</v>
      </c>
      <c r="C87" s="10" t="s">
        <v>321</v>
      </c>
      <c r="D87" s="10">
        <v>16</v>
      </c>
      <c r="E87" s="10">
        <f t="shared" si="16"/>
        <v>8</v>
      </c>
      <c r="F87" s="10">
        <v>0</v>
      </c>
      <c r="G87" s="10">
        <v>65535</v>
      </c>
      <c r="H87" s="10">
        <v>1</v>
      </c>
      <c r="I87" s="10">
        <v>1</v>
      </c>
      <c r="J87" s="10" t="s">
        <v>322</v>
      </c>
      <c r="K87" s="10">
        <f t="shared" si="7"/>
        <v>47497</v>
      </c>
      <c r="L87" s="10">
        <f t="shared" si="8"/>
        <v>7497</v>
      </c>
      <c r="M87" s="10">
        <f t="shared" si="14"/>
        <v>7496</v>
      </c>
      <c r="N87" s="10" t="s">
        <v>323</v>
      </c>
      <c r="O87" s="10" t="s">
        <v>327</v>
      </c>
      <c r="P87" s="55"/>
      <c r="Q87" s="55"/>
      <c r="R87" s="55"/>
    </row>
    <row r="88" spans="2:18" ht="15.6" x14ac:dyDescent="0.3">
      <c r="B88" s="117" t="s">
        <v>2269</v>
      </c>
      <c r="C88" s="10" t="s">
        <v>321</v>
      </c>
      <c r="D88" s="10">
        <v>16</v>
      </c>
      <c r="E88" s="10">
        <f t="shared" si="16"/>
        <v>8</v>
      </c>
      <c r="F88" s="10">
        <v>0</v>
      </c>
      <c r="G88" s="10">
        <v>65535</v>
      </c>
      <c r="H88" s="10">
        <v>1</v>
      </c>
      <c r="I88" s="10">
        <v>1</v>
      </c>
      <c r="J88" s="10" t="s">
        <v>322</v>
      </c>
      <c r="K88" s="10">
        <f t="shared" si="7"/>
        <v>47505</v>
      </c>
      <c r="L88" s="10">
        <f t="shared" si="8"/>
        <v>7505</v>
      </c>
      <c r="M88" s="10">
        <f t="shared" si="14"/>
        <v>7504</v>
      </c>
      <c r="N88" s="10" t="s">
        <v>323</v>
      </c>
      <c r="O88" s="10" t="s">
        <v>327</v>
      </c>
      <c r="P88" s="55"/>
      <c r="Q88" s="55"/>
      <c r="R88" s="55"/>
    </row>
    <row r="89" spans="2:18" ht="15.6" x14ac:dyDescent="0.3">
      <c r="B89" s="10" t="s">
        <v>2270</v>
      </c>
      <c r="C89" s="10" t="s">
        <v>321</v>
      </c>
      <c r="D89" s="10">
        <v>16</v>
      </c>
      <c r="E89" s="10">
        <f>D89/2</f>
        <v>8</v>
      </c>
      <c r="F89" s="10">
        <v>0</v>
      </c>
      <c r="G89" s="10">
        <v>65535</v>
      </c>
      <c r="H89" s="10">
        <v>1</v>
      </c>
      <c r="I89" s="10">
        <v>1</v>
      </c>
      <c r="J89" s="10" t="s">
        <v>322</v>
      </c>
      <c r="K89" s="10">
        <f t="shared" si="7"/>
        <v>47513</v>
      </c>
      <c r="L89" s="10">
        <f t="shared" si="8"/>
        <v>7513</v>
      </c>
      <c r="M89" s="10">
        <f t="shared" si="14"/>
        <v>7512</v>
      </c>
      <c r="N89" s="10" t="s">
        <v>323</v>
      </c>
      <c r="O89" s="10" t="s">
        <v>327</v>
      </c>
      <c r="P89" s="55"/>
      <c r="Q89" s="55"/>
      <c r="R89" s="55"/>
    </row>
    <row r="90" spans="2:18" ht="15.6" x14ac:dyDescent="0.3">
      <c r="B90" s="10" t="s">
        <v>2271</v>
      </c>
      <c r="C90" s="10" t="s">
        <v>321</v>
      </c>
      <c r="D90" s="10">
        <v>16</v>
      </c>
      <c r="E90" s="10">
        <f t="shared" ref="E90" si="17">D90/2</f>
        <v>8</v>
      </c>
      <c r="F90" s="10">
        <v>0</v>
      </c>
      <c r="G90" s="10">
        <v>65535</v>
      </c>
      <c r="H90" s="10">
        <v>1</v>
      </c>
      <c r="I90" s="10">
        <v>1</v>
      </c>
      <c r="J90" s="10" t="s">
        <v>322</v>
      </c>
      <c r="K90" s="10">
        <f t="shared" ref="K90:K124" si="18">K89+E89</f>
        <v>47521</v>
      </c>
      <c r="L90" s="10">
        <f t="shared" ref="L90:L147" si="19">K90-40000</f>
        <v>7521</v>
      </c>
      <c r="M90" s="10">
        <f t="shared" si="14"/>
        <v>7520</v>
      </c>
      <c r="N90" s="10" t="s">
        <v>323</v>
      </c>
      <c r="O90" s="10" t="s">
        <v>327</v>
      </c>
      <c r="P90" s="55"/>
      <c r="Q90" s="55"/>
      <c r="R90" s="55"/>
    </row>
    <row r="91" spans="2:18" ht="15.6" x14ac:dyDescent="0.3">
      <c r="B91" s="10" t="s">
        <v>2272</v>
      </c>
      <c r="C91" s="10" t="s">
        <v>321</v>
      </c>
      <c r="D91" s="10">
        <v>16</v>
      </c>
      <c r="E91" s="10">
        <f>D91/2</f>
        <v>8</v>
      </c>
      <c r="F91" s="10">
        <v>0</v>
      </c>
      <c r="G91" s="10">
        <v>65535</v>
      </c>
      <c r="H91" s="10">
        <v>1</v>
      </c>
      <c r="I91" s="10">
        <v>1</v>
      </c>
      <c r="J91" s="10" t="s">
        <v>322</v>
      </c>
      <c r="K91" s="10">
        <f t="shared" si="18"/>
        <v>47529</v>
      </c>
      <c r="L91" s="10">
        <f t="shared" si="19"/>
        <v>7529</v>
      </c>
      <c r="M91" s="10">
        <f t="shared" si="14"/>
        <v>7528</v>
      </c>
      <c r="N91" s="10" t="s">
        <v>323</v>
      </c>
      <c r="O91" s="10" t="s">
        <v>327</v>
      </c>
      <c r="P91" s="55"/>
      <c r="Q91" s="55"/>
      <c r="R91" s="55"/>
    </row>
    <row r="92" spans="2:18" ht="15.6" x14ac:dyDescent="0.3">
      <c r="B92" s="10" t="s">
        <v>2273</v>
      </c>
      <c r="C92" s="10" t="s">
        <v>321</v>
      </c>
      <c r="D92" s="10">
        <v>16</v>
      </c>
      <c r="E92" s="10">
        <f>D92/2</f>
        <v>8</v>
      </c>
      <c r="F92" s="10">
        <v>0</v>
      </c>
      <c r="G92" s="10">
        <v>65535</v>
      </c>
      <c r="H92" s="10">
        <v>1</v>
      </c>
      <c r="I92" s="10">
        <v>1</v>
      </c>
      <c r="J92" s="10" t="s">
        <v>322</v>
      </c>
      <c r="K92" s="10">
        <f t="shared" si="18"/>
        <v>47537</v>
      </c>
      <c r="L92" s="10">
        <f t="shared" si="19"/>
        <v>7537</v>
      </c>
      <c r="M92" s="10">
        <f t="shared" si="14"/>
        <v>7536</v>
      </c>
      <c r="N92" s="10" t="s">
        <v>323</v>
      </c>
      <c r="O92" s="10" t="s">
        <v>327</v>
      </c>
      <c r="P92" s="55"/>
      <c r="Q92" s="55"/>
      <c r="R92" s="55"/>
    </row>
    <row r="93" spans="2:18" ht="15.6" x14ac:dyDescent="0.3">
      <c r="B93" s="10" t="s">
        <v>2274</v>
      </c>
      <c r="C93" s="10" t="s">
        <v>321</v>
      </c>
      <c r="D93" s="10">
        <v>16</v>
      </c>
      <c r="E93" s="10">
        <f t="shared" ref="E93:E104" si="20">D93/2</f>
        <v>8</v>
      </c>
      <c r="F93" s="10">
        <v>0</v>
      </c>
      <c r="G93" s="10">
        <v>65535</v>
      </c>
      <c r="H93" s="10">
        <v>1</v>
      </c>
      <c r="I93" s="10">
        <v>1</v>
      </c>
      <c r="J93" s="10" t="s">
        <v>322</v>
      </c>
      <c r="K93" s="10">
        <f t="shared" si="18"/>
        <v>47545</v>
      </c>
      <c r="L93" s="10">
        <f t="shared" si="19"/>
        <v>7545</v>
      </c>
      <c r="M93" s="10">
        <f t="shared" si="14"/>
        <v>7544</v>
      </c>
      <c r="N93" s="10" t="s">
        <v>323</v>
      </c>
      <c r="O93" s="10" t="s">
        <v>327</v>
      </c>
      <c r="P93" s="55"/>
      <c r="Q93" s="55"/>
      <c r="R93" s="55"/>
    </row>
    <row r="94" spans="2:18" ht="15.6" x14ac:dyDescent="0.3">
      <c r="B94" s="10" t="s">
        <v>2275</v>
      </c>
      <c r="C94" s="10" t="s">
        <v>321</v>
      </c>
      <c r="D94" s="10">
        <v>16</v>
      </c>
      <c r="E94" s="10">
        <f t="shared" si="20"/>
        <v>8</v>
      </c>
      <c r="F94" s="10">
        <v>0</v>
      </c>
      <c r="G94" s="10">
        <v>65535</v>
      </c>
      <c r="H94" s="10">
        <v>1</v>
      </c>
      <c r="I94" s="10">
        <v>1</v>
      </c>
      <c r="J94" s="10" t="s">
        <v>322</v>
      </c>
      <c r="K94" s="10">
        <f t="shared" si="18"/>
        <v>47553</v>
      </c>
      <c r="L94" s="10">
        <f t="shared" si="19"/>
        <v>7553</v>
      </c>
      <c r="M94" s="10">
        <f t="shared" si="14"/>
        <v>7552</v>
      </c>
      <c r="N94" s="10" t="s">
        <v>323</v>
      </c>
      <c r="O94" s="10" t="s">
        <v>327</v>
      </c>
      <c r="P94" s="55"/>
      <c r="Q94" s="55"/>
      <c r="R94" s="55"/>
    </row>
    <row r="95" spans="2:18" ht="15.6" x14ac:dyDescent="0.3">
      <c r="B95" s="10" t="s">
        <v>2276</v>
      </c>
      <c r="C95" s="10" t="s">
        <v>321</v>
      </c>
      <c r="D95" s="10">
        <v>16</v>
      </c>
      <c r="E95" s="10">
        <f t="shared" si="20"/>
        <v>8</v>
      </c>
      <c r="F95" s="10">
        <v>0</v>
      </c>
      <c r="G95" s="10">
        <v>65535</v>
      </c>
      <c r="H95" s="10">
        <v>1</v>
      </c>
      <c r="I95" s="10">
        <v>1</v>
      </c>
      <c r="J95" s="10" t="s">
        <v>322</v>
      </c>
      <c r="K95" s="10">
        <f t="shared" si="18"/>
        <v>47561</v>
      </c>
      <c r="L95" s="10">
        <f t="shared" si="19"/>
        <v>7561</v>
      </c>
      <c r="M95" s="10">
        <f t="shared" si="14"/>
        <v>7560</v>
      </c>
      <c r="N95" s="10" t="s">
        <v>323</v>
      </c>
      <c r="O95" s="10" t="s">
        <v>327</v>
      </c>
      <c r="P95" s="55"/>
      <c r="Q95" s="55"/>
      <c r="R95" s="55"/>
    </row>
    <row r="96" spans="2:18" ht="15.6" x14ac:dyDescent="0.3">
      <c r="B96" s="10" t="s">
        <v>2277</v>
      </c>
      <c r="C96" s="10" t="s">
        <v>321</v>
      </c>
      <c r="D96" s="10">
        <v>16</v>
      </c>
      <c r="E96" s="10">
        <f t="shared" si="20"/>
        <v>8</v>
      </c>
      <c r="F96" s="10">
        <v>0</v>
      </c>
      <c r="G96" s="10">
        <v>65535</v>
      </c>
      <c r="H96" s="10">
        <v>1</v>
      </c>
      <c r="I96" s="10">
        <v>1</v>
      </c>
      <c r="J96" s="10" t="s">
        <v>322</v>
      </c>
      <c r="K96" s="10">
        <f t="shared" si="18"/>
        <v>47569</v>
      </c>
      <c r="L96" s="10">
        <f t="shared" si="19"/>
        <v>7569</v>
      </c>
      <c r="M96" s="10">
        <f t="shared" si="14"/>
        <v>7568</v>
      </c>
      <c r="N96" s="10" t="s">
        <v>323</v>
      </c>
      <c r="O96" s="10" t="s">
        <v>327</v>
      </c>
      <c r="P96" s="55"/>
      <c r="Q96" s="55"/>
      <c r="R96" s="55"/>
    </row>
    <row r="97" spans="2:18" ht="15.6" x14ac:dyDescent="0.3">
      <c r="B97" s="10" t="s">
        <v>2278</v>
      </c>
      <c r="C97" s="10" t="s">
        <v>321</v>
      </c>
      <c r="D97" s="10">
        <v>16</v>
      </c>
      <c r="E97" s="10">
        <f t="shared" si="20"/>
        <v>8</v>
      </c>
      <c r="F97" s="10">
        <v>0</v>
      </c>
      <c r="G97" s="10">
        <v>65535</v>
      </c>
      <c r="H97" s="10">
        <v>1</v>
      </c>
      <c r="I97" s="10">
        <v>1</v>
      </c>
      <c r="J97" s="10" t="s">
        <v>322</v>
      </c>
      <c r="K97" s="10">
        <f t="shared" si="18"/>
        <v>47577</v>
      </c>
      <c r="L97" s="10">
        <f t="shared" si="19"/>
        <v>7577</v>
      </c>
      <c r="M97" s="10">
        <f t="shared" si="14"/>
        <v>7576</v>
      </c>
      <c r="N97" s="10" t="s">
        <v>323</v>
      </c>
      <c r="O97" s="10" t="s">
        <v>327</v>
      </c>
      <c r="P97" s="55"/>
      <c r="Q97" s="55"/>
      <c r="R97" s="55"/>
    </row>
    <row r="98" spans="2:18" ht="15.6" x14ac:dyDescent="0.3">
      <c r="B98" s="10" t="s">
        <v>2279</v>
      </c>
      <c r="C98" s="10" t="s">
        <v>321</v>
      </c>
      <c r="D98" s="10">
        <v>16</v>
      </c>
      <c r="E98" s="10">
        <f t="shared" si="20"/>
        <v>8</v>
      </c>
      <c r="F98" s="10">
        <v>0</v>
      </c>
      <c r="G98" s="10">
        <v>65535</v>
      </c>
      <c r="H98" s="10">
        <v>1</v>
      </c>
      <c r="I98" s="10">
        <v>1</v>
      </c>
      <c r="J98" s="10" t="s">
        <v>322</v>
      </c>
      <c r="K98" s="10">
        <f t="shared" si="18"/>
        <v>47585</v>
      </c>
      <c r="L98" s="10">
        <f t="shared" si="19"/>
        <v>7585</v>
      </c>
      <c r="M98" s="10">
        <f t="shared" si="14"/>
        <v>7584</v>
      </c>
      <c r="N98" s="10" t="s">
        <v>323</v>
      </c>
      <c r="O98" s="10" t="s">
        <v>327</v>
      </c>
      <c r="P98" s="55"/>
      <c r="Q98" s="55"/>
      <c r="R98" s="55"/>
    </row>
    <row r="99" spans="2:18" ht="15.6" x14ac:dyDescent="0.3">
      <c r="B99" s="10" t="s">
        <v>2280</v>
      </c>
      <c r="C99" s="10" t="s">
        <v>321</v>
      </c>
      <c r="D99" s="10">
        <v>16</v>
      </c>
      <c r="E99" s="10">
        <f t="shared" si="20"/>
        <v>8</v>
      </c>
      <c r="F99" s="10">
        <v>0</v>
      </c>
      <c r="G99" s="10">
        <v>65535</v>
      </c>
      <c r="H99" s="10">
        <v>1</v>
      </c>
      <c r="I99" s="10">
        <v>1</v>
      </c>
      <c r="J99" s="10" t="s">
        <v>322</v>
      </c>
      <c r="K99" s="10">
        <f t="shared" si="18"/>
        <v>47593</v>
      </c>
      <c r="L99" s="10">
        <f t="shared" si="19"/>
        <v>7593</v>
      </c>
      <c r="M99" s="10">
        <f t="shared" si="14"/>
        <v>7592</v>
      </c>
      <c r="N99" s="10" t="s">
        <v>323</v>
      </c>
      <c r="O99" s="10" t="s">
        <v>327</v>
      </c>
      <c r="P99" s="55"/>
      <c r="Q99" s="55"/>
      <c r="R99" s="55"/>
    </row>
    <row r="100" spans="2:18" ht="15.6" x14ac:dyDescent="0.3">
      <c r="B100" s="10" t="s">
        <v>2281</v>
      </c>
      <c r="C100" s="10" t="s">
        <v>321</v>
      </c>
      <c r="D100" s="10">
        <v>16</v>
      </c>
      <c r="E100" s="10">
        <f t="shared" si="20"/>
        <v>8</v>
      </c>
      <c r="F100" s="10">
        <v>0</v>
      </c>
      <c r="G100" s="10">
        <v>65535</v>
      </c>
      <c r="H100" s="10">
        <v>1</v>
      </c>
      <c r="I100" s="10">
        <v>1</v>
      </c>
      <c r="J100" s="10" t="s">
        <v>322</v>
      </c>
      <c r="K100" s="10">
        <f t="shared" si="18"/>
        <v>47601</v>
      </c>
      <c r="L100" s="10">
        <f t="shared" si="19"/>
        <v>7601</v>
      </c>
      <c r="M100" s="10">
        <f t="shared" si="14"/>
        <v>7600</v>
      </c>
      <c r="N100" s="10" t="s">
        <v>323</v>
      </c>
      <c r="O100" s="10" t="s">
        <v>327</v>
      </c>
      <c r="P100" s="55"/>
      <c r="Q100" s="55"/>
      <c r="R100" s="55"/>
    </row>
    <row r="101" spans="2:18" ht="15.6" x14ac:dyDescent="0.3">
      <c r="B101" s="10" t="s">
        <v>2282</v>
      </c>
      <c r="C101" s="10" t="s">
        <v>321</v>
      </c>
      <c r="D101" s="10">
        <v>16</v>
      </c>
      <c r="E101" s="10">
        <f t="shared" si="20"/>
        <v>8</v>
      </c>
      <c r="F101" s="10">
        <v>0</v>
      </c>
      <c r="G101" s="10">
        <v>65535</v>
      </c>
      <c r="H101" s="10">
        <v>1</v>
      </c>
      <c r="I101" s="10">
        <v>1</v>
      </c>
      <c r="J101" s="10" t="s">
        <v>322</v>
      </c>
      <c r="K101" s="10">
        <f t="shared" si="18"/>
        <v>47609</v>
      </c>
      <c r="L101" s="10">
        <f t="shared" si="19"/>
        <v>7609</v>
      </c>
      <c r="M101" s="10">
        <f t="shared" si="14"/>
        <v>7608</v>
      </c>
      <c r="N101" s="10" t="s">
        <v>323</v>
      </c>
      <c r="O101" s="10" t="s">
        <v>327</v>
      </c>
      <c r="P101" s="55"/>
      <c r="Q101" s="55"/>
      <c r="R101" s="55"/>
    </row>
    <row r="102" spans="2:18" ht="15.6" x14ac:dyDescent="0.3">
      <c r="B102" s="10" t="s">
        <v>2283</v>
      </c>
      <c r="C102" s="10" t="s">
        <v>321</v>
      </c>
      <c r="D102" s="10">
        <v>16</v>
      </c>
      <c r="E102" s="10">
        <f t="shared" si="20"/>
        <v>8</v>
      </c>
      <c r="F102" s="10">
        <v>0</v>
      </c>
      <c r="G102" s="10">
        <v>65535</v>
      </c>
      <c r="H102" s="10">
        <v>1</v>
      </c>
      <c r="I102" s="10">
        <v>1</v>
      </c>
      <c r="J102" s="10" t="s">
        <v>322</v>
      </c>
      <c r="K102" s="10">
        <f t="shared" si="18"/>
        <v>47617</v>
      </c>
      <c r="L102" s="10">
        <f t="shared" si="19"/>
        <v>7617</v>
      </c>
      <c r="M102" s="10">
        <f t="shared" si="14"/>
        <v>7616</v>
      </c>
      <c r="N102" s="10" t="s">
        <v>323</v>
      </c>
      <c r="O102" s="10" t="s">
        <v>327</v>
      </c>
      <c r="P102" s="55"/>
      <c r="Q102" s="55"/>
      <c r="R102" s="55"/>
    </row>
    <row r="103" spans="2:18" ht="15.6" x14ac:dyDescent="0.3">
      <c r="B103" s="10" t="s">
        <v>2284</v>
      </c>
      <c r="C103" s="10" t="s">
        <v>321</v>
      </c>
      <c r="D103" s="10">
        <v>16</v>
      </c>
      <c r="E103" s="10">
        <f t="shared" si="20"/>
        <v>8</v>
      </c>
      <c r="F103" s="10">
        <v>0</v>
      </c>
      <c r="G103" s="10">
        <v>65535</v>
      </c>
      <c r="H103" s="10">
        <v>1</v>
      </c>
      <c r="I103" s="10">
        <v>1</v>
      </c>
      <c r="J103" s="10" t="s">
        <v>322</v>
      </c>
      <c r="K103" s="10">
        <f t="shared" si="18"/>
        <v>47625</v>
      </c>
      <c r="L103" s="10">
        <f t="shared" si="19"/>
        <v>7625</v>
      </c>
      <c r="M103" s="10">
        <f t="shared" si="14"/>
        <v>7624</v>
      </c>
      <c r="N103" s="10" t="s">
        <v>323</v>
      </c>
      <c r="O103" s="10" t="s">
        <v>327</v>
      </c>
      <c r="P103" s="55"/>
      <c r="Q103" s="55"/>
      <c r="R103" s="55"/>
    </row>
    <row r="104" spans="2:18" ht="15.6" x14ac:dyDescent="0.3">
      <c r="B104" s="10" t="s">
        <v>2285</v>
      </c>
      <c r="C104" s="10" t="s">
        <v>321</v>
      </c>
      <c r="D104" s="10">
        <v>16</v>
      </c>
      <c r="E104" s="10">
        <f t="shared" si="20"/>
        <v>8</v>
      </c>
      <c r="F104" s="10">
        <v>0</v>
      </c>
      <c r="G104" s="10">
        <v>65535</v>
      </c>
      <c r="H104" s="10">
        <v>1</v>
      </c>
      <c r="I104" s="10">
        <v>1</v>
      </c>
      <c r="J104" s="10" t="s">
        <v>322</v>
      </c>
      <c r="K104" s="10">
        <f t="shared" si="18"/>
        <v>47633</v>
      </c>
      <c r="L104" s="10">
        <f t="shared" si="19"/>
        <v>7633</v>
      </c>
      <c r="M104" s="10">
        <f t="shared" si="14"/>
        <v>7632</v>
      </c>
      <c r="N104" s="10" t="s">
        <v>323</v>
      </c>
      <c r="O104" s="10" t="s">
        <v>327</v>
      </c>
      <c r="P104" s="55"/>
      <c r="Q104" s="55"/>
      <c r="R104" s="55"/>
    </row>
    <row r="105" spans="2:18" ht="15.6" x14ac:dyDescent="0.3">
      <c r="B105" s="10" t="s">
        <v>2286</v>
      </c>
      <c r="C105" s="10" t="s">
        <v>321</v>
      </c>
      <c r="D105" s="10">
        <v>16</v>
      </c>
      <c r="E105" s="10">
        <f>D105/2</f>
        <v>8</v>
      </c>
      <c r="F105" s="10">
        <v>0</v>
      </c>
      <c r="G105" s="10">
        <v>65535</v>
      </c>
      <c r="H105" s="10">
        <v>1</v>
      </c>
      <c r="I105" s="10">
        <v>1</v>
      </c>
      <c r="J105" s="10" t="s">
        <v>322</v>
      </c>
      <c r="K105" s="10">
        <f t="shared" si="18"/>
        <v>47641</v>
      </c>
      <c r="L105" s="10">
        <f t="shared" si="19"/>
        <v>7641</v>
      </c>
      <c r="M105" s="10">
        <f t="shared" si="14"/>
        <v>7640</v>
      </c>
      <c r="N105" s="10" t="s">
        <v>323</v>
      </c>
      <c r="O105" s="10" t="s">
        <v>327</v>
      </c>
      <c r="P105" s="55"/>
      <c r="Q105" s="55"/>
      <c r="R105" s="55"/>
    </row>
    <row r="106" spans="2:18" ht="15.6" x14ac:dyDescent="0.3">
      <c r="B106" s="10" t="s">
        <v>2287</v>
      </c>
      <c r="C106" s="10" t="s">
        <v>321</v>
      </c>
      <c r="D106" s="10">
        <v>16</v>
      </c>
      <c r="E106" s="10">
        <f t="shared" ref="E106" si="21">D106/2</f>
        <v>8</v>
      </c>
      <c r="F106" s="10">
        <v>0</v>
      </c>
      <c r="G106" s="10">
        <v>65535</v>
      </c>
      <c r="H106" s="10">
        <v>1</v>
      </c>
      <c r="I106" s="10">
        <v>1</v>
      </c>
      <c r="J106" s="10" t="s">
        <v>322</v>
      </c>
      <c r="K106" s="10">
        <f t="shared" si="18"/>
        <v>47649</v>
      </c>
      <c r="L106" s="10">
        <f t="shared" si="19"/>
        <v>7649</v>
      </c>
      <c r="M106" s="10">
        <f t="shared" si="14"/>
        <v>7648</v>
      </c>
      <c r="N106" s="10" t="s">
        <v>323</v>
      </c>
      <c r="O106" s="10" t="s">
        <v>327</v>
      </c>
      <c r="P106" s="55"/>
      <c r="Q106" s="55"/>
      <c r="R106" s="55"/>
    </row>
    <row r="107" spans="2:18" ht="15.6" x14ac:dyDescent="0.3">
      <c r="B107" s="10" t="s">
        <v>2288</v>
      </c>
      <c r="C107" s="10" t="s">
        <v>321</v>
      </c>
      <c r="D107" s="10">
        <v>16</v>
      </c>
      <c r="E107" s="10">
        <f>D107/2</f>
        <v>8</v>
      </c>
      <c r="F107" s="10">
        <v>0</v>
      </c>
      <c r="G107" s="10">
        <v>65535</v>
      </c>
      <c r="H107" s="10">
        <v>1</v>
      </c>
      <c r="I107" s="10">
        <v>1</v>
      </c>
      <c r="J107" s="10" t="s">
        <v>322</v>
      </c>
      <c r="K107" s="10">
        <f t="shared" si="18"/>
        <v>47657</v>
      </c>
      <c r="L107" s="10">
        <f t="shared" si="19"/>
        <v>7657</v>
      </c>
      <c r="M107" s="10">
        <f t="shared" si="14"/>
        <v>7656</v>
      </c>
      <c r="N107" s="10" t="s">
        <v>323</v>
      </c>
      <c r="O107" s="10" t="s">
        <v>327</v>
      </c>
      <c r="P107" s="55"/>
      <c r="Q107" s="55"/>
      <c r="R107" s="55"/>
    </row>
    <row r="108" spans="2:18" ht="15.6" x14ac:dyDescent="0.3">
      <c r="B108" s="10" t="s">
        <v>2289</v>
      </c>
      <c r="C108" s="10" t="s">
        <v>321</v>
      </c>
      <c r="D108" s="10">
        <v>16</v>
      </c>
      <c r="E108" s="10">
        <f>D108/2</f>
        <v>8</v>
      </c>
      <c r="F108" s="10">
        <v>0</v>
      </c>
      <c r="G108" s="10">
        <v>65535</v>
      </c>
      <c r="H108" s="10">
        <v>1</v>
      </c>
      <c r="I108" s="10">
        <v>1</v>
      </c>
      <c r="J108" s="10" t="s">
        <v>322</v>
      </c>
      <c r="K108" s="10">
        <f t="shared" si="18"/>
        <v>47665</v>
      </c>
      <c r="L108" s="10">
        <f t="shared" si="19"/>
        <v>7665</v>
      </c>
      <c r="M108" s="10">
        <f t="shared" si="14"/>
        <v>7664</v>
      </c>
      <c r="N108" s="10" t="s">
        <v>323</v>
      </c>
      <c r="O108" s="10" t="s">
        <v>327</v>
      </c>
      <c r="P108" s="55"/>
      <c r="Q108" s="55"/>
      <c r="R108" s="55"/>
    </row>
    <row r="109" spans="2:18" ht="15.6" x14ac:dyDescent="0.3">
      <c r="B109" s="10" t="s">
        <v>2290</v>
      </c>
      <c r="C109" s="10" t="s">
        <v>321</v>
      </c>
      <c r="D109" s="10">
        <v>16</v>
      </c>
      <c r="E109" s="10">
        <f t="shared" ref="E109:E124" si="22">D109/2</f>
        <v>8</v>
      </c>
      <c r="F109" s="10">
        <v>0</v>
      </c>
      <c r="G109" s="10">
        <v>65535</v>
      </c>
      <c r="H109" s="10">
        <v>1</v>
      </c>
      <c r="I109" s="10">
        <v>1</v>
      </c>
      <c r="J109" s="10" t="s">
        <v>322</v>
      </c>
      <c r="K109" s="10">
        <f t="shared" si="18"/>
        <v>47673</v>
      </c>
      <c r="L109" s="10">
        <f t="shared" si="19"/>
        <v>7673</v>
      </c>
      <c r="M109" s="10">
        <f t="shared" si="14"/>
        <v>7672</v>
      </c>
      <c r="N109" s="10" t="s">
        <v>323</v>
      </c>
      <c r="O109" s="10" t="s">
        <v>327</v>
      </c>
      <c r="P109" s="55"/>
      <c r="Q109" s="55"/>
      <c r="R109" s="55"/>
    </row>
    <row r="110" spans="2:18" ht="15.6" x14ac:dyDescent="0.3">
      <c r="B110" s="10" t="s">
        <v>2291</v>
      </c>
      <c r="C110" s="10" t="s">
        <v>321</v>
      </c>
      <c r="D110" s="10">
        <v>16</v>
      </c>
      <c r="E110" s="10">
        <f t="shared" si="22"/>
        <v>8</v>
      </c>
      <c r="F110" s="10">
        <v>0</v>
      </c>
      <c r="G110" s="10">
        <v>65535</v>
      </c>
      <c r="H110" s="10">
        <v>1</v>
      </c>
      <c r="I110" s="10">
        <v>1</v>
      </c>
      <c r="J110" s="10" t="s">
        <v>322</v>
      </c>
      <c r="K110" s="10">
        <f t="shared" si="18"/>
        <v>47681</v>
      </c>
      <c r="L110" s="10">
        <f t="shared" si="19"/>
        <v>7681</v>
      </c>
      <c r="M110" s="10">
        <f t="shared" si="14"/>
        <v>7680</v>
      </c>
      <c r="N110" s="10" t="s">
        <v>323</v>
      </c>
      <c r="O110" s="10" t="s">
        <v>327</v>
      </c>
      <c r="P110" s="55"/>
      <c r="Q110" s="55"/>
      <c r="R110" s="55"/>
    </row>
    <row r="111" spans="2:18" ht="15.6" x14ac:dyDescent="0.3">
      <c r="B111" s="10" t="s">
        <v>2292</v>
      </c>
      <c r="C111" s="10" t="s">
        <v>321</v>
      </c>
      <c r="D111" s="10">
        <v>16</v>
      </c>
      <c r="E111" s="10">
        <f t="shared" si="22"/>
        <v>8</v>
      </c>
      <c r="F111" s="10">
        <v>0</v>
      </c>
      <c r="G111" s="10">
        <v>65535</v>
      </c>
      <c r="H111" s="10">
        <v>1</v>
      </c>
      <c r="I111" s="10">
        <v>1</v>
      </c>
      <c r="J111" s="10" t="s">
        <v>322</v>
      </c>
      <c r="K111" s="10">
        <f t="shared" si="18"/>
        <v>47689</v>
      </c>
      <c r="L111" s="10">
        <f t="shared" si="19"/>
        <v>7689</v>
      </c>
      <c r="M111" s="10">
        <f t="shared" si="14"/>
        <v>7688</v>
      </c>
      <c r="N111" s="10" t="s">
        <v>323</v>
      </c>
      <c r="O111" s="10" t="s">
        <v>327</v>
      </c>
      <c r="P111" s="55"/>
      <c r="Q111" s="55"/>
      <c r="R111" s="55"/>
    </row>
    <row r="112" spans="2:18" ht="15.6" x14ac:dyDescent="0.3">
      <c r="B112" s="10" t="s">
        <v>2293</v>
      </c>
      <c r="C112" s="10" t="s">
        <v>321</v>
      </c>
      <c r="D112" s="10">
        <v>16</v>
      </c>
      <c r="E112" s="10">
        <f t="shared" si="22"/>
        <v>8</v>
      </c>
      <c r="F112" s="10">
        <v>0</v>
      </c>
      <c r="G112" s="10">
        <v>65535</v>
      </c>
      <c r="H112" s="10">
        <v>1</v>
      </c>
      <c r="I112" s="10">
        <v>1</v>
      </c>
      <c r="J112" s="10" t="s">
        <v>322</v>
      </c>
      <c r="K112" s="10">
        <f t="shared" si="18"/>
        <v>47697</v>
      </c>
      <c r="L112" s="10">
        <f t="shared" si="19"/>
        <v>7697</v>
      </c>
      <c r="M112" s="10">
        <f t="shared" si="14"/>
        <v>7696</v>
      </c>
      <c r="N112" s="10" t="s">
        <v>323</v>
      </c>
      <c r="O112" s="10" t="s">
        <v>327</v>
      </c>
      <c r="P112" s="55"/>
      <c r="Q112" s="55"/>
      <c r="R112" s="55"/>
    </row>
    <row r="113" spans="2:18" ht="15.6" x14ac:dyDescent="0.3">
      <c r="B113" s="10" t="s">
        <v>2294</v>
      </c>
      <c r="C113" s="10" t="s">
        <v>321</v>
      </c>
      <c r="D113" s="10">
        <v>16</v>
      </c>
      <c r="E113" s="10">
        <f t="shared" si="22"/>
        <v>8</v>
      </c>
      <c r="F113" s="10">
        <v>0</v>
      </c>
      <c r="G113" s="10">
        <v>65535</v>
      </c>
      <c r="H113" s="10">
        <v>1</v>
      </c>
      <c r="I113" s="10">
        <v>1</v>
      </c>
      <c r="J113" s="10" t="s">
        <v>322</v>
      </c>
      <c r="K113" s="10">
        <f t="shared" si="18"/>
        <v>47705</v>
      </c>
      <c r="L113" s="10">
        <f t="shared" si="19"/>
        <v>7705</v>
      </c>
      <c r="M113" s="10">
        <f t="shared" si="14"/>
        <v>7704</v>
      </c>
      <c r="N113" s="10" t="s">
        <v>323</v>
      </c>
      <c r="O113" s="10" t="s">
        <v>327</v>
      </c>
      <c r="P113" s="55"/>
      <c r="Q113" s="55"/>
      <c r="R113" s="55"/>
    </row>
    <row r="114" spans="2:18" ht="15.6" x14ac:dyDescent="0.3">
      <c r="B114" s="10" t="s">
        <v>2295</v>
      </c>
      <c r="C114" s="10" t="s">
        <v>321</v>
      </c>
      <c r="D114" s="10">
        <v>16</v>
      </c>
      <c r="E114" s="10">
        <f t="shared" si="22"/>
        <v>8</v>
      </c>
      <c r="F114" s="10">
        <v>0</v>
      </c>
      <c r="G114" s="10">
        <v>65535</v>
      </c>
      <c r="H114" s="10">
        <v>1</v>
      </c>
      <c r="I114" s="10">
        <v>1</v>
      </c>
      <c r="J114" s="10" t="s">
        <v>322</v>
      </c>
      <c r="K114" s="10">
        <f t="shared" si="18"/>
        <v>47713</v>
      </c>
      <c r="L114" s="10">
        <f t="shared" si="19"/>
        <v>7713</v>
      </c>
      <c r="M114" s="10">
        <f t="shared" si="14"/>
        <v>7712</v>
      </c>
      <c r="N114" s="10" t="s">
        <v>323</v>
      </c>
      <c r="O114" s="10" t="s">
        <v>327</v>
      </c>
      <c r="P114" s="55"/>
      <c r="Q114" s="55"/>
      <c r="R114" s="55"/>
    </row>
    <row r="115" spans="2:18" ht="15.6" x14ac:dyDescent="0.3">
      <c r="B115" s="10" t="s">
        <v>2296</v>
      </c>
      <c r="C115" s="10" t="s">
        <v>321</v>
      </c>
      <c r="D115" s="10">
        <v>16</v>
      </c>
      <c r="E115" s="10">
        <f t="shared" si="22"/>
        <v>8</v>
      </c>
      <c r="F115" s="10">
        <v>0</v>
      </c>
      <c r="G115" s="10">
        <v>65535</v>
      </c>
      <c r="H115" s="10">
        <v>1</v>
      </c>
      <c r="I115" s="10">
        <v>1</v>
      </c>
      <c r="J115" s="10" t="s">
        <v>322</v>
      </c>
      <c r="K115" s="10">
        <f t="shared" si="18"/>
        <v>47721</v>
      </c>
      <c r="L115" s="10">
        <f t="shared" si="19"/>
        <v>7721</v>
      </c>
      <c r="M115" s="10">
        <f t="shared" si="14"/>
        <v>7720</v>
      </c>
      <c r="N115" s="10" t="s">
        <v>323</v>
      </c>
      <c r="O115" s="10" t="s">
        <v>327</v>
      </c>
      <c r="P115" s="55"/>
      <c r="Q115" s="55"/>
      <c r="R115" s="55"/>
    </row>
    <row r="116" spans="2:18" ht="15.6" x14ac:dyDescent="0.3">
      <c r="B116" s="10" t="s">
        <v>2297</v>
      </c>
      <c r="C116" s="10" t="s">
        <v>321</v>
      </c>
      <c r="D116" s="10">
        <v>16</v>
      </c>
      <c r="E116" s="10">
        <f t="shared" si="22"/>
        <v>8</v>
      </c>
      <c r="F116" s="10">
        <v>0</v>
      </c>
      <c r="G116" s="10">
        <v>65535</v>
      </c>
      <c r="H116" s="10">
        <v>1</v>
      </c>
      <c r="I116" s="10">
        <v>1</v>
      </c>
      <c r="J116" s="10" t="s">
        <v>322</v>
      </c>
      <c r="K116" s="10">
        <f t="shared" si="18"/>
        <v>47729</v>
      </c>
      <c r="L116" s="10">
        <f t="shared" si="19"/>
        <v>7729</v>
      </c>
      <c r="M116" s="10">
        <f t="shared" si="14"/>
        <v>7728</v>
      </c>
      <c r="N116" s="10" t="s">
        <v>323</v>
      </c>
      <c r="O116" s="10" t="s">
        <v>327</v>
      </c>
      <c r="P116" s="55"/>
      <c r="Q116" s="55"/>
      <c r="R116" s="55"/>
    </row>
    <row r="117" spans="2:18" ht="15.6" x14ac:dyDescent="0.3">
      <c r="B117" s="10" t="s">
        <v>2298</v>
      </c>
      <c r="C117" s="10" t="s">
        <v>321</v>
      </c>
      <c r="D117" s="10">
        <v>16</v>
      </c>
      <c r="E117" s="10">
        <f t="shared" si="22"/>
        <v>8</v>
      </c>
      <c r="F117" s="10">
        <v>0</v>
      </c>
      <c r="G117" s="10">
        <v>65535</v>
      </c>
      <c r="H117" s="10">
        <v>1</v>
      </c>
      <c r="I117" s="10">
        <v>1</v>
      </c>
      <c r="J117" s="10" t="s">
        <v>322</v>
      </c>
      <c r="K117" s="10">
        <f t="shared" si="18"/>
        <v>47737</v>
      </c>
      <c r="L117" s="10">
        <f t="shared" si="19"/>
        <v>7737</v>
      </c>
      <c r="M117" s="10">
        <f t="shared" si="14"/>
        <v>7736</v>
      </c>
      <c r="N117" s="10" t="s">
        <v>323</v>
      </c>
      <c r="O117" s="10" t="s">
        <v>327</v>
      </c>
      <c r="P117" s="55"/>
      <c r="Q117" s="55"/>
      <c r="R117" s="55"/>
    </row>
    <row r="118" spans="2:18" ht="15.6" x14ac:dyDescent="0.3">
      <c r="B118" s="10" t="s">
        <v>2299</v>
      </c>
      <c r="C118" s="10" t="s">
        <v>321</v>
      </c>
      <c r="D118" s="10">
        <v>16</v>
      </c>
      <c r="E118" s="10">
        <f t="shared" si="22"/>
        <v>8</v>
      </c>
      <c r="F118" s="10">
        <v>0</v>
      </c>
      <c r="G118" s="10">
        <v>65535</v>
      </c>
      <c r="H118" s="10">
        <v>1</v>
      </c>
      <c r="I118" s="10">
        <v>1</v>
      </c>
      <c r="J118" s="10" t="s">
        <v>322</v>
      </c>
      <c r="K118" s="10">
        <f t="shared" si="18"/>
        <v>47745</v>
      </c>
      <c r="L118" s="10">
        <f t="shared" si="19"/>
        <v>7745</v>
      </c>
      <c r="M118" s="10">
        <f t="shared" si="14"/>
        <v>7744</v>
      </c>
      <c r="N118" s="10" t="s">
        <v>323</v>
      </c>
      <c r="O118" s="10" t="s">
        <v>327</v>
      </c>
      <c r="P118" s="55"/>
      <c r="Q118" s="55"/>
      <c r="R118" s="55"/>
    </row>
    <row r="119" spans="2:18" ht="15.6" x14ac:dyDescent="0.3">
      <c r="B119" s="10" t="s">
        <v>2300</v>
      </c>
      <c r="C119" s="10" t="s">
        <v>321</v>
      </c>
      <c r="D119" s="10">
        <v>16</v>
      </c>
      <c r="E119" s="10">
        <f t="shared" si="22"/>
        <v>8</v>
      </c>
      <c r="F119" s="10">
        <v>0</v>
      </c>
      <c r="G119" s="10">
        <v>65535</v>
      </c>
      <c r="H119" s="10">
        <v>1</v>
      </c>
      <c r="I119" s="10">
        <v>1</v>
      </c>
      <c r="J119" s="10" t="s">
        <v>322</v>
      </c>
      <c r="K119" s="10">
        <f t="shared" si="18"/>
        <v>47753</v>
      </c>
      <c r="L119" s="10">
        <f t="shared" si="19"/>
        <v>7753</v>
      </c>
      <c r="M119" s="10">
        <f t="shared" si="14"/>
        <v>7752</v>
      </c>
      <c r="N119" s="10" t="s">
        <v>323</v>
      </c>
      <c r="O119" s="10" t="s">
        <v>327</v>
      </c>
      <c r="P119" s="55"/>
      <c r="Q119" s="55"/>
      <c r="R119" s="55"/>
    </row>
    <row r="120" spans="2:18" ht="15.6" x14ac:dyDescent="0.3">
      <c r="B120" s="10" t="s">
        <v>2301</v>
      </c>
      <c r="C120" s="10" t="s">
        <v>321</v>
      </c>
      <c r="D120" s="10">
        <v>16</v>
      </c>
      <c r="E120" s="10">
        <f t="shared" si="22"/>
        <v>8</v>
      </c>
      <c r="F120" s="10">
        <v>0</v>
      </c>
      <c r="G120" s="10">
        <v>65535</v>
      </c>
      <c r="H120" s="10">
        <v>1</v>
      </c>
      <c r="I120" s="10">
        <v>1</v>
      </c>
      <c r="J120" s="10" t="s">
        <v>322</v>
      </c>
      <c r="K120" s="10">
        <f t="shared" si="18"/>
        <v>47761</v>
      </c>
      <c r="L120" s="10">
        <f t="shared" si="19"/>
        <v>7761</v>
      </c>
      <c r="M120" s="10">
        <f t="shared" si="14"/>
        <v>7760</v>
      </c>
      <c r="N120" s="10" t="s">
        <v>323</v>
      </c>
      <c r="O120" s="10" t="s">
        <v>327</v>
      </c>
      <c r="P120" s="55"/>
      <c r="Q120" s="55"/>
      <c r="R120" s="55"/>
    </row>
    <row r="121" spans="2:18" ht="15.6" x14ac:dyDescent="0.3">
      <c r="B121" s="10" t="s">
        <v>2302</v>
      </c>
      <c r="C121" s="10" t="s">
        <v>321</v>
      </c>
      <c r="D121" s="10">
        <v>16</v>
      </c>
      <c r="E121" s="10">
        <f t="shared" si="22"/>
        <v>8</v>
      </c>
      <c r="F121" s="10">
        <v>0</v>
      </c>
      <c r="G121" s="10">
        <v>65535</v>
      </c>
      <c r="H121" s="10">
        <v>1</v>
      </c>
      <c r="I121" s="10">
        <v>1</v>
      </c>
      <c r="J121" s="10" t="s">
        <v>322</v>
      </c>
      <c r="K121" s="10">
        <f t="shared" si="18"/>
        <v>47769</v>
      </c>
      <c r="L121" s="10">
        <f t="shared" si="19"/>
        <v>7769</v>
      </c>
      <c r="M121" s="10">
        <f t="shared" si="14"/>
        <v>7768</v>
      </c>
      <c r="N121" s="10" t="s">
        <v>323</v>
      </c>
      <c r="O121" s="10" t="s">
        <v>327</v>
      </c>
      <c r="P121" s="55"/>
      <c r="Q121" s="55"/>
      <c r="R121" s="55"/>
    </row>
    <row r="122" spans="2:18" ht="15.6" x14ac:dyDescent="0.3">
      <c r="B122" s="10" t="s">
        <v>2303</v>
      </c>
      <c r="C122" s="10" t="s">
        <v>321</v>
      </c>
      <c r="D122" s="10">
        <v>16</v>
      </c>
      <c r="E122" s="10">
        <f t="shared" si="22"/>
        <v>8</v>
      </c>
      <c r="F122" s="10">
        <v>0</v>
      </c>
      <c r="G122" s="10">
        <v>65535</v>
      </c>
      <c r="H122" s="10">
        <v>1</v>
      </c>
      <c r="I122" s="10">
        <v>1</v>
      </c>
      <c r="J122" s="10" t="s">
        <v>322</v>
      </c>
      <c r="K122" s="10">
        <f t="shared" si="18"/>
        <v>47777</v>
      </c>
      <c r="L122" s="10">
        <f t="shared" si="19"/>
        <v>7777</v>
      </c>
      <c r="M122" s="10">
        <f t="shared" si="14"/>
        <v>7776</v>
      </c>
      <c r="N122" s="10" t="s">
        <v>323</v>
      </c>
      <c r="O122" s="10" t="s">
        <v>327</v>
      </c>
      <c r="P122" s="55"/>
      <c r="Q122" s="55"/>
      <c r="R122" s="55"/>
    </row>
    <row r="123" spans="2:18" ht="15.6" x14ac:dyDescent="0.3">
      <c r="B123" s="10" t="s">
        <v>2304</v>
      </c>
      <c r="C123" s="10" t="s">
        <v>321</v>
      </c>
      <c r="D123" s="10">
        <v>16</v>
      </c>
      <c r="E123" s="10">
        <f t="shared" si="22"/>
        <v>8</v>
      </c>
      <c r="F123" s="10">
        <v>0</v>
      </c>
      <c r="G123" s="10">
        <v>65535</v>
      </c>
      <c r="H123" s="10">
        <v>1</v>
      </c>
      <c r="I123" s="10">
        <v>1</v>
      </c>
      <c r="J123" s="10" t="s">
        <v>322</v>
      </c>
      <c r="K123" s="10">
        <f t="shared" si="18"/>
        <v>47785</v>
      </c>
      <c r="L123" s="10">
        <f t="shared" si="19"/>
        <v>7785</v>
      </c>
      <c r="M123" s="10">
        <f t="shared" si="14"/>
        <v>7784</v>
      </c>
      <c r="N123" s="10" t="s">
        <v>323</v>
      </c>
      <c r="O123" s="10" t="s">
        <v>327</v>
      </c>
      <c r="P123" s="55"/>
      <c r="Q123" s="55"/>
      <c r="R123" s="55"/>
    </row>
    <row r="124" spans="2:18" ht="15.6" x14ac:dyDescent="0.3">
      <c r="B124" s="10" t="s">
        <v>2305</v>
      </c>
      <c r="C124" s="10" t="s">
        <v>321</v>
      </c>
      <c r="D124" s="10">
        <v>16</v>
      </c>
      <c r="E124" s="10">
        <f t="shared" si="22"/>
        <v>8</v>
      </c>
      <c r="F124" s="10">
        <v>0</v>
      </c>
      <c r="G124" s="10">
        <v>65535</v>
      </c>
      <c r="H124" s="10">
        <v>1</v>
      </c>
      <c r="I124" s="10">
        <v>1</v>
      </c>
      <c r="J124" s="10" t="s">
        <v>322</v>
      </c>
      <c r="K124" s="10">
        <f t="shared" si="18"/>
        <v>47793</v>
      </c>
      <c r="L124" s="10">
        <f t="shared" si="19"/>
        <v>7793</v>
      </c>
      <c r="M124" s="10">
        <f t="shared" si="14"/>
        <v>7792</v>
      </c>
      <c r="N124" s="10" t="s">
        <v>323</v>
      </c>
      <c r="O124" s="10" t="s">
        <v>327</v>
      </c>
      <c r="P124" s="55"/>
      <c r="Q124" s="55"/>
      <c r="R124" s="55"/>
    </row>
    <row r="125" spans="2:18" ht="16.2" x14ac:dyDescent="0.3">
      <c r="B125" s="504" t="s">
        <v>2306</v>
      </c>
      <c r="C125" s="504"/>
      <c r="D125" s="504"/>
      <c r="E125" s="504"/>
      <c r="F125" s="504"/>
      <c r="G125" s="504"/>
      <c r="H125" s="504"/>
      <c r="I125" s="504"/>
      <c r="J125" s="504"/>
      <c r="K125" s="504"/>
      <c r="L125" s="504"/>
      <c r="M125" s="504"/>
      <c r="N125" s="504"/>
      <c r="O125" s="504"/>
      <c r="P125" s="504"/>
      <c r="Q125" s="504"/>
      <c r="R125" s="504"/>
    </row>
    <row r="126" spans="2:18" ht="15.6" x14ac:dyDescent="0.3">
      <c r="B126" s="10" t="s">
        <v>2205</v>
      </c>
      <c r="C126" s="10" t="s">
        <v>321</v>
      </c>
      <c r="D126" s="10">
        <v>16</v>
      </c>
      <c r="E126" s="10">
        <f>D126/2</f>
        <v>8</v>
      </c>
      <c r="F126" s="10">
        <v>0</v>
      </c>
      <c r="G126" s="10">
        <v>65535</v>
      </c>
      <c r="H126" s="10">
        <v>1</v>
      </c>
      <c r="I126" s="10">
        <v>1</v>
      </c>
      <c r="J126" s="10" t="s">
        <v>322</v>
      </c>
      <c r="K126" s="10">
        <f>48001</f>
        <v>48001</v>
      </c>
      <c r="L126" s="10">
        <f t="shared" si="19"/>
        <v>8001</v>
      </c>
      <c r="M126" s="10">
        <f t="shared" si="14"/>
        <v>8000</v>
      </c>
      <c r="N126" s="10" t="s">
        <v>323</v>
      </c>
      <c r="O126" s="10" t="s">
        <v>327</v>
      </c>
      <c r="P126" s="55"/>
      <c r="Q126" s="55"/>
      <c r="R126" s="55"/>
    </row>
    <row r="127" spans="2:18" ht="15.6" x14ac:dyDescent="0.3">
      <c r="B127" s="10" t="s">
        <v>2206</v>
      </c>
      <c r="C127" s="10" t="s">
        <v>321</v>
      </c>
      <c r="D127" s="10">
        <v>16</v>
      </c>
      <c r="E127" s="10">
        <f t="shared" ref="E127" si="23">D127/2</f>
        <v>8</v>
      </c>
      <c r="F127" s="10">
        <v>0</v>
      </c>
      <c r="G127" s="10">
        <v>65535</v>
      </c>
      <c r="H127" s="10">
        <v>1</v>
      </c>
      <c r="I127" s="10">
        <v>1</v>
      </c>
      <c r="J127" s="10" t="s">
        <v>322</v>
      </c>
      <c r="K127" s="10">
        <f t="shared" ref="K127:K139" si="24">K126+E126</f>
        <v>48009</v>
      </c>
      <c r="L127" s="10">
        <f t="shared" si="19"/>
        <v>8009</v>
      </c>
      <c r="M127" s="10">
        <f t="shared" si="14"/>
        <v>8008</v>
      </c>
      <c r="N127" s="10" t="s">
        <v>323</v>
      </c>
      <c r="O127" s="10" t="s">
        <v>327</v>
      </c>
      <c r="P127" s="55"/>
      <c r="Q127" s="55"/>
      <c r="R127" s="55"/>
    </row>
    <row r="128" spans="2:18" ht="15.6" x14ac:dyDescent="0.3">
      <c r="B128" s="10" t="s">
        <v>2207</v>
      </c>
      <c r="C128" s="10" t="s">
        <v>321</v>
      </c>
      <c r="D128" s="10">
        <v>16</v>
      </c>
      <c r="E128" s="10">
        <f>D128/2</f>
        <v>8</v>
      </c>
      <c r="F128" s="10">
        <v>0</v>
      </c>
      <c r="G128" s="10">
        <v>65535</v>
      </c>
      <c r="H128" s="10">
        <v>1</v>
      </c>
      <c r="I128" s="10">
        <v>1</v>
      </c>
      <c r="J128" s="10" t="s">
        <v>322</v>
      </c>
      <c r="K128" s="10">
        <f t="shared" si="24"/>
        <v>48017</v>
      </c>
      <c r="L128" s="10">
        <f t="shared" si="19"/>
        <v>8017</v>
      </c>
      <c r="M128" s="10">
        <f t="shared" si="14"/>
        <v>8016</v>
      </c>
      <c r="N128" s="10" t="s">
        <v>323</v>
      </c>
      <c r="O128" s="10" t="s">
        <v>327</v>
      </c>
      <c r="P128" s="55"/>
      <c r="Q128" s="55"/>
      <c r="R128" s="55"/>
    </row>
    <row r="129" spans="2:18" ht="15.6" x14ac:dyDescent="0.3">
      <c r="B129" s="10" t="s">
        <v>2208</v>
      </c>
      <c r="C129" s="10" t="s">
        <v>321</v>
      </c>
      <c r="D129" s="10">
        <v>16</v>
      </c>
      <c r="E129" s="10">
        <f>D129/2</f>
        <v>8</v>
      </c>
      <c r="F129" s="10">
        <v>0</v>
      </c>
      <c r="G129" s="10">
        <v>65535</v>
      </c>
      <c r="H129" s="10">
        <v>1</v>
      </c>
      <c r="I129" s="10">
        <v>1</v>
      </c>
      <c r="J129" s="10" t="s">
        <v>322</v>
      </c>
      <c r="K129" s="10">
        <f t="shared" si="24"/>
        <v>48025</v>
      </c>
      <c r="L129" s="10">
        <f t="shared" si="19"/>
        <v>8025</v>
      </c>
      <c r="M129" s="10">
        <f t="shared" si="14"/>
        <v>8024</v>
      </c>
      <c r="N129" s="10" t="s">
        <v>323</v>
      </c>
      <c r="O129" s="10" t="s">
        <v>327</v>
      </c>
      <c r="P129" s="55"/>
      <c r="Q129" s="55"/>
      <c r="R129" s="55"/>
    </row>
    <row r="130" spans="2:18" ht="15.6" x14ac:dyDescent="0.3">
      <c r="B130" s="10" t="s">
        <v>2209</v>
      </c>
      <c r="C130" s="10" t="s">
        <v>321</v>
      </c>
      <c r="D130" s="10">
        <v>16</v>
      </c>
      <c r="E130" s="10">
        <f t="shared" ref="E130:E139" si="25">D130/2</f>
        <v>8</v>
      </c>
      <c r="F130" s="10">
        <v>0</v>
      </c>
      <c r="G130" s="10">
        <v>65535</v>
      </c>
      <c r="H130" s="10">
        <v>1</v>
      </c>
      <c r="I130" s="10">
        <v>1</v>
      </c>
      <c r="J130" s="10" t="s">
        <v>322</v>
      </c>
      <c r="K130" s="10">
        <f t="shared" si="24"/>
        <v>48033</v>
      </c>
      <c r="L130" s="10">
        <f t="shared" si="19"/>
        <v>8033</v>
      </c>
      <c r="M130" s="10">
        <f t="shared" si="14"/>
        <v>8032</v>
      </c>
      <c r="N130" s="10" t="s">
        <v>323</v>
      </c>
      <c r="O130" s="10" t="s">
        <v>327</v>
      </c>
      <c r="P130" s="55"/>
      <c r="Q130" s="55"/>
      <c r="R130" s="55"/>
    </row>
    <row r="131" spans="2:18" ht="15.6" x14ac:dyDescent="0.3">
      <c r="B131" s="10" t="s">
        <v>2210</v>
      </c>
      <c r="C131" s="10" t="s">
        <v>321</v>
      </c>
      <c r="D131" s="10">
        <v>16</v>
      </c>
      <c r="E131" s="10">
        <f t="shared" si="25"/>
        <v>8</v>
      </c>
      <c r="F131" s="10">
        <v>0</v>
      </c>
      <c r="G131" s="10">
        <v>65535</v>
      </c>
      <c r="H131" s="10">
        <v>1</v>
      </c>
      <c r="I131" s="10">
        <v>1</v>
      </c>
      <c r="J131" s="10" t="s">
        <v>322</v>
      </c>
      <c r="K131" s="10">
        <f t="shared" si="24"/>
        <v>48041</v>
      </c>
      <c r="L131" s="10">
        <f t="shared" si="19"/>
        <v>8041</v>
      </c>
      <c r="M131" s="10">
        <f t="shared" si="14"/>
        <v>8040</v>
      </c>
      <c r="N131" s="10" t="s">
        <v>323</v>
      </c>
      <c r="O131" s="10" t="s">
        <v>327</v>
      </c>
      <c r="P131" s="55"/>
      <c r="Q131" s="55"/>
      <c r="R131" s="55"/>
    </row>
    <row r="132" spans="2:18" ht="15.6" x14ac:dyDescent="0.3">
      <c r="B132" s="10" t="s">
        <v>2211</v>
      </c>
      <c r="C132" s="10" t="s">
        <v>321</v>
      </c>
      <c r="D132" s="10">
        <v>16</v>
      </c>
      <c r="E132" s="10">
        <f t="shared" si="25"/>
        <v>8</v>
      </c>
      <c r="F132" s="10">
        <v>0</v>
      </c>
      <c r="G132" s="10">
        <v>65535</v>
      </c>
      <c r="H132" s="10">
        <v>1</v>
      </c>
      <c r="I132" s="10">
        <v>1</v>
      </c>
      <c r="J132" s="10" t="s">
        <v>322</v>
      </c>
      <c r="K132" s="10">
        <f t="shared" si="24"/>
        <v>48049</v>
      </c>
      <c r="L132" s="10">
        <f t="shared" si="19"/>
        <v>8049</v>
      </c>
      <c r="M132" s="10">
        <f t="shared" ref="M132:M147" si="26">L132-1</f>
        <v>8048</v>
      </c>
      <c r="N132" s="10" t="s">
        <v>323</v>
      </c>
      <c r="O132" s="10" t="s">
        <v>327</v>
      </c>
      <c r="P132" s="55"/>
      <c r="Q132" s="55"/>
      <c r="R132" s="55"/>
    </row>
    <row r="133" spans="2:18" ht="15.6" x14ac:dyDescent="0.3">
      <c r="B133" s="10" t="s">
        <v>2212</v>
      </c>
      <c r="C133" s="10" t="s">
        <v>321</v>
      </c>
      <c r="D133" s="10">
        <v>16</v>
      </c>
      <c r="E133" s="10">
        <f t="shared" si="25"/>
        <v>8</v>
      </c>
      <c r="F133" s="10">
        <v>0</v>
      </c>
      <c r="G133" s="10">
        <v>65535</v>
      </c>
      <c r="H133" s="10">
        <v>1</v>
      </c>
      <c r="I133" s="10">
        <v>1</v>
      </c>
      <c r="J133" s="10" t="s">
        <v>322</v>
      </c>
      <c r="K133" s="10">
        <f t="shared" si="24"/>
        <v>48057</v>
      </c>
      <c r="L133" s="10">
        <f t="shared" si="19"/>
        <v>8057</v>
      </c>
      <c r="M133" s="10">
        <f t="shared" si="26"/>
        <v>8056</v>
      </c>
      <c r="N133" s="10" t="s">
        <v>323</v>
      </c>
      <c r="O133" s="10" t="s">
        <v>327</v>
      </c>
      <c r="P133" s="55"/>
      <c r="Q133" s="55"/>
      <c r="R133" s="55"/>
    </row>
    <row r="134" spans="2:18" ht="15.6" x14ac:dyDescent="0.3">
      <c r="B134" s="10" t="s">
        <v>2213</v>
      </c>
      <c r="C134" s="10" t="s">
        <v>321</v>
      </c>
      <c r="D134" s="10">
        <v>16</v>
      </c>
      <c r="E134" s="10">
        <f t="shared" si="25"/>
        <v>8</v>
      </c>
      <c r="F134" s="10">
        <v>0</v>
      </c>
      <c r="G134" s="10">
        <v>65535</v>
      </c>
      <c r="H134" s="10">
        <v>1</v>
      </c>
      <c r="I134" s="10">
        <v>1</v>
      </c>
      <c r="J134" s="10" t="s">
        <v>322</v>
      </c>
      <c r="K134" s="10">
        <f t="shared" si="24"/>
        <v>48065</v>
      </c>
      <c r="L134" s="10">
        <f t="shared" si="19"/>
        <v>8065</v>
      </c>
      <c r="M134" s="10">
        <f t="shared" si="26"/>
        <v>8064</v>
      </c>
      <c r="N134" s="10" t="s">
        <v>323</v>
      </c>
      <c r="O134" s="10" t="s">
        <v>327</v>
      </c>
      <c r="P134" s="55"/>
      <c r="Q134" s="55"/>
      <c r="R134" s="55"/>
    </row>
    <row r="135" spans="2:18" ht="15.6" x14ac:dyDescent="0.3">
      <c r="B135" s="10" t="s">
        <v>2214</v>
      </c>
      <c r="C135" s="10" t="s">
        <v>321</v>
      </c>
      <c r="D135" s="10">
        <v>16</v>
      </c>
      <c r="E135" s="10">
        <f t="shared" si="25"/>
        <v>8</v>
      </c>
      <c r="F135" s="10">
        <v>0</v>
      </c>
      <c r="G135" s="10">
        <v>65535</v>
      </c>
      <c r="H135" s="10">
        <v>1</v>
      </c>
      <c r="I135" s="10">
        <v>1</v>
      </c>
      <c r="J135" s="10" t="s">
        <v>322</v>
      </c>
      <c r="K135" s="10">
        <f t="shared" si="24"/>
        <v>48073</v>
      </c>
      <c r="L135" s="10">
        <f t="shared" si="19"/>
        <v>8073</v>
      </c>
      <c r="M135" s="10">
        <f t="shared" si="26"/>
        <v>8072</v>
      </c>
      <c r="N135" s="10" t="s">
        <v>323</v>
      </c>
      <c r="O135" s="10" t="s">
        <v>327</v>
      </c>
      <c r="P135" s="55"/>
      <c r="Q135" s="55"/>
      <c r="R135" s="55"/>
    </row>
    <row r="136" spans="2:18" ht="15.6" x14ac:dyDescent="0.3">
      <c r="B136" s="10" t="s">
        <v>2215</v>
      </c>
      <c r="C136" s="10" t="s">
        <v>321</v>
      </c>
      <c r="D136" s="10">
        <v>16</v>
      </c>
      <c r="E136" s="10">
        <f t="shared" si="25"/>
        <v>8</v>
      </c>
      <c r="F136" s="10">
        <v>0</v>
      </c>
      <c r="G136" s="10">
        <v>65535</v>
      </c>
      <c r="H136" s="10">
        <v>1</v>
      </c>
      <c r="I136" s="10">
        <v>1</v>
      </c>
      <c r="J136" s="10" t="s">
        <v>322</v>
      </c>
      <c r="K136" s="10">
        <f t="shared" si="24"/>
        <v>48081</v>
      </c>
      <c r="L136" s="10">
        <f t="shared" si="19"/>
        <v>8081</v>
      </c>
      <c r="M136" s="10">
        <f t="shared" si="26"/>
        <v>8080</v>
      </c>
      <c r="N136" s="10" t="s">
        <v>323</v>
      </c>
      <c r="O136" s="10" t="s">
        <v>327</v>
      </c>
      <c r="P136" s="55"/>
      <c r="Q136" s="55"/>
      <c r="R136" s="55"/>
    </row>
    <row r="137" spans="2:18" ht="15.6" x14ac:dyDescent="0.3">
      <c r="B137" s="10" t="s">
        <v>2216</v>
      </c>
      <c r="C137" s="10" t="s">
        <v>321</v>
      </c>
      <c r="D137" s="10">
        <v>16</v>
      </c>
      <c r="E137" s="10">
        <f t="shared" si="25"/>
        <v>8</v>
      </c>
      <c r="F137" s="10">
        <v>0</v>
      </c>
      <c r="G137" s="10">
        <v>65535</v>
      </c>
      <c r="H137" s="10">
        <v>1</v>
      </c>
      <c r="I137" s="10">
        <v>1</v>
      </c>
      <c r="J137" s="10" t="s">
        <v>322</v>
      </c>
      <c r="K137" s="10">
        <f t="shared" si="24"/>
        <v>48089</v>
      </c>
      <c r="L137" s="10">
        <f t="shared" si="19"/>
        <v>8089</v>
      </c>
      <c r="M137" s="10">
        <f t="shared" si="26"/>
        <v>8088</v>
      </c>
      <c r="N137" s="10" t="s">
        <v>323</v>
      </c>
      <c r="O137" s="10" t="s">
        <v>327</v>
      </c>
      <c r="P137" s="55"/>
      <c r="Q137" s="55"/>
      <c r="R137" s="55"/>
    </row>
    <row r="138" spans="2:18" ht="15.6" x14ac:dyDescent="0.3">
      <c r="B138" s="10" t="s">
        <v>2217</v>
      </c>
      <c r="C138" s="10" t="s">
        <v>321</v>
      </c>
      <c r="D138" s="10">
        <v>16</v>
      </c>
      <c r="E138" s="10">
        <f t="shared" si="25"/>
        <v>8</v>
      </c>
      <c r="F138" s="10">
        <v>0</v>
      </c>
      <c r="G138" s="10">
        <v>65535</v>
      </c>
      <c r="H138" s="10">
        <v>1</v>
      </c>
      <c r="I138" s="10">
        <v>1</v>
      </c>
      <c r="J138" s="10" t="s">
        <v>322</v>
      </c>
      <c r="K138" s="10">
        <f t="shared" si="24"/>
        <v>48097</v>
      </c>
      <c r="L138" s="10">
        <f t="shared" si="19"/>
        <v>8097</v>
      </c>
      <c r="M138" s="10">
        <f t="shared" si="26"/>
        <v>8096</v>
      </c>
      <c r="N138" s="10" t="s">
        <v>323</v>
      </c>
      <c r="O138" s="10" t="s">
        <v>327</v>
      </c>
      <c r="P138" s="55"/>
      <c r="Q138" s="55"/>
      <c r="R138" s="55"/>
    </row>
    <row r="139" spans="2:18" ht="15.6" x14ac:dyDescent="0.3">
      <c r="B139" s="10" t="s">
        <v>2218</v>
      </c>
      <c r="C139" s="10" t="s">
        <v>321</v>
      </c>
      <c r="D139" s="10">
        <v>16</v>
      </c>
      <c r="E139" s="10">
        <f t="shared" si="25"/>
        <v>8</v>
      </c>
      <c r="F139" s="10">
        <v>0</v>
      </c>
      <c r="G139" s="10">
        <v>65535</v>
      </c>
      <c r="H139" s="10">
        <v>1</v>
      </c>
      <c r="I139" s="10">
        <v>1</v>
      </c>
      <c r="J139" s="10" t="s">
        <v>322</v>
      </c>
      <c r="K139" s="10">
        <f t="shared" si="24"/>
        <v>48105</v>
      </c>
      <c r="L139" s="10">
        <f t="shared" si="19"/>
        <v>8105</v>
      </c>
      <c r="M139" s="10">
        <f t="shared" si="26"/>
        <v>8104</v>
      </c>
      <c r="N139" s="10" t="s">
        <v>323</v>
      </c>
      <c r="O139" s="10" t="s">
        <v>327</v>
      </c>
      <c r="P139" s="55"/>
      <c r="Q139" s="55"/>
      <c r="R139" s="55"/>
    </row>
    <row r="140" spans="2:18" ht="15.6" x14ac:dyDescent="0.3">
      <c r="B140" s="10" t="s">
        <v>2219</v>
      </c>
      <c r="C140" s="10" t="s">
        <v>321</v>
      </c>
      <c r="D140" s="10">
        <v>16</v>
      </c>
      <c r="E140" s="10">
        <f t="shared" ref="E140:E145" si="27">D140/2</f>
        <v>8</v>
      </c>
      <c r="F140" s="10">
        <v>0</v>
      </c>
      <c r="G140" s="10">
        <v>65535</v>
      </c>
      <c r="H140" s="10">
        <v>1</v>
      </c>
      <c r="I140" s="10">
        <v>1</v>
      </c>
      <c r="J140" s="10" t="s">
        <v>322</v>
      </c>
      <c r="K140" s="10">
        <f t="shared" ref="K140:K145" si="28">K139+E139</f>
        <v>48113</v>
      </c>
      <c r="L140" s="10">
        <f t="shared" si="19"/>
        <v>8113</v>
      </c>
      <c r="M140" s="10">
        <f t="shared" si="26"/>
        <v>8112</v>
      </c>
      <c r="N140" s="10" t="s">
        <v>323</v>
      </c>
      <c r="O140" s="10" t="s">
        <v>327</v>
      </c>
      <c r="P140" s="55"/>
      <c r="Q140" s="55"/>
      <c r="R140" s="55"/>
    </row>
    <row r="141" spans="2:18" ht="15.6" x14ac:dyDescent="0.3">
      <c r="B141" s="10" t="s">
        <v>2220</v>
      </c>
      <c r="C141" s="10" t="s">
        <v>321</v>
      </c>
      <c r="D141" s="10">
        <v>16</v>
      </c>
      <c r="E141" s="10">
        <f t="shared" si="27"/>
        <v>8</v>
      </c>
      <c r="F141" s="10">
        <v>0</v>
      </c>
      <c r="G141" s="10">
        <v>65535</v>
      </c>
      <c r="H141" s="10">
        <v>1</v>
      </c>
      <c r="I141" s="10">
        <v>1</v>
      </c>
      <c r="J141" s="10" t="s">
        <v>322</v>
      </c>
      <c r="K141" s="10">
        <f t="shared" si="28"/>
        <v>48121</v>
      </c>
      <c r="L141" s="10">
        <f t="shared" si="19"/>
        <v>8121</v>
      </c>
      <c r="M141" s="10">
        <f t="shared" si="26"/>
        <v>8120</v>
      </c>
      <c r="N141" s="10" t="s">
        <v>323</v>
      </c>
      <c r="O141" s="10" t="s">
        <v>327</v>
      </c>
      <c r="P141" s="55"/>
      <c r="Q141" s="55"/>
      <c r="R141" s="55"/>
    </row>
    <row r="142" spans="2:18" ht="15.6" x14ac:dyDescent="0.3">
      <c r="B142" s="10" t="s">
        <v>2221</v>
      </c>
      <c r="C142" s="10" t="s">
        <v>321</v>
      </c>
      <c r="D142" s="10">
        <v>16</v>
      </c>
      <c r="E142" s="10">
        <f t="shared" si="27"/>
        <v>8</v>
      </c>
      <c r="F142" s="10">
        <v>0</v>
      </c>
      <c r="G142" s="10">
        <v>65535</v>
      </c>
      <c r="H142" s="10">
        <v>1</v>
      </c>
      <c r="I142" s="10">
        <v>1</v>
      </c>
      <c r="J142" s="10" t="s">
        <v>322</v>
      </c>
      <c r="K142" s="10">
        <f t="shared" si="28"/>
        <v>48129</v>
      </c>
      <c r="L142" s="10">
        <f t="shared" si="19"/>
        <v>8129</v>
      </c>
      <c r="M142" s="10">
        <f t="shared" si="26"/>
        <v>8128</v>
      </c>
      <c r="N142" s="10" t="s">
        <v>323</v>
      </c>
      <c r="O142" s="10" t="s">
        <v>327</v>
      </c>
      <c r="P142" s="55"/>
      <c r="Q142" s="55"/>
      <c r="R142" s="55"/>
    </row>
    <row r="143" spans="2:18" ht="15.6" x14ac:dyDescent="0.3">
      <c r="B143" s="10" t="s">
        <v>2222</v>
      </c>
      <c r="C143" s="10" t="s">
        <v>321</v>
      </c>
      <c r="D143" s="10">
        <v>16</v>
      </c>
      <c r="E143" s="10">
        <f t="shared" si="27"/>
        <v>8</v>
      </c>
      <c r="F143" s="10">
        <v>0</v>
      </c>
      <c r="G143" s="10">
        <v>65535</v>
      </c>
      <c r="H143" s="10">
        <v>1</v>
      </c>
      <c r="I143" s="10">
        <v>1</v>
      </c>
      <c r="J143" s="10" t="s">
        <v>322</v>
      </c>
      <c r="K143" s="10">
        <f t="shared" si="28"/>
        <v>48137</v>
      </c>
      <c r="L143" s="10">
        <f t="shared" si="19"/>
        <v>8137</v>
      </c>
      <c r="M143" s="10">
        <f t="shared" si="26"/>
        <v>8136</v>
      </c>
      <c r="N143" s="10" t="s">
        <v>323</v>
      </c>
      <c r="O143" s="10" t="s">
        <v>327</v>
      </c>
      <c r="P143" s="55"/>
      <c r="Q143" s="55"/>
      <c r="R143" s="55"/>
    </row>
    <row r="144" spans="2:18" ht="15.6" x14ac:dyDescent="0.3">
      <c r="B144" s="10" t="s">
        <v>2223</v>
      </c>
      <c r="C144" s="10" t="s">
        <v>321</v>
      </c>
      <c r="D144" s="10">
        <v>16</v>
      </c>
      <c r="E144" s="10">
        <f t="shared" si="27"/>
        <v>8</v>
      </c>
      <c r="F144" s="10">
        <v>0</v>
      </c>
      <c r="G144" s="10">
        <v>65535</v>
      </c>
      <c r="H144" s="10">
        <v>1</v>
      </c>
      <c r="I144" s="10">
        <v>1</v>
      </c>
      <c r="J144" s="10" t="s">
        <v>322</v>
      </c>
      <c r="K144" s="10">
        <f t="shared" si="28"/>
        <v>48145</v>
      </c>
      <c r="L144" s="10">
        <f t="shared" si="19"/>
        <v>8145</v>
      </c>
      <c r="M144" s="10">
        <f t="shared" si="26"/>
        <v>8144</v>
      </c>
      <c r="N144" s="10" t="s">
        <v>323</v>
      </c>
      <c r="O144" s="10" t="s">
        <v>327</v>
      </c>
      <c r="P144" s="55"/>
      <c r="Q144" s="55"/>
      <c r="R144" s="55"/>
    </row>
    <row r="145" spans="2:18" ht="15.6" x14ac:dyDescent="0.3">
      <c r="B145" s="10" t="s">
        <v>2224</v>
      </c>
      <c r="C145" s="10" t="s">
        <v>321</v>
      </c>
      <c r="D145" s="10">
        <v>16</v>
      </c>
      <c r="E145" s="10">
        <f t="shared" si="27"/>
        <v>8</v>
      </c>
      <c r="F145" s="10">
        <v>0</v>
      </c>
      <c r="G145" s="10">
        <v>65535</v>
      </c>
      <c r="H145" s="10">
        <v>1</v>
      </c>
      <c r="I145" s="10">
        <v>1</v>
      </c>
      <c r="J145" s="10" t="s">
        <v>322</v>
      </c>
      <c r="K145" s="10">
        <f t="shared" si="28"/>
        <v>48153</v>
      </c>
      <c r="L145" s="10">
        <f t="shared" si="19"/>
        <v>8153</v>
      </c>
      <c r="M145" s="10">
        <f t="shared" si="26"/>
        <v>8152</v>
      </c>
      <c r="N145" s="10" t="s">
        <v>323</v>
      </c>
      <c r="O145" s="10" t="s">
        <v>327</v>
      </c>
      <c r="P145" s="55"/>
      <c r="Q145" s="55"/>
      <c r="R145" s="55"/>
    </row>
    <row r="146" spans="2:18" ht="16.2" x14ac:dyDescent="0.3">
      <c r="B146" s="504" t="s">
        <v>2307</v>
      </c>
      <c r="C146" s="504"/>
      <c r="D146" s="504"/>
      <c r="E146" s="504"/>
      <c r="F146" s="504"/>
      <c r="G146" s="504"/>
      <c r="H146" s="504"/>
      <c r="I146" s="504"/>
      <c r="J146" s="504"/>
      <c r="K146" s="504"/>
      <c r="L146" s="504"/>
      <c r="M146" s="504"/>
      <c r="N146" s="504"/>
      <c r="O146" s="504"/>
      <c r="P146" s="504"/>
      <c r="Q146" s="504"/>
      <c r="R146" s="504"/>
    </row>
    <row r="147" spans="2:18" ht="15.6" x14ac:dyDescent="0.3">
      <c r="B147" s="10" t="s">
        <v>2205</v>
      </c>
      <c r="C147" s="10" t="s">
        <v>321</v>
      </c>
      <c r="D147" s="10">
        <v>512</v>
      </c>
      <c r="E147" s="10">
        <f>D147/2</f>
        <v>256</v>
      </c>
      <c r="F147" s="10">
        <v>0</v>
      </c>
      <c r="G147" s="10">
        <v>65535</v>
      </c>
      <c r="H147" s="10">
        <v>1</v>
      </c>
      <c r="I147" s="10">
        <v>1</v>
      </c>
      <c r="J147" s="10" t="s">
        <v>322</v>
      </c>
      <c r="K147" s="10">
        <v>48376</v>
      </c>
      <c r="L147" s="10">
        <f t="shared" si="19"/>
        <v>8376</v>
      </c>
      <c r="M147" s="10">
        <f t="shared" si="26"/>
        <v>8375</v>
      </c>
      <c r="N147" s="10" t="s">
        <v>323</v>
      </c>
      <c r="O147" s="10" t="s">
        <v>327</v>
      </c>
      <c r="P147" s="55"/>
      <c r="Q147" s="55"/>
      <c r="R147" s="55"/>
    </row>
    <row r="148" spans="2:18" ht="16.2" x14ac:dyDescent="0.3">
      <c r="B148" s="504" t="s">
        <v>2308</v>
      </c>
      <c r="C148" s="504"/>
      <c r="D148" s="504"/>
      <c r="E148" s="504"/>
      <c r="F148" s="504"/>
      <c r="G148" s="504"/>
      <c r="H148" s="504"/>
      <c r="I148" s="504"/>
      <c r="J148" s="504"/>
      <c r="K148" s="504"/>
      <c r="L148" s="504"/>
      <c r="M148" s="504"/>
      <c r="N148" s="504"/>
      <c r="O148" s="504"/>
      <c r="P148" s="504"/>
      <c r="Q148" s="504"/>
      <c r="R148" s="504"/>
    </row>
    <row r="149" spans="2:18" ht="15.6" x14ac:dyDescent="0.3">
      <c r="B149" s="10" t="s">
        <v>2205</v>
      </c>
      <c r="C149" s="10" t="s">
        <v>321</v>
      </c>
      <c r="D149" s="10">
        <v>512</v>
      </c>
      <c r="E149" s="10">
        <f>D149/2</f>
        <v>256</v>
      </c>
      <c r="F149" s="10">
        <v>0</v>
      </c>
      <c r="G149" s="10">
        <v>65535</v>
      </c>
      <c r="H149" s="10">
        <v>1</v>
      </c>
      <c r="I149" s="10">
        <v>1</v>
      </c>
      <c r="J149" s="10" t="s">
        <v>322</v>
      </c>
      <c r="K149" s="10">
        <v>48751</v>
      </c>
      <c r="L149" s="10">
        <f>K149-40000</f>
        <v>8751</v>
      </c>
      <c r="M149" s="10">
        <v>8750</v>
      </c>
      <c r="N149" s="10" t="s">
        <v>323</v>
      </c>
      <c r="O149" s="10" t="s">
        <v>327</v>
      </c>
      <c r="P149" s="55"/>
      <c r="Q149" s="55"/>
      <c r="R149" s="55"/>
    </row>
    <row r="152" spans="2:18" ht="16.2" x14ac:dyDescent="0.3">
      <c r="B152" s="504" t="s">
        <v>2309</v>
      </c>
      <c r="C152" s="504"/>
      <c r="D152" s="504"/>
      <c r="E152" s="504"/>
      <c r="F152" s="504"/>
      <c r="G152" s="504"/>
      <c r="H152" s="504"/>
      <c r="I152" s="504"/>
      <c r="J152" s="504"/>
      <c r="K152" s="504"/>
      <c r="L152" s="504"/>
      <c r="M152" s="504"/>
      <c r="N152" s="504"/>
      <c r="O152" s="504"/>
      <c r="P152" s="504"/>
      <c r="Q152" s="504"/>
      <c r="R152" s="504"/>
    </row>
    <row r="154" spans="2:18" ht="57.6" x14ac:dyDescent="0.3">
      <c r="B154" s="31" t="s">
        <v>2310</v>
      </c>
      <c r="C154" s="31"/>
      <c r="D154" s="119" t="s">
        <v>2311</v>
      </c>
      <c r="E154" s="120" t="s">
        <v>2312</v>
      </c>
      <c r="F154" s="121" t="s">
        <v>2313</v>
      </c>
      <c r="G154" s="122" t="s">
        <v>2314</v>
      </c>
      <c r="H154" s="123" t="s">
        <v>2315</v>
      </c>
      <c r="I154" s="118"/>
      <c r="J154" s="118"/>
    </row>
    <row r="155" spans="2:18" x14ac:dyDescent="0.3">
      <c r="B155" s="31" t="s">
        <v>2316</v>
      </c>
      <c r="C155" s="31"/>
      <c r="D155" s="55">
        <v>1</v>
      </c>
      <c r="E155" s="55">
        <v>1</v>
      </c>
      <c r="F155" s="55">
        <v>2</v>
      </c>
      <c r="G155" s="55">
        <v>2</v>
      </c>
      <c r="H155" s="55">
        <v>2</v>
      </c>
    </row>
    <row r="156" spans="2:18" x14ac:dyDescent="0.3">
      <c r="B156" s="26"/>
      <c r="C156" s="26"/>
    </row>
    <row r="157" spans="2:18" ht="57.6" x14ac:dyDescent="0.3">
      <c r="B157" s="31" t="s">
        <v>2317</v>
      </c>
      <c r="C157" s="31"/>
      <c r="D157" s="119" t="s">
        <v>2311</v>
      </c>
      <c r="E157" s="120" t="s">
        <v>2312</v>
      </c>
      <c r="F157" s="121" t="s">
        <v>2313</v>
      </c>
      <c r="G157" s="122" t="s">
        <v>2314</v>
      </c>
      <c r="H157" s="124" t="s">
        <v>2205</v>
      </c>
      <c r="I157" s="124" t="s">
        <v>2206</v>
      </c>
      <c r="J157" s="124" t="s">
        <v>2318</v>
      </c>
      <c r="K157" s="124" t="s">
        <v>2216</v>
      </c>
      <c r="L157" s="124"/>
      <c r="M157" s="124"/>
      <c r="N157" s="123" t="s">
        <v>2315</v>
      </c>
      <c r="O157" s="141"/>
    </row>
    <row r="158" spans="2:18" x14ac:dyDescent="0.3">
      <c r="B158" s="31" t="s">
        <v>2316</v>
      </c>
      <c r="C158" s="31"/>
      <c r="D158" s="55">
        <v>1</v>
      </c>
      <c r="E158" s="55">
        <v>1</v>
      </c>
      <c r="F158" s="55">
        <v>2</v>
      </c>
      <c r="G158" s="55">
        <v>2</v>
      </c>
      <c r="H158" s="55">
        <v>20</v>
      </c>
      <c r="I158" s="55">
        <v>20</v>
      </c>
      <c r="J158" s="55"/>
      <c r="K158" s="55">
        <v>20</v>
      </c>
      <c r="L158" s="55"/>
      <c r="M158" s="55"/>
      <c r="N158" s="55">
        <v>2</v>
      </c>
    </row>
    <row r="159" spans="2:18" x14ac:dyDescent="0.3">
      <c r="B159" s="26"/>
      <c r="C159" s="26"/>
    </row>
    <row r="160" spans="2:18" ht="28.8" x14ac:dyDescent="0.3">
      <c r="B160" s="31" t="s">
        <v>2319</v>
      </c>
      <c r="C160" s="31"/>
      <c r="D160" s="119" t="s">
        <v>2311</v>
      </c>
      <c r="E160" s="120" t="s">
        <v>2320</v>
      </c>
      <c r="F160" s="121" t="s">
        <v>2321</v>
      </c>
      <c r="G160" s="123" t="s">
        <v>2315</v>
      </c>
    </row>
    <row r="161" spans="2:7" x14ac:dyDescent="0.3">
      <c r="B161" s="31" t="s">
        <v>2316</v>
      </c>
      <c r="C161" s="31"/>
      <c r="D161" s="55">
        <v>1</v>
      </c>
      <c r="E161" s="55">
        <v>1</v>
      </c>
      <c r="F161" s="55">
        <v>2</v>
      </c>
      <c r="G161" s="55">
        <v>2</v>
      </c>
    </row>
    <row r="163" spans="2:7" ht="15" thickBot="1" x14ac:dyDescent="0.35"/>
    <row r="164" spans="2:7" ht="29.4" thickBot="1" x14ac:dyDescent="0.35">
      <c r="B164" s="125" t="s">
        <v>2322</v>
      </c>
      <c r="C164" s="126"/>
      <c r="D164" s="126" t="s">
        <v>2323</v>
      </c>
      <c r="E164" s="127" t="s">
        <v>2324</v>
      </c>
      <c r="F164" s="127" t="s">
        <v>2325</v>
      </c>
    </row>
    <row r="165" spans="2:7" ht="15" thickBot="1" x14ac:dyDescent="0.35">
      <c r="B165" s="499" t="s">
        <v>2205</v>
      </c>
      <c r="C165" s="140"/>
      <c r="D165" s="128" t="s">
        <v>2326</v>
      </c>
      <c r="E165" s="128">
        <v>4</v>
      </c>
      <c r="F165" s="128">
        <v>20</v>
      </c>
    </row>
    <row r="166" spans="2:7" ht="15" thickBot="1" x14ac:dyDescent="0.35">
      <c r="B166" s="500"/>
      <c r="C166" s="140"/>
      <c r="D166" s="128" t="s">
        <v>2327</v>
      </c>
      <c r="E166" s="128">
        <v>8</v>
      </c>
      <c r="F166" s="128"/>
    </row>
    <row r="167" spans="2:7" ht="15" thickBot="1" x14ac:dyDescent="0.35">
      <c r="B167" s="500"/>
      <c r="C167" s="140"/>
      <c r="D167" s="128" t="s">
        <v>890</v>
      </c>
      <c r="E167" s="128">
        <v>2</v>
      </c>
      <c r="F167" s="128"/>
    </row>
    <row r="168" spans="2:7" ht="15" thickBot="1" x14ac:dyDescent="0.35">
      <c r="B168" s="500"/>
      <c r="C168" s="140"/>
      <c r="D168" s="128" t="s">
        <v>2328</v>
      </c>
      <c r="E168" s="128">
        <v>2</v>
      </c>
      <c r="F168" s="128"/>
    </row>
    <row r="169" spans="2:7" ht="15" thickBot="1" x14ac:dyDescent="0.35">
      <c r="B169" s="500"/>
      <c r="C169" s="140"/>
      <c r="D169" s="128" t="s">
        <v>2329</v>
      </c>
      <c r="E169" s="128">
        <v>2</v>
      </c>
      <c r="F169" s="128"/>
    </row>
    <row r="170" spans="2:7" ht="15" thickBot="1" x14ac:dyDescent="0.35">
      <c r="B170" s="501"/>
      <c r="C170" s="140"/>
      <c r="D170" s="128" t="s">
        <v>2330</v>
      </c>
      <c r="E170" s="128">
        <v>2</v>
      </c>
      <c r="F170" s="128"/>
    </row>
    <row r="171" spans="2:7" ht="15" thickBot="1" x14ac:dyDescent="0.35">
      <c r="B171" s="502" t="s">
        <v>2206</v>
      </c>
      <c r="C171" s="140"/>
      <c r="D171" s="128" t="s">
        <v>2326</v>
      </c>
      <c r="E171" s="128">
        <v>4</v>
      </c>
      <c r="F171" s="128">
        <v>20</v>
      </c>
    </row>
    <row r="172" spans="2:7" ht="15" thickBot="1" x14ac:dyDescent="0.35">
      <c r="B172" s="500"/>
      <c r="C172" s="140"/>
      <c r="D172" s="128" t="s">
        <v>2327</v>
      </c>
      <c r="E172" s="128">
        <v>8</v>
      </c>
      <c r="F172" s="128"/>
    </row>
    <row r="173" spans="2:7" ht="15" thickBot="1" x14ac:dyDescent="0.35">
      <c r="B173" s="500"/>
      <c r="C173" s="140"/>
      <c r="D173" s="128" t="s">
        <v>890</v>
      </c>
      <c r="E173" s="128">
        <v>2</v>
      </c>
      <c r="F173" s="128"/>
    </row>
    <row r="174" spans="2:7" ht="15" thickBot="1" x14ac:dyDescent="0.35">
      <c r="B174" s="500"/>
      <c r="C174" s="140"/>
      <c r="D174" s="128" t="s">
        <v>2328</v>
      </c>
      <c r="E174" s="128">
        <v>2</v>
      </c>
      <c r="F174" s="128"/>
    </row>
    <row r="175" spans="2:7" ht="15" thickBot="1" x14ac:dyDescent="0.35">
      <c r="B175" s="500"/>
      <c r="C175" s="140"/>
      <c r="D175" s="128" t="s">
        <v>2329</v>
      </c>
      <c r="E175" s="128">
        <v>2</v>
      </c>
      <c r="F175" s="128"/>
    </row>
    <row r="176" spans="2:7" ht="15" thickBot="1" x14ac:dyDescent="0.35">
      <c r="B176" s="501"/>
      <c r="C176" s="140"/>
      <c r="D176" s="128" t="s">
        <v>2330</v>
      </c>
      <c r="E176" s="128">
        <v>2</v>
      </c>
      <c r="F176" s="128"/>
    </row>
    <row r="177" spans="2:6" x14ac:dyDescent="0.3">
      <c r="B177" s="129" t="s">
        <v>2331</v>
      </c>
      <c r="C177" s="129"/>
      <c r="D177" s="499"/>
      <c r="E177" s="499"/>
      <c r="F177" s="499"/>
    </row>
    <row r="178" spans="2:6" x14ac:dyDescent="0.3">
      <c r="B178" s="129" t="s">
        <v>2331</v>
      </c>
      <c r="C178" s="129"/>
      <c r="D178" s="500"/>
      <c r="E178" s="500"/>
      <c r="F178" s="500"/>
    </row>
    <row r="179" spans="2:6" ht="15" thickBot="1" x14ac:dyDescent="0.35">
      <c r="B179" s="130" t="s">
        <v>2331</v>
      </c>
      <c r="C179" s="130"/>
      <c r="D179" s="503"/>
      <c r="E179" s="503"/>
      <c r="F179" s="503"/>
    </row>
    <row r="180" spans="2:6" ht="15" thickBot="1" x14ac:dyDescent="0.35">
      <c r="B180" s="499" t="s">
        <v>2216</v>
      </c>
      <c r="C180" s="140"/>
      <c r="D180" s="128" t="s">
        <v>2326</v>
      </c>
      <c r="E180" s="128">
        <v>4</v>
      </c>
      <c r="F180" s="128">
        <v>20</v>
      </c>
    </row>
    <row r="181" spans="2:6" ht="15" thickBot="1" x14ac:dyDescent="0.35">
      <c r="B181" s="500"/>
      <c r="C181" s="140"/>
      <c r="D181" s="128" t="s">
        <v>2327</v>
      </c>
      <c r="E181" s="128">
        <v>8</v>
      </c>
      <c r="F181" s="128"/>
    </row>
    <row r="182" spans="2:6" ht="15" thickBot="1" x14ac:dyDescent="0.35">
      <c r="B182" s="500"/>
      <c r="C182" s="140"/>
      <c r="D182" s="128" t="s">
        <v>890</v>
      </c>
      <c r="E182" s="128">
        <v>2</v>
      </c>
      <c r="F182" s="128"/>
    </row>
    <row r="183" spans="2:6" ht="15" thickBot="1" x14ac:dyDescent="0.35">
      <c r="B183" s="500"/>
      <c r="C183" s="140"/>
      <c r="D183" s="128" t="s">
        <v>2328</v>
      </c>
      <c r="E183" s="128">
        <v>2</v>
      </c>
      <c r="F183" s="128"/>
    </row>
    <row r="184" spans="2:6" ht="15" thickBot="1" x14ac:dyDescent="0.35">
      <c r="B184" s="500"/>
      <c r="C184" s="140"/>
      <c r="D184" s="128" t="s">
        <v>2329</v>
      </c>
      <c r="E184" s="128">
        <v>2</v>
      </c>
      <c r="F184" s="128"/>
    </row>
    <row r="185" spans="2:6" ht="15" thickBot="1" x14ac:dyDescent="0.35">
      <c r="B185" s="501"/>
      <c r="C185" s="140"/>
      <c r="D185" s="128" t="s">
        <v>2330</v>
      </c>
      <c r="E185" s="128">
        <v>2</v>
      </c>
      <c r="F185" s="128"/>
    </row>
    <row r="186" spans="2:6" ht="15" thickBot="1" x14ac:dyDescent="0.35">
      <c r="E186" s="131" t="s">
        <v>2332</v>
      </c>
      <c r="F186" s="132">
        <v>240</v>
      </c>
    </row>
  </sheetData>
  <mergeCells count="12">
    <mergeCell ref="F177:F179"/>
    <mergeCell ref="B152:R152"/>
    <mergeCell ref="B24:R24"/>
    <mergeCell ref="B3:R3"/>
    <mergeCell ref="B125:R125"/>
    <mergeCell ref="B148:R148"/>
    <mergeCell ref="B146:R146"/>
    <mergeCell ref="B180:B185"/>
    <mergeCell ref="B165:B170"/>
    <mergeCell ref="B171:B176"/>
    <mergeCell ref="D177:D179"/>
    <mergeCell ref="E177:E179"/>
  </mergeCells>
  <phoneticPr fontId="30" type="noConversion"/>
  <conditionalFormatting sqref="B25:C124">
    <cfRule type="cellIs" dxfId="1008" priority="24" stopIfTrue="1" operator="notEqual">
      <formula>INDIRECT("Dummy_for_Comparison2!"&amp;ADDRESS(ROW(),COLUMN()))</formula>
    </cfRule>
  </conditionalFormatting>
  <conditionalFormatting sqref="B2:M2">
    <cfRule type="cellIs" dxfId="1007" priority="14" stopIfTrue="1" operator="notEqual">
      <formula>INDIRECT("Dummy_for_Comparison2!"&amp;ADDRESS(ROW(),COLUMN()))</formula>
    </cfRule>
  </conditionalFormatting>
  <conditionalFormatting sqref="B4:O23">
    <cfRule type="cellIs" dxfId="1006" priority="13" stopIfTrue="1" operator="notEqual">
      <formula>INDIRECT("Dummy_for_Comparison2!"&amp;ADDRESS(ROW(),COLUMN()))</formula>
    </cfRule>
  </conditionalFormatting>
  <conditionalFormatting sqref="B126:O145">
    <cfRule type="cellIs" dxfId="1005" priority="5" stopIfTrue="1" operator="notEqual">
      <formula>INDIRECT("Dummy_for_Comparison2!"&amp;ADDRESS(ROW(),COLUMN()))</formula>
    </cfRule>
  </conditionalFormatting>
  <conditionalFormatting sqref="B147:O147">
    <cfRule type="cellIs" dxfId="1004" priority="2" stopIfTrue="1" operator="notEqual">
      <formula>INDIRECT("Dummy_for_Comparison2!"&amp;ADDRESS(ROW(),COLUMN()))</formula>
    </cfRule>
  </conditionalFormatting>
  <conditionalFormatting sqref="B149:O149">
    <cfRule type="cellIs" dxfId="1003" priority="1" stopIfTrue="1" operator="notEqual">
      <formula>INDIRECT("Dummy_for_Comparison2!"&amp;ADDRESS(ROW(),COLUMN()))</formula>
    </cfRule>
  </conditionalFormatting>
  <conditionalFormatting sqref="D57:J124">
    <cfRule type="cellIs" dxfId="1002" priority="38" stopIfTrue="1" operator="notEqual">
      <formula>INDIRECT("Dummy_for_Comparison2!"&amp;ADDRESS(ROW(),COLUMN()))</formula>
    </cfRule>
  </conditionalFormatting>
  <conditionalFormatting sqref="D25:K25 J26:K26 D26:D56 K27:K124">
    <cfRule type="cellIs" dxfId="1001" priority="55" stopIfTrue="1" operator="notEqual">
      <formula>INDIRECT("Dummy_for_Comparison2!"&amp;ADDRESS(ROW(),COLUMN()))</formula>
    </cfRule>
  </conditionalFormatting>
  <conditionalFormatting sqref="E26:I40 J27:J40">
    <cfRule type="cellIs" dxfId="1000" priority="54" stopIfTrue="1" operator="notEqual">
      <formula>INDIRECT("Dummy_for_Comparison2!"&amp;ADDRESS(ROW(),COLUMN()))</formula>
    </cfRule>
  </conditionalFormatting>
  <conditionalFormatting sqref="E41:J56">
    <cfRule type="cellIs" dxfId="999" priority="52" stopIfTrue="1" operator="notEqual">
      <formula>INDIRECT("Dummy_for_Comparison2!"&amp;ADDRESS(ROW(),COLUMN()))</formula>
    </cfRule>
  </conditionalFormatting>
  <conditionalFormatting sqref="L25:O124">
    <cfRule type="cellIs" dxfId="998" priority="7" stopIfTrue="1" operator="notEqual">
      <formula>INDIRECT("Dummy_for_Comparison2!"&amp;ADDRESS(ROW(),COLUMN()))</formula>
    </cfRule>
  </conditionalFormatting>
  <conditionalFormatting sqref="N2:O2">
    <cfRule type="cellIs" dxfId="997" priority="34" stopIfTrue="1" operator="notEqual">
      <formula>INDIRECT("Dummy_for_Comparison6!"&amp;ADDRESS(ROW(),COLUMN()))</formula>
    </cfRule>
  </conditionalFormatting>
  <conditionalFormatting sqref="P2:R2">
    <cfRule type="cellIs" dxfId="996" priority="35" stopIfTrue="1" operator="notEqual">
      <formula>INDIRECT("Dummy_for_Comparison2!"&amp;ADDRESS(ROW(),COLUMN()))</formula>
    </cfRule>
  </conditionalFormatting>
  <conditionalFormatting sqref="Q8:S11">
    <cfRule type="cellIs" dxfId="995" priority="108" stopIfTrue="1" operator="notEqual">
      <formula>INDIRECT("Dummy_for_Comparison9!"&amp;ADDRESS(ROW(),COLUMN()))</formula>
    </cfRule>
  </conditionalFormatting>
  <conditionalFormatting sqref="Q29:S32">
    <cfRule type="cellIs" dxfId="994" priority="95" stopIfTrue="1" operator="notEqual">
      <formula>INDIRECT("Dummy_for_Comparison9!"&amp;ADDRESS(ROW(),COLUMN()))</formula>
    </cfRule>
  </conditionalFormatting>
  <conditionalFormatting sqref="Q45:S48">
    <cfRule type="cellIs" dxfId="993" priority="82" stopIfTrue="1" operator="notEqual">
      <formula>INDIRECT("Dummy_for_Comparison9!"&amp;ADDRESS(ROW(),COLUMN()))</formula>
    </cfRule>
  </conditionalFormatting>
  <conditionalFormatting sqref="Q62:S65">
    <cfRule type="cellIs" dxfId="992" priority="69" stopIfTrue="1" operator="notEqual">
      <formula>INDIRECT("Dummy_for_Comparison9!"&amp;ADDRESS(ROW(),COLUMN()))</formula>
    </cfRule>
  </conditionalFormatting>
  <conditionalFormatting sqref="Q14:T15">
    <cfRule type="cellIs" dxfId="991" priority="105" stopIfTrue="1" operator="notEqual">
      <formula>INDIRECT("Dummy_for_Comparison7!"&amp;ADDRESS(ROW(),COLUMN()))</formula>
    </cfRule>
  </conditionalFormatting>
  <conditionalFormatting sqref="Q18:T19">
    <cfRule type="cellIs" dxfId="990" priority="101" stopIfTrue="1" operator="notEqual">
      <formula>INDIRECT("Dummy_for_Comparison7!"&amp;ADDRESS(ROW(),COLUMN()))</formula>
    </cfRule>
  </conditionalFormatting>
  <conditionalFormatting sqref="Q22:T23">
    <cfRule type="cellIs" dxfId="989" priority="32" stopIfTrue="1" operator="notEqual">
      <formula>INDIRECT("Dummy_for_Comparison7!"&amp;ADDRESS(ROW(),COLUMN()))</formula>
    </cfRule>
  </conditionalFormatting>
  <conditionalFormatting sqref="Q35:T36">
    <cfRule type="cellIs" dxfId="988" priority="92" stopIfTrue="1" operator="notEqual">
      <formula>INDIRECT("Dummy_for_Comparison7!"&amp;ADDRESS(ROW(),COLUMN()))</formula>
    </cfRule>
  </conditionalFormatting>
  <conditionalFormatting sqref="Q39:T40">
    <cfRule type="cellIs" dxfId="987" priority="88" stopIfTrue="1" operator="notEqual">
      <formula>INDIRECT("Dummy_for_Comparison7!"&amp;ADDRESS(ROW(),COLUMN()))</formula>
    </cfRule>
  </conditionalFormatting>
  <conditionalFormatting sqref="Q51:T52">
    <cfRule type="cellIs" dxfId="986" priority="79" stopIfTrue="1" operator="notEqual">
      <formula>INDIRECT("Dummy_for_Comparison7!"&amp;ADDRESS(ROW(),COLUMN()))</formula>
    </cfRule>
  </conditionalFormatting>
  <conditionalFormatting sqref="Q55:T56">
    <cfRule type="cellIs" dxfId="985" priority="75" stopIfTrue="1" operator="notEqual">
      <formula>INDIRECT("Dummy_for_Comparison7!"&amp;ADDRESS(ROW(),COLUMN()))</formula>
    </cfRule>
  </conditionalFormatting>
  <conditionalFormatting sqref="Q68:T69">
    <cfRule type="cellIs" dxfId="984" priority="66" stopIfTrue="1" operator="notEqual">
      <formula>INDIRECT("Dummy_for_Comparison7!"&amp;ADDRESS(ROW(),COLUMN()))</formula>
    </cfRule>
  </conditionalFormatting>
  <conditionalFormatting sqref="Q72:T73">
    <cfRule type="cellIs" dxfId="983" priority="62" stopIfTrue="1" operator="notEqual">
      <formula>INDIRECT("Dummy_for_Comparison7!"&amp;ADDRESS(ROW(),COLUMN()))</formula>
    </cfRule>
  </conditionalFormatting>
  <conditionalFormatting sqref="Q4:U7">
    <cfRule type="cellIs" dxfId="982" priority="111" stopIfTrue="1" operator="notEqual">
      <formula>INDIRECT("Dummy_for_Comparison9!"&amp;ADDRESS(ROW(),COLUMN()))</formula>
    </cfRule>
  </conditionalFormatting>
  <conditionalFormatting sqref="Q25:U28">
    <cfRule type="cellIs" dxfId="981" priority="98" stopIfTrue="1" operator="notEqual">
      <formula>INDIRECT("Dummy_for_Comparison9!"&amp;ADDRESS(ROW(),COLUMN()))</formula>
    </cfRule>
  </conditionalFormatting>
  <conditionalFormatting sqref="Q41:U44">
    <cfRule type="cellIs" dxfId="980" priority="85" stopIfTrue="1" operator="notEqual">
      <formula>INDIRECT("Dummy_for_Comparison9!"&amp;ADDRESS(ROW(),COLUMN()))</formula>
    </cfRule>
  </conditionalFormatting>
  <conditionalFormatting sqref="Q58:U61">
    <cfRule type="cellIs" dxfId="979" priority="72" stopIfTrue="1" operator="notEqual">
      <formula>INDIRECT("Dummy_for_Comparison9!"&amp;ADDRESS(ROW(),COLUMN()))</formula>
    </cfRule>
  </conditionalFormatting>
  <conditionalFormatting sqref="Q75:U75">
    <cfRule type="cellIs" dxfId="978" priority="59" stopIfTrue="1" operator="notEqual">
      <formula>INDIRECT("Dummy_for_Comparison9!"&amp;ADDRESS(ROW(),COLUMN()))</formula>
    </cfRule>
  </conditionalFormatting>
  <conditionalFormatting sqref="T10:T11">
    <cfRule type="cellIs" dxfId="977" priority="106" stopIfTrue="1" operator="notEqual">
      <formula>INDIRECT("Dummy_for_Comparison9!"&amp;ADDRESS(ROW(),COLUMN()))</formula>
    </cfRule>
  </conditionalFormatting>
  <conditionalFormatting sqref="T31:T32">
    <cfRule type="cellIs" dxfId="976" priority="93" stopIfTrue="1" operator="notEqual">
      <formula>INDIRECT("Dummy_for_Comparison9!"&amp;ADDRESS(ROW(),COLUMN()))</formula>
    </cfRule>
  </conditionalFormatting>
  <conditionalFormatting sqref="T47:T48">
    <cfRule type="cellIs" dxfId="975" priority="80" stopIfTrue="1" operator="notEqual">
      <formula>INDIRECT("Dummy_for_Comparison9!"&amp;ADDRESS(ROW(),COLUMN()))</formula>
    </cfRule>
  </conditionalFormatting>
  <conditionalFormatting sqref="T64:T65">
    <cfRule type="cellIs" dxfId="974" priority="67" stopIfTrue="1" operator="notEqual">
      <formula>INDIRECT("Dummy_for_Comparison9!"&amp;ADDRESS(ROW(),COLUMN()))</formula>
    </cfRule>
  </conditionalFormatting>
  <pageMargins left="0.7" right="0.7" top="0.75" bottom="0.75" header="0.3" footer="0.3"/>
  <pageSetup orientation="portrait" r:id="rId1"/>
  <headerFooter>
    <oddFooter>&amp;C_x000D_&amp;1#&amp;"Calibri"&amp;6&amp;K626469 General</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T70"/>
  <sheetViews>
    <sheetView topLeftCell="A61" zoomScale="69" workbookViewId="0">
      <selection activeCell="G79" sqref="G79"/>
    </sheetView>
  </sheetViews>
  <sheetFormatPr defaultRowHeight="14.4" x14ac:dyDescent="0.3"/>
  <cols>
    <col min="2" max="2" width="31" customWidth="1"/>
    <col min="3" max="3" width="12.5546875" customWidth="1"/>
    <col min="7" max="7" width="17.44140625" customWidth="1"/>
    <col min="9" max="9" width="9.44140625" customWidth="1"/>
    <col min="11" max="13" width="11.5546875" customWidth="1"/>
    <col min="14" max="16" width="10.5546875" customWidth="1"/>
    <col min="18" max="18" width="36.5546875" bestFit="1" customWidth="1"/>
  </cols>
  <sheetData>
    <row r="1" spans="1:18" ht="15" thickBot="1" x14ac:dyDescent="0.35"/>
    <row r="2" spans="1:18" ht="65.400000000000006" thickBot="1" x14ac:dyDescent="0.35">
      <c r="A2" s="57"/>
      <c r="B2" s="84" t="s">
        <v>303</v>
      </c>
      <c r="C2" s="139" t="s">
        <v>304</v>
      </c>
      <c r="D2" s="65" t="s">
        <v>305</v>
      </c>
      <c r="E2" s="65" t="s">
        <v>306</v>
      </c>
      <c r="F2" s="65" t="s">
        <v>307</v>
      </c>
      <c r="G2" s="65" t="s">
        <v>308</v>
      </c>
      <c r="H2" s="65" t="s">
        <v>309</v>
      </c>
      <c r="I2" s="65" t="s">
        <v>310</v>
      </c>
      <c r="J2" s="65" t="s">
        <v>311</v>
      </c>
      <c r="K2" s="65" t="s">
        <v>745</v>
      </c>
      <c r="L2" s="65" t="s">
        <v>312</v>
      </c>
      <c r="M2" s="65" t="s">
        <v>313</v>
      </c>
      <c r="N2" s="71" t="s">
        <v>314</v>
      </c>
      <c r="O2" s="71" t="s">
        <v>315</v>
      </c>
      <c r="P2" s="65" t="s">
        <v>316</v>
      </c>
      <c r="Q2" s="65" t="s">
        <v>317</v>
      </c>
      <c r="R2" s="66" t="s">
        <v>318</v>
      </c>
    </row>
    <row r="3" spans="1:18" ht="15.6" x14ac:dyDescent="0.3">
      <c r="B3" s="496" t="s">
        <v>2333</v>
      </c>
      <c r="C3" s="496"/>
      <c r="D3" s="496"/>
      <c r="E3" s="496"/>
      <c r="F3" s="496"/>
      <c r="G3" s="496"/>
      <c r="H3" s="496"/>
      <c r="I3" s="496"/>
      <c r="J3" s="496"/>
      <c r="K3" s="496"/>
      <c r="L3" s="496"/>
      <c r="M3" s="496"/>
      <c r="N3" s="496"/>
      <c r="O3" s="496"/>
      <c r="P3" s="496"/>
      <c r="Q3" s="496"/>
      <c r="R3" s="496"/>
    </row>
    <row r="4" spans="1:18" s="6" customFormat="1" ht="15.6" x14ac:dyDescent="0.3">
      <c r="B4" s="10" t="s">
        <v>2334</v>
      </c>
      <c r="C4" s="10" t="s">
        <v>326</v>
      </c>
      <c r="D4" s="10">
        <v>4</v>
      </c>
      <c r="E4" s="10">
        <f t="shared" ref="E4:E14" si="0">D4/2</f>
        <v>2</v>
      </c>
      <c r="F4" s="10">
        <v>0</v>
      </c>
      <c r="G4" s="10">
        <v>4294967295</v>
      </c>
      <c r="H4" s="10">
        <v>1</v>
      </c>
      <c r="I4" s="10">
        <v>1</v>
      </c>
      <c r="J4" s="10" t="s">
        <v>322</v>
      </c>
      <c r="K4" s="10">
        <v>49126</v>
      </c>
      <c r="L4" s="10">
        <f>K4-40000</f>
        <v>9126</v>
      </c>
      <c r="M4" s="10">
        <f t="shared" ref="M4:M61" si="1">L4-1</f>
        <v>9125</v>
      </c>
      <c r="N4" s="10" t="s">
        <v>323</v>
      </c>
      <c r="O4" s="10" t="s">
        <v>327</v>
      </c>
      <c r="P4" s="10"/>
      <c r="Q4" s="10"/>
      <c r="R4" s="10"/>
    </row>
    <row r="5" spans="1:18" s="6" customFormat="1" ht="15.6" x14ac:dyDescent="0.3">
      <c r="B5" s="10" t="s">
        <v>2335</v>
      </c>
      <c r="C5" s="10" t="s">
        <v>1006</v>
      </c>
      <c r="D5" s="10">
        <v>32</v>
      </c>
      <c r="E5" s="10">
        <f t="shared" si="0"/>
        <v>16</v>
      </c>
      <c r="F5" s="10">
        <v>0</v>
      </c>
      <c r="G5" s="10">
        <v>4294967295</v>
      </c>
      <c r="H5" s="10">
        <v>1</v>
      </c>
      <c r="I5" s="10">
        <v>1</v>
      </c>
      <c r="J5" s="10" t="s">
        <v>322</v>
      </c>
      <c r="K5" s="10">
        <f t="shared" ref="K5:K14" si="2">K4+$E4</f>
        <v>49128</v>
      </c>
      <c r="L5" s="10">
        <f t="shared" ref="L5:L14" si="3">K5-40000</f>
        <v>9128</v>
      </c>
      <c r="M5" s="10">
        <f t="shared" si="1"/>
        <v>9127</v>
      </c>
      <c r="N5" s="10" t="s">
        <v>323</v>
      </c>
      <c r="O5" s="10" t="s">
        <v>327</v>
      </c>
      <c r="P5" s="10"/>
      <c r="Q5" s="10"/>
      <c r="R5" s="10" t="s">
        <v>2336</v>
      </c>
    </row>
    <row r="6" spans="1:18" s="6" customFormat="1" ht="15.6" x14ac:dyDescent="0.3">
      <c r="B6" s="10" t="s">
        <v>2337</v>
      </c>
      <c r="C6" s="10" t="s">
        <v>321</v>
      </c>
      <c r="D6" s="10">
        <v>2</v>
      </c>
      <c r="E6" s="10">
        <f t="shared" si="0"/>
        <v>1</v>
      </c>
      <c r="F6" s="10">
        <v>1</v>
      </c>
      <c r="G6" s="10">
        <v>31</v>
      </c>
      <c r="H6" s="10">
        <v>1</v>
      </c>
      <c r="I6" s="10">
        <v>1</v>
      </c>
      <c r="J6" s="10" t="s">
        <v>322</v>
      </c>
      <c r="K6" s="10">
        <f t="shared" si="2"/>
        <v>49144</v>
      </c>
      <c r="L6" s="10">
        <f t="shared" si="3"/>
        <v>9144</v>
      </c>
      <c r="M6" s="10">
        <f t="shared" si="1"/>
        <v>9143</v>
      </c>
      <c r="N6" s="10" t="s">
        <v>323</v>
      </c>
      <c r="O6" s="10" t="s">
        <v>327</v>
      </c>
      <c r="P6" s="10"/>
      <c r="Q6" s="10"/>
      <c r="R6" s="10"/>
    </row>
    <row r="7" spans="1:18" ht="15.6" x14ac:dyDescent="0.3">
      <c r="B7" s="10" t="s">
        <v>2338</v>
      </c>
      <c r="C7" s="10" t="s">
        <v>321</v>
      </c>
      <c r="D7" s="10">
        <v>2</v>
      </c>
      <c r="E7" s="10">
        <f t="shared" si="0"/>
        <v>1</v>
      </c>
      <c r="F7" s="10">
        <v>1</v>
      </c>
      <c r="G7" s="10">
        <v>12</v>
      </c>
      <c r="H7" s="10">
        <v>1</v>
      </c>
      <c r="I7" s="10">
        <v>1</v>
      </c>
      <c r="J7" s="10" t="s">
        <v>322</v>
      </c>
      <c r="K7" s="10">
        <f t="shared" si="2"/>
        <v>49145</v>
      </c>
      <c r="L7" s="10">
        <f t="shared" si="3"/>
        <v>9145</v>
      </c>
      <c r="M7" s="10">
        <f t="shared" si="1"/>
        <v>9144</v>
      </c>
      <c r="N7" s="10" t="s">
        <v>323</v>
      </c>
      <c r="O7" s="10" t="s">
        <v>327</v>
      </c>
      <c r="P7" s="10"/>
      <c r="Q7" s="10"/>
      <c r="R7" s="10"/>
    </row>
    <row r="8" spans="1:18" ht="15.6" x14ac:dyDescent="0.3">
      <c r="B8" s="10" t="s">
        <v>2339</v>
      </c>
      <c r="C8" s="10" t="s">
        <v>321</v>
      </c>
      <c r="D8" s="10">
        <v>2</v>
      </c>
      <c r="E8" s="10">
        <f t="shared" si="0"/>
        <v>1</v>
      </c>
      <c r="F8" s="10">
        <v>2017</v>
      </c>
      <c r="G8" s="10">
        <v>2999</v>
      </c>
      <c r="H8" s="10">
        <v>1</v>
      </c>
      <c r="I8" s="10">
        <v>1</v>
      </c>
      <c r="J8" s="10" t="s">
        <v>322</v>
      </c>
      <c r="K8" s="10">
        <f t="shared" si="2"/>
        <v>49146</v>
      </c>
      <c r="L8" s="10">
        <f t="shared" si="3"/>
        <v>9146</v>
      </c>
      <c r="M8" s="10">
        <f t="shared" si="1"/>
        <v>9145</v>
      </c>
      <c r="N8" s="10" t="s">
        <v>323</v>
      </c>
      <c r="O8" s="10" t="s">
        <v>327</v>
      </c>
      <c r="P8" s="10"/>
      <c r="Q8" s="10"/>
      <c r="R8" s="10"/>
    </row>
    <row r="9" spans="1:18" ht="15.6" x14ac:dyDescent="0.3">
      <c r="B9" s="10" t="s">
        <v>2340</v>
      </c>
      <c r="C9" s="10" t="s">
        <v>321</v>
      </c>
      <c r="D9" s="10">
        <v>2</v>
      </c>
      <c r="E9" s="10">
        <f t="shared" si="0"/>
        <v>1</v>
      </c>
      <c r="F9" s="10">
        <v>0</v>
      </c>
      <c r="G9" s="10">
        <v>23</v>
      </c>
      <c r="H9" s="10">
        <v>1</v>
      </c>
      <c r="I9" s="10">
        <v>1</v>
      </c>
      <c r="J9" s="10" t="s">
        <v>322</v>
      </c>
      <c r="K9" s="10">
        <f t="shared" si="2"/>
        <v>49147</v>
      </c>
      <c r="L9" s="10">
        <f t="shared" si="3"/>
        <v>9147</v>
      </c>
      <c r="M9" s="10">
        <f t="shared" si="1"/>
        <v>9146</v>
      </c>
      <c r="N9" s="10" t="s">
        <v>323</v>
      </c>
      <c r="O9" s="10" t="s">
        <v>327</v>
      </c>
      <c r="P9" s="10"/>
      <c r="Q9" s="10"/>
      <c r="R9" s="10"/>
    </row>
    <row r="10" spans="1:18" ht="15.6" x14ac:dyDescent="0.3">
      <c r="B10" s="10" t="s">
        <v>2341</v>
      </c>
      <c r="C10" s="10" t="s">
        <v>321</v>
      </c>
      <c r="D10" s="10">
        <v>2</v>
      </c>
      <c r="E10" s="10">
        <f t="shared" si="0"/>
        <v>1</v>
      </c>
      <c r="F10" s="10">
        <v>0</v>
      </c>
      <c r="G10" s="10">
        <v>59</v>
      </c>
      <c r="H10" s="10">
        <v>1</v>
      </c>
      <c r="I10" s="10">
        <v>1</v>
      </c>
      <c r="J10" s="10" t="s">
        <v>322</v>
      </c>
      <c r="K10" s="10">
        <f t="shared" si="2"/>
        <v>49148</v>
      </c>
      <c r="L10" s="10">
        <f t="shared" si="3"/>
        <v>9148</v>
      </c>
      <c r="M10" s="10">
        <f t="shared" si="1"/>
        <v>9147</v>
      </c>
      <c r="N10" s="10" t="s">
        <v>323</v>
      </c>
      <c r="O10" s="10" t="s">
        <v>327</v>
      </c>
      <c r="P10" s="10"/>
      <c r="Q10" s="10"/>
      <c r="R10" s="10"/>
    </row>
    <row r="11" spans="1:18" ht="15.6" x14ac:dyDescent="0.3">
      <c r="B11" s="10" t="s">
        <v>2342</v>
      </c>
      <c r="C11" s="10" t="s">
        <v>321</v>
      </c>
      <c r="D11" s="10">
        <v>2</v>
      </c>
      <c r="E11" s="10">
        <f t="shared" si="0"/>
        <v>1</v>
      </c>
      <c r="F11" s="10">
        <v>0</v>
      </c>
      <c r="G11" s="10">
        <v>59</v>
      </c>
      <c r="H11" s="10">
        <v>1</v>
      </c>
      <c r="I11" s="10">
        <v>1</v>
      </c>
      <c r="J11" s="10" t="s">
        <v>322</v>
      </c>
      <c r="K11" s="10">
        <f t="shared" si="2"/>
        <v>49149</v>
      </c>
      <c r="L11" s="10">
        <f t="shared" si="3"/>
        <v>9149</v>
      </c>
      <c r="M11" s="10">
        <f t="shared" si="1"/>
        <v>9148</v>
      </c>
      <c r="N11" s="10" t="s">
        <v>323</v>
      </c>
      <c r="O11" s="10" t="s">
        <v>327</v>
      </c>
      <c r="P11" s="10"/>
      <c r="Q11" s="10"/>
      <c r="R11" s="10"/>
    </row>
    <row r="12" spans="1:18" ht="15.6" x14ac:dyDescent="0.3">
      <c r="B12" s="193" t="s">
        <v>2343</v>
      </c>
      <c r="C12" s="193" t="s">
        <v>321</v>
      </c>
      <c r="D12" s="193">
        <v>4</v>
      </c>
      <c r="E12" s="193">
        <f t="shared" si="0"/>
        <v>2</v>
      </c>
      <c r="F12" s="193">
        <v>0</v>
      </c>
      <c r="G12" s="193">
        <v>65535</v>
      </c>
      <c r="H12" s="193">
        <v>1</v>
      </c>
      <c r="I12" s="193">
        <v>1</v>
      </c>
      <c r="J12" s="193" t="s">
        <v>322</v>
      </c>
      <c r="K12" s="193">
        <f t="shared" si="2"/>
        <v>49150</v>
      </c>
      <c r="L12" s="193">
        <f t="shared" si="3"/>
        <v>9150</v>
      </c>
      <c r="M12" s="193">
        <f t="shared" si="1"/>
        <v>9149</v>
      </c>
      <c r="N12" s="193" t="s">
        <v>323</v>
      </c>
      <c r="O12" s="193" t="s">
        <v>327</v>
      </c>
      <c r="P12" s="10"/>
      <c r="Q12" s="10"/>
      <c r="R12" s="10"/>
    </row>
    <row r="13" spans="1:18" ht="15.6" x14ac:dyDescent="0.3">
      <c r="B13" s="10" t="s">
        <v>320</v>
      </c>
      <c r="C13" s="10" t="s">
        <v>321</v>
      </c>
      <c r="D13" s="10">
        <v>2</v>
      </c>
      <c r="E13" s="10">
        <f t="shared" si="0"/>
        <v>1</v>
      </c>
      <c r="F13" s="10">
        <v>0</v>
      </c>
      <c r="G13" s="10">
        <v>0</v>
      </c>
      <c r="H13" s="10">
        <v>0</v>
      </c>
      <c r="I13" s="10">
        <v>0</v>
      </c>
      <c r="J13" s="10" t="s">
        <v>322</v>
      </c>
      <c r="K13" s="193">
        <f t="shared" si="2"/>
        <v>49152</v>
      </c>
      <c r="L13" s="10">
        <f t="shared" si="3"/>
        <v>9152</v>
      </c>
      <c r="M13" s="10">
        <f t="shared" si="1"/>
        <v>9151</v>
      </c>
      <c r="N13" s="10" t="s">
        <v>323</v>
      </c>
      <c r="O13" s="10" t="s">
        <v>324</v>
      </c>
      <c r="P13" s="10"/>
      <c r="Q13" s="10"/>
      <c r="R13" s="10"/>
    </row>
    <row r="14" spans="1:18" ht="15.6" x14ac:dyDescent="0.3">
      <c r="B14" s="10" t="s">
        <v>2344</v>
      </c>
      <c r="C14" s="10" t="s">
        <v>1006</v>
      </c>
      <c r="D14" s="54">
        <v>20</v>
      </c>
      <c r="E14" s="10">
        <f t="shared" si="0"/>
        <v>10</v>
      </c>
      <c r="F14" s="10">
        <v>0</v>
      </c>
      <c r="G14" s="10">
        <v>4294967295</v>
      </c>
      <c r="H14" s="10">
        <v>1</v>
      </c>
      <c r="I14" s="10">
        <v>1</v>
      </c>
      <c r="J14" s="10" t="s">
        <v>322</v>
      </c>
      <c r="K14" s="10">
        <f t="shared" si="2"/>
        <v>49153</v>
      </c>
      <c r="L14" s="10">
        <f t="shared" si="3"/>
        <v>9153</v>
      </c>
      <c r="M14" s="10">
        <f t="shared" si="1"/>
        <v>9152</v>
      </c>
      <c r="N14" s="10" t="s">
        <v>323</v>
      </c>
      <c r="O14" s="10" t="s">
        <v>327</v>
      </c>
      <c r="P14" s="10"/>
      <c r="Q14" s="10"/>
      <c r="R14" s="10" t="s">
        <v>2345</v>
      </c>
    </row>
    <row r="15" spans="1:18" ht="15.6" x14ac:dyDescent="0.3">
      <c r="B15" s="497" t="s">
        <v>2346</v>
      </c>
      <c r="C15" s="508"/>
      <c r="D15" s="508"/>
      <c r="E15" s="508"/>
      <c r="F15" s="508"/>
      <c r="G15" s="508"/>
      <c r="H15" s="508"/>
      <c r="I15" s="508"/>
      <c r="J15" s="508"/>
      <c r="K15" s="508"/>
      <c r="L15" s="508"/>
      <c r="M15" s="508"/>
      <c r="N15" s="508"/>
      <c r="O15" s="508"/>
      <c r="P15" s="508"/>
      <c r="Q15" s="508"/>
      <c r="R15" s="509"/>
    </row>
    <row r="16" spans="1:18" ht="15.6" x14ac:dyDescent="0.3">
      <c r="B16" s="193" t="s">
        <v>2347</v>
      </c>
      <c r="C16" s="193" t="s">
        <v>326</v>
      </c>
      <c r="D16" s="193">
        <v>4</v>
      </c>
      <c r="E16" s="193">
        <f>D16/2</f>
        <v>2</v>
      </c>
      <c r="F16" s="193">
        <v>0</v>
      </c>
      <c r="G16" s="193">
        <v>4294967295</v>
      </c>
      <c r="H16" s="193">
        <v>1</v>
      </c>
      <c r="I16" s="193">
        <v>1</v>
      </c>
      <c r="J16" s="193" t="s">
        <v>322</v>
      </c>
      <c r="K16" s="193">
        <f>K14+E14</f>
        <v>49163</v>
      </c>
      <c r="L16" s="193">
        <f>K16-40000</f>
        <v>9163</v>
      </c>
      <c r="M16" s="193">
        <f t="shared" si="1"/>
        <v>9162</v>
      </c>
      <c r="N16" s="193" t="s">
        <v>323</v>
      </c>
      <c r="O16" s="193" t="s">
        <v>327</v>
      </c>
      <c r="P16" s="193"/>
      <c r="Q16" s="193"/>
      <c r="R16" s="193" t="s">
        <v>2348</v>
      </c>
    </row>
    <row r="17" spans="2:18" ht="15.6" x14ac:dyDescent="0.3">
      <c r="B17" s="10" t="s">
        <v>2349</v>
      </c>
      <c r="C17" s="10" t="s">
        <v>326</v>
      </c>
      <c r="D17" s="10">
        <v>4</v>
      </c>
      <c r="E17" s="10">
        <f>D17/2</f>
        <v>2</v>
      </c>
      <c r="F17" s="10">
        <v>0</v>
      </c>
      <c r="G17" s="10">
        <v>4294967295</v>
      </c>
      <c r="H17" s="10">
        <v>1</v>
      </c>
      <c r="I17" s="10">
        <v>1</v>
      </c>
      <c r="J17" s="10" t="s">
        <v>322</v>
      </c>
      <c r="K17" s="10">
        <f>K16+$E16</f>
        <v>49165</v>
      </c>
      <c r="L17" s="10">
        <f t="shared" ref="L17:L18" si="4">K17-40000</f>
        <v>9165</v>
      </c>
      <c r="M17" s="10">
        <f t="shared" si="1"/>
        <v>9164</v>
      </c>
      <c r="N17" s="10" t="s">
        <v>323</v>
      </c>
      <c r="O17" s="10" t="s">
        <v>327</v>
      </c>
      <c r="P17" s="10"/>
      <c r="Q17" s="10"/>
      <c r="R17" s="10"/>
    </row>
    <row r="18" spans="2:18" ht="15.6" x14ac:dyDescent="0.3">
      <c r="B18" s="10" t="s">
        <v>2350</v>
      </c>
      <c r="C18" s="10" t="s">
        <v>326</v>
      </c>
      <c r="D18" s="10">
        <v>4</v>
      </c>
      <c r="E18" s="10">
        <f>D18/2</f>
        <v>2</v>
      </c>
      <c r="F18" s="10">
        <v>0</v>
      </c>
      <c r="G18" s="10">
        <v>4294967295</v>
      </c>
      <c r="H18" s="10">
        <v>1</v>
      </c>
      <c r="I18" s="10">
        <v>1</v>
      </c>
      <c r="J18" s="10" t="s">
        <v>322</v>
      </c>
      <c r="K18" s="10">
        <f>K17+$E17</f>
        <v>49167</v>
      </c>
      <c r="L18" s="10">
        <f t="shared" si="4"/>
        <v>9167</v>
      </c>
      <c r="M18" s="10">
        <f t="shared" si="1"/>
        <v>9166</v>
      </c>
      <c r="N18" s="10" t="s">
        <v>323</v>
      </c>
      <c r="O18" s="10" t="s">
        <v>327</v>
      </c>
      <c r="P18" s="10"/>
      <c r="Q18" s="10"/>
      <c r="R18" s="10"/>
    </row>
    <row r="19" spans="2:18" ht="15.6" x14ac:dyDescent="0.3">
      <c r="B19" s="497" t="s">
        <v>2351</v>
      </c>
      <c r="C19" s="508"/>
      <c r="D19" s="508"/>
      <c r="E19" s="508"/>
      <c r="F19" s="508"/>
      <c r="G19" s="508"/>
      <c r="H19" s="508"/>
      <c r="I19" s="508"/>
      <c r="J19" s="508"/>
      <c r="K19" s="508"/>
      <c r="L19" s="508"/>
      <c r="M19" s="508"/>
      <c r="N19" s="508"/>
      <c r="O19" s="508"/>
      <c r="P19" s="508"/>
      <c r="Q19" s="508"/>
      <c r="R19" s="509"/>
    </row>
    <row r="20" spans="2:18" ht="15.6" x14ac:dyDescent="0.3">
      <c r="B20" s="193" t="s">
        <v>2347</v>
      </c>
      <c r="C20" s="193" t="s">
        <v>326</v>
      </c>
      <c r="D20" s="193">
        <v>4</v>
      </c>
      <c r="E20" s="193">
        <f>D20/2</f>
        <v>2</v>
      </c>
      <c r="F20" s="193">
        <v>0</v>
      </c>
      <c r="G20" s="193">
        <v>4294967295</v>
      </c>
      <c r="H20" s="193">
        <v>1</v>
      </c>
      <c r="I20" s="193">
        <v>1</v>
      </c>
      <c r="J20" s="193" t="s">
        <v>322</v>
      </c>
      <c r="K20" s="193">
        <f>K18+E18</f>
        <v>49169</v>
      </c>
      <c r="L20" s="193">
        <f>K20-40000</f>
        <v>9169</v>
      </c>
      <c r="M20" s="193">
        <f t="shared" ref="M20" si="5">L20-1</f>
        <v>9168</v>
      </c>
      <c r="N20" s="193" t="s">
        <v>323</v>
      </c>
      <c r="O20" s="193" t="s">
        <v>327</v>
      </c>
      <c r="P20" s="193"/>
      <c r="Q20" s="193"/>
      <c r="R20" s="193" t="s">
        <v>2348</v>
      </c>
    </row>
    <row r="21" spans="2:18" ht="15.6" x14ac:dyDescent="0.3">
      <c r="B21" s="10" t="s">
        <v>2349</v>
      </c>
      <c r="C21" s="10" t="s">
        <v>326</v>
      </c>
      <c r="D21" s="10">
        <v>4</v>
      </c>
      <c r="E21" s="10">
        <f>D21/2</f>
        <v>2</v>
      </c>
      <c r="F21" s="10">
        <v>0</v>
      </c>
      <c r="G21" s="10">
        <v>4294967295</v>
      </c>
      <c r="H21" s="10">
        <v>1</v>
      </c>
      <c r="I21" s="10">
        <v>1</v>
      </c>
      <c r="J21" s="10" t="s">
        <v>322</v>
      </c>
      <c r="K21" s="10">
        <f>K20+$E20</f>
        <v>49171</v>
      </c>
      <c r="L21" s="10">
        <f t="shared" ref="L21:L22" si="6">K21-40000</f>
        <v>9171</v>
      </c>
      <c r="M21" s="10">
        <f t="shared" si="1"/>
        <v>9170</v>
      </c>
      <c r="N21" s="10" t="s">
        <v>323</v>
      </c>
      <c r="O21" s="10" t="s">
        <v>327</v>
      </c>
      <c r="P21" s="10"/>
      <c r="Q21" s="10"/>
      <c r="R21" s="10"/>
    </row>
    <row r="22" spans="2:18" ht="15.6" x14ac:dyDescent="0.3">
      <c r="B22" s="10" t="s">
        <v>2350</v>
      </c>
      <c r="C22" s="10" t="s">
        <v>326</v>
      </c>
      <c r="D22" s="10">
        <v>4</v>
      </c>
      <c r="E22" s="10">
        <f>D22/2</f>
        <v>2</v>
      </c>
      <c r="F22" s="10">
        <v>0</v>
      </c>
      <c r="G22" s="10">
        <v>4294967295</v>
      </c>
      <c r="H22" s="10">
        <v>1</v>
      </c>
      <c r="I22" s="10">
        <v>1</v>
      </c>
      <c r="J22" s="10" t="s">
        <v>322</v>
      </c>
      <c r="K22" s="10">
        <f>K21+$E21</f>
        <v>49173</v>
      </c>
      <c r="L22" s="10">
        <f t="shared" si="6"/>
        <v>9173</v>
      </c>
      <c r="M22" s="10">
        <f t="shared" si="1"/>
        <v>9172</v>
      </c>
      <c r="N22" s="10" t="s">
        <v>323</v>
      </c>
      <c r="O22" s="10" t="s">
        <v>327</v>
      </c>
      <c r="P22" s="10"/>
      <c r="Q22" s="10"/>
      <c r="R22" s="10"/>
    </row>
    <row r="23" spans="2:18" ht="15.6" x14ac:dyDescent="0.3">
      <c r="B23" s="497" t="s">
        <v>2352</v>
      </c>
      <c r="C23" s="508"/>
      <c r="D23" s="508"/>
      <c r="E23" s="508"/>
      <c r="F23" s="508"/>
      <c r="G23" s="508"/>
      <c r="H23" s="508"/>
      <c r="I23" s="508"/>
      <c r="J23" s="508"/>
      <c r="K23" s="508"/>
      <c r="L23" s="508"/>
      <c r="M23" s="508"/>
      <c r="N23" s="508"/>
      <c r="O23" s="508"/>
      <c r="P23" s="508"/>
      <c r="Q23" s="508"/>
      <c r="R23" s="509"/>
    </row>
    <row r="24" spans="2:18" ht="15.6" x14ac:dyDescent="0.3">
      <c r="B24" s="193" t="s">
        <v>2347</v>
      </c>
      <c r="C24" s="193" t="s">
        <v>326</v>
      </c>
      <c r="D24" s="193">
        <v>4</v>
      </c>
      <c r="E24" s="193">
        <f>D24/2</f>
        <v>2</v>
      </c>
      <c r="F24" s="193">
        <v>0</v>
      </c>
      <c r="G24" s="193">
        <v>4294967295</v>
      </c>
      <c r="H24" s="193">
        <v>1</v>
      </c>
      <c r="I24" s="193">
        <v>1</v>
      </c>
      <c r="J24" s="193" t="s">
        <v>322</v>
      </c>
      <c r="K24" s="193">
        <f>K22+E22</f>
        <v>49175</v>
      </c>
      <c r="L24" s="193">
        <f>K24-40000</f>
        <v>9175</v>
      </c>
      <c r="M24" s="193">
        <f t="shared" ref="M24" si="7">L24-1</f>
        <v>9174</v>
      </c>
      <c r="N24" s="193" t="s">
        <v>323</v>
      </c>
      <c r="O24" s="193" t="s">
        <v>327</v>
      </c>
      <c r="P24" s="193"/>
      <c r="Q24" s="193"/>
      <c r="R24" s="193" t="s">
        <v>2348</v>
      </c>
    </row>
    <row r="25" spans="2:18" ht="15.6" x14ac:dyDescent="0.3">
      <c r="B25" s="10" t="s">
        <v>2349</v>
      </c>
      <c r="C25" s="10" t="s">
        <v>326</v>
      </c>
      <c r="D25" s="10">
        <v>4</v>
      </c>
      <c r="E25" s="10">
        <f>D25/2</f>
        <v>2</v>
      </c>
      <c r="F25" s="10">
        <v>0</v>
      </c>
      <c r="G25" s="10">
        <v>4294967295</v>
      </c>
      <c r="H25" s="10">
        <v>1</v>
      </c>
      <c r="I25" s="10">
        <v>1</v>
      </c>
      <c r="J25" s="10" t="s">
        <v>322</v>
      </c>
      <c r="K25" s="10">
        <f>K24+$E24</f>
        <v>49177</v>
      </c>
      <c r="L25" s="10">
        <f t="shared" ref="L25:L26" si="8">K25-40000</f>
        <v>9177</v>
      </c>
      <c r="M25" s="10">
        <f t="shared" si="1"/>
        <v>9176</v>
      </c>
      <c r="N25" s="10" t="s">
        <v>323</v>
      </c>
      <c r="O25" s="10" t="s">
        <v>327</v>
      </c>
      <c r="P25" s="10"/>
      <c r="Q25" s="10"/>
      <c r="R25" s="10"/>
    </row>
    <row r="26" spans="2:18" ht="15.6" x14ac:dyDescent="0.3">
      <c r="B26" s="10" t="s">
        <v>2350</v>
      </c>
      <c r="C26" s="10" t="s">
        <v>326</v>
      </c>
      <c r="D26" s="10">
        <v>4</v>
      </c>
      <c r="E26" s="10">
        <f>D26/2</f>
        <v>2</v>
      </c>
      <c r="F26" s="10">
        <v>0</v>
      </c>
      <c r="G26" s="10">
        <v>4294967295</v>
      </c>
      <c r="H26" s="10">
        <v>1</v>
      </c>
      <c r="I26" s="10">
        <v>1</v>
      </c>
      <c r="J26" s="10" t="s">
        <v>322</v>
      </c>
      <c r="K26" s="10">
        <f>K25+$E25</f>
        <v>49179</v>
      </c>
      <c r="L26" s="10">
        <f t="shared" si="8"/>
        <v>9179</v>
      </c>
      <c r="M26" s="10">
        <f t="shared" si="1"/>
        <v>9178</v>
      </c>
      <c r="N26" s="10" t="s">
        <v>323</v>
      </c>
      <c r="O26" s="10" t="s">
        <v>327</v>
      </c>
      <c r="P26" s="10"/>
      <c r="Q26" s="10"/>
      <c r="R26" s="10"/>
    </row>
    <row r="27" spans="2:18" ht="15.6" x14ac:dyDescent="0.3">
      <c r="B27" s="497" t="s">
        <v>2353</v>
      </c>
      <c r="C27" s="508"/>
      <c r="D27" s="508"/>
      <c r="E27" s="508"/>
      <c r="F27" s="508"/>
      <c r="G27" s="508"/>
      <c r="H27" s="508"/>
      <c r="I27" s="508"/>
      <c r="J27" s="508"/>
      <c r="K27" s="508"/>
      <c r="L27" s="508"/>
      <c r="M27" s="508"/>
      <c r="N27" s="508"/>
      <c r="O27" s="508"/>
      <c r="P27" s="508"/>
      <c r="Q27" s="508"/>
      <c r="R27" s="509"/>
    </row>
    <row r="28" spans="2:18" ht="15.6" x14ac:dyDescent="0.3">
      <c r="B28" s="193" t="s">
        <v>2347</v>
      </c>
      <c r="C28" s="193" t="s">
        <v>326</v>
      </c>
      <c r="D28" s="193">
        <v>4</v>
      </c>
      <c r="E28" s="193">
        <f>D28/2</f>
        <v>2</v>
      </c>
      <c r="F28" s="193">
        <v>0</v>
      </c>
      <c r="G28" s="193">
        <v>4294967295</v>
      </c>
      <c r="H28" s="193">
        <v>1</v>
      </c>
      <c r="I28" s="193">
        <v>1</v>
      </c>
      <c r="J28" s="193" t="s">
        <v>322</v>
      </c>
      <c r="K28" s="193">
        <f>K26+E26</f>
        <v>49181</v>
      </c>
      <c r="L28" s="193">
        <f>K28-40000</f>
        <v>9181</v>
      </c>
      <c r="M28" s="193">
        <f t="shared" ref="M28" si="9">L28-1</f>
        <v>9180</v>
      </c>
      <c r="N28" s="193" t="s">
        <v>323</v>
      </c>
      <c r="O28" s="193" t="s">
        <v>327</v>
      </c>
      <c r="P28" s="193"/>
      <c r="Q28" s="193"/>
      <c r="R28" s="193" t="s">
        <v>2348</v>
      </c>
    </row>
    <row r="29" spans="2:18" ht="15.6" x14ac:dyDescent="0.3">
      <c r="B29" s="10" t="s">
        <v>2349</v>
      </c>
      <c r="C29" s="10" t="s">
        <v>326</v>
      </c>
      <c r="D29" s="10">
        <v>4</v>
      </c>
      <c r="E29" s="10">
        <f>D29/2</f>
        <v>2</v>
      </c>
      <c r="F29" s="10">
        <v>0</v>
      </c>
      <c r="G29" s="10">
        <v>4294967295</v>
      </c>
      <c r="H29" s="10">
        <v>1</v>
      </c>
      <c r="I29" s="10">
        <v>1</v>
      </c>
      <c r="J29" s="10" t="s">
        <v>322</v>
      </c>
      <c r="K29" s="10">
        <f>K28+$E28</f>
        <v>49183</v>
      </c>
      <c r="L29" s="10">
        <f t="shared" ref="L29:L30" si="10">K29-40000</f>
        <v>9183</v>
      </c>
      <c r="M29" s="10">
        <f t="shared" si="1"/>
        <v>9182</v>
      </c>
      <c r="N29" s="10" t="s">
        <v>323</v>
      </c>
      <c r="O29" s="10" t="s">
        <v>327</v>
      </c>
      <c r="P29" s="10"/>
      <c r="Q29" s="10"/>
      <c r="R29" s="10"/>
    </row>
    <row r="30" spans="2:18" ht="15.6" x14ac:dyDescent="0.3">
      <c r="B30" s="10" t="s">
        <v>2350</v>
      </c>
      <c r="C30" s="10" t="s">
        <v>326</v>
      </c>
      <c r="D30" s="10">
        <v>4</v>
      </c>
      <c r="E30" s="10">
        <f>D30/2</f>
        <v>2</v>
      </c>
      <c r="F30" s="10">
        <v>0</v>
      </c>
      <c r="G30" s="10">
        <v>4294967295</v>
      </c>
      <c r="H30" s="10">
        <v>1</v>
      </c>
      <c r="I30" s="10">
        <v>1</v>
      </c>
      <c r="J30" s="10" t="s">
        <v>322</v>
      </c>
      <c r="K30" s="10">
        <f>K29+$E29</f>
        <v>49185</v>
      </c>
      <c r="L30" s="10">
        <f t="shared" si="10"/>
        <v>9185</v>
      </c>
      <c r="M30" s="10">
        <f t="shared" si="1"/>
        <v>9184</v>
      </c>
      <c r="N30" s="10" t="s">
        <v>323</v>
      </c>
      <c r="O30" s="10" t="s">
        <v>327</v>
      </c>
      <c r="P30" s="10"/>
      <c r="Q30" s="10"/>
      <c r="R30" s="10"/>
    </row>
    <row r="31" spans="2:18" ht="15.6" x14ac:dyDescent="0.3">
      <c r="B31" s="497" t="s">
        <v>2354</v>
      </c>
      <c r="C31" s="508"/>
      <c r="D31" s="508"/>
      <c r="E31" s="508"/>
      <c r="F31" s="508"/>
      <c r="G31" s="508"/>
      <c r="H31" s="508"/>
      <c r="I31" s="508"/>
      <c r="J31" s="508"/>
      <c r="K31" s="508"/>
      <c r="L31" s="508"/>
      <c r="M31" s="508"/>
      <c r="N31" s="508"/>
      <c r="O31" s="508"/>
      <c r="P31" s="508"/>
      <c r="Q31" s="508"/>
      <c r="R31" s="509"/>
    </row>
    <row r="32" spans="2:18" ht="15.6" x14ac:dyDescent="0.3">
      <c r="B32" s="193" t="s">
        <v>2347</v>
      </c>
      <c r="C32" s="193" t="s">
        <v>326</v>
      </c>
      <c r="D32" s="193">
        <v>4</v>
      </c>
      <c r="E32" s="193">
        <f>D32/2</f>
        <v>2</v>
      </c>
      <c r="F32" s="193">
        <v>0</v>
      </c>
      <c r="G32" s="193">
        <v>4294967295</v>
      </c>
      <c r="H32" s="193">
        <v>1</v>
      </c>
      <c r="I32" s="193">
        <v>1</v>
      </c>
      <c r="J32" s="193" t="s">
        <v>322</v>
      </c>
      <c r="K32" s="193">
        <f>K30+E30</f>
        <v>49187</v>
      </c>
      <c r="L32" s="193">
        <f>K32-40000</f>
        <v>9187</v>
      </c>
      <c r="M32" s="193">
        <f t="shared" ref="M32" si="11">L32-1</f>
        <v>9186</v>
      </c>
      <c r="N32" s="193" t="s">
        <v>323</v>
      </c>
      <c r="O32" s="193" t="s">
        <v>327</v>
      </c>
      <c r="P32" s="193"/>
      <c r="Q32" s="193"/>
      <c r="R32" s="193" t="s">
        <v>2348</v>
      </c>
    </row>
    <row r="33" spans="2:18" ht="15.6" x14ac:dyDescent="0.3">
      <c r="B33" s="10" t="s">
        <v>2349</v>
      </c>
      <c r="C33" s="10" t="s">
        <v>326</v>
      </c>
      <c r="D33" s="10">
        <v>4</v>
      </c>
      <c r="E33" s="10">
        <f>D33/2</f>
        <v>2</v>
      </c>
      <c r="F33" s="10">
        <v>0</v>
      </c>
      <c r="G33" s="10">
        <v>4294967295</v>
      </c>
      <c r="H33" s="10">
        <v>1</v>
      </c>
      <c r="I33" s="10">
        <v>1</v>
      </c>
      <c r="J33" s="10" t="s">
        <v>322</v>
      </c>
      <c r="K33" s="10">
        <f>K32+$E32</f>
        <v>49189</v>
      </c>
      <c r="L33" s="10">
        <f t="shared" ref="L33:L34" si="12">K33-40000</f>
        <v>9189</v>
      </c>
      <c r="M33" s="10">
        <f t="shared" si="1"/>
        <v>9188</v>
      </c>
      <c r="N33" s="10" t="s">
        <v>323</v>
      </c>
      <c r="O33" s="10" t="s">
        <v>327</v>
      </c>
      <c r="P33" s="10"/>
      <c r="Q33" s="10"/>
      <c r="R33" s="10"/>
    </row>
    <row r="34" spans="2:18" ht="15.6" x14ac:dyDescent="0.3">
      <c r="B34" s="10" t="s">
        <v>2350</v>
      </c>
      <c r="C34" s="10" t="s">
        <v>326</v>
      </c>
      <c r="D34" s="10">
        <v>4</v>
      </c>
      <c r="E34" s="10">
        <f>D34/2</f>
        <v>2</v>
      </c>
      <c r="F34" s="10">
        <v>0</v>
      </c>
      <c r="G34" s="10">
        <v>4294967295</v>
      </c>
      <c r="H34" s="10">
        <v>1</v>
      </c>
      <c r="I34" s="10">
        <v>1</v>
      </c>
      <c r="J34" s="10" t="s">
        <v>322</v>
      </c>
      <c r="K34" s="10">
        <f>K33+$E33</f>
        <v>49191</v>
      </c>
      <c r="L34" s="10">
        <f t="shared" si="12"/>
        <v>9191</v>
      </c>
      <c r="M34" s="10">
        <f t="shared" si="1"/>
        <v>9190</v>
      </c>
      <c r="N34" s="10" t="s">
        <v>323</v>
      </c>
      <c r="O34" s="10" t="s">
        <v>327</v>
      </c>
      <c r="P34" s="10"/>
      <c r="Q34" s="10"/>
      <c r="R34" s="10"/>
    </row>
    <row r="35" spans="2:18" ht="15.6" x14ac:dyDescent="0.3">
      <c r="B35" s="497" t="s">
        <v>2355</v>
      </c>
      <c r="C35" s="508"/>
      <c r="D35" s="508"/>
      <c r="E35" s="508"/>
      <c r="F35" s="508"/>
      <c r="G35" s="508"/>
      <c r="H35" s="508"/>
      <c r="I35" s="508"/>
      <c r="J35" s="508"/>
      <c r="K35" s="508"/>
      <c r="L35" s="508"/>
      <c r="M35" s="508"/>
      <c r="N35" s="508"/>
      <c r="O35" s="508"/>
      <c r="P35" s="508"/>
      <c r="Q35" s="508"/>
      <c r="R35" s="509"/>
    </row>
    <row r="36" spans="2:18" ht="15.6" x14ac:dyDescent="0.3">
      <c r="B36" s="193" t="s">
        <v>2347</v>
      </c>
      <c r="C36" s="193" t="s">
        <v>326</v>
      </c>
      <c r="D36" s="193">
        <v>4</v>
      </c>
      <c r="E36" s="193">
        <f>D36/2</f>
        <v>2</v>
      </c>
      <c r="F36" s="193">
        <v>0</v>
      </c>
      <c r="G36" s="193">
        <v>4294967295</v>
      </c>
      <c r="H36" s="193">
        <v>1</v>
      </c>
      <c r="I36" s="193">
        <v>1</v>
      </c>
      <c r="J36" s="193" t="s">
        <v>322</v>
      </c>
      <c r="K36" s="193">
        <f>K34+E34</f>
        <v>49193</v>
      </c>
      <c r="L36" s="193">
        <f>K36-40000</f>
        <v>9193</v>
      </c>
      <c r="M36" s="193">
        <f t="shared" ref="M36" si="13">L36-1</f>
        <v>9192</v>
      </c>
      <c r="N36" s="193" t="s">
        <v>323</v>
      </c>
      <c r="O36" s="193" t="s">
        <v>327</v>
      </c>
      <c r="P36" s="193"/>
      <c r="Q36" s="193"/>
      <c r="R36" s="193" t="s">
        <v>2348</v>
      </c>
    </row>
    <row r="37" spans="2:18" ht="15.6" x14ac:dyDescent="0.3">
      <c r="B37" s="10" t="s">
        <v>2349</v>
      </c>
      <c r="C37" s="10" t="s">
        <v>326</v>
      </c>
      <c r="D37" s="10">
        <v>4</v>
      </c>
      <c r="E37" s="10">
        <f>D37/2</f>
        <v>2</v>
      </c>
      <c r="F37" s="10">
        <v>0</v>
      </c>
      <c r="G37" s="10">
        <v>4294967295</v>
      </c>
      <c r="H37" s="10">
        <v>1</v>
      </c>
      <c r="I37" s="10">
        <v>1</v>
      </c>
      <c r="J37" s="10" t="s">
        <v>322</v>
      </c>
      <c r="K37" s="10">
        <f>K36+$E36</f>
        <v>49195</v>
      </c>
      <c r="L37" s="10">
        <f t="shared" ref="L37:L38" si="14">K37-40000</f>
        <v>9195</v>
      </c>
      <c r="M37" s="10">
        <f t="shared" si="1"/>
        <v>9194</v>
      </c>
      <c r="N37" s="10" t="s">
        <v>323</v>
      </c>
      <c r="O37" s="10" t="s">
        <v>327</v>
      </c>
      <c r="P37" s="10"/>
      <c r="Q37" s="10"/>
      <c r="R37" s="10"/>
    </row>
    <row r="38" spans="2:18" ht="15.6" x14ac:dyDescent="0.3">
      <c r="B38" s="10" t="s">
        <v>2350</v>
      </c>
      <c r="C38" s="10" t="s">
        <v>326</v>
      </c>
      <c r="D38" s="10">
        <v>4</v>
      </c>
      <c r="E38" s="10">
        <f>D38/2</f>
        <v>2</v>
      </c>
      <c r="F38" s="10">
        <v>0</v>
      </c>
      <c r="G38" s="10">
        <v>4294967295</v>
      </c>
      <c r="H38" s="10">
        <v>1</v>
      </c>
      <c r="I38" s="10">
        <v>1</v>
      </c>
      <c r="J38" s="10" t="s">
        <v>322</v>
      </c>
      <c r="K38" s="10">
        <f>K37+$E37</f>
        <v>49197</v>
      </c>
      <c r="L38" s="10">
        <f t="shared" si="14"/>
        <v>9197</v>
      </c>
      <c r="M38" s="10">
        <f t="shared" si="1"/>
        <v>9196</v>
      </c>
      <c r="N38" s="10" t="s">
        <v>323</v>
      </c>
      <c r="O38" s="10" t="s">
        <v>327</v>
      </c>
      <c r="P38" s="10"/>
      <c r="Q38" s="10"/>
      <c r="R38" s="10"/>
    </row>
    <row r="39" spans="2:18" ht="15.6" x14ac:dyDescent="0.3">
      <c r="B39" s="497" t="s">
        <v>2356</v>
      </c>
      <c r="C39" s="508"/>
      <c r="D39" s="508"/>
      <c r="E39" s="508"/>
      <c r="F39" s="508"/>
      <c r="G39" s="508"/>
      <c r="H39" s="508"/>
      <c r="I39" s="508"/>
      <c r="J39" s="508"/>
      <c r="K39" s="508"/>
      <c r="L39" s="508"/>
      <c r="M39" s="508"/>
      <c r="N39" s="508"/>
      <c r="O39" s="508"/>
      <c r="P39" s="508"/>
      <c r="Q39" s="508"/>
      <c r="R39" s="509"/>
    </row>
    <row r="40" spans="2:18" ht="15.6" x14ac:dyDescent="0.3">
      <c r="B40" s="193" t="s">
        <v>2347</v>
      </c>
      <c r="C40" s="193" t="s">
        <v>326</v>
      </c>
      <c r="D40" s="193">
        <v>4</v>
      </c>
      <c r="E40" s="193">
        <f>D40/2</f>
        <v>2</v>
      </c>
      <c r="F40" s="193">
        <v>0</v>
      </c>
      <c r="G40" s="193">
        <v>4294967295</v>
      </c>
      <c r="H40" s="193">
        <v>1</v>
      </c>
      <c r="I40" s="193">
        <v>1</v>
      </c>
      <c r="J40" s="193" t="s">
        <v>322</v>
      </c>
      <c r="K40" s="193">
        <f>K38+E38</f>
        <v>49199</v>
      </c>
      <c r="L40" s="193">
        <f>K40-40000</f>
        <v>9199</v>
      </c>
      <c r="M40" s="193">
        <f t="shared" ref="M40" si="15">L40-1</f>
        <v>9198</v>
      </c>
      <c r="N40" s="193" t="s">
        <v>323</v>
      </c>
      <c r="O40" s="193" t="s">
        <v>327</v>
      </c>
      <c r="P40" s="193"/>
      <c r="Q40" s="193"/>
      <c r="R40" s="193" t="s">
        <v>2348</v>
      </c>
    </row>
    <row r="41" spans="2:18" ht="15.6" x14ac:dyDescent="0.3">
      <c r="B41" s="10" t="s">
        <v>2349</v>
      </c>
      <c r="C41" s="10" t="s">
        <v>326</v>
      </c>
      <c r="D41" s="10">
        <v>4</v>
      </c>
      <c r="E41" s="10">
        <f>D41/2</f>
        <v>2</v>
      </c>
      <c r="F41" s="10">
        <v>0</v>
      </c>
      <c r="G41" s="10">
        <v>4294967295</v>
      </c>
      <c r="H41" s="10">
        <v>1</v>
      </c>
      <c r="I41" s="10">
        <v>1</v>
      </c>
      <c r="J41" s="10" t="s">
        <v>322</v>
      </c>
      <c r="K41" s="10">
        <f>K40+$E40</f>
        <v>49201</v>
      </c>
      <c r="L41" s="10">
        <f t="shared" ref="L41:L42" si="16">K41-40000</f>
        <v>9201</v>
      </c>
      <c r="M41" s="10">
        <f t="shared" si="1"/>
        <v>9200</v>
      </c>
      <c r="N41" s="10" t="s">
        <v>323</v>
      </c>
      <c r="O41" s="10" t="s">
        <v>327</v>
      </c>
      <c r="P41" s="10"/>
      <c r="Q41" s="10"/>
      <c r="R41" s="10"/>
    </row>
    <row r="42" spans="2:18" ht="15.6" x14ac:dyDescent="0.3">
      <c r="B42" s="10" t="s">
        <v>2350</v>
      </c>
      <c r="C42" s="10" t="s">
        <v>326</v>
      </c>
      <c r="D42" s="10">
        <v>4</v>
      </c>
      <c r="E42" s="10">
        <f>D42/2</f>
        <v>2</v>
      </c>
      <c r="F42" s="10">
        <v>0</v>
      </c>
      <c r="G42" s="10">
        <v>4294967295</v>
      </c>
      <c r="H42" s="10">
        <v>1</v>
      </c>
      <c r="I42" s="10">
        <v>1</v>
      </c>
      <c r="J42" s="10" t="s">
        <v>322</v>
      </c>
      <c r="K42" s="10">
        <f>K41+$E41</f>
        <v>49203</v>
      </c>
      <c r="L42" s="10">
        <f t="shared" si="16"/>
        <v>9203</v>
      </c>
      <c r="M42" s="10">
        <f t="shared" si="1"/>
        <v>9202</v>
      </c>
      <c r="N42" s="10" t="s">
        <v>323</v>
      </c>
      <c r="O42" s="10" t="s">
        <v>327</v>
      </c>
      <c r="P42" s="10"/>
      <c r="Q42" s="10"/>
      <c r="R42" s="10"/>
    </row>
    <row r="43" spans="2:18" ht="15.6" x14ac:dyDescent="0.3">
      <c r="B43" s="497" t="s">
        <v>2357</v>
      </c>
      <c r="C43" s="508"/>
      <c r="D43" s="508"/>
      <c r="E43" s="508"/>
      <c r="F43" s="508"/>
      <c r="G43" s="508"/>
      <c r="H43" s="508"/>
      <c r="I43" s="508"/>
      <c r="J43" s="508"/>
      <c r="K43" s="508"/>
      <c r="L43" s="508"/>
      <c r="M43" s="508"/>
      <c r="N43" s="508"/>
      <c r="O43" s="508"/>
      <c r="P43" s="508"/>
      <c r="Q43" s="508"/>
      <c r="R43" s="509"/>
    </row>
    <row r="44" spans="2:18" ht="15.6" x14ac:dyDescent="0.3">
      <c r="B44" s="193" t="s">
        <v>2347</v>
      </c>
      <c r="C44" s="193" t="s">
        <v>326</v>
      </c>
      <c r="D44" s="193">
        <v>4</v>
      </c>
      <c r="E44" s="193">
        <f>D44/2</f>
        <v>2</v>
      </c>
      <c r="F44" s="193">
        <v>0</v>
      </c>
      <c r="G44" s="193">
        <v>4294967295</v>
      </c>
      <c r="H44" s="193">
        <v>1</v>
      </c>
      <c r="I44" s="193">
        <v>1</v>
      </c>
      <c r="J44" s="193" t="s">
        <v>322</v>
      </c>
      <c r="K44" s="193">
        <f>K42+E42</f>
        <v>49205</v>
      </c>
      <c r="L44" s="193">
        <f>K44-40000</f>
        <v>9205</v>
      </c>
      <c r="M44" s="193">
        <f t="shared" ref="M44" si="17">L44-1</f>
        <v>9204</v>
      </c>
      <c r="N44" s="193" t="s">
        <v>323</v>
      </c>
      <c r="O44" s="193" t="s">
        <v>327</v>
      </c>
      <c r="P44" s="193"/>
      <c r="Q44" s="193"/>
      <c r="R44" s="193" t="s">
        <v>2348</v>
      </c>
    </row>
    <row r="45" spans="2:18" ht="15.6" x14ac:dyDescent="0.3">
      <c r="B45" s="10" t="s">
        <v>2349</v>
      </c>
      <c r="C45" s="10" t="s">
        <v>326</v>
      </c>
      <c r="D45" s="10">
        <v>4</v>
      </c>
      <c r="E45" s="10">
        <f>D45/2</f>
        <v>2</v>
      </c>
      <c r="F45" s="10">
        <v>0</v>
      </c>
      <c r="G45" s="10">
        <v>4294967295</v>
      </c>
      <c r="H45" s="10">
        <v>1</v>
      </c>
      <c r="I45" s="10">
        <v>1</v>
      </c>
      <c r="J45" s="10" t="s">
        <v>322</v>
      </c>
      <c r="K45" s="10">
        <f>K44+$E44</f>
        <v>49207</v>
      </c>
      <c r="L45" s="10">
        <f t="shared" ref="L45:L46" si="18">K45-40000</f>
        <v>9207</v>
      </c>
      <c r="M45" s="10">
        <f t="shared" si="1"/>
        <v>9206</v>
      </c>
      <c r="N45" s="10" t="s">
        <v>323</v>
      </c>
      <c r="O45" s="10" t="s">
        <v>327</v>
      </c>
      <c r="P45" s="10"/>
      <c r="Q45" s="10"/>
      <c r="R45" s="10"/>
    </row>
    <row r="46" spans="2:18" ht="15.6" x14ac:dyDescent="0.3">
      <c r="B46" s="10" t="s">
        <v>2350</v>
      </c>
      <c r="C46" s="10" t="s">
        <v>326</v>
      </c>
      <c r="D46" s="10">
        <v>4</v>
      </c>
      <c r="E46" s="10">
        <f>D46/2</f>
        <v>2</v>
      </c>
      <c r="F46" s="10">
        <v>0</v>
      </c>
      <c r="G46" s="10">
        <v>4294967295</v>
      </c>
      <c r="H46" s="10">
        <v>1</v>
      </c>
      <c r="I46" s="10">
        <v>1</v>
      </c>
      <c r="J46" s="10" t="s">
        <v>322</v>
      </c>
      <c r="K46" s="10">
        <f>K45+$E45</f>
        <v>49209</v>
      </c>
      <c r="L46" s="10">
        <f t="shared" si="18"/>
        <v>9209</v>
      </c>
      <c r="M46" s="10">
        <f t="shared" si="1"/>
        <v>9208</v>
      </c>
      <c r="N46" s="10" t="s">
        <v>323</v>
      </c>
      <c r="O46" s="10" t="s">
        <v>327</v>
      </c>
      <c r="P46" s="10"/>
      <c r="Q46" s="10"/>
      <c r="R46" s="10"/>
    </row>
    <row r="47" spans="2:18" ht="15.6" x14ac:dyDescent="0.3">
      <c r="B47" s="497" t="s">
        <v>2358</v>
      </c>
      <c r="C47" s="508"/>
      <c r="D47" s="508"/>
      <c r="E47" s="508"/>
      <c r="F47" s="508"/>
      <c r="G47" s="508"/>
      <c r="H47" s="508"/>
      <c r="I47" s="508"/>
      <c r="J47" s="508"/>
      <c r="K47" s="508"/>
      <c r="L47" s="508"/>
      <c r="M47" s="508"/>
      <c r="N47" s="508"/>
      <c r="O47" s="508"/>
      <c r="P47" s="508"/>
      <c r="Q47" s="508"/>
      <c r="R47" s="509"/>
    </row>
    <row r="48" spans="2:18" ht="15.6" x14ac:dyDescent="0.3">
      <c r="B48" s="10" t="s">
        <v>2359</v>
      </c>
      <c r="C48" s="10" t="s">
        <v>321</v>
      </c>
      <c r="D48" s="10">
        <v>2</v>
      </c>
      <c r="E48" s="10">
        <f>D48/2</f>
        <v>1</v>
      </c>
      <c r="F48" s="10">
        <v>0</v>
      </c>
      <c r="G48" s="10">
        <v>255</v>
      </c>
      <c r="H48" s="10">
        <v>1</v>
      </c>
      <c r="I48" s="10">
        <v>1</v>
      </c>
      <c r="J48" s="10" t="s">
        <v>322</v>
      </c>
      <c r="K48" s="10">
        <f>K46+$E46</f>
        <v>49211</v>
      </c>
      <c r="L48" s="10">
        <f>K48-40000</f>
        <v>9211</v>
      </c>
      <c r="M48" s="10">
        <f t="shared" si="1"/>
        <v>9210</v>
      </c>
      <c r="N48" s="10" t="s">
        <v>323</v>
      </c>
      <c r="O48" s="10" t="s">
        <v>327</v>
      </c>
      <c r="P48" s="10"/>
      <c r="Q48" s="10"/>
      <c r="R48" s="10"/>
    </row>
    <row r="49" spans="2:20" ht="15.6" x14ac:dyDescent="0.3">
      <c r="B49" s="10" t="s">
        <v>2360</v>
      </c>
      <c r="C49" s="10" t="s">
        <v>321</v>
      </c>
      <c r="D49" s="10">
        <v>2</v>
      </c>
      <c r="E49" s="10">
        <f t="shared" ref="E49:E53" si="19">D49/2</f>
        <v>1</v>
      </c>
      <c r="F49" s="10">
        <v>0</v>
      </c>
      <c r="G49" s="10">
        <v>255</v>
      </c>
      <c r="H49" s="10">
        <v>1</v>
      </c>
      <c r="I49" s="10">
        <v>1</v>
      </c>
      <c r="J49" s="10" t="s">
        <v>322</v>
      </c>
      <c r="K49" s="10">
        <f>K48+$E48</f>
        <v>49212</v>
      </c>
      <c r="L49" s="10">
        <f t="shared" ref="L49:L50" si="20">K49-40000</f>
        <v>9212</v>
      </c>
      <c r="M49" s="10">
        <f t="shared" si="1"/>
        <v>9211</v>
      </c>
      <c r="N49" s="10" t="s">
        <v>323</v>
      </c>
      <c r="O49" s="10" t="s">
        <v>327</v>
      </c>
      <c r="P49" s="10"/>
      <c r="Q49" s="10"/>
      <c r="R49" s="10"/>
    </row>
    <row r="50" spans="2:20" ht="15.6" x14ac:dyDescent="0.3">
      <c r="B50" s="10" t="s">
        <v>2361</v>
      </c>
      <c r="C50" s="10" t="s">
        <v>321</v>
      </c>
      <c r="D50" s="10">
        <v>2</v>
      </c>
      <c r="E50" s="10">
        <f t="shared" si="19"/>
        <v>1</v>
      </c>
      <c r="F50" s="10">
        <v>0</v>
      </c>
      <c r="G50" s="10">
        <v>255</v>
      </c>
      <c r="H50" s="10">
        <v>1</v>
      </c>
      <c r="I50" s="10">
        <v>1</v>
      </c>
      <c r="J50" s="10" t="s">
        <v>322</v>
      </c>
      <c r="K50" s="10">
        <f t="shared" ref="K50:K53" si="21">K49+$E49</f>
        <v>49213</v>
      </c>
      <c r="L50" s="10">
        <f t="shared" si="20"/>
        <v>9213</v>
      </c>
      <c r="M50" s="10">
        <f t="shared" si="1"/>
        <v>9212</v>
      </c>
      <c r="N50" s="10" t="s">
        <v>323</v>
      </c>
      <c r="O50" s="10" t="s">
        <v>327</v>
      </c>
      <c r="P50" s="10"/>
      <c r="Q50" s="10"/>
      <c r="R50" s="10"/>
    </row>
    <row r="51" spans="2:20" ht="15.6" x14ac:dyDescent="0.3">
      <c r="B51" s="10" t="s">
        <v>2362</v>
      </c>
      <c r="C51" s="10" t="s">
        <v>321</v>
      </c>
      <c r="D51" s="10">
        <v>2</v>
      </c>
      <c r="E51" s="10">
        <f t="shared" si="19"/>
        <v>1</v>
      </c>
      <c r="F51" s="10">
        <v>0</v>
      </c>
      <c r="G51" s="10">
        <v>255</v>
      </c>
      <c r="H51" s="10">
        <v>1</v>
      </c>
      <c r="I51" s="10">
        <v>1</v>
      </c>
      <c r="J51" s="10" t="s">
        <v>322</v>
      </c>
      <c r="K51" s="10">
        <f t="shared" si="21"/>
        <v>49214</v>
      </c>
      <c r="L51" s="10">
        <f>K51-40000</f>
        <v>9214</v>
      </c>
      <c r="M51" s="10">
        <f t="shared" si="1"/>
        <v>9213</v>
      </c>
      <c r="N51" s="10" t="s">
        <v>323</v>
      </c>
      <c r="O51" s="10" t="s">
        <v>327</v>
      </c>
      <c r="P51" s="10"/>
      <c r="Q51" s="10"/>
      <c r="R51" s="10"/>
    </row>
    <row r="52" spans="2:20" ht="15.6" x14ac:dyDescent="0.3">
      <c r="B52" s="10" t="s">
        <v>2363</v>
      </c>
      <c r="C52" s="10" t="s">
        <v>321</v>
      </c>
      <c r="D52" s="10">
        <v>2</v>
      </c>
      <c r="E52" s="10">
        <f t="shared" si="19"/>
        <v>1</v>
      </c>
      <c r="F52" s="10">
        <v>0</v>
      </c>
      <c r="G52" s="10">
        <v>255</v>
      </c>
      <c r="H52" s="10">
        <v>1</v>
      </c>
      <c r="I52" s="10">
        <v>1</v>
      </c>
      <c r="J52" s="10" t="s">
        <v>322</v>
      </c>
      <c r="K52" s="10">
        <f t="shared" si="21"/>
        <v>49215</v>
      </c>
      <c r="L52" s="10">
        <f t="shared" ref="L52:L53" si="22">K52-40000</f>
        <v>9215</v>
      </c>
      <c r="M52" s="10">
        <f t="shared" si="1"/>
        <v>9214</v>
      </c>
      <c r="N52" s="10" t="s">
        <v>323</v>
      </c>
      <c r="O52" s="10" t="s">
        <v>327</v>
      </c>
      <c r="P52" s="10"/>
      <c r="Q52" s="10"/>
      <c r="R52" s="10"/>
    </row>
    <row r="53" spans="2:20" ht="15.6" x14ac:dyDescent="0.3">
      <c r="B53" s="10" t="s">
        <v>2364</v>
      </c>
      <c r="C53" s="10" t="s">
        <v>321</v>
      </c>
      <c r="D53" s="10">
        <v>2</v>
      </c>
      <c r="E53" s="10">
        <f t="shared" si="19"/>
        <v>1</v>
      </c>
      <c r="F53" s="10">
        <v>0</v>
      </c>
      <c r="G53" s="10">
        <v>255</v>
      </c>
      <c r="H53" s="10">
        <v>1</v>
      </c>
      <c r="I53" s="10">
        <v>1</v>
      </c>
      <c r="J53" s="10" t="s">
        <v>322</v>
      </c>
      <c r="K53" s="10">
        <f t="shared" si="21"/>
        <v>49216</v>
      </c>
      <c r="L53" s="10">
        <f t="shared" si="22"/>
        <v>9216</v>
      </c>
      <c r="M53" s="10">
        <f t="shared" si="1"/>
        <v>9215</v>
      </c>
      <c r="N53" s="10" t="s">
        <v>323</v>
      </c>
      <c r="O53" s="10" t="s">
        <v>327</v>
      </c>
      <c r="P53" s="10"/>
      <c r="Q53" s="10"/>
      <c r="R53" s="10"/>
    </row>
    <row r="54" spans="2:20" ht="15.6" x14ac:dyDescent="0.3">
      <c r="B54" s="497" t="s">
        <v>2365</v>
      </c>
      <c r="C54" s="508"/>
      <c r="D54" s="508"/>
      <c r="E54" s="508"/>
      <c r="F54" s="508"/>
      <c r="G54" s="508"/>
      <c r="H54" s="508"/>
      <c r="I54" s="508"/>
      <c r="J54" s="508"/>
      <c r="K54" s="508"/>
      <c r="L54" s="508"/>
      <c r="M54" s="508"/>
      <c r="N54" s="508"/>
      <c r="O54" s="508"/>
      <c r="P54" s="508"/>
      <c r="Q54" s="508"/>
      <c r="R54" s="509"/>
    </row>
    <row r="55" spans="2:20" ht="345.6" customHeight="1" x14ac:dyDescent="0.3">
      <c r="B55" s="10" t="s">
        <v>907</v>
      </c>
      <c r="C55" s="10" t="s">
        <v>321</v>
      </c>
      <c r="D55" s="10">
        <v>2</v>
      </c>
      <c r="E55" s="10">
        <f>D55/2</f>
        <v>1</v>
      </c>
      <c r="F55" s="10">
        <v>0</v>
      </c>
      <c r="G55" s="10">
        <v>17</v>
      </c>
      <c r="H55" s="10">
        <v>1</v>
      </c>
      <c r="I55" s="10">
        <v>1</v>
      </c>
      <c r="J55" s="10" t="s">
        <v>322</v>
      </c>
      <c r="K55" s="10">
        <f>K53+$E53</f>
        <v>49217</v>
      </c>
      <c r="L55" s="10">
        <f>K55-40000</f>
        <v>9217</v>
      </c>
      <c r="M55" s="10">
        <f t="shared" si="1"/>
        <v>9216</v>
      </c>
      <c r="N55" s="10" t="s">
        <v>323</v>
      </c>
      <c r="O55" s="10" t="s">
        <v>324</v>
      </c>
      <c r="P55" s="10"/>
      <c r="Q55" s="10"/>
      <c r="R55" s="110" t="s">
        <v>2366</v>
      </c>
    </row>
    <row r="56" spans="2:20" ht="15.6" x14ac:dyDescent="0.3">
      <c r="B56" s="10"/>
      <c r="C56" s="10" t="s">
        <v>321</v>
      </c>
      <c r="D56" s="10">
        <v>2</v>
      </c>
      <c r="E56" s="10">
        <f t="shared" ref="E56" si="23">D56/2</f>
        <v>1</v>
      </c>
      <c r="F56" s="10">
        <v>0</v>
      </c>
      <c r="G56" s="10">
        <v>0</v>
      </c>
      <c r="H56" s="10">
        <v>1</v>
      </c>
      <c r="I56" s="10">
        <v>1</v>
      </c>
      <c r="J56" s="10" t="s">
        <v>322</v>
      </c>
      <c r="K56" s="10">
        <f t="shared" ref="K56:K61" si="24">K55+$E55</f>
        <v>49218</v>
      </c>
      <c r="L56" s="10">
        <f t="shared" ref="L56:L57" si="25">K56-40000</f>
        <v>9218</v>
      </c>
      <c r="M56" s="10">
        <f t="shared" si="1"/>
        <v>9217</v>
      </c>
      <c r="N56" s="10" t="s">
        <v>323</v>
      </c>
      <c r="O56" s="10" t="s">
        <v>324</v>
      </c>
      <c r="P56" s="10"/>
      <c r="Q56" s="10"/>
      <c r="R56" s="10"/>
    </row>
    <row r="57" spans="2:20" ht="140.4" x14ac:dyDescent="0.3">
      <c r="B57" s="10" t="s">
        <v>909</v>
      </c>
      <c r="C57" s="10" t="s">
        <v>321</v>
      </c>
      <c r="D57" s="10">
        <v>2</v>
      </c>
      <c r="E57" s="10">
        <f t="shared" ref="E57:E61" si="26">D57/2</f>
        <v>1</v>
      </c>
      <c r="F57" s="10">
        <v>0</v>
      </c>
      <c r="G57" s="10">
        <v>8</v>
      </c>
      <c r="H57" s="10">
        <v>1</v>
      </c>
      <c r="I57" s="10">
        <v>1</v>
      </c>
      <c r="J57" s="10" t="s">
        <v>322</v>
      </c>
      <c r="K57" s="10">
        <f t="shared" si="24"/>
        <v>49219</v>
      </c>
      <c r="L57" s="10">
        <f t="shared" si="25"/>
        <v>9219</v>
      </c>
      <c r="M57" s="10">
        <f t="shared" si="1"/>
        <v>9218</v>
      </c>
      <c r="N57" s="10" t="s">
        <v>323</v>
      </c>
      <c r="O57" s="10" t="s">
        <v>324</v>
      </c>
      <c r="P57" s="10"/>
      <c r="Q57" s="10"/>
      <c r="R57" s="110" t="s">
        <v>910</v>
      </c>
    </row>
    <row r="58" spans="2:20" ht="140.4" x14ac:dyDescent="0.3">
      <c r="B58" s="10" t="s">
        <v>913</v>
      </c>
      <c r="C58" s="10" t="s">
        <v>321</v>
      </c>
      <c r="D58" s="10">
        <v>2</v>
      </c>
      <c r="E58" s="10">
        <f t="shared" si="26"/>
        <v>1</v>
      </c>
      <c r="F58" s="10">
        <v>0</v>
      </c>
      <c r="G58" s="10">
        <v>8</v>
      </c>
      <c r="H58" s="10">
        <v>1</v>
      </c>
      <c r="I58" s="10">
        <v>1</v>
      </c>
      <c r="J58" s="10" t="s">
        <v>322</v>
      </c>
      <c r="K58" s="10">
        <f t="shared" si="24"/>
        <v>49220</v>
      </c>
      <c r="L58" s="10">
        <f>K58-40000</f>
        <v>9220</v>
      </c>
      <c r="M58" s="10">
        <f t="shared" si="1"/>
        <v>9219</v>
      </c>
      <c r="N58" s="10" t="s">
        <v>323</v>
      </c>
      <c r="O58" s="10" t="s">
        <v>324</v>
      </c>
      <c r="P58" s="10"/>
      <c r="Q58" s="10"/>
      <c r="R58" s="110" t="s">
        <v>910</v>
      </c>
    </row>
    <row r="59" spans="2:20" ht="140.4" x14ac:dyDescent="0.3">
      <c r="B59" s="10" t="s">
        <v>915</v>
      </c>
      <c r="C59" s="10" t="s">
        <v>321</v>
      </c>
      <c r="D59" s="10">
        <v>2</v>
      </c>
      <c r="E59" s="10">
        <f t="shared" si="26"/>
        <v>1</v>
      </c>
      <c r="F59" s="10">
        <v>0</v>
      </c>
      <c r="G59" s="10">
        <v>8</v>
      </c>
      <c r="H59" s="10">
        <v>1</v>
      </c>
      <c r="I59" s="10">
        <v>1</v>
      </c>
      <c r="J59" s="10" t="s">
        <v>322</v>
      </c>
      <c r="K59" s="10">
        <f t="shared" si="24"/>
        <v>49221</v>
      </c>
      <c r="L59" s="10">
        <f>K59-40000</f>
        <v>9221</v>
      </c>
      <c r="M59" s="10">
        <f t="shared" si="1"/>
        <v>9220</v>
      </c>
      <c r="N59" s="10" t="s">
        <v>323</v>
      </c>
      <c r="O59" s="10" t="s">
        <v>324</v>
      </c>
      <c r="P59" s="10"/>
      <c r="Q59" s="10"/>
      <c r="R59" s="110" t="s">
        <v>910</v>
      </c>
    </row>
    <row r="60" spans="2:20" ht="140.4" x14ac:dyDescent="0.3">
      <c r="B60" s="10" t="s">
        <v>917</v>
      </c>
      <c r="C60" s="10" t="s">
        <v>321</v>
      </c>
      <c r="D60" s="10">
        <v>2</v>
      </c>
      <c r="E60" s="10">
        <f t="shared" si="26"/>
        <v>1</v>
      </c>
      <c r="F60" s="10">
        <v>0</v>
      </c>
      <c r="G60" s="10">
        <v>8</v>
      </c>
      <c r="H60" s="10">
        <v>1</v>
      </c>
      <c r="I60" s="10">
        <v>1</v>
      </c>
      <c r="J60" s="10" t="s">
        <v>322</v>
      </c>
      <c r="K60" s="10">
        <f t="shared" si="24"/>
        <v>49222</v>
      </c>
      <c r="L60" s="10">
        <f t="shared" ref="L60:L61" si="27">K60-40000</f>
        <v>9222</v>
      </c>
      <c r="M60" s="10">
        <f t="shared" si="1"/>
        <v>9221</v>
      </c>
      <c r="N60" s="10" t="s">
        <v>323</v>
      </c>
      <c r="O60" s="10" t="s">
        <v>324</v>
      </c>
      <c r="P60" s="10"/>
      <c r="Q60" s="10"/>
      <c r="R60" s="110" t="s">
        <v>910</v>
      </c>
    </row>
    <row r="61" spans="2:20" ht="140.4" x14ac:dyDescent="0.3">
      <c r="B61" s="10" t="s">
        <v>919</v>
      </c>
      <c r="C61" s="10" t="s">
        <v>321</v>
      </c>
      <c r="D61" s="10">
        <v>2</v>
      </c>
      <c r="E61" s="10">
        <f t="shared" si="26"/>
        <v>1</v>
      </c>
      <c r="F61" s="10">
        <v>0</v>
      </c>
      <c r="G61" s="10">
        <v>8</v>
      </c>
      <c r="H61" s="10">
        <v>1</v>
      </c>
      <c r="I61" s="10">
        <v>1</v>
      </c>
      <c r="J61" s="10" t="s">
        <v>322</v>
      </c>
      <c r="K61" s="10">
        <f t="shared" si="24"/>
        <v>49223</v>
      </c>
      <c r="L61" s="10">
        <f t="shared" si="27"/>
        <v>9223</v>
      </c>
      <c r="M61" s="10">
        <f t="shared" si="1"/>
        <v>9222</v>
      </c>
      <c r="N61" s="10" t="s">
        <v>323</v>
      </c>
      <c r="O61" s="10" t="s">
        <v>324</v>
      </c>
      <c r="P61" s="10"/>
      <c r="Q61" s="10"/>
      <c r="R61" s="110" t="s">
        <v>910</v>
      </c>
    </row>
    <row r="62" spans="2:20" ht="15.6" x14ac:dyDescent="0.3">
      <c r="B62" s="513" t="s">
        <v>2367</v>
      </c>
      <c r="C62" s="514"/>
      <c r="D62" s="514"/>
      <c r="E62" s="514"/>
      <c r="F62" s="514"/>
      <c r="G62" s="514"/>
      <c r="H62" s="514"/>
      <c r="I62" s="514"/>
      <c r="J62" s="514"/>
      <c r="K62" s="514"/>
      <c r="L62" s="514"/>
      <c r="M62" s="514"/>
      <c r="N62" s="514"/>
      <c r="O62" s="514"/>
      <c r="P62" s="514"/>
      <c r="Q62" s="514"/>
      <c r="R62" s="514"/>
      <c r="S62" s="514"/>
      <c r="T62" s="515"/>
    </row>
    <row r="63" spans="2:20" ht="15.6" x14ac:dyDescent="0.3">
      <c r="B63" s="10" t="s">
        <v>2368</v>
      </c>
      <c r="C63" s="10" t="s">
        <v>321</v>
      </c>
      <c r="D63" s="10">
        <v>2</v>
      </c>
      <c r="E63" s="10">
        <f t="shared" ref="E63:E66" si="28">D63/2</f>
        <v>1</v>
      </c>
      <c r="F63" s="10">
        <v>243</v>
      </c>
      <c r="G63" s="10">
        <v>243</v>
      </c>
      <c r="H63" s="10" t="s">
        <v>1297</v>
      </c>
      <c r="I63" s="10" t="s">
        <v>1297</v>
      </c>
      <c r="J63" s="10" t="s">
        <v>322</v>
      </c>
      <c r="K63" s="10">
        <f>K61+$E61</f>
        <v>49224</v>
      </c>
      <c r="L63" s="10">
        <f t="shared" ref="L63:L66" si="29">K63-40000</f>
        <v>9224</v>
      </c>
      <c r="M63" s="10">
        <f t="shared" ref="M63:M66" si="30">L63-1</f>
        <v>9223</v>
      </c>
      <c r="N63" s="10" t="s">
        <v>323</v>
      </c>
      <c r="O63" s="10" t="s">
        <v>324</v>
      </c>
      <c r="P63" s="10"/>
      <c r="Q63" s="10"/>
      <c r="R63" s="10">
        <v>49</v>
      </c>
      <c r="S63" s="10" t="str">
        <f t="shared" ref="S63:S66" si="31">DEC2HEX(R63)</f>
        <v>31</v>
      </c>
      <c r="T63" s="55">
        <v>243</v>
      </c>
    </row>
    <row r="64" spans="2:20" ht="15.6" x14ac:dyDescent="0.3">
      <c r="B64" s="10" t="s">
        <v>2369</v>
      </c>
      <c r="C64" s="10" t="s">
        <v>321</v>
      </c>
      <c r="D64" s="10">
        <v>2</v>
      </c>
      <c r="E64" s="10">
        <f t="shared" si="28"/>
        <v>1</v>
      </c>
      <c r="F64" s="10">
        <v>22</v>
      </c>
      <c r="G64" s="10">
        <v>22</v>
      </c>
      <c r="H64" s="10" t="s">
        <v>1297</v>
      </c>
      <c r="I64" s="10" t="s">
        <v>1297</v>
      </c>
      <c r="J64" s="10" t="s">
        <v>322</v>
      </c>
      <c r="K64" s="10">
        <f t="shared" ref="K64:K66" si="32">K63+$E63</f>
        <v>49225</v>
      </c>
      <c r="L64" s="10">
        <f t="shared" si="29"/>
        <v>9225</v>
      </c>
      <c r="M64" s="10">
        <f t="shared" si="30"/>
        <v>9224</v>
      </c>
      <c r="N64" s="10" t="s">
        <v>323</v>
      </c>
      <c r="O64" s="10" t="s">
        <v>324</v>
      </c>
      <c r="P64" s="10"/>
      <c r="Q64" s="10"/>
      <c r="R64" s="10">
        <v>50</v>
      </c>
      <c r="S64" s="10" t="str">
        <f t="shared" si="31"/>
        <v>32</v>
      </c>
      <c r="T64" s="55">
        <v>22</v>
      </c>
    </row>
    <row r="65" spans="2:20" ht="15.6" x14ac:dyDescent="0.3">
      <c r="B65" s="10" t="s">
        <v>2370</v>
      </c>
      <c r="C65" s="10" t="s">
        <v>321</v>
      </c>
      <c r="D65" s="117">
        <v>4</v>
      </c>
      <c r="E65" s="10">
        <f t="shared" si="28"/>
        <v>2</v>
      </c>
      <c r="F65" s="516" t="s">
        <v>2371</v>
      </c>
      <c r="G65" s="517"/>
      <c r="H65" s="10" t="s">
        <v>1297</v>
      </c>
      <c r="I65" s="10" t="s">
        <v>1297</v>
      </c>
      <c r="J65" s="10" t="s">
        <v>322</v>
      </c>
      <c r="K65" s="10">
        <f t="shared" si="32"/>
        <v>49226</v>
      </c>
      <c r="L65" s="10">
        <f t="shared" si="29"/>
        <v>9226</v>
      </c>
      <c r="M65" s="10">
        <f t="shared" si="30"/>
        <v>9225</v>
      </c>
      <c r="N65" s="10" t="s">
        <v>323</v>
      </c>
      <c r="O65" s="10" t="s">
        <v>324</v>
      </c>
      <c r="P65" s="10"/>
      <c r="Q65" s="10"/>
      <c r="R65" s="10">
        <v>51</v>
      </c>
      <c r="S65" s="10" t="str">
        <f t="shared" si="31"/>
        <v>33</v>
      </c>
      <c r="T65" s="55" t="s">
        <v>2372</v>
      </c>
    </row>
    <row r="66" spans="2:20" ht="15.6" x14ac:dyDescent="0.3">
      <c r="B66" s="10" t="s">
        <v>2373</v>
      </c>
      <c r="C66" s="10" t="s">
        <v>321</v>
      </c>
      <c r="D66" s="10">
        <v>4</v>
      </c>
      <c r="E66" s="10">
        <f t="shared" si="28"/>
        <v>2</v>
      </c>
      <c r="F66" s="516" t="s">
        <v>2371</v>
      </c>
      <c r="G66" s="517"/>
      <c r="H66" s="10" t="s">
        <v>1297</v>
      </c>
      <c r="I66" s="10" t="s">
        <v>1297</v>
      </c>
      <c r="J66" s="10" t="s">
        <v>322</v>
      </c>
      <c r="K66" s="10">
        <f t="shared" si="32"/>
        <v>49228</v>
      </c>
      <c r="L66" s="10">
        <f t="shared" si="29"/>
        <v>9228</v>
      </c>
      <c r="M66" s="10">
        <f t="shared" si="30"/>
        <v>9227</v>
      </c>
      <c r="N66" s="10" t="s">
        <v>323</v>
      </c>
      <c r="O66" s="10" t="s">
        <v>324</v>
      </c>
      <c r="P66" s="10"/>
      <c r="Q66" s="10"/>
      <c r="R66" s="10">
        <v>52</v>
      </c>
      <c r="S66" s="10" t="str">
        <f t="shared" si="31"/>
        <v>34</v>
      </c>
      <c r="T66" s="55" t="s">
        <v>2374</v>
      </c>
    </row>
    <row r="67" spans="2:20" ht="15.6" x14ac:dyDescent="0.3">
      <c r="B67" s="510" t="s">
        <v>3857</v>
      </c>
      <c r="C67" s="511"/>
      <c r="D67" s="511"/>
      <c r="E67" s="511"/>
      <c r="F67" s="511"/>
      <c r="G67" s="511"/>
      <c r="H67" s="511"/>
      <c r="I67" s="511"/>
      <c r="J67" s="511"/>
      <c r="K67" s="511"/>
      <c r="L67" s="511"/>
      <c r="M67" s="511"/>
      <c r="N67" s="511"/>
      <c r="O67" s="511"/>
      <c r="P67" s="511"/>
      <c r="Q67" s="511"/>
      <c r="R67" s="511"/>
      <c r="S67" s="511"/>
      <c r="T67" s="512"/>
    </row>
    <row r="68" spans="2:20" ht="15.6" x14ac:dyDescent="0.3">
      <c r="B68" s="10" t="s">
        <v>3858</v>
      </c>
      <c r="C68" s="10" t="s">
        <v>326</v>
      </c>
      <c r="D68" s="10">
        <v>4</v>
      </c>
      <c r="E68" s="10">
        <v>2</v>
      </c>
      <c r="F68" s="10">
        <v>0</v>
      </c>
      <c r="G68" s="10">
        <v>4294967295</v>
      </c>
      <c r="H68" s="10">
        <v>1</v>
      </c>
      <c r="I68" s="10">
        <v>1</v>
      </c>
      <c r="J68" s="10" t="s">
        <v>322</v>
      </c>
      <c r="K68" s="10">
        <v>49230</v>
      </c>
      <c r="L68" s="10">
        <v>9230</v>
      </c>
      <c r="M68" s="10">
        <v>9229</v>
      </c>
      <c r="N68" s="10" t="s">
        <v>323</v>
      </c>
      <c r="O68" s="10" t="s">
        <v>327</v>
      </c>
      <c r="P68" s="10"/>
      <c r="Q68" s="10"/>
      <c r="R68" s="10" t="s">
        <v>2348</v>
      </c>
      <c r="S68" s="55"/>
      <c r="T68" s="55"/>
    </row>
    <row r="69" spans="2:20" ht="15.6" x14ac:dyDescent="0.3">
      <c r="B69" s="10" t="s">
        <v>3859</v>
      </c>
      <c r="C69" s="10" t="s">
        <v>326</v>
      </c>
      <c r="D69" s="10">
        <v>4</v>
      </c>
      <c r="E69" s="10">
        <v>2</v>
      </c>
      <c r="F69" s="10">
        <v>0</v>
      </c>
      <c r="G69" s="10">
        <v>4294967295</v>
      </c>
      <c r="H69" s="10">
        <v>1</v>
      </c>
      <c r="I69" s="10">
        <v>1</v>
      </c>
      <c r="J69" s="10" t="s">
        <v>322</v>
      </c>
      <c r="K69" s="10">
        <v>49232</v>
      </c>
      <c r="L69" s="10">
        <v>9232</v>
      </c>
      <c r="M69" s="10">
        <v>9231</v>
      </c>
      <c r="N69" s="10" t="s">
        <v>323</v>
      </c>
      <c r="O69" s="10" t="s">
        <v>327</v>
      </c>
      <c r="P69" s="10"/>
      <c r="Q69" s="10"/>
      <c r="R69" s="10"/>
      <c r="S69" s="55"/>
      <c r="T69" s="55"/>
    </row>
    <row r="70" spans="2:20" ht="15.6" x14ac:dyDescent="0.3">
      <c r="B70" s="10" t="s">
        <v>3860</v>
      </c>
      <c r="C70" s="10" t="s">
        <v>326</v>
      </c>
      <c r="D70" s="10">
        <v>4</v>
      </c>
      <c r="E70" s="10">
        <v>2</v>
      </c>
      <c r="F70" s="10">
        <v>0</v>
      </c>
      <c r="G70" s="10">
        <v>4294967295</v>
      </c>
      <c r="H70" s="10">
        <v>1</v>
      </c>
      <c r="I70" s="10">
        <v>1</v>
      </c>
      <c r="J70" s="10" t="s">
        <v>322</v>
      </c>
      <c r="K70" s="10">
        <v>49234</v>
      </c>
      <c r="L70" s="10">
        <v>9234</v>
      </c>
      <c r="M70" s="10">
        <v>9233</v>
      </c>
      <c r="N70" s="10" t="s">
        <v>323</v>
      </c>
      <c r="O70" s="10" t="s">
        <v>327</v>
      </c>
      <c r="P70" s="10"/>
      <c r="Q70" s="10"/>
      <c r="R70" s="10"/>
      <c r="S70" s="55"/>
      <c r="T70" s="55"/>
    </row>
  </sheetData>
  <mergeCells count="15">
    <mergeCell ref="B67:T67"/>
    <mergeCell ref="B62:T62"/>
    <mergeCell ref="F65:G65"/>
    <mergeCell ref="F66:G66"/>
    <mergeCell ref="B54:R54"/>
    <mergeCell ref="B47:R47"/>
    <mergeCell ref="B35:R35"/>
    <mergeCell ref="B39:R39"/>
    <mergeCell ref="B43:R43"/>
    <mergeCell ref="B31:R31"/>
    <mergeCell ref="B3:R3"/>
    <mergeCell ref="B15:R15"/>
    <mergeCell ref="B19:R19"/>
    <mergeCell ref="B23:R23"/>
    <mergeCell ref="B27:R27"/>
  </mergeCells>
  <phoneticPr fontId="30" type="noConversion"/>
  <conditionalFormatting sqref="B55:D67">
    <cfRule type="cellIs" dxfId="973" priority="6" stopIfTrue="1" operator="notEqual">
      <formula>INDIRECT("Dummy_for_Comparison2!"&amp;ADDRESS(ROW(),COLUMN()))</formula>
    </cfRule>
  </conditionalFormatting>
  <conditionalFormatting sqref="B2:M2">
    <cfRule type="cellIs" dxfId="972" priority="151" stopIfTrue="1" operator="notEqual">
      <formula>INDIRECT("Dummy_for_Comparison2!"&amp;ADDRESS(ROW(),COLUMN()))</formula>
    </cfRule>
  </conditionalFormatting>
  <conditionalFormatting sqref="B16:R18">
    <cfRule type="cellIs" dxfId="971" priority="124" stopIfTrue="1" operator="notEqual">
      <formula>INDIRECT("Dummy_for_Comparison2!"&amp;ADDRESS(ROW(),COLUMN()))</formula>
    </cfRule>
  </conditionalFormatting>
  <conditionalFormatting sqref="B20:R22">
    <cfRule type="cellIs" dxfId="970" priority="98" stopIfTrue="1" operator="notEqual">
      <formula>INDIRECT("Dummy_for_Comparison2!"&amp;ADDRESS(ROW(),COLUMN()))</formula>
    </cfRule>
  </conditionalFormatting>
  <conditionalFormatting sqref="B24:R26">
    <cfRule type="cellIs" dxfId="969" priority="89" stopIfTrue="1" operator="notEqual">
      <formula>INDIRECT("Dummy_for_Comparison2!"&amp;ADDRESS(ROW(),COLUMN()))</formula>
    </cfRule>
  </conditionalFormatting>
  <conditionalFormatting sqref="B28:R30">
    <cfRule type="cellIs" dxfId="968" priority="80" stopIfTrue="1" operator="notEqual">
      <formula>INDIRECT("Dummy_for_Comparison2!"&amp;ADDRESS(ROW(),COLUMN()))</formula>
    </cfRule>
  </conditionalFormatting>
  <conditionalFormatting sqref="B32:R34">
    <cfRule type="cellIs" dxfId="967" priority="71" stopIfTrue="1" operator="notEqual">
      <formula>INDIRECT("Dummy_for_Comparison2!"&amp;ADDRESS(ROW(),COLUMN()))</formula>
    </cfRule>
  </conditionalFormatting>
  <conditionalFormatting sqref="B36:R38">
    <cfRule type="cellIs" dxfId="966" priority="62" stopIfTrue="1" operator="notEqual">
      <formula>INDIRECT("Dummy_for_Comparison2!"&amp;ADDRESS(ROW(),COLUMN()))</formula>
    </cfRule>
  </conditionalFormatting>
  <conditionalFormatting sqref="B40:R42">
    <cfRule type="cellIs" dxfId="965" priority="53" stopIfTrue="1" operator="notEqual">
      <formula>INDIRECT("Dummy_for_Comparison2!"&amp;ADDRESS(ROW(),COLUMN()))</formula>
    </cfRule>
  </conditionalFormatting>
  <conditionalFormatting sqref="B44:R46">
    <cfRule type="cellIs" dxfId="964" priority="44" stopIfTrue="1" operator="notEqual">
      <formula>INDIRECT("Dummy_for_Comparison2!"&amp;ADDRESS(ROW(),COLUMN()))</formula>
    </cfRule>
  </conditionalFormatting>
  <conditionalFormatting sqref="B48:R53">
    <cfRule type="cellIs" dxfId="963" priority="115" stopIfTrue="1" operator="notEqual">
      <formula>INDIRECT("Dummy_for_Comparison2!"&amp;ADDRESS(ROW(),COLUMN()))</formula>
    </cfRule>
  </conditionalFormatting>
  <conditionalFormatting sqref="B68:R70">
    <cfRule type="cellIs" dxfId="962" priority="1" stopIfTrue="1" operator="notEqual">
      <formula>INDIRECT("Dummy_for_Comparison2!"&amp;ADDRESS(ROW(),COLUMN()))</formula>
    </cfRule>
  </conditionalFormatting>
  <conditionalFormatting sqref="E55:E61 P55:R61">
    <cfRule type="cellIs" dxfId="961" priority="177" stopIfTrue="1" operator="notEqual">
      <formula>INDIRECT("Dummy_for_Comparison2!"&amp;ADDRESS(ROW(),COLUMN()))</formula>
    </cfRule>
  </conditionalFormatting>
  <conditionalFormatting sqref="E63:E66">
    <cfRule type="cellIs" dxfId="960" priority="24" stopIfTrue="1" operator="notEqual">
      <formula>INDIRECT("Dummy_for_Comparison2!"&amp;ADDRESS(ROW(),COLUMN()))</formula>
    </cfRule>
  </conditionalFormatting>
  <conditionalFormatting sqref="E4:F4 H4:K4 D4:D13 B4:C14 E5:E14 J5:K14">
    <cfRule type="cellIs" dxfId="959" priority="295" stopIfTrue="1" operator="notEqual">
      <formula>INDIRECT("Dummy_for_Comparison2!"&amp;ADDRESS(ROW(),COLUMN()))</formula>
    </cfRule>
  </conditionalFormatting>
  <conditionalFormatting sqref="F5 H5:I5">
    <cfRule type="cellIs" dxfId="958" priority="291" stopIfTrue="1" operator="notEqual">
      <formula>INDIRECT("Dummy_for_Comparison2!"&amp;ADDRESS(ROW(),COLUMN()))</formula>
    </cfRule>
  </conditionalFormatting>
  <conditionalFormatting sqref="F55:F67">
    <cfRule type="cellIs" dxfId="957" priority="13" stopIfTrue="1" operator="notEqual">
      <formula>INDIRECT("Dummy_for_Comparison2!"&amp;ADDRESS(ROW(),COLUMN()))</formula>
    </cfRule>
  </conditionalFormatting>
  <conditionalFormatting sqref="F6:I14">
    <cfRule type="cellIs" dxfId="956" priority="192" stopIfTrue="1" operator="notEqual">
      <formula>INDIRECT("Dummy_for_Comparison2!"&amp;ADDRESS(ROW(),COLUMN()))</formula>
    </cfRule>
  </conditionalFormatting>
  <conditionalFormatting sqref="G4:G5">
    <cfRule type="cellIs" dxfId="955" priority="292" stopIfTrue="1" operator="notEqual">
      <formula>INDIRECT("Dummy_for_Comparison2!"&amp;ADDRESS(ROW(),COLUMN()))</formula>
    </cfRule>
  </conditionalFormatting>
  <conditionalFormatting sqref="G55:G64">
    <cfRule type="cellIs" dxfId="954" priority="21" stopIfTrue="1" operator="notEqual">
      <formula>INDIRECT("Dummy_for_Comparison2!"&amp;ADDRESS(ROW(),COLUMN()))</formula>
    </cfRule>
  </conditionalFormatting>
  <conditionalFormatting sqref="G67">
    <cfRule type="cellIs" dxfId="953" priority="7" stopIfTrue="1" operator="notEqual">
      <formula>INDIRECT("Dummy_for_Comparison2!"&amp;ADDRESS(ROW(),COLUMN()))</formula>
    </cfRule>
  </conditionalFormatting>
  <conditionalFormatting sqref="H55:J67">
    <cfRule type="cellIs" dxfId="952" priority="5" stopIfTrue="1" operator="notEqual">
      <formula>INDIRECT("Dummy_for_Comparison2!"&amp;ADDRESS(ROW(),COLUMN()))</formula>
    </cfRule>
  </conditionalFormatting>
  <conditionalFormatting sqref="K55:K61">
    <cfRule type="cellIs" dxfId="951" priority="185" stopIfTrue="1" operator="notEqual">
      <formula>INDIRECT("Dummy_for_Comparison2!"&amp;ADDRESS(ROW(),COLUMN()))</formula>
    </cfRule>
  </conditionalFormatting>
  <conditionalFormatting sqref="K63:K66">
    <cfRule type="cellIs" dxfId="950" priority="10" stopIfTrue="1" operator="notEqual">
      <formula>INDIRECT("Dummy_for_Comparison2!"&amp;ADDRESS(ROW(),COLUMN()))</formula>
    </cfRule>
  </conditionalFormatting>
  <conditionalFormatting sqref="L55:O67">
    <cfRule type="cellIs" dxfId="949" priority="4" stopIfTrue="1" operator="notEqual">
      <formula>INDIRECT("Dummy_for_Comparison2!"&amp;ADDRESS(ROW(),COLUMN()))</formula>
    </cfRule>
  </conditionalFormatting>
  <conditionalFormatting sqref="L4:R14">
    <cfRule type="cellIs" dxfId="948" priority="194" stopIfTrue="1" operator="notEqual">
      <formula>INDIRECT("Dummy_for_Comparison2!"&amp;ADDRESS(ROW(),COLUMN()))</formula>
    </cfRule>
  </conditionalFormatting>
  <conditionalFormatting sqref="N2:O2">
    <cfRule type="cellIs" dxfId="947" priority="283" stopIfTrue="1" operator="notEqual">
      <formula>INDIRECT("Dummy_for_Comparison6!"&amp;ADDRESS(ROW(),COLUMN()))</formula>
    </cfRule>
  </conditionalFormatting>
  <conditionalFormatting sqref="P2:Q2">
    <cfRule type="cellIs" dxfId="946" priority="284" stopIfTrue="1" operator="notEqual">
      <formula>INDIRECT("Dummy_for_Comparison2!"&amp;ADDRESS(ROW(),COLUMN()))</formula>
    </cfRule>
  </conditionalFormatting>
  <conditionalFormatting sqref="P63:S66">
    <cfRule type="cellIs" dxfId="945" priority="12" stopIfTrue="1" operator="notEqual">
      <formula>INDIRECT("Dummy_for_Comparison2!"&amp;ADDRESS(ROW(),COLUMN()))</formula>
    </cfRule>
  </conditionalFormatting>
  <pageMargins left="0.7" right="0.7" top="0.75" bottom="0.75" header="0.3" footer="0.3"/>
  <headerFooter>
    <oddFooter>&amp;C_x000D_&amp;1#&amp;"Calibri"&amp;6&amp;K626469 General</oddFooter>
  </headerFooter>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B62DA-71C3-4F52-BDD0-F4455A324743}">
  <sheetPr codeName="Sheet13"/>
  <dimension ref="A1:R31"/>
  <sheetViews>
    <sheetView topLeftCell="R1" zoomScale="69" workbookViewId="0">
      <selection activeCell="B18" sqref="B18:R18"/>
    </sheetView>
  </sheetViews>
  <sheetFormatPr defaultColWidth="8.77734375" defaultRowHeight="14.4" x14ac:dyDescent="0.3"/>
  <cols>
    <col min="2" max="2" width="31" customWidth="1"/>
    <col min="3" max="3" width="12.5546875" customWidth="1"/>
    <col min="7" max="7" width="17.44140625" customWidth="1"/>
    <col min="9" max="9" width="9.44140625" customWidth="1"/>
    <col min="11" max="13" width="11.5546875" customWidth="1"/>
    <col min="14" max="14" width="17" bestFit="1" customWidth="1"/>
    <col min="15" max="16" width="10.5546875" customWidth="1"/>
    <col min="18" max="18" width="36.5546875" bestFit="1" customWidth="1"/>
  </cols>
  <sheetData>
    <row r="1" spans="1:18" ht="15" thickBot="1" x14ac:dyDescent="0.35"/>
    <row r="2" spans="1:18" ht="65.400000000000006" thickBot="1" x14ac:dyDescent="0.35">
      <c r="A2" s="57"/>
      <c r="B2" s="84" t="s">
        <v>303</v>
      </c>
      <c r="C2" s="139" t="s">
        <v>304</v>
      </c>
      <c r="D2" s="65" t="s">
        <v>305</v>
      </c>
      <c r="E2" s="65" t="s">
        <v>306</v>
      </c>
      <c r="F2" s="65" t="s">
        <v>307</v>
      </c>
      <c r="G2" s="65" t="s">
        <v>308</v>
      </c>
      <c r="H2" s="65" t="s">
        <v>309</v>
      </c>
      <c r="I2" s="65" t="s">
        <v>310</v>
      </c>
      <c r="J2" s="65" t="s">
        <v>311</v>
      </c>
      <c r="K2" s="65" t="s">
        <v>745</v>
      </c>
      <c r="L2" s="65" t="s">
        <v>312</v>
      </c>
      <c r="M2" s="65" t="s">
        <v>313</v>
      </c>
      <c r="N2" s="71" t="s">
        <v>314</v>
      </c>
      <c r="O2" s="71" t="s">
        <v>315</v>
      </c>
      <c r="P2" s="65" t="s">
        <v>316</v>
      </c>
      <c r="Q2" s="65" t="s">
        <v>317</v>
      </c>
      <c r="R2" s="66" t="s">
        <v>318</v>
      </c>
    </row>
    <row r="3" spans="1:18" ht="15.6" x14ac:dyDescent="0.3">
      <c r="B3" s="497" t="s">
        <v>2375</v>
      </c>
      <c r="C3" s="508"/>
      <c r="D3" s="508"/>
      <c r="E3" s="508"/>
      <c r="F3" s="508"/>
      <c r="G3" s="508"/>
      <c r="H3" s="508"/>
      <c r="I3" s="508"/>
      <c r="J3" s="508"/>
      <c r="K3" s="508"/>
      <c r="L3" s="508"/>
      <c r="M3" s="508"/>
      <c r="N3" s="508"/>
      <c r="O3" s="508"/>
      <c r="P3" s="508"/>
      <c r="Q3" s="508"/>
      <c r="R3" s="509"/>
    </row>
    <row r="4" spans="1:18" ht="15.6" x14ac:dyDescent="0.3">
      <c r="B4" s="10" t="s">
        <v>2376</v>
      </c>
      <c r="C4" s="10" t="s">
        <v>321</v>
      </c>
      <c r="D4" s="10">
        <v>20</v>
      </c>
      <c r="E4" s="10">
        <f>D4/2</f>
        <v>10</v>
      </c>
      <c r="F4" s="10">
        <v>0</v>
      </c>
      <c r="G4" s="10">
        <v>65535</v>
      </c>
      <c r="H4" s="10">
        <v>1</v>
      </c>
      <c r="I4" s="10">
        <v>1</v>
      </c>
      <c r="J4" s="10" t="s">
        <v>322</v>
      </c>
      <c r="K4" s="10">
        <v>43251</v>
      </c>
      <c r="L4" s="10">
        <f>K4-40000</f>
        <v>3251</v>
      </c>
      <c r="M4" s="10">
        <f>L4-1</f>
        <v>3250</v>
      </c>
      <c r="N4" s="10" t="s">
        <v>323</v>
      </c>
      <c r="O4" s="10" t="s">
        <v>324</v>
      </c>
      <c r="P4" s="10"/>
      <c r="Q4" s="10"/>
      <c r="R4" s="10"/>
    </row>
    <row r="5" spans="1:18" ht="15.6" x14ac:dyDescent="0.3">
      <c r="B5" s="497" t="s">
        <v>2377</v>
      </c>
      <c r="C5" s="508"/>
      <c r="D5" s="508"/>
      <c r="E5" s="508"/>
      <c r="F5" s="508"/>
      <c r="G5" s="508"/>
      <c r="H5" s="508"/>
      <c r="I5" s="508"/>
      <c r="J5" s="508"/>
      <c r="K5" s="508"/>
      <c r="L5" s="508"/>
      <c r="M5" s="508"/>
      <c r="N5" s="508"/>
      <c r="O5" s="508"/>
      <c r="P5" s="508"/>
      <c r="Q5" s="508"/>
      <c r="R5" s="509"/>
    </row>
    <row r="6" spans="1:18" ht="15.6" x14ac:dyDescent="0.3">
      <c r="B6" s="10" t="s">
        <v>2376</v>
      </c>
      <c r="C6" s="10" t="s">
        <v>321</v>
      </c>
      <c r="D6" s="10">
        <v>20</v>
      </c>
      <c r="E6" s="10">
        <f>D6/2</f>
        <v>10</v>
      </c>
      <c r="F6" s="10">
        <v>0</v>
      </c>
      <c r="G6" s="10">
        <v>65535</v>
      </c>
      <c r="H6" s="10">
        <v>1</v>
      </c>
      <c r="I6" s="10">
        <v>1</v>
      </c>
      <c r="J6" s="10" t="s">
        <v>322</v>
      </c>
      <c r="K6" s="10">
        <f>K4+E4</f>
        <v>43261</v>
      </c>
      <c r="L6" s="10">
        <f>K6-40000</f>
        <v>3261</v>
      </c>
      <c r="M6" s="10">
        <f>L6-1</f>
        <v>3260</v>
      </c>
      <c r="N6" s="10" t="s">
        <v>323</v>
      </c>
      <c r="O6" s="10" t="s">
        <v>324</v>
      </c>
      <c r="P6" s="10"/>
      <c r="Q6" s="10"/>
      <c r="R6" s="10"/>
    </row>
    <row r="7" spans="1:18" ht="15.6" x14ac:dyDescent="0.3">
      <c r="B7" s="497" t="s">
        <v>2378</v>
      </c>
      <c r="C7" s="508"/>
      <c r="D7" s="508"/>
      <c r="E7" s="508"/>
      <c r="F7" s="508"/>
      <c r="G7" s="508"/>
      <c r="H7" s="508"/>
      <c r="I7" s="508"/>
      <c r="J7" s="508"/>
      <c r="K7" s="508"/>
      <c r="L7" s="508"/>
      <c r="M7" s="508"/>
      <c r="N7" s="508"/>
      <c r="O7" s="508"/>
      <c r="P7" s="508"/>
      <c r="Q7" s="508"/>
      <c r="R7" s="509"/>
    </row>
    <row r="8" spans="1:18" ht="15.6" x14ac:dyDescent="0.3">
      <c r="B8" s="10" t="s">
        <v>2376</v>
      </c>
      <c r="C8" s="10" t="s">
        <v>321</v>
      </c>
      <c r="D8" s="10">
        <v>20</v>
      </c>
      <c r="E8" s="10">
        <f>D8/2</f>
        <v>10</v>
      </c>
      <c r="F8" s="10">
        <v>0</v>
      </c>
      <c r="G8" s="10">
        <v>65535</v>
      </c>
      <c r="H8" s="10">
        <v>1</v>
      </c>
      <c r="I8" s="10">
        <v>1</v>
      </c>
      <c r="J8" s="10" t="s">
        <v>322</v>
      </c>
      <c r="K8" s="10">
        <f>K6+E6</f>
        <v>43271</v>
      </c>
      <c r="L8" s="10">
        <f>K8-40000</f>
        <v>3271</v>
      </c>
      <c r="M8" s="10">
        <f>L8-1</f>
        <v>3270</v>
      </c>
      <c r="N8" s="10" t="s">
        <v>323</v>
      </c>
      <c r="O8" s="10" t="s">
        <v>324</v>
      </c>
      <c r="P8" s="10"/>
      <c r="Q8" s="10"/>
      <c r="R8" s="10"/>
    </row>
    <row r="9" spans="1:18" ht="15.6" x14ac:dyDescent="0.3">
      <c r="B9" s="497" t="s">
        <v>324</v>
      </c>
      <c r="C9" s="508"/>
      <c r="D9" s="508"/>
      <c r="E9" s="508"/>
      <c r="F9" s="508"/>
      <c r="G9" s="508"/>
      <c r="H9" s="508"/>
      <c r="I9" s="508"/>
      <c r="J9" s="508"/>
      <c r="K9" s="508"/>
      <c r="L9" s="508"/>
      <c r="M9" s="508"/>
      <c r="N9" s="508"/>
      <c r="O9" s="508"/>
      <c r="P9" s="508"/>
      <c r="Q9" s="508"/>
      <c r="R9" s="509"/>
    </row>
    <row r="10" spans="1:18" ht="15.6" x14ac:dyDescent="0.3">
      <c r="B10" s="10" t="s">
        <v>2376</v>
      </c>
      <c r="C10" s="10" t="s">
        <v>321</v>
      </c>
      <c r="D10" s="10">
        <v>20</v>
      </c>
      <c r="E10" s="10">
        <f>D10/2</f>
        <v>10</v>
      </c>
      <c r="F10" s="10">
        <v>0</v>
      </c>
      <c r="G10" s="10">
        <v>65535</v>
      </c>
      <c r="H10" s="10">
        <v>1</v>
      </c>
      <c r="I10" s="10">
        <v>1</v>
      </c>
      <c r="J10" s="10" t="s">
        <v>322</v>
      </c>
      <c r="K10" s="10">
        <f>K8+E8</f>
        <v>43281</v>
      </c>
      <c r="L10" s="10">
        <f>K10-40000</f>
        <v>3281</v>
      </c>
      <c r="M10" s="10">
        <f>L10-1</f>
        <v>3280</v>
      </c>
      <c r="N10" s="10" t="s">
        <v>323</v>
      </c>
      <c r="O10" s="10" t="s">
        <v>324</v>
      </c>
      <c r="P10" s="10"/>
      <c r="Q10" s="10"/>
      <c r="R10" s="10"/>
    </row>
    <row r="11" spans="1:18" ht="15.6" x14ac:dyDescent="0.3">
      <c r="B11" s="497" t="s">
        <v>2379</v>
      </c>
      <c r="C11" s="508"/>
      <c r="D11" s="508"/>
      <c r="E11" s="508"/>
      <c r="F11" s="508"/>
      <c r="G11" s="508"/>
      <c r="H11" s="508"/>
      <c r="I11" s="508"/>
      <c r="J11" s="508"/>
      <c r="K11" s="508"/>
      <c r="L11" s="508"/>
      <c r="M11" s="508"/>
      <c r="N11" s="508"/>
      <c r="O11" s="508"/>
      <c r="P11" s="508"/>
      <c r="Q11" s="508"/>
      <c r="R11" s="509"/>
    </row>
    <row r="12" spans="1:18" ht="15.6" x14ac:dyDescent="0.3">
      <c r="B12" s="10" t="s">
        <v>2376</v>
      </c>
      <c r="C12" s="10" t="s">
        <v>321</v>
      </c>
      <c r="D12" s="10">
        <v>20</v>
      </c>
      <c r="E12" s="10">
        <f>D12/2</f>
        <v>10</v>
      </c>
      <c r="F12" s="10">
        <v>0</v>
      </c>
      <c r="G12" s="10">
        <v>65535</v>
      </c>
      <c r="H12" s="10">
        <v>1</v>
      </c>
      <c r="I12" s="10">
        <v>1</v>
      </c>
      <c r="J12" s="10" t="s">
        <v>322</v>
      </c>
      <c r="K12" s="10">
        <f>K10+E10</f>
        <v>43291</v>
      </c>
      <c r="L12" s="10">
        <f>K12-40000</f>
        <v>3291</v>
      </c>
      <c r="M12" s="10">
        <f>L12-1</f>
        <v>3290</v>
      </c>
      <c r="N12" s="10" t="s">
        <v>323</v>
      </c>
      <c r="O12" s="10" t="s">
        <v>324</v>
      </c>
      <c r="P12" s="10"/>
      <c r="Q12" s="10"/>
      <c r="R12" s="10"/>
    </row>
    <row r="13" spans="1:18" ht="15.6" x14ac:dyDescent="0.3">
      <c r="B13" s="497" t="s">
        <v>2380</v>
      </c>
      <c r="C13" s="508"/>
      <c r="D13" s="508"/>
      <c r="E13" s="508"/>
      <c r="F13" s="508"/>
      <c r="G13" s="508"/>
      <c r="H13" s="508"/>
      <c r="I13" s="508"/>
      <c r="J13" s="508"/>
      <c r="K13" s="508"/>
      <c r="L13" s="508"/>
      <c r="M13" s="508"/>
      <c r="N13" s="508"/>
      <c r="O13" s="508"/>
      <c r="P13" s="508"/>
      <c r="Q13" s="508"/>
      <c r="R13" s="509"/>
    </row>
    <row r="14" spans="1:18" ht="15.6" x14ac:dyDescent="0.3">
      <c r="B14" s="10" t="s">
        <v>2376</v>
      </c>
      <c r="C14" s="10" t="s">
        <v>321</v>
      </c>
      <c r="D14" s="10">
        <v>20</v>
      </c>
      <c r="E14" s="10">
        <f>D14/2</f>
        <v>10</v>
      </c>
      <c r="F14" s="10">
        <v>0</v>
      </c>
      <c r="G14" s="10">
        <v>65535</v>
      </c>
      <c r="H14" s="10">
        <v>1</v>
      </c>
      <c r="I14" s="10">
        <v>1</v>
      </c>
      <c r="J14" s="10" t="s">
        <v>322</v>
      </c>
      <c r="K14" s="10">
        <f>K12+E12</f>
        <v>43301</v>
      </c>
      <c r="L14" s="10">
        <f>K14-40000</f>
        <v>3301</v>
      </c>
      <c r="M14" s="10">
        <f>L14-1</f>
        <v>3300</v>
      </c>
      <c r="N14" s="10" t="s">
        <v>323</v>
      </c>
      <c r="O14" s="10" t="s">
        <v>324</v>
      </c>
      <c r="P14" s="10"/>
      <c r="Q14" s="10"/>
      <c r="R14" s="10"/>
    </row>
    <row r="18" spans="2:18" ht="15.6" x14ac:dyDescent="0.3">
      <c r="B18" s="497" t="s">
        <v>2381</v>
      </c>
      <c r="C18" s="508"/>
      <c r="D18" s="508"/>
      <c r="E18" s="508"/>
      <c r="F18" s="508"/>
      <c r="G18" s="508"/>
      <c r="H18" s="508"/>
      <c r="I18" s="508"/>
      <c r="J18" s="508"/>
      <c r="K18" s="508"/>
      <c r="L18" s="508"/>
      <c r="M18" s="508"/>
      <c r="N18" s="508"/>
      <c r="O18" s="508"/>
      <c r="P18" s="508"/>
      <c r="Q18" s="508"/>
      <c r="R18" s="509"/>
    </row>
    <row r="19" spans="2:18" ht="15.6" x14ac:dyDescent="0.3">
      <c r="B19" s="10" t="s">
        <v>2376</v>
      </c>
      <c r="C19" s="10" t="s">
        <v>321</v>
      </c>
      <c r="D19" s="10">
        <v>10</v>
      </c>
      <c r="E19" s="10">
        <f>D19/2</f>
        <v>5</v>
      </c>
      <c r="F19" s="10">
        <v>0</v>
      </c>
      <c r="G19" s="10">
        <v>65535</v>
      </c>
      <c r="H19" s="10">
        <v>1</v>
      </c>
      <c r="I19" s="10">
        <v>1</v>
      </c>
      <c r="J19" s="10" t="s">
        <v>418</v>
      </c>
      <c r="K19" s="10">
        <v>43376</v>
      </c>
      <c r="L19" s="10">
        <f>K19-40000</f>
        <v>3376</v>
      </c>
      <c r="M19" s="10">
        <f>L19-1</f>
        <v>3375</v>
      </c>
      <c r="N19" s="10" t="s">
        <v>2382</v>
      </c>
      <c r="O19" s="10" t="s">
        <v>327</v>
      </c>
      <c r="P19" s="10"/>
      <c r="Q19" s="10"/>
      <c r="R19" s="10"/>
    </row>
    <row r="20" spans="2:18" ht="15.6" x14ac:dyDescent="0.3">
      <c r="B20" s="497" t="s">
        <v>2383</v>
      </c>
      <c r="C20" s="508"/>
      <c r="D20" s="508"/>
      <c r="E20" s="508"/>
      <c r="F20" s="508"/>
      <c r="G20" s="508"/>
      <c r="H20" s="508"/>
      <c r="I20" s="508"/>
      <c r="J20" s="508"/>
      <c r="K20" s="508"/>
      <c r="L20" s="508"/>
      <c r="M20" s="508"/>
      <c r="N20" s="508"/>
      <c r="O20" s="508"/>
      <c r="P20" s="508"/>
      <c r="Q20" s="508"/>
      <c r="R20" s="509"/>
    </row>
    <row r="21" spans="2:18" ht="15.6" x14ac:dyDescent="0.3">
      <c r="B21" s="10" t="s">
        <v>2376</v>
      </c>
      <c r="C21" s="10" t="s">
        <v>321</v>
      </c>
      <c r="D21" s="10">
        <v>10</v>
      </c>
      <c r="E21" s="10">
        <f>D21/2</f>
        <v>5</v>
      </c>
      <c r="F21" s="10">
        <v>0</v>
      </c>
      <c r="G21" s="10">
        <v>65535</v>
      </c>
      <c r="H21" s="10">
        <v>1</v>
      </c>
      <c r="I21" s="10">
        <v>1</v>
      </c>
      <c r="J21" s="10" t="s">
        <v>418</v>
      </c>
      <c r="K21" s="10">
        <f>K19+E19</f>
        <v>43381</v>
      </c>
      <c r="L21" s="10">
        <f>K21-40000</f>
        <v>3381</v>
      </c>
      <c r="M21" s="10">
        <f>L21-1</f>
        <v>3380</v>
      </c>
      <c r="N21" s="10" t="s">
        <v>2382</v>
      </c>
      <c r="O21" s="10" t="s">
        <v>327</v>
      </c>
      <c r="P21" s="10"/>
      <c r="Q21" s="10"/>
      <c r="R21" s="10"/>
    </row>
    <row r="22" spans="2:18" ht="15.6" x14ac:dyDescent="0.3">
      <c r="B22" s="497" t="s">
        <v>2384</v>
      </c>
      <c r="C22" s="508"/>
      <c r="D22" s="508"/>
      <c r="E22" s="508"/>
      <c r="F22" s="508"/>
      <c r="G22" s="508"/>
      <c r="H22" s="508"/>
      <c r="I22" s="508"/>
      <c r="J22" s="508"/>
      <c r="K22" s="508"/>
      <c r="L22" s="508"/>
      <c r="M22" s="508"/>
      <c r="N22" s="508"/>
      <c r="O22" s="508"/>
      <c r="P22" s="508"/>
      <c r="Q22" s="508"/>
      <c r="R22" s="509"/>
    </row>
    <row r="23" spans="2:18" ht="15.6" x14ac:dyDescent="0.3">
      <c r="B23" s="10" t="s">
        <v>2376</v>
      </c>
      <c r="C23" s="10" t="s">
        <v>321</v>
      </c>
      <c r="D23" s="10">
        <v>10</v>
      </c>
      <c r="E23" s="10">
        <f>D23/2</f>
        <v>5</v>
      </c>
      <c r="F23" s="10">
        <v>0</v>
      </c>
      <c r="G23" s="10">
        <v>65535</v>
      </c>
      <c r="H23" s="10">
        <v>1</v>
      </c>
      <c r="I23" s="10">
        <v>1</v>
      </c>
      <c r="J23" s="10" t="s">
        <v>418</v>
      </c>
      <c r="K23" s="10">
        <f>K21+E21</f>
        <v>43386</v>
      </c>
      <c r="L23" s="10">
        <f>K23-40000</f>
        <v>3386</v>
      </c>
      <c r="M23" s="10">
        <f>L23-1</f>
        <v>3385</v>
      </c>
      <c r="N23" s="10" t="s">
        <v>2382</v>
      </c>
      <c r="O23" s="10" t="s">
        <v>327</v>
      </c>
      <c r="P23" s="10"/>
      <c r="Q23" s="10"/>
      <c r="R23" s="10"/>
    </row>
    <row r="24" spans="2:18" ht="15.6" x14ac:dyDescent="0.3">
      <c r="B24" s="497" t="s">
        <v>2385</v>
      </c>
      <c r="C24" s="508"/>
      <c r="D24" s="508"/>
      <c r="E24" s="508"/>
      <c r="F24" s="508"/>
      <c r="G24" s="508"/>
      <c r="H24" s="508"/>
      <c r="I24" s="508"/>
      <c r="J24" s="508"/>
      <c r="K24" s="508"/>
      <c r="L24" s="508"/>
      <c r="M24" s="508"/>
      <c r="N24" s="508"/>
      <c r="O24" s="508"/>
      <c r="P24" s="508"/>
      <c r="Q24" s="508"/>
      <c r="R24" s="509"/>
    </row>
    <row r="25" spans="2:18" ht="15.6" x14ac:dyDescent="0.3">
      <c r="B25" s="10" t="s">
        <v>2376</v>
      </c>
      <c r="C25" s="10" t="s">
        <v>321</v>
      </c>
      <c r="D25" s="10">
        <v>10</v>
      </c>
      <c r="E25" s="10">
        <f>D25/2</f>
        <v>5</v>
      </c>
      <c r="F25" s="10">
        <v>0</v>
      </c>
      <c r="G25" s="10">
        <v>65535</v>
      </c>
      <c r="H25" s="10">
        <v>1</v>
      </c>
      <c r="I25" s="10">
        <v>1</v>
      </c>
      <c r="J25" s="10" t="s">
        <v>418</v>
      </c>
      <c r="K25" s="10">
        <f>K23+E23</f>
        <v>43391</v>
      </c>
      <c r="L25" s="10">
        <f>K25-40000</f>
        <v>3391</v>
      </c>
      <c r="M25" s="10">
        <f>L25-1</f>
        <v>3390</v>
      </c>
      <c r="N25" s="10" t="s">
        <v>2382</v>
      </c>
      <c r="O25" s="10" t="s">
        <v>327</v>
      </c>
      <c r="P25" s="10"/>
      <c r="Q25" s="10"/>
      <c r="R25" s="10"/>
    </row>
    <row r="26" spans="2:18" ht="15.6" x14ac:dyDescent="0.3">
      <c r="B26" s="497" t="s">
        <v>2386</v>
      </c>
      <c r="C26" s="508"/>
      <c r="D26" s="508"/>
      <c r="E26" s="508"/>
      <c r="F26" s="508"/>
      <c r="G26" s="508"/>
      <c r="H26" s="508"/>
      <c r="I26" s="508"/>
      <c r="J26" s="508"/>
      <c r="K26" s="508"/>
      <c r="L26" s="508"/>
      <c r="M26" s="508"/>
      <c r="N26" s="508"/>
      <c r="O26" s="508"/>
      <c r="P26" s="508"/>
      <c r="Q26" s="508"/>
      <c r="R26" s="509"/>
    </row>
    <row r="27" spans="2:18" ht="15.6" x14ac:dyDescent="0.3">
      <c r="B27" s="10" t="s">
        <v>2376</v>
      </c>
      <c r="C27" s="10" t="s">
        <v>321</v>
      </c>
      <c r="D27" s="10">
        <v>10</v>
      </c>
      <c r="E27" s="10">
        <f>D27/2</f>
        <v>5</v>
      </c>
      <c r="F27" s="10">
        <v>0</v>
      </c>
      <c r="G27" s="10">
        <v>65535</v>
      </c>
      <c r="H27" s="10">
        <v>1</v>
      </c>
      <c r="I27" s="10">
        <v>1</v>
      </c>
      <c r="J27" s="10" t="s">
        <v>418</v>
      </c>
      <c r="K27" s="10">
        <f>K25+E25</f>
        <v>43396</v>
      </c>
      <c r="L27" s="10">
        <f>K27-40000</f>
        <v>3396</v>
      </c>
      <c r="M27" s="10">
        <f>L27-1</f>
        <v>3395</v>
      </c>
      <c r="N27" s="10" t="s">
        <v>2382</v>
      </c>
      <c r="O27" s="10" t="s">
        <v>327</v>
      </c>
      <c r="P27" s="10"/>
      <c r="Q27" s="10"/>
      <c r="R27" s="10"/>
    </row>
    <row r="28" spans="2:18" ht="15.6" x14ac:dyDescent="0.3">
      <c r="B28" s="497" t="s">
        <v>2387</v>
      </c>
      <c r="C28" s="508"/>
      <c r="D28" s="508"/>
      <c r="E28" s="508"/>
      <c r="F28" s="508"/>
      <c r="G28" s="508"/>
      <c r="H28" s="508"/>
      <c r="I28" s="508"/>
      <c r="J28" s="508"/>
      <c r="K28" s="508"/>
      <c r="L28" s="508"/>
      <c r="M28" s="508"/>
      <c r="N28" s="508"/>
      <c r="O28" s="508"/>
      <c r="P28" s="508"/>
      <c r="Q28" s="508"/>
      <c r="R28" s="509"/>
    </row>
    <row r="29" spans="2:18" ht="15.6" x14ac:dyDescent="0.3">
      <c r="B29" s="10" t="s">
        <v>2376</v>
      </c>
      <c r="C29" s="10" t="s">
        <v>321</v>
      </c>
      <c r="D29" s="10">
        <v>10</v>
      </c>
      <c r="E29" s="10">
        <f>D29/2</f>
        <v>5</v>
      </c>
      <c r="F29" s="10">
        <v>0</v>
      </c>
      <c r="G29" s="10">
        <v>65535</v>
      </c>
      <c r="H29" s="10">
        <v>1</v>
      </c>
      <c r="I29" s="10">
        <v>1</v>
      </c>
      <c r="J29" s="10" t="s">
        <v>418</v>
      </c>
      <c r="K29" s="10">
        <f>K27+E27</f>
        <v>43401</v>
      </c>
      <c r="L29" s="10">
        <f>K29-40000</f>
        <v>3401</v>
      </c>
      <c r="M29" s="10">
        <f>L29-1</f>
        <v>3400</v>
      </c>
      <c r="N29" s="10" t="s">
        <v>2382</v>
      </c>
      <c r="O29" s="10" t="s">
        <v>327</v>
      </c>
      <c r="P29" s="10"/>
      <c r="Q29" s="10"/>
      <c r="R29" s="10"/>
    </row>
    <row r="30" spans="2:18" ht="15.6" x14ac:dyDescent="0.3">
      <c r="B30" s="497" t="s">
        <v>2388</v>
      </c>
      <c r="C30" s="508"/>
      <c r="D30" s="508"/>
      <c r="E30" s="508"/>
      <c r="F30" s="508"/>
      <c r="G30" s="508"/>
      <c r="H30" s="508"/>
      <c r="I30" s="508"/>
      <c r="J30" s="508"/>
      <c r="K30" s="508"/>
      <c r="L30" s="508"/>
      <c r="M30" s="508"/>
      <c r="N30" s="508"/>
      <c r="O30" s="508"/>
      <c r="P30" s="508"/>
      <c r="Q30" s="508"/>
      <c r="R30" s="509"/>
    </row>
    <row r="31" spans="2:18" ht="15.6" x14ac:dyDescent="0.3">
      <c r="B31" s="10" t="s">
        <v>2376</v>
      </c>
      <c r="C31" s="10" t="s">
        <v>321</v>
      </c>
      <c r="D31" s="10">
        <v>10</v>
      </c>
      <c r="E31" s="10">
        <f>D31/2</f>
        <v>5</v>
      </c>
      <c r="F31" s="10">
        <v>0</v>
      </c>
      <c r="G31" s="10">
        <v>65535</v>
      </c>
      <c r="H31" s="10">
        <v>1</v>
      </c>
      <c r="I31" s="10">
        <v>1</v>
      </c>
      <c r="J31" s="10" t="s">
        <v>418</v>
      </c>
      <c r="K31" s="10">
        <f>K29+E29</f>
        <v>43406</v>
      </c>
      <c r="L31" s="10">
        <f>K31-40000</f>
        <v>3406</v>
      </c>
      <c r="M31" s="10">
        <f>L31-1</f>
        <v>3405</v>
      </c>
      <c r="N31" s="10" t="s">
        <v>2382</v>
      </c>
      <c r="O31" s="10" t="s">
        <v>327</v>
      </c>
      <c r="P31" s="10"/>
      <c r="Q31" s="10"/>
      <c r="R31" s="10"/>
    </row>
  </sheetData>
  <mergeCells count="13">
    <mergeCell ref="B13:R13"/>
    <mergeCell ref="B3:R3"/>
    <mergeCell ref="B5:R5"/>
    <mergeCell ref="B7:R7"/>
    <mergeCell ref="B9:R9"/>
    <mergeCell ref="B11:R11"/>
    <mergeCell ref="B30:R30"/>
    <mergeCell ref="B18:R18"/>
    <mergeCell ref="B20:R20"/>
    <mergeCell ref="B22:R22"/>
    <mergeCell ref="B24:R24"/>
    <mergeCell ref="B26:R26"/>
    <mergeCell ref="B28:R28"/>
  </mergeCells>
  <conditionalFormatting sqref="B2:M2">
    <cfRule type="cellIs" dxfId="944" priority="156" stopIfTrue="1" operator="notEqual">
      <formula>INDIRECT("Dummy_for_Comparison2!"&amp;ADDRESS(ROW(),COLUMN()))</formula>
    </cfRule>
  </conditionalFormatting>
  <conditionalFormatting sqref="B4:R4">
    <cfRule type="cellIs" dxfId="943" priority="109" stopIfTrue="1" operator="notEqual">
      <formula>INDIRECT("Dummy_for_Comparison2!"&amp;ADDRESS(ROW(),COLUMN()))</formula>
    </cfRule>
  </conditionalFormatting>
  <conditionalFormatting sqref="B6:R6">
    <cfRule type="cellIs" dxfId="942" priority="99" stopIfTrue="1" operator="notEqual">
      <formula>INDIRECT("Dummy_for_Comparison2!"&amp;ADDRESS(ROW(),COLUMN()))</formula>
    </cfRule>
  </conditionalFormatting>
  <conditionalFormatting sqref="B8:R8">
    <cfRule type="cellIs" dxfId="941" priority="98" stopIfTrue="1" operator="notEqual">
      <formula>INDIRECT("Dummy_for_Comparison2!"&amp;ADDRESS(ROW(),COLUMN()))</formula>
    </cfRule>
  </conditionalFormatting>
  <conditionalFormatting sqref="B10:R10">
    <cfRule type="cellIs" dxfId="940" priority="97" stopIfTrue="1" operator="notEqual">
      <formula>INDIRECT("Dummy_for_Comparison2!"&amp;ADDRESS(ROW(),COLUMN()))</formula>
    </cfRule>
  </conditionalFormatting>
  <conditionalFormatting sqref="B12:R12">
    <cfRule type="cellIs" dxfId="939" priority="96" stopIfTrue="1" operator="notEqual">
      <formula>INDIRECT("Dummy_for_Comparison2!"&amp;ADDRESS(ROW(),COLUMN()))</formula>
    </cfRule>
  </conditionalFormatting>
  <conditionalFormatting sqref="B14:R14">
    <cfRule type="cellIs" dxfId="938" priority="95" stopIfTrue="1" operator="notEqual">
      <formula>INDIRECT("Dummy_for_Comparison2!"&amp;ADDRESS(ROW(),COLUMN()))</formula>
    </cfRule>
  </conditionalFormatting>
  <conditionalFormatting sqref="B19:R19">
    <cfRule type="cellIs" dxfId="937" priority="18" stopIfTrue="1" operator="notEqual">
      <formula>INDIRECT("Dummy_for_Comparison2!"&amp;ADDRESS(ROW(),COLUMN()))</formula>
    </cfRule>
  </conditionalFormatting>
  <conditionalFormatting sqref="B21:R21">
    <cfRule type="cellIs" dxfId="936" priority="6" stopIfTrue="1" operator="notEqual">
      <formula>INDIRECT("Dummy_for_Comparison2!"&amp;ADDRESS(ROW(),COLUMN()))</formula>
    </cfRule>
  </conditionalFormatting>
  <conditionalFormatting sqref="B23:R23">
    <cfRule type="cellIs" dxfId="935" priority="5" stopIfTrue="1" operator="notEqual">
      <formula>INDIRECT("Dummy_for_Comparison2!"&amp;ADDRESS(ROW(),COLUMN()))</formula>
    </cfRule>
  </conditionalFormatting>
  <conditionalFormatting sqref="B25:R25">
    <cfRule type="cellIs" dxfId="934" priority="4" stopIfTrue="1" operator="notEqual">
      <formula>INDIRECT("Dummy_for_Comparison2!"&amp;ADDRESS(ROW(),COLUMN()))</formula>
    </cfRule>
  </conditionalFormatting>
  <conditionalFormatting sqref="B27:R27">
    <cfRule type="cellIs" dxfId="933" priority="3" stopIfTrue="1" operator="notEqual">
      <formula>INDIRECT("Dummy_for_Comparison2!"&amp;ADDRESS(ROW(),COLUMN()))</formula>
    </cfRule>
  </conditionalFormatting>
  <conditionalFormatting sqref="B29:R29">
    <cfRule type="cellIs" dxfId="932" priority="2" stopIfTrue="1" operator="notEqual">
      <formula>INDIRECT("Dummy_for_Comparison2!"&amp;ADDRESS(ROW(),COLUMN()))</formula>
    </cfRule>
  </conditionalFormatting>
  <conditionalFormatting sqref="B31:R31">
    <cfRule type="cellIs" dxfId="931" priority="1" stopIfTrue="1" operator="notEqual">
      <formula>INDIRECT("Dummy_for_Comparison2!"&amp;ADDRESS(ROW(),COLUMN()))</formula>
    </cfRule>
  </conditionalFormatting>
  <conditionalFormatting sqref="N2:O2">
    <cfRule type="cellIs" dxfId="930" priority="165" stopIfTrue="1" operator="notEqual">
      <formula>INDIRECT("Dummy_for_Comparison6!"&amp;ADDRESS(ROW(),COLUMN()))</formula>
    </cfRule>
  </conditionalFormatting>
  <conditionalFormatting sqref="P2:Q2">
    <cfRule type="cellIs" dxfId="929" priority="166" stopIfTrue="1" operator="notEqual">
      <formula>INDIRECT("Dummy_for_Comparison2!"&amp;ADDRESS(ROW(),COLUMN()))</formula>
    </cfRule>
  </conditionalFormatting>
  <pageMargins left="0.7" right="0.7" top="0.75" bottom="0.75" header="0.3" footer="0.3"/>
  <headerFooter>
    <oddFooter>&amp;C_x000D_&amp;1#&amp;"Calibri"&amp;6&amp;K626469 General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2602-58B4-4C65-98A5-CA5E9E5EE819}">
  <sheetPr codeName="Sheet14"/>
  <dimension ref="B8:I46"/>
  <sheetViews>
    <sheetView topLeftCell="A10" workbookViewId="0">
      <selection activeCell="I49" sqref="I49"/>
    </sheetView>
  </sheetViews>
  <sheetFormatPr defaultColWidth="8.5546875" defaultRowHeight="14.4" x14ac:dyDescent="0.3"/>
  <cols>
    <col min="4" max="4" width="22.5546875" customWidth="1"/>
    <col min="5" max="5" width="22.44140625" customWidth="1"/>
    <col min="6" max="6" width="16.5546875" customWidth="1"/>
    <col min="7" max="7" width="32.44140625" hidden="1" customWidth="1"/>
    <col min="8" max="8" width="22.44140625" customWidth="1"/>
    <col min="9" max="9" width="14.44140625" customWidth="1"/>
  </cols>
  <sheetData>
    <row r="8" spans="3:9" x14ac:dyDescent="0.3">
      <c r="C8" s="136" t="s">
        <v>2389</v>
      </c>
    </row>
    <row r="12" spans="3:9" x14ac:dyDescent="0.3">
      <c r="C12" s="137" t="s">
        <v>2390</v>
      </c>
      <c r="D12" s="137" t="s">
        <v>2391</v>
      </c>
      <c r="E12" s="137" t="s">
        <v>2392</v>
      </c>
      <c r="F12" s="137" t="s">
        <v>2393</v>
      </c>
      <c r="G12" s="137" t="s">
        <v>2394</v>
      </c>
      <c r="H12" s="137" t="s">
        <v>2328</v>
      </c>
      <c r="I12" s="137" t="s">
        <v>2395</v>
      </c>
    </row>
    <row r="13" spans="3:9" x14ac:dyDescent="0.3">
      <c r="C13" s="54">
        <v>0</v>
      </c>
      <c r="D13" s="54" t="s">
        <v>2396</v>
      </c>
      <c r="E13" s="54" t="s">
        <v>2397</v>
      </c>
      <c r="F13" s="54" t="s">
        <v>2398</v>
      </c>
      <c r="G13" s="54" t="s">
        <v>2399</v>
      </c>
      <c r="H13" s="54" t="s">
        <v>2400</v>
      </c>
      <c r="I13" s="54">
        <v>20</v>
      </c>
    </row>
    <row r="14" spans="3:9" x14ac:dyDescent="0.3">
      <c r="C14" s="54">
        <v>1</v>
      </c>
      <c r="D14" s="54" t="s">
        <v>2370</v>
      </c>
      <c r="E14" s="54" t="s">
        <v>2397</v>
      </c>
      <c r="F14" s="54" t="s">
        <v>2398</v>
      </c>
      <c r="G14" s="54" t="s">
        <v>2401</v>
      </c>
      <c r="H14" s="54"/>
      <c r="I14" s="54">
        <v>20</v>
      </c>
    </row>
    <row r="15" spans="3:9" x14ac:dyDescent="0.3">
      <c r="C15" s="54">
        <v>2</v>
      </c>
      <c r="D15" s="54" t="s">
        <v>2402</v>
      </c>
      <c r="E15" s="54" t="s">
        <v>2397</v>
      </c>
      <c r="F15" s="54" t="s">
        <v>2398</v>
      </c>
      <c r="G15" s="54" t="s">
        <v>2401</v>
      </c>
      <c r="H15" s="54"/>
      <c r="I15" s="54">
        <v>10</v>
      </c>
    </row>
    <row r="16" spans="3:9" x14ac:dyDescent="0.3">
      <c r="C16" s="54">
        <v>3</v>
      </c>
      <c r="D16" s="54" t="s">
        <v>2403</v>
      </c>
      <c r="E16" s="54" t="s">
        <v>2397</v>
      </c>
      <c r="F16" s="54" t="s">
        <v>2404</v>
      </c>
      <c r="G16" s="55" t="s">
        <v>2405</v>
      </c>
      <c r="H16" s="54" t="s">
        <v>2406</v>
      </c>
      <c r="I16" s="54">
        <v>20</v>
      </c>
    </row>
    <row r="17" spans="2:9" x14ac:dyDescent="0.3">
      <c r="C17" s="54">
        <v>4</v>
      </c>
      <c r="D17" s="54" t="s">
        <v>2407</v>
      </c>
      <c r="E17" s="54" t="s">
        <v>2397</v>
      </c>
      <c r="F17" s="54" t="s">
        <v>2404</v>
      </c>
      <c r="G17" s="54" t="s">
        <v>2408</v>
      </c>
      <c r="H17" s="54"/>
      <c r="I17" s="54">
        <v>26</v>
      </c>
    </row>
    <row r="18" spans="2:9" x14ac:dyDescent="0.3">
      <c r="C18" s="54">
        <v>5</v>
      </c>
      <c r="D18" s="54" t="s">
        <v>2409</v>
      </c>
      <c r="E18" s="54" t="s">
        <v>2397</v>
      </c>
      <c r="F18" s="54" t="s">
        <v>2404</v>
      </c>
      <c r="G18" s="54" t="s">
        <v>2410</v>
      </c>
      <c r="H18" s="54"/>
      <c r="I18" s="54">
        <v>10</v>
      </c>
    </row>
    <row r="19" spans="2:9" x14ac:dyDescent="0.3">
      <c r="C19" s="54">
        <v>6</v>
      </c>
      <c r="D19" s="54" t="s">
        <v>2411</v>
      </c>
      <c r="E19" s="54" t="s">
        <v>2397</v>
      </c>
      <c r="F19" s="54" t="s">
        <v>2404</v>
      </c>
      <c r="G19" s="70" t="s">
        <v>2401</v>
      </c>
      <c r="H19" s="54"/>
      <c r="I19" s="54">
        <v>32</v>
      </c>
    </row>
    <row r="20" spans="2:9" x14ac:dyDescent="0.3">
      <c r="C20" s="56"/>
      <c r="D20" s="56"/>
      <c r="E20" s="56"/>
      <c r="F20" s="56"/>
      <c r="G20" s="89"/>
      <c r="H20" s="56"/>
      <c r="I20" s="56"/>
    </row>
    <row r="21" spans="2:9" x14ac:dyDescent="0.3">
      <c r="C21" s="56"/>
      <c r="D21" s="56"/>
      <c r="E21" s="56"/>
      <c r="F21" s="56"/>
      <c r="G21" s="89"/>
      <c r="H21" s="56"/>
      <c r="I21" s="56"/>
    </row>
    <row r="24" spans="2:9" hidden="1" x14ac:dyDescent="0.3"/>
    <row r="25" spans="2:9" hidden="1" x14ac:dyDescent="0.3">
      <c r="B25" s="62" t="s">
        <v>2412</v>
      </c>
    </row>
    <row r="26" spans="2:9" hidden="1" x14ac:dyDescent="0.3"/>
    <row r="27" spans="2:9" hidden="1" x14ac:dyDescent="0.3">
      <c r="B27" s="70" t="s">
        <v>2413</v>
      </c>
      <c r="C27" s="70" t="s">
        <v>2414</v>
      </c>
      <c r="D27" s="70" t="s">
        <v>2415</v>
      </c>
      <c r="E27" s="70" t="s">
        <v>2416</v>
      </c>
      <c r="F27" s="70" t="s">
        <v>2315</v>
      </c>
    </row>
    <row r="28" spans="2:9" hidden="1" x14ac:dyDescent="0.3">
      <c r="B28" s="70">
        <v>1</v>
      </c>
      <c r="C28" s="70">
        <v>66</v>
      </c>
      <c r="D28" s="70">
        <v>186</v>
      </c>
      <c r="E28" s="70"/>
      <c r="F28" s="70"/>
    </row>
    <row r="29" spans="2:9" hidden="1" x14ac:dyDescent="0.3"/>
    <row r="30" spans="2:9" hidden="1" x14ac:dyDescent="0.3">
      <c r="C30" s="55" t="s">
        <v>2417</v>
      </c>
      <c r="D30" s="54" t="s">
        <v>2418</v>
      </c>
      <c r="E30" s="54" t="s">
        <v>2419</v>
      </c>
    </row>
    <row r="31" spans="2:9" hidden="1" x14ac:dyDescent="0.3">
      <c r="D31" s="54" t="s">
        <v>2420</v>
      </c>
      <c r="E31" s="54">
        <v>32</v>
      </c>
    </row>
    <row r="32" spans="2:9" hidden="1" x14ac:dyDescent="0.3">
      <c r="D32" s="54" t="s">
        <v>1912</v>
      </c>
      <c r="E32" s="54">
        <v>2</v>
      </c>
    </row>
    <row r="33" spans="4:5" hidden="1" x14ac:dyDescent="0.3">
      <c r="D33" s="54" t="s">
        <v>944</v>
      </c>
      <c r="E33" s="54">
        <v>2</v>
      </c>
    </row>
    <row r="34" spans="4:5" hidden="1" x14ac:dyDescent="0.3">
      <c r="D34" s="54" t="s">
        <v>945</v>
      </c>
      <c r="E34" s="54">
        <v>2</v>
      </c>
    </row>
    <row r="35" spans="4:5" hidden="1" x14ac:dyDescent="0.3">
      <c r="D35" s="54" t="s">
        <v>2421</v>
      </c>
      <c r="E35" s="54">
        <v>2</v>
      </c>
    </row>
    <row r="36" spans="4:5" hidden="1" x14ac:dyDescent="0.3">
      <c r="D36" s="54" t="s">
        <v>2422</v>
      </c>
      <c r="E36" s="54">
        <v>2</v>
      </c>
    </row>
    <row r="37" spans="4:5" hidden="1" x14ac:dyDescent="0.3">
      <c r="D37" s="54" t="s">
        <v>2423</v>
      </c>
      <c r="E37" s="54">
        <v>2</v>
      </c>
    </row>
    <row r="38" spans="4:5" hidden="1" x14ac:dyDescent="0.3">
      <c r="D38" s="54" t="s">
        <v>2424</v>
      </c>
      <c r="E38" s="54">
        <v>4</v>
      </c>
    </row>
    <row r="39" spans="4:5" hidden="1" x14ac:dyDescent="0.3">
      <c r="D39" s="54" t="s">
        <v>2370</v>
      </c>
      <c r="E39" s="54">
        <v>20</v>
      </c>
    </row>
    <row r="40" spans="4:5" hidden="1" x14ac:dyDescent="0.3">
      <c r="D40" s="54" t="s">
        <v>2396</v>
      </c>
      <c r="E40" s="54">
        <v>20</v>
      </c>
    </row>
    <row r="41" spans="4:5" hidden="1" x14ac:dyDescent="0.3">
      <c r="D41" s="54" t="s">
        <v>2402</v>
      </c>
      <c r="E41" s="54">
        <v>10</v>
      </c>
    </row>
    <row r="42" spans="4:5" hidden="1" x14ac:dyDescent="0.3">
      <c r="D42" s="54" t="s">
        <v>2403</v>
      </c>
      <c r="E42" s="54">
        <v>20</v>
      </c>
    </row>
    <row r="43" spans="4:5" hidden="1" x14ac:dyDescent="0.3">
      <c r="D43" s="54" t="s">
        <v>2407</v>
      </c>
      <c r="E43" s="54">
        <v>26</v>
      </c>
    </row>
    <row r="44" spans="4:5" hidden="1" x14ac:dyDescent="0.3">
      <c r="D44" s="54" t="s">
        <v>2409</v>
      </c>
      <c r="E44" s="54">
        <v>10</v>
      </c>
    </row>
    <row r="45" spans="4:5" hidden="1" x14ac:dyDescent="0.3">
      <c r="D45" s="54" t="s">
        <v>2411</v>
      </c>
      <c r="E45" s="54">
        <v>32</v>
      </c>
    </row>
    <row r="46" spans="4:5" hidden="1" x14ac:dyDescent="0.3"/>
  </sheetData>
  <pageMargins left="0.7" right="0.7" top="0.75" bottom="0.75" header="0.3" footer="0.3"/>
  <pageSetup paperSize="9" orientation="portrait" r:id="rId1"/>
  <headerFooter>
    <oddFooter>&amp;C_x000D_&amp;1#&amp;"Calibri"&amp;6&amp;K626469 General</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dimension ref="B1:O183"/>
  <sheetViews>
    <sheetView topLeftCell="A165" zoomScale="59" zoomScaleNormal="100" workbookViewId="0">
      <selection activeCell="F165" sqref="F165"/>
    </sheetView>
  </sheetViews>
  <sheetFormatPr defaultColWidth="9.44140625" defaultRowHeight="14.4" x14ac:dyDescent="0.3"/>
  <cols>
    <col min="2" max="2" width="39.5546875" bestFit="1" customWidth="1"/>
    <col min="3" max="3" width="13.5546875" customWidth="1"/>
    <col min="4" max="5" width="9.44140625" customWidth="1"/>
    <col min="6" max="6" width="13.44140625" customWidth="1"/>
    <col min="7" max="9" width="9.44140625" customWidth="1"/>
    <col min="10" max="10" width="10.5546875" customWidth="1"/>
    <col min="11" max="11" width="15.5546875" customWidth="1"/>
    <col min="12" max="12" width="9.44140625" customWidth="1"/>
    <col min="13" max="13" width="10" customWidth="1"/>
    <col min="14" max="14" width="52.5546875" customWidth="1"/>
    <col min="15" max="15" width="25.44140625" customWidth="1"/>
  </cols>
  <sheetData>
    <row r="1" spans="2:14" ht="15" thickBot="1" x14ac:dyDescent="0.35"/>
    <row r="2" spans="2:14" ht="33" thickBot="1" x14ac:dyDescent="0.35">
      <c r="B2" s="84" t="s">
        <v>303</v>
      </c>
      <c r="C2" s="65" t="s">
        <v>305</v>
      </c>
      <c r="D2" s="65" t="s">
        <v>306</v>
      </c>
      <c r="E2" s="65" t="s">
        <v>307</v>
      </c>
      <c r="F2" s="65" t="s">
        <v>308</v>
      </c>
      <c r="G2" s="65" t="s">
        <v>309</v>
      </c>
      <c r="H2" s="65" t="s">
        <v>310</v>
      </c>
      <c r="I2" s="65" t="s">
        <v>311</v>
      </c>
      <c r="J2" s="65" t="s">
        <v>745</v>
      </c>
      <c r="K2" s="71" t="s">
        <v>314</v>
      </c>
      <c r="L2" s="65" t="s">
        <v>316</v>
      </c>
      <c r="M2" s="65" t="s">
        <v>317</v>
      </c>
      <c r="N2" s="66" t="s">
        <v>318</v>
      </c>
    </row>
    <row r="3" spans="2:14" ht="15.6" x14ac:dyDescent="0.3">
      <c r="B3" s="520" t="s">
        <v>2425</v>
      </c>
      <c r="C3" s="520"/>
      <c r="D3" s="520"/>
      <c r="E3" s="520"/>
      <c r="F3" s="520"/>
      <c r="G3" s="520"/>
      <c r="H3" s="520"/>
      <c r="I3" s="520"/>
      <c r="J3" s="520"/>
      <c r="K3" s="520"/>
      <c r="L3" s="520"/>
      <c r="M3" s="520"/>
      <c r="N3" s="520"/>
    </row>
    <row r="4" spans="2:14" ht="15.6" x14ac:dyDescent="0.3">
      <c r="B4" s="496" t="s">
        <v>2426</v>
      </c>
      <c r="C4" s="496"/>
      <c r="D4" s="496"/>
      <c r="E4" s="496"/>
      <c r="F4" s="496"/>
      <c r="G4" s="496"/>
      <c r="H4" s="496"/>
      <c r="I4" s="496"/>
      <c r="J4" s="496"/>
      <c r="K4" s="496"/>
      <c r="L4" s="496"/>
      <c r="M4" s="496"/>
      <c r="N4" s="496"/>
    </row>
    <row r="5" spans="2:14" ht="15.6" x14ac:dyDescent="0.3">
      <c r="B5" s="10" t="s">
        <v>1896</v>
      </c>
      <c r="C5" s="10">
        <v>2</v>
      </c>
      <c r="D5" s="10">
        <f>C5/2</f>
        <v>1</v>
      </c>
      <c r="E5" s="10">
        <v>0</v>
      </c>
      <c r="F5" s="10">
        <v>100</v>
      </c>
      <c r="G5" s="10">
        <v>1</v>
      </c>
      <c r="H5" s="10">
        <v>1</v>
      </c>
      <c r="I5" s="10" t="s">
        <v>322</v>
      </c>
      <c r="J5" s="10">
        <v>34876</v>
      </c>
      <c r="K5" s="10" t="s">
        <v>174</v>
      </c>
      <c r="L5" s="10"/>
      <c r="M5" s="10" t="s">
        <v>389</v>
      </c>
      <c r="N5" s="10"/>
    </row>
    <row r="6" spans="2:14" ht="15.6" x14ac:dyDescent="0.3">
      <c r="B6" s="10" t="s">
        <v>997</v>
      </c>
      <c r="C6" s="10">
        <v>2</v>
      </c>
      <c r="D6" s="10">
        <f t="shared" ref="D6:D8" si="0">C6/2</f>
        <v>1</v>
      </c>
      <c r="E6" s="10">
        <v>3</v>
      </c>
      <c r="F6" s="10">
        <v>50000</v>
      </c>
      <c r="G6" s="10">
        <v>1</v>
      </c>
      <c r="H6" s="10" t="s">
        <v>386</v>
      </c>
      <c r="I6" s="10" t="s">
        <v>322</v>
      </c>
      <c r="J6" s="10">
        <f t="shared" ref="J6:J8" si="1">J5+D5</f>
        <v>34877</v>
      </c>
      <c r="K6" s="10" t="s">
        <v>174</v>
      </c>
      <c r="L6" s="10"/>
      <c r="M6" s="10" t="s">
        <v>986</v>
      </c>
      <c r="N6" s="55"/>
    </row>
    <row r="7" spans="2:14" ht="15.6" x14ac:dyDescent="0.3">
      <c r="B7" s="10" t="s">
        <v>2427</v>
      </c>
      <c r="C7" s="10">
        <v>4</v>
      </c>
      <c r="D7" s="10">
        <f t="shared" si="0"/>
        <v>2</v>
      </c>
      <c r="E7" s="10">
        <v>1</v>
      </c>
      <c r="F7" s="10">
        <v>4294967295</v>
      </c>
      <c r="G7" s="10">
        <v>1</v>
      </c>
      <c r="H7" s="10">
        <v>1</v>
      </c>
      <c r="I7" s="10" t="s">
        <v>322</v>
      </c>
      <c r="J7" s="10">
        <f t="shared" si="1"/>
        <v>34878</v>
      </c>
      <c r="K7" s="10" t="s">
        <v>174</v>
      </c>
      <c r="L7" s="10"/>
      <c r="M7" s="10"/>
      <c r="N7" s="10"/>
    </row>
    <row r="8" spans="2:14" ht="15.6" x14ac:dyDescent="0.3">
      <c r="B8" s="10" t="s">
        <v>2428</v>
      </c>
      <c r="C8" s="10">
        <v>2</v>
      </c>
      <c r="D8" s="10">
        <f t="shared" si="0"/>
        <v>1</v>
      </c>
      <c r="E8" s="10">
        <v>1</v>
      </c>
      <c r="F8" s="10">
        <v>65535</v>
      </c>
      <c r="G8" s="10">
        <v>1</v>
      </c>
      <c r="H8" s="10">
        <v>1</v>
      </c>
      <c r="I8" s="10" t="s">
        <v>322</v>
      </c>
      <c r="J8" s="10">
        <f t="shared" si="1"/>
        <v>34880</v>
      </c>
      <c r="K8" s="10" t="s">
        <v>174</v>
      </c>
      <c r="L8" s="10"/>
      <c r="M8" s="10"/>
      <c r="N8" s="10"/>
    </row>
    <row r="9" spans="2:14" ht="15.6" x14ac:dyDescent="0.3">
      <c r="B9" s="496" t="s">
        <v>2429</v>
      </c>
      <c r="C9" s="496"/>
      <c r="D9" s="496"/>
      <c r="E9" s="496"/>
      <c r="F9" s="496"/>
      <c r="G9" s="496"/>
      <c r="H9" s="496"/>
      <c r="I9" s="496"/>
      <c r="J9" s="496"/>
      <c r="K9" s="496"/>
      <c r="L9" s="496"/>
      <c r="M9" s="496"/>
      <c r="N9" s="496"/>
    </row>
    <row r="10" spans="2:14" ht="15.6" x14ac:dyDescent="0.3">
      <c r="B10" s="10" t="s">
        <v>2430</v>
      </c>
      <c r="C10" s="10">
        <v>30</v>
      </c>
      <c r="D10" s="10">
        <f>C10/2</f>
        <v>15</v>
      </c>
      <c r="E10" s="10">
        <v>0</v>
      </c>
      <c r="F10" s="10">
        <v>65535</v>
      </c>
      <c r="G10" s="10">
        <v>1</v>
      </c>
      <c r="H10" s="10">
        <v>1</v>
      </c>
      <c r="I10" s="10" t="s">
        <v>322</v>
      </c>
      <c r="J10" s="10">
        <f>J8+D8</f>
        <v>34881</v>
      </c>
      <c r="K10" s="10" t="s">
        <v>174</v>
      </c>
      <c r="L10" s="10"/>
      <c r="M10" s="10"/>
      <c r="N10" s="10"/>
    </row>
    <row r="11" spans="2:14" ht="15.6" x14ac:dyDescent="0.3">
      <c r="B11" s="10" t="s">
        <v>2431</v>
      </c>
      <c r="C11" s="10">
        <v>2</v>
      </c>
      <c r="D11" s="10">
        <f t="shared" ref="D11:D30" si="2">C11/2</f>
        <v>1</v>
      </c>
      <c r="E11" s="10">
        <v>0</v>
      </c>
      <c r="F11" s="10">
        <v>5</v>
      </c>
      <c r="G11" s="10">
        <v>1</v>
      </c>
      <c r="H11" s="10">
        <v>1</v>
      </c>
      <c r="I11" s="10" t="s">
        <v>322</v>
      </c>
      <c r="J11" s="10">
        <f t="shared" ref="J11:J30" si="3">J10+D10</f>
        <v>34896</v>
      </c>
      <c r="K11" s="10" t="s">
        <v>174</v>
      </c>
      <c r="L11" s="10"/>
      <c r="M11" s="10"/>
      <c r="N11" s="55"/>
    </row>
    <row r="12" spans="2:14" ht="15.6" x14ac:dyDescent="0.3">
      <c r="B12" s="10" t="s">
        <v>909</v>
      </c>
      <c r="C12" s="10">
        <v>2</v>
      </c>
      <c r="D12" s="10">
        <f t="shared" si="2"/>
        <v>1</v>
      </c>
      <c r="E12" s="10">
        <v>0</v>
      </c>
      <c r="F12" s="10">
        <v>4</v>
      </c>
      <c r="G12" s="10">
        <v>1</v>
      </c>
      <c r="H12" s="10">
        <v>1</v>
      </c>
      <c r="I12" s="10" t="s">
        <v>322</v>
      </c>
      <c r="J12" s="10">
        <f t="shared" si="3"/>
        <v>34897</v>
      </c>
      <c r="K12" s="10" t="s">
        <v>174</v>
      </c>
      <c r="L12" s="10"/>
      <c r="M12" s="10"/>
      <c r="N12" s="55"/>
    </row>
    <row r="13" spans="2:14" ht="15.6" x14ac:dyDescent="0.3">
      <c r="B13" s="10" t="s">
        <v>913</v>
      </c>
      <c r="C13" s="10">
        <v>2</v>
      </c>
      <c r="D13" s="10">
        <f t="shared" si="2"/>
        <v>1</v>
      </c>
      <c r="E13" s="10">
        <v>0</v>
      </c>
      <c r="F13" s="10">
        <v>4</v>
      </c>
      <c r="G13" s="10">
        <v>1</v>
      </c>
      <c r="H13" s="10">
        <v>1</v>
      </c>
      <c r="I13" s="10" t="s">
        <v>322</v>
      </c>
      <c r="J13" s="10">
        <f t="shared" si="3"/>
        <v>34898</v>
      </c>
      <c r="K13" s="10" t="s">
        <v>174</v>
      </c>
      <c r="L13" s="10"/>
      <c r="M13" s="10"/>
      <c r="N13" s="55"/>
    </row>
    <row r="14" spans="2:14" ht="15.6" x14ac:dyDescent="0.3">
      <c r="B14" s="10" t="s">
        <v>915</v>
      </c>
      <c r="C14" s="10">
        <v>2</v>
      </c>
      <c r="D14" s="10">
        <f t="shared" si="2"/>
        <v>1</v>
      </c>
      <c r="E14" s="10">
        <v>0</v>
      </c>
      <c r="F14" s="10">
        <v>4</v>
      </c>
      <c r="G14" s="10">
        <v>1</v>
      </c>
      <c r="H14" s="10">
        <v>1</v>
      </c>
      <c r="I14" s="10" t="s">
        <v>322</v>
      </c>
      <c r="J14" s="10">
        <f t="shared" si="3"/>
        <v>34899</v>
      </c>
      <c r="K14" s="10" t="s">
        <v>174</v>
      </c>
      <c r="L14" s="10"/>
      <c r="M14" s="10"/>
      <c r="N14" s="55"/>
    </row>
    <row r="15" spans="2:14" ht="15.6" x14ac:dyDescent="0.3">
      <c r="B15" s="10" t="s">
        <v>917</v>
      </c>
      <c r="C15" s="10">
        <v>2</v>
      </c>
      <c r="D15" s="10">
        <f t="shared" si="2"/>
        <v>1</v>
      </c>
      <c r="E15" s="10">
        <v>0</v>
      </c>
      <c r="F15" s="10">
        <v>4</v>
      </c>
      <c r="G15" s="10">
        <v>522147</v>
      </c>
      <c r="H15" s="10">
        <v>1</v>
      </c>
      <c r="I15" s="10" t="s">
        <v>322</v>
      </c>
      <c r="J15" s="10">
        <f t="shared" si="3"/>
        <v>34900</v>
      </c>
      <c r="K15" s="10" t="s">
        <v>174</v>
      </c>
      <c r="L15" s="10"/>
      <c r="M15" s="10"/>
      <c r="N15" s="55"/>
    </row>
    <row r="16" spans="2:14" ht="15.6" x14ac:dyDescent="0.3">
      <c r="B16" s="10" t="s">
        <v>919</v>
      </c>
      <c r="C16" s="10">
        <v>2</v>
      </c>
      <c r="D16" s="10">
        <f t="shared" si="2"/>
        <v>1</v>
      </c>
      <c r="E16" s="10">
        <v>0</v>
      </c>
      <c r="F16" s="10">
        <v>4</v>
      </c>
      <c r="G16" s="10">
        <v>1</v>
      </c>
      <c r="H16" s="10">
        <v>1</v>
      </c>
      <c r="I16" s="10" t="s">
        <v>322</v>
      </c>
      <c r="J16" s="10">
        <f t="shared" si="3"/>
        <v>34901</v>
      </c>
      <c r="K16" s="10" t="s">
        <v>174</v>
      </c>
      <c r="L16" s="10"/>
      <c r="M16" s="10"/>
      <c r="N16" s="55"/>
    </row>
    <row r="17" spans="2:14" ht="15.6" x14ac:dyDescent="0.3">
      <c r="B17" s="10" t="s">
        <v>2432</v>
      </c>
      <c r="C17" s="10">
        <v>2</v>
      </c>
      <c r="D17" s="10">
        <f t="shared" si="2"/>
        <v>1</v>
      </c>
      <c r="E17" s="10">
        <v>0</v>
      </c>
      <c r="F17" s="10">
        <v>10</v>
      </c>
      <c r="G17" s="10">
        <v>1</v>
      </c>
      <c r="H17" s="10">
        <v>1</v>
      </c>
      <c r="I17" s="10" t="s">
        <v>322</v>
      </c>
      <c r="J17" s="10">
        <f t="shared" si="3"/>
        <v>34902</v>
      </c>
      <c r="K17" s="10" t="s">
        <v>174</v>
      </c>
      <c r="L17" s="10"/>
      <c r="M17" s="10"/>
      <c r="N17" s="55"/>
    </row>
    <row r="18" spans="2:14" ht="15.6" x14ac:dyDescent="0.3">
      <c r="B18" s="10" t="s">
        <v>2433</v>
      </c>
      <c r="C18" s="10">
        <v>2</v>
      </c>
      <c r="D18" s="10">
        <f t="shared" si="2"/>
        <v>1</v>
      </c>
      <c r="E18" s="10">
        <v>0</v>
      </c>
      <c r="F18" s="10">
        <v>10</v>
      </c>
      <c r="G18" s="10">
        <v>1</v>
      </c>
      <c r="H18" s="10">
        <v>1</v>
      </c>
      <c r="I18" s="10" t="s">
        <v>322</v>
      </c>
      <c r="J18" s="10">
        <f t="shared" si="3"/>
        <v>34903</v>
      </c>
      <c r="K18" s="10" t="s">
        <v>174</v>
      </c>
      <c r="L18" s="10"/>
      <c r="M18" s="10"/>
      <c r="N18" s="55"/>
    </row>
    <row r="19" spans="2:14" ht="15.6" x14ac:dyDescent="0.3">
      <c r="B19" s="10" t="s">
        <v>2434</v>
      </c>
      <c r="C19" s="10">
        <v>2</v>
      </c>
      <c r="D19" s="10">
        <f t="shared" si="2"/>
        <v>1</v>
      </c>
      <c r="E19" s="10">
        <v>0</v>
      </c>
      <c r="F19" s="10">
        <v>10</v>
      </c>
      <c r="G19" s="10">
        <v>1</v>
      </c>
      <c r="H19" s="10">
        <v>1</v>
      </c>
      <c r="I19" s="10" t="s">
        <v>322</v>
      </c>
      <c r="J19" s="10">
        <f t="shared" si="3"/>
        <v>34904</v>
      </c>
      <c r="K19" s="10" t="s">
        <v>174</v>
      </c>
      <c r="L19" s="10"/>
      <c r="M19" s="10"/>
      <c r="N19" s="55"/>
    </row>
    <row r="20" spans="2:14" ht="15.6" x14ac:dyDescent="0.3">
      <c r="B20" s="10" t="s">
        <v>2435</v>
      </c>
      <c r="C20" s="10">
        <v>2</v>
      </c>
      <c r="D20" s="10">
        <f t="shared" si="2"/>
        <v>1</v>
      </c>
      <c r="E20" s="10">
        <v>0</v>
      </c>
      <c r="F20" s="10">
        <v>10</v>
      </c>
      <c r="G20" s="10">
        <v>1</v>
      </c>
      <c r="H20" s="10">
        <v>1</v>
      </c>
      <c r="I20" s="10" t="s">
        <v>322</v>
      </c>
      <c r="J20" s="10">
        <f t="shared" si="3"/>
        <v>34905</v>
      </c>
      <c r="K20" s="10" t="s">
        <v>174</v>
      </c>
      <c r="L20" s="10"/>
      <c r="M20" s="10"/>
      <c r="N20" s="55"/>
    </row>
    <row r="21" spans="2:14" ht="15.6" x14ac:dyDescent="0.3">
      <c r="B21" s="10" t="s">
        <v>2436</v>
      </c>
      <c r="C21" s="10">
        <v>2</v>
      </c>
      <c r="D21" s="10">
        <f t="shared" si="2"/>
        <v>1</v>
      </c>
      <c r="E21" s="10">
        <v>0</v>
      </c>
      <c r="F21" s="10">
        <v>10</v>
      </c>
      <c r="G21" s="10">
        <v>1</v>
      </c>
      <c r="H21" s="10">
        <v>1</v>
      </c>
      <c r="I21" s="10" t="s">
        <v>322</v>
      </c>
      <c r="J21" s="10">
        <f t="shared" si="3"/>
        <v>34906</v>
      </c>
      <c r="K21" s="10" t="s">
        <v>174</v>
      </c>
      <c r="L21" s="10"/>
      <c r="M21" s="10"/>
      <c r="N21" s="55"/>
    </row>
    <row r="22" spans="2:14" ht="15.6" x14ac:dyDescent="0.3">
      <c r="B22" s="10" t="s">
        <v>2437</v>
      </c>
      <c r="C22" s="10">
        <v>2</v>
      </c>
      <c r="D22" s="10">
        <f t="shared" si="2"/>
        <v>1</v>
      </c>
      <c r="E22" s="10">
        <v>0</v>
      </c>
      <c r="F22" s="10">
        <v>5</v>
      </c>
      <c r="G22" s="10">
        <v>1</v>
      </c>
      <c r="H22" s="10">
        <v>1</v>
      </c>
      <c r="I22" s="10" t="s">
        <v>322</v>
      </c>
      <c r="J22" s="10">
        <f t="shared" si="3"/>
        <v>34907</v>
      </c>
      <c r="K22" s="10" t="s">
        <v>174</v>
      </c>
      <c r="L22" s="10"/>
      <c r="M22" s="10"/>
      <c r="N22" s="55"/>
    </row>
    <row r="23" spans="2:14" ht="15.6" x14ac:dyDescent="0.3">
      <c r="B23" s="10" t="s">
        <v>2438</v>
      </c>
      <c r="C23" s="10">
        <v>2</v>
      </c>
      <c r="D23" s="10">
        <f t="shared" si="2"/>
        <v>1</v>
      </c>
      <c r="E23" s="10">
        <v>0</v>
      </c>
      <c r="F23" s="10">
        <v>512</v>
      </c>
      <c r="G23" s="10">
        <v>1</v>
      </c>
      <c r="H23" s="10">
        <v>1</v>
      </c>
      <c r="I23" s="10" t="s">
        <v>322</v>
      </c>
      <c r="J23" s="10">
        <f t="shared" si="3"/>
        <v>34908</v>
      </c>
      <c r="K23" s="10" t="s">
        <v>174</v>
      </c>
      <c r="L23" s="10"/>
      <c r="M23" s="10"/>
      <c r="N23" s="55"/>
    </row>
    <row r="24" spans="2:14" ht="15.6" x14ac:dyDescent="0.3">
      <c r="B24" s="10" t="s">
        <v>2439</v>
      </c>
      <c r="C24" s="10">
        <v>2</v>
      </c>
      <c r="D24" s="10">
        <f t="shared" si="2"/>
        <v>1</v>
      </c>
      <c r="E24" s="10">
        <v>0</v>
      </c>
      <c r="F24" s="10">
        <v>6</v>
      </c>
      <c r="G24" s="10">
        <v>1</v>
      </c>
      <c r="H24" s="10">
        <v>1</v>
      </c>
      <c r="I24" s="10" t="s">
        <v>322</v>
      </c>
      <c r="J24" s="10">
        <f t="shared" si="3"/>
        <v>34909</v>
      </c>
      <c r="K24" s="10" t="s">
        <v>174</v>
      </c>
      <c r="L24" s="10"/>
      <c r="M24" s="10"/>
      <c r="N24" s="55"/>
    </row>
    <row r="25" spans="2:14" ht="15.6" x14ac:dyDescent="0.3">
      <c r="B25" s="10" t="s">
        <v>2440</v>
      </c>
      <c r="C25" s="10">
        <v>2</v>
      </c>
      <c r="D25" s="10">
        <f t="shared" si="2"/>
        <v>1</v>
      </c>
      <c r="E25" s="10">
        <v>0</v>
      </c>
      <c r="F25" s="10">
        <v>15</v>
      </c>
      <c r="G25" s="10">
        <v>1</v>
      </c>
      <c r="H25" s="10">
        <v>1</v>
      </c>
      <c r="I25" s="10" t="s">
        <v>322</v>
      </c>
      <c r="J25" s="10">
        <f t="shared" si="3"/>
        <v>34910</v>
      </c>
      <c r="K25" s="10" t="s">
        <v>174</v>
      </c>
      <c r="L25" s="10"/>
      <c r="M25" s="10"/>
      <c r="N25" s="55"/>
    </row>
    <row r="26" spans="2:14" ht="15.6" x14ac:dyDescent="0.3">
      <c r="B26" s="10" t="s">
        <v>2441</v>
      </c>
      <c r="C26" s="10">
        <v>2</v>
      </c>
      <c r="D26" s="10">
        <f t="shared" si="2"/>
        <v>1</v>
      </c>
      <c r="E26" s="10">
        <v>0</v>
      </c>
      <c r="F26" s="10">
        <v>1</v>
      </c>
      <c r="G26" s="10">
        <v>1</v>
      </c>
      <c r="H26" s="10">
        <v>1</v>
      </c>
      <c r="I26" s="10" t="s">
        <v>322</v>
      </c>
      <c r="J26" s="10">
        <f t="shared" si="3"/>
        <v>34911</v>
      </c>
      <c r="K26" s="10" t="s">
        <v>174</v>
      </c>
      <c r="L26" s="10"/>
      <c r="M26" s="10"/>
      <c r="N26" s="55"/>
    </row>
    <row r="27" spans="2:14" ht="15.6" x14ac:dyDescent="0.3">
      <c r="B27" s="10" t="s">
        <v>2442</v>
      </c>
      <c r="C27" s="10">
        <v>2</v>
      </c>
      <c r="D27" s="10">
        <f t="shared" si="2"/>
        <v>1</v>
      </c>
      <c r="E27" s="10">
        <v>0</v>
      </c>
      <c r="F27" s="10">
        <v>2</v>
      </c>
      <c r="G27" s="10">
        <v>1</v>
      </c>
      <c r="H27" s="10">
        <v>1</v>
      </c>
      <c r="I27" s="10" t="s">
        <v>322</v>
      </c>
      <c r="J27" s="10">
        <f t="shared" si="3"/>
        <v>34912</v>
      </c>
      <c r="K27" s="10" t="s">
        <v>174</v>
      </c>
      <c r="L27" s="10"/>
      <c r="M27" s="10"/>
      <c r="N27" s="55"/>
    </row>
    <row r="28" spans="2:14" ht="15.6" x14ac:dyDescent="0.3">
      <c r="B28" s="10" t="s">
        <v>2443</v>
      </c>
      <c r="C28" s="10">
        <v>2</v>
      </c>
      <c r="D28" s="10">
        <f t="shared" si="2"/>
        <v>1</v>
      </c>
      <c r="E28" s="10">
        <v>0</v>
      </c>
      <c r="F28" s="10">
        <v>1</v>
      </c>
      <c r="G28" s="10">
        <v>1</v>
      </c>
      <c r="H28" s="10">
        <v>1</v>
      </c>
      <c r="I28" s="10" t="s">
        <v>322</v>
      </c>
      <c r="J28" s="10">
        <f t="shared" si="3"/>
        <v>34913</v>
      </c>
      <c r="K28" s="10" t="s">
        <v>174</v>
      </c>
      <c r="L28" s="10"/>
      <c r="M28" s="10"/>
      <c r="N28" s="55"/>
    </row>
    <row r="29" spans="2:14" ht="15.6" x14ac:dyDescent="0.3">
      <c r="B29" s="10" t="s">
        <v>2444</v>
      </c>
      <c r="C29" s="10">
        <v>2</v>
      </c>
      <c r="D29" s="10">
        <f t="shared" si="2"/>
        <v>1</v>
      </c>
      <c r="E29" s="10">
        <v>0</v>
      </c>
      <c r="F29" s="10">
        <v>1</v>
      </c>
      <c r="G29" s="10">
        <v>1</v>
      </c>
      <c r="H29" s="10">
        <v>1</v>
      </c>
      <c r="I29" s="10" t="s">
        <v>322</v>
      </c>
      <c r="J29" s="10">
        <f t="shared" si="3"/>
        <v>34914</v>
      </c>
      <c r="K29" s="10" t="s">
        <v>174</v>
      </c>
      <c r="L29" s="10"/>
      <c r="M29" s="10"/>
      <c r="N29" s="55"/>
    </row>
    <row r="30" spans="2:14" ht="15.6" x14ac:dyDescent="0.3">
      <c r="B30" s="10" t="s">
        <v>2445</v>
      </c>
      <c r="C30" s="10">
        <v>2</v>
      </c>
      <c r="D30" s="10">
        <f t="shared" si="2"/>
        <v>1</v>
      </c>
      <c r="E30" s="10">
        <v>0</v>
      </c>
      <c r="F30" s="10">
        <v>1</v>
      </c>
      <c r="G30" s="10">
        <v>1</v>
      </c>
      <c r="H30" s="10">
        <v>1</v>
      </c>
      <c r="I30" s="10" t="s">
        <v>322</v>
      </c>
      <c r="J30" s="10">
        <f t="shared" si="3"/>
        <v>34915</v>
      </c>
      <c r="K30" s="10" t="s">
        <v>174</v>
      </c>
      <c r="L30" s="10"/>
      <c r="M30" s="10"/>
      <c r="N30" s="55"/>
    </row>
    <row r="31" spans="2:14" ht="15.6" x14ac:dyDescent="0.3">
      <c r="B31" s="496" t="s">
        <v>2446</v>
      </c>
      <c r="C31" s="496"/>
      <c r="D31" s="496"/>
      <c r="E31" s="496"/>
      <c r="F31" s="496"/>
      <c r="G31" s="496"/>
      <c r="H31" s="496"/>
      <c r="I31" s="496"/>
      <c r="J31" s="496"/>
      <c r="K31" s="496"/>
      <c r="L31" s="496"/>
      <c r="M31" s="496"/>
      <c r="N31" s="496"/>
    </row>
    <row r="32" spans="2:14" ht="15.6" x14ac:dyDescent="0.3">
      <c r="B32" s="111" t="s">
        <v>2447</v>
      </c>
      <c r="C32" s="10">
        <v>4</v>
      </c>
      <c r="D32" s="10">
        <f>C32/2</f>
        <v>2</v>
      </c>
      <c r="E32" s="10">
        <v>0</v>
      </c>
      <c r="F32" s="10">
        <v>4294967295</v>
      </c>
      <c r="G32" s="10">
        <v>1</v>
      </c>
      <c r="H32" s="10">
        <v>1</v>
      </c>
      <c r="I32" s="10" t="s">
        <v>322</v>
      </c>
      <c r="J32" s="10">
        <f>34501</f>
        <v>34501</v>
      </c>
      <c r="K32" s="10" t="s">
        <v>174</v>
      </c>
      <c r="L32" s="10"/>
      <c r="M32" s="10"/>
      <c r="N32" s="10"/>
    </row>
    <row r="33" spans="2:14" ht="15.6" x14ac:dyDescent="0.3">
      <c r="B33" s="111" t="s">
        <v>2448</v>
      </c>
      <c r="C33" s="10">
        <v>4</v>
      </c>
      <c r="D33" s="10">
        <f t="shared" ref="D33:D60" si="4">C33/2</f>
        <v>2</v>
      </c>
      <c r="E33" s="10">
        <v>0</v>
      </c>
      <c r="F33" s="10">
        <v>4294967295</v>
      </c>
      <c r="G33" s="10">
        <v>1</v>
      </c>
      <c r="H33" s="10">
        <v>1</v>
      </c>
      <c r="I33" s="10" t="s">
        <v>322</v>
      </c>
      <c r="J33" s="10">
        <f t="shared" ref="J33:J72" si="5">J32+D32</f>
        <v>34503</v>
      </c>
      <c r="K33" s="10" t="s">
        <v>174</v>
      </c>
      <c r="L33" s="10"/>
      <c r="M33" s="10"/>
      <c r="N33" s="55"/>
    </row>
    <row r="34" spans="2:14" ht="15.6" x14ac:dyDescent="0.3">
      <c r="B34" s="111" t="s">
        <v>2449</v>
      </c>
      <c r="C34" s="10">
        <v>4</v>
      </c>
      <c r="D34" s="10">
        <f t="shared" si="4"/>
        <v>2</v>
      </c>
      <c r="E34" s="10">
        <v>0</v>
      </c>
      <c r="F34" s="10">
        <v>4294967295</v>
      </c>
      <c r="G34" s="10">
        <v>1</v>
      </c>
      <c r="H34" s="10">
        <v>1</v>
      </c>
      <c r="I34" s="10" t="s">
        <v>322</v>
      </c>
      <c r="J34" s="10">
        <f t="shared" si="5"/>
        <v>34505</v>
      </c>
      <c r="K34" s="10" t="s">
        <v>174</v>
      </c>
      <c r="L34" s="10"/>
      <c r="M34" s="10"/>
      <c r="N34" s="55"/>
    </row>
    <row r="35" spans="2:14" ht="15.6" x14ac:dyDescent="0.3">
      <c r="B35" s="111" t="s">
        <v>2450</v>
      </c>
      <c r="C35" s="10">
        <v>4</v>
      </c>
      <c r="D35" s="10">
        <f t="shared" si="4"/>
        <v>2</v>
      </c>
      <c r="E35" s="10">
        <v>0</v>
      </c>
      <c r="F35" s="10">
        <v>4294967295</v>
      </c>
      <c r="G35" s="10">
        <v>1</v>
      </c>
      <c r="H35" s="10">
        <v>1</v>
      </c>
      <c r="I35" s="10" t="s">
        <v>322</v>
      </c>
      <c r="J35" s="10">
        <f t="shared" si="5"/>
        <v>34507</v>
      </c>
      <c r="K35" s="10" t="s">
        <v>174</v>
      </c>
      <c r="L35" s="10"/>
      <c r="M35" s="10"/>
      <c r="N35" s="55"/>
    </row>
    <row r="36" spans="2:14" ht="15.6" x14ac:dyDescent="0.3">
      <c r="B36" s="111" t="s">
        <v>2451</v>
      </c>
      <c r="C36" s="10">
        <v>4</v>
      </c>
      <c r="D36" s="10">
        <f t="shared" ref="D36:D37" si="6">C36/2</f>
        <v>2</v>
      </c>
      <c r="E36" s="10">
        <v>0</v>
      </c>
      <c r="F36" s="10">
        <v>4294967295</v>
      </c>
      <c r="G36" s="10">
        <v>1</v>
      </c>
      <c r="H36" s="10">
        <v>1</v>
      </c>
      <c r="I36" s="10" t="s">
        <v>322</v>
      </c>
      <c r="J36" s="10">
        <f t="shared" ref="J36:J37" si="7">J35+D35</f>
        <v>34509</v>
      </c>
      <c r="K36" s="10" t="s">
        <v>174</v>
      </c>
      <c r="L36" s="10"/>
      <c r="M36" s="10"/>
      <c r="N36" s="55"/>
    </row>
    <row r="37" spans="2:14" ht="15.6" x14ac:dyDescent="0.3">
      <c r="B37" s="111" t="s">
        <v>2452</v>
      </c>
      <c r="C37" s="10">
        <v>4</v>
      </c>
      <c r="D37" s="10">
        <f t="shared" si="6"/>
        <v>2</v>
      </c>
      <c r="E37" s="10">
        <v>0</v>
      </c>
      <c r="F37" s="10">
        <v>4294967295</v>
      </c>
      <c r="G37" s="10">
        <v>1</v>
      </c>
      <c r="H37" s="10">
        <v>1</v>
      </c>
      <c r="I37" s="10" t="s">
        <v>322</v>
      </c>
      <c r="J37" s="10">
        <f t="shared" si="7"/>
        <v>34511</v>
      </c>
      <c r="K37" s="10" t="s">
        <v>174</v>
      </c>
      <c r="L37" s="10"/>
      <c r="M37" s="10"/>
      <c r="N37" s="55"/>
    </row>
    <row r="38" spans="2:14" ht="15.6" x14ac:dyDescent="0.3">
      <c r="B38" s="111" t="s">
        <v>2453</v>
      </c>
      <c r="C38" s="10">
        <v>4</v>
      </c>
      <c r="D38" s="10">
        <f t="shared" ref="D38:D42" si="8">C38/2</f>
        <v>2</v>
      </c>
      <c r="E38" s="10">
        <v>0</v>
      </c>
      <c r="F38" s="10">
        <v>4294967295</v>
      </c>
      <c r="G38" s="10">
        <v>1</v>
      </c>
      <c r="H38" s="10">
        <v>1</v>
      </c>
      <c r="I38" s="10" t="s">
        <v>322</v>
      </c>
      <c r="J38" s="10">
        <f t="shared" ref="J38:J42" si="9">J37+D37</f>
        <v>34513</v>
      </c>
      <c r="K38" s="10" t="s">
        <v>174</v>
      </c>
      <c r="L38" s="10"/>
      <c r="M38" s="10"/>
      <c r="N38" s="55"/>
    </row>
    <row r="39" spans="2:14" ht="15.6" x14ac:dyDescent="0.3">
      <c r="B39" s="111" t="s">
        <v>2454</v>
      </c>
      <c r="C39" s="10">
        <v>4</v>
      </c>
      <c r="D39" s="10">
        <f t="shared" si="8"/>
        <v>2</v>
      </c>
      <c r="E39" s="10">
        <v>0</v>
      </c>
      <c r="F39" s="10">
        <v>4294967295</v>
      </c>
      <c r="G39" s="10">
        <v>1</v>
      </c>
      <c r="H39" s="10">
        <v>1</v>
      </c>
      <c r="I39" s="10" t="s">
        <v>322</v>
      </c>
      <c r="J39" s="10">
        <f t="shared" si="9"/>
        <v>34515</v>
      </c>
      <c r="K39" s="10" t="s">
        <v>174</v>
      </c>
      <c r="L39" s="10"/>
      <c r="M39" s="10"/>
      <c r="N39" s="55"/>
    </row>
    <row r="40" spans="2:14" ht="15.6" x14ac:dyDescent="0.3">
      <c r="B40" s="111" t="s">
        <v>2455</v>
      </c>
      <c r="C40" s="10">
        <v>4</v>
      </c>
      <c r="D40" s="10">
        <f t="shared" si="8"/>
        <v>2</v>
      </c>
      <c r="E40" s="10">
        <v>0</v>
      </c>
      <c r="F40" s="10">
        <v>4294967295</v>
      </c>
      <c r="G40" s="10">
        <v>1</v>
      </c>
      <c r="H40" s="10">
        <v>1</v>
      </c>
      <c r="I40" s="10" t="s">
        <v>322</v>
      </c>
      <c r="J40" s="10">
        <f t="shared" si="9"/>
        <v>34517</v>
      </c>
      <c r="K40" s="10" t="s">
        <v>174</v>
      </c>
      <c r="L40" s="10"/>
      <c r="M40" s="10"/>
      <c r="N40" s="55"/>
    </row>
    <row r="41" spans="2:14" ht="15.6" x14ac:dyDescent="0.3">
      <c r="B41" s="111" t="s">
        <v>2456</v>
      </c>
      <c r="C41" s="10">
        <v>4</v>
      </c>
      <c r="D41" s="10">
        <f t="shared" si="8"/>
        <v>2</v>
      </c>
      <c r="E41" s="10">
        <v>0</v>
      </c>
      <c r="F41" s="10">
        <v>4294967295</v>
      </c>
      <c r="G41" s="10">
        <v>1</v>
      </c>
      <c r="H41" s="10">
        <v>1</v>
      </c>
      <c r="I41" s="10" t="s">
        <v>322</v>
      </c>
      <c r="J41" s="10">
        <f t="shared" si="9"/>
        <v>34519</v>
      </c>
      <c r="K41" s="10" t="s">
        <v>174</v>
      </c>
      <c r="L41" s="10"/>
      <c r="M41" s="10"/>
      <c r="N41" s="55"/>
    </row>
    <row r="42" spans="2:14" ht="15.6" x14ac:dyDescent="0.3">
      <c r="B42" s="111" t="s">
        <v>2457</v>
      </c>
      <c r="C42" s="10">
        <v>4</v>
      </c>
      <c r="D42" s="10">
        <f t="shared" si="8"/>
        <v>2</v>
      </c>
      <c r="E42" s="10">
        <v>0</v>
      </c>
      <c r="F42" s="10">
        <v>4294967295</v>
      </c>
      <c r="G42" s="10">
        <v>1</v>
      </c>
      <c r="H42" s="10">
        <v>1</v>
      </c>
      <c r="I42" s="10" t="s">
        <v>322</v>
      </c>
      <c r="J42" s="10">
        <f t="shared" si="9"/>
        <v>34521</v>
      </c>
      <c r="K42" s="10" t="s">
        <v>174</v>
      </c>
      <c r="L42" s="10"/>
      <c r="M42" s="10"/>
      <c r="N42" s="55"/>
    </row>
    <row r="43" spans="2:14" ht="15.6" x14ac:dyDescent="0.3">
      <c r="B43" s="111" t="s">
        <v>2458</v>
      </c>
      <c r="C43" s="10">
        <v>4</v>
      </c>
      <c r="D43" s="10">
        <f t="shared" ref="D43:D47" si="10">C43/2</f>
        <v>2</v>
      </c>
      <c r="E43" s="10">
        <v>0</v>
      </c>
      <c r="F43" s="10">
        <v>4294967295</v>
      </c>
      <c r="G43" s="10">
        <v>1</v>
      </c>
      <c r="H43" s="10">
        <v>1</v>
      </c>
      <c r="I43" s="10" t="s">
        <v>322</v>
      </c>
      <c r="J43" s="10">
        <f t="shared" ref="J43:J47" si="11">J42+D42</f>
        <v>34523</v>
      </c>
      <c r="K43" s="10" t="s">
        <v>174</v>
      </c>
      <c r="L43" s="10"/>
      <c r="M43" s="10"/>
      <c r="N43" s="55"/>
    </row>
    <row r="44" spans="2:14" ht="15.6" x14ac:dyDescent="0.3">
      <c r="B44" s="111" t="s">
        <v>2459</v>
      </c>
      <c r="C44" s="10">
        <v>4</v>
      </c>
      <c r="D44" s="10">
        <f t="shared" si="10"/>
        <v>2</v>
      </c>
      <c r="E44" s="10">
        <v>0</v>
      </c>
      <c r="F44" s="10">
        <v>4294967295</v>
      </c>
      <c r="G44" s="10">
        <v>1</v>
      </c>
      <c r="H44" s="10">
        <v>1</v>
      </c>
      <c r="I44" s="10" t="s">
        <v>322</v>
      </c>
      <c r="J44" s="10">
        <f t="shared" si="11"/>
        <v>34525</v>
      </c>
      <c r="K44" s="10" t="s">
        <v>174</v>
      </c>
      <c r="L44" s="10"/>
      <c r="M44" s="10"/>
      <c r="N44" s="55"/>
    </row>
    <row r="45" spans="2:14" ht="15.6" x14ac:dyDescent="0.3">
      <c r="B45" s="111" t="s">
        <v>2460</v>
      </c>
      <c r="C45" s="10">
        <v>4</v>
      </c>
      <c r="D45" s="10">
        <f t="shared" si="10"/>
        <v>2</v>
      </c>
      <c r="E45" s="10">
        <v>0</v>
      </c>
      <c r="F45" s="10">
        <v>4294967295</v>
      </c>
      <c r="G45" s="10">
        <v>1</v>
      </c>
      <c r="H45" s="10">
        <v>1</v>
      </c>
      <c r="I45" s="10" t="s">
        <v>322</v>
      </c>
      <c r="J45" s="10">
        <f t="shared" si="11"/>
        <v>34527</v>
      </c>
      <c r="K45" s="10" t="s">
        <v>174</v>
      </c>
      <c r="L45" s="10"/>
      <c r="M45" s="10"/>
      <c r="N45" s="55"/>
    </row>
    <row r="46" spans="2:14" ht="15.6" x14ac:dyDescent="0.3">
      <c r="B46" s="111" t="s">
        <v>2461</v>
      </c>
      <c r="C46" s="10">
        <v>4</v>
      </c>
      <c r="D46" s="10">
        <f t="shared" si="10"/>
        <v>2</v>
      </c>
      <c r="E46" s="10">
        <v>0</v>
      </c>
      <c r="F46" s="10">
        <v>4294967295</v>
      </c>
      <c r="G46" s="10">
        <v>1</v>
      </c>
      <c r="H46" s="10">
        <v>1</v>
      </c>
      <c r="I46" s="10" t="s">
        <v>322</v>
      </c>
      <c r="J46" s="10">
        <f t="shared" si="11"/>
        <v>34529</v>
      </c>
      <c r="K46" s="10" t="s">
        <v>174</v>
      </c>
      <c r="L46" s="10"/>
      <c r="M46" s="10"/>
      <c r="N46" s="55"/>
    </row>
    <row r="47" spans="2:14" ht="15.6" x14ac:dyDescent="0.3">
      <c r="B47" s="111" t="s">
        <v>2462</v>
      </c>
      <c r="C47" s="10">
        <v>4</v>
      </c>
      <c r="D47" s="10">
        <f t="shared" si="10"/>
        <v>2</v>
      </c>
      <c r="E47" s="10">
        <v>0</v>
      </c>
      <c r="F47" s="10">
        <v>4294967295</v>
      </c>
      <c r="G47" s="10">
        <v>1</v>
      </c>
      <c r="H47" s="10">
        <v>1</v>
      </c>
      <c r="I47" s="10" t="s">
        <v>322</v>
      </c>
      <c r="J47" s="10">
        <f t="shared" si="11"/>
        <v>34531</v>
      </c>
      <c r="K47" s="10" t="s">
        <v>174</v>
      </c>
      <c r="L47" s="10"/>
      <c r="M47" s="10"/>
      <c r="N47" s="55"/>
    </row>
    <row r="48" spans="2:14" ht="15.6" x14ac:dyDescent="0.3">
      <c r="B48" s="111" t="s">
        <v>2463</v>
      </c>
      <c r="C48" s="10">
        <v>4</v>
      </c>
      <c r="D48" s="10">
        <f t="shared" si="4"/>
        <v>2</v>
      </c>
      <c r="E48" s="10">
        <v>0</v>
      </c>
      <c r="F48" s="10">
        <v>4294967295</v>
      </c>
      <c r="G48" s="10">
        <v>1</v>
      </c>
      <c r="H48" s="10">
        <v>1</v>
      </c>
      <c r="I48" s="10" t="s">
        <v>322</v>
      </c>
      <c r="J48" s="10">
        <f t="shared" si="5"/>
        <v>34533</v>
      </c>
      <c r="K48" s="10" t="s">
        <v>174</v>
      </c>
      <c r="L48" s="10"/>
      <c r="M48" s="10"/>
      <c r="N48" s="55"/>
    </row>
    <row r="49" spans="2:14" ht="15.6" x14ac:dyDescent="0.3">
      <c r="B49" s="111" t="s">
        <v>2464</v>
      </c>
      <c r="C49" s="10">
        <v>4</v>
      </c>
      <c r="D49" s="10">
        <f t="shared" si="4"/>
        <v>2</v>
      </c>
      <c r="E49" s="10">
        <v>0</v>
      </c>
      <c r="F49" s="10">
        <v>4294967295</v>
      </c>
      <c r="G49" s="10">
        <v>1</v>
      </c>
      <c r="H49" s="10">
        <v>1</v>
      </c>
      <c r="I49" s="10" t="s">
        <v>322</v>
      </c>
      <c r="J49" s="10">
        <f t="shared" si="5"/>
        <v>34535</v>
      </c>
      <c r="K49" s="10" t="s">
        <v>174</v>
      </c>
      <c r="L49" s="10"/>
      <c r="M49" s="10"/>
      <c r="N49" s="55"/>
    </row>
    <row r="50" spans="2:14" ht="15.6" x14ac:dyDescent="0.3">
      <c r="B50" s="111" t="s">
        <v>2465</v>
      </c>
      <c r="C50" s="10">
        <v>4</v>
      </c>
      <c r="D50" s="10">
        <f t="shared" si="4"/>
        <v>2</v>
      </c>
      <c r="E50" s="10">
        <v>0</v>
      </c>
      <c r="F50" s="10">
        <v>4294967295</v>
      </c>
      <c r="G50" s="10">
        <v>1</v>
      </c>
      <c r="H50" s="10">
        <v>1</v>
      </c>
      <c r="I50" s="10" t="s">
        <v>322</v>
      </c>
      <c r="J50" s="10">
        <f t="shared" si="5"/>
        <v>34537</v>
      </c>
      <c r="K50" s="10" t="s">
        <v>174</v>
      </c>
      <c r="L50" s="10"/>
      <c r="M50" s="10"/>
      <c r="N50" s="55"/>
    </row>
    <row r="51" spans="2:14" ht="15.6" x14ac:dyDescent="0.3">
      <c r="B51" s="111" t="s">
        <v>2466</v>
      </c>
      <c r="C51" s="10">
        <v>4</v>
      </c>
      <c r="D51" s="10">
        <f t="shared" si="4"/>
        <v>2</v>
      </c>
      <c r="E51" s="10">
        <v>0</v>
      </c>
      <c r="F51" s="10">
        <v>4294967295</v>
      </c>
      <c r="G51" s="10">
        <v>1</v>
      </c>
      <c r="H51" s="10">
        <v>1</v>
      </c>
      <c r="I51" s="10" t="s">
        <v>322</v>
      </c>
      <c r="J51" s="10">
        <f t="shared" si="5"/>
        <v>34539</v>
      </c>
      <c r="K51" s="10" t="s">
        <v>174</v>
      </c>
      <c r="L51" s="10"/>
      <c r="M51" s="10"/>
      <c r="N51" s="55"/>
    </row>
    <row r="52" spans="2:14" ht="15.6" x14ac:dyDescent="0.3">
      <c r="B52" s="111" t="s">
        <v>2467</v>
      </c>
      <c r="C52" s="10">
        <v>2</v>
      </c>
      <c r="D52" s="10">
        <f>C52/2</f>
        <v>1</v>
      </c>
      <c r="E52" s="10">
        <v>0</v>
      </c>
      <c r="F52" s="10">
        <v>65535</v>
      </c>
      <c r="G52" s="10">
        <v>1</v>
      </c>
      <c r="H52" s="10">
        <v>1</v>
      </c>
      <c r="I52" s="10" t="s">
        <v>322</v>
      </c>
      <c r="J52" s="10">
        <f t="shared" si="5"/>
        <v>34541</v>
      </c>
      <c r="K52" s="10" t="s">
        <v>174</v>
      </c>
      <c r="L52" s="10"/>
      <c r="M52" s="10"/>
      <c r="N52" s="55"/>
    </row>
    <row r="53" spans="2:14" ht="15.6" x14ac:dyDescent="0.3">
      <c r="B53" s="111" t="s">
        <v>2468</v>
      </c>
      <c r="C53" s="10">
        <v>2</v>
      </c>
      <c r="D53" s="10">
        <f>C53/2</f>
        <v>1</v>
      </c>
      <c r="E53" s="10">
        <v>0</v>
      </c>
      <c r="F53" s="10">
        <v>65535</v>
      </c>
      <c r="G53" s="10">
        <v>1</v>
      </c>
      <c r="H53" s="10">
        <v>1</v>
      </c>
      <c r="I53" s="10" t="s">
        <v>322</v>
      </c>
      <c r="J53" s="10">
        <f t="shared" si="5"/>
        <v>34542</v>
      </c>
      <c r="K53" s="10" t="s">
        <v>174</v>
      </c>
      <c r="L53" s="10"/>
      <c r="M53" s="10"/>
      <c r="N53" s="55"/>
    </row>
    <row r="54" spans="2:14" ht="15.6" x14ac:dyDescent="0.3">
      <c r="B54" s="111" t="s">
        <v>2469</v>
      </c>
      <c r="C54" s="10">
        <v>2</v>
      </c>
      <c r="D54" s="10">
        <f>C54/2</f>
        <v>1</v>
      </c>
      <c r="E54" s="10">
        <v>0</v>
      </c>
      <c r="F54" s="10">
        <v>65535</v>
      </c>
      <c r="G54" s="10">
        <v>1</v>
      </c>
      <c r="H54" s="10">
        <v>1</v>
      </c>
      <c r="I54" s="10" t="s">
        <v>322</v>
      </c>
      <c r="J54" s="10">
        <f t="shared" si="5"/>
        <v>34543</v>
      </c>
      <c r="K54" s="10" t="s">
        <v>174</v>
      </c>
      <c r="L54" s="10"/>
      <c r="M54" s="10"/>
      <c r="N54" s="55"/>
    </row>
    <row r="55" spans="2:14" ht="15.6" x14ac:dyDescent="0.3">
      <c r="B55" s="111" t="s">
        <v>2470</v>
      </c>
      <c r="C55" s="10">
        <v>2</v>
      </c>
      <c r="D55" s="10">
        <f>C55/2</f>
        <v>1</v>
      </c>
      <c r="E55" s="10">
        <v>0</v>
      </c>
      <c r="F55" s="10">
        <v>65535</v>
      </c>
      <c r="G55" s="10">
        <v>1</v>
      </c>
      <c r="H55" s="10">
        <v>1</v>
      </c>
      <c r="I55" s="10" t="s">
        <v>322</v>
      </c>
      <c r="J55" s="10">
        <f t="shared" si="5"/>
        <v>34544</v>
      </c>
      <c r="K55" s="10" t="s">
        <v>174</v>
      </c>
      <c r="L55" s="10"/>
      <c r="M55" s="10"/>
      <c r="N55" s="55"/>
    </row>
    <row r="56" spans="2:14" ht="15.6" x14ac:dyDescent="0.3">
      <c r="B56" s="111" t="s">
        <v>2471</v>
      </c>
      <c r="C56" s="10">
        <v>2</v>
      </c>
      <c r="D56" s="10">
        <f>C56/2</f>
        <v>1</v>
      </c>
      <c r="E56" s="10">
        <v>0</v>
      </c>
      <c r="F56" s="10">
        <v>65535</v>
      </c>
      <c r="G56" s="10">
        <v>1</v>
      </c>
      <c r="H56" s="10">
        <v>1</v>
      </c>
      <c r="I56" s="10" t="s">
        <v>322</v>
      </c>
      <c r="J56" s="10">
        <f t="shared" si="5"/>
        <v>34545</v>
      </c>
      <c r="K56" s="10" t="s">
        <v>174</v>
      </c>
      <c r="L56" s="10"/>
      <c r="M56" s="10"/>
      <c r="N56" s="55"/>
    </row>
    <row r="57" spans="2:14" ht="15.6" x14ac:dyDescent="0.3">
      <c r="B57" s="111" t="s">
        <v>2472</v>
      </c>
      <c r="C57" s="10">
        <v>2</v>
      </c>
      <c r="D57" s="10">
        <f t="shared" si="4"/>
        <v>1</v>
      </c>
      <c r="E57" s="10">
        <v>0</v>
      </c>
      <c r="F57" s="10">
        <v>65535</v>
      </c>
      <c r="G57" s="10">
        <v>1</v>
      </c>
      <c r="H57" s="10">
        <v>1</v>
      </c>
      <c r="I57" s="10" t="s">
        <v>322</v>
      </c>
      <c r="J57" s="10">
        <f t="shared" si="5"/>
        <v>34546</v>
      </c>
      <c r="K57" s="10" t="s">
        <v>174</v>
      </c>
      <c r="L57" s="10"/>
      <c r="M57" s="10"/>
      <c r="N57" s="55"/>
    </row>
    <row r="58" spans="2:14" ht="15.6" x14ac:dyDescent="0.3">
      <c r="B58" s="111" t="s">
        <v>2473</v>
      </c>
      <c r="C58" s="10">
        <v>2</v>
      </c>
      <c r="D58" s="10">
        <f t="shared" si="4"/>
        <v>1</v>
      </c>
      <c r="E58" s="10">
        <v>0</v>
      </c>
      <c r="F58" s="10">
        <v>65535</v>
      </c>
      <c r="G58" s="10">
        <v>1</v>
      </c>
      <c r="H58" s="10">
        <v>1</v>
      </c>
      <c r="I58" s="10" t="s">
        <v>322</v>
      </c>
      <c r="J58" s="10">
        <f t="shared" si="5"/>
        <v>34547</v>
      </c>
      <c r="K58" s="10" t="s">
        <v>174</v>
      </c>
      <c r="L58" s="10"/>
      <c r="M58" s="10"/>
      <c r="N58" s="55"/>
    </row>
    <row r="59" spans="2:14" ht="15.6" x14ac:dyDescent="0.3">
      <c r="B59" s="111" t="s">
        <v>2474</v>
      </c>
      <c r="C59" s="10">
        <v>2</v>
      </c>
      <c r="D59" s="10">
        <f t="shared" si="4"/>
        <v>1</v>
      </c>
      <c r="E59" s="10">
        <v>0</v>
      </c>
      <c r="F59" s="10">
        <v>65535</v>
      </c>
      <c r="G59" s="10">
        <v>1</v>
      </c>
      <c r="H59" s="10">
        <v>1</v>
      </c>
      <c r="I59" s="10" t="s">
        <v>322</v>
      </c>
      <c r="J59" s="10">
        <f t="shared" si="5"/>
        <v>34548</v>
      </c>
      <c r="K59" s="10" t="s">
        <v>174</v>
      </c>
      <c r="L59" s="10"/>
      <c r="M59" s="10"/>
      <c r="N59" s="55"/>
    </row>
    <row r="60" spans="2:14" ht="15.6" x14ac:dyDescent="0.3">
      <c r="B60" s="111" t="s">
        <v>2475</v>
      </c>
      <c r="C60" s="10">
        <v>2</v>
      </c>
      <c r="D60" s="10">
        <f t="shared" si="4"/>
        <v>1</v>
      </c>
      <c r="E60" s="10">
        <v>0</v>
      </c>
      <c r="F60" s="10">
        <v>65535</v>
      </c>
      <c r="G60" s="10">
        <v>1</v>
      </c>
      <c r="H60" s="10">
        <v>1</v>
      </c>
      <c r="I60" s="10" t="s">
        <v>322</v>
      </c>
      <c r="J60" s="10">
        <f t="shared" si="5"/>
        <v>34549</v>
      </c>
      <c r="K60" s="10" t="s">
        <v>174</v>
      </c>
      <c r="L60" s="10"/>
      <c r="M60" s="10"/>
      <c r="N60" s="55"/>
    </row>
    <row r="61" spans="2:14" ht="15.6" x14ac:dyDescent="0.3">
      <c r="B61" s="111" t="s">
        <v>2476</v>
      </c>
      <c r="C61" s="10">
        <v>2</v>
      </c>
      <c r="D61" s="10">
        <f t="shared" ref="D61:D68" si="12">C61/2</f>
        <v>1</v>
      </c>
      <c r="E61" s="10">
        <v>0</v>
      </c>
      <c r="F61" s="10">
        <v>65535</v>
      </c>
      <c r="G61" s="10">
        <v>1</v>
      </c>
      <c r="H61" s="10">
        <v>1</v>
      </c>
      <c r="I61" s="10" t="s">
        <v>322</v>
      </c>
      <c r="J61" s="10">
        <f t="shared" si="5"/>
        <v>34550</v>
      </c>
      <c r="K61" s="10" t="s">
        <v>174</v>
      </c>
      <c r="L61" s="10"/>
      <c r="M61" s="10"/>
      <c r="N61" s="55"/>
    </row>
    <row r="62" spans="2:14" ht="15.6" x14ac:dyDescent="0.3">
      <c r="B62" s="111" t="s">
        <v>2477</v>
      </c>
      <c r="C62" s="10">
        <v>2</v>
      </c>
      <c r="D62" s="10">
        <f t="shared" si="12"/>
        <v>1</v>
      </c>
      <c r="E62" s="10">
        <v>0</v>
      </c>
      <c r="F62" s="10">
        <v>65535</v>
      </c>
      <c r="G62" s="10">
        <v>1</v>
      </c>
      <c r="H62" s="10">
        <v>1</v>
      </c>
      <c r="I62" s="10" t="s">
        <v>322</v>
      </c>
      <c r="J62" s="10">
        <f t="shared" si="5"/>
        <v>34551</v>
      </c>
      <c r="K62" s="10" t="s">
        <v>174</v>
      </c>
      <c r="L62" s="10"/>
      <c r="M62" s="10"/>
      <c r="N62" s="55"/>
    </row>
    <row r="63" spans="2:14" ht="15.6" x14ac:dyDescent="0.3">
      <c r="B63" s="111" t="s">
        <v>2478</v>
      </c>
      <c r="C63" s="10">
        <v>2</v>
      </c>
      <c r="D63" s="10">
        <f t="shared" si="12"/>
        <v>1</v>
      </c>
      <c r="E63" s="10">
        <v>0</v>
      </c>
      <c r="F63" s="10">
        <v>65535</v>
      </c>
      <c r="G63" s="10">
        <v>1</v>
      </c>
      <c r="H63" s="10">
        <v>1</v>
      </c>
      <c r="I63" s="10" t="s">
        <v>322</v>
      </c>
      <c r="J63" s="10">
        <f t="shared" si="5"/>
        <v>34552</v>
      </c>
      <c r="K63" s="10" t="s">
        <v>174</v>
      </c>
      <c r="L63" s="10"/>
      <c r="M63" s="10"/>
      <c r="N63" s="55"/>
    </row>
    <row r="64" spans="2:14" ht="15.6" x14ac:dyDescent="0.3">
      <c r="B64" s="111" t="s">
        <v>2479</v>
      </c>
      <c r="C64" s="10">
        <v>2</v>
      </c>
      <c r="D64" s="10">
        <f t="shared" si="12"/>
        <v>1</v>
      </c>
      <c r="E64" s="10">
        <v>0</v>
      </c>
      <c r="F64" s="10">
        <v>65535</v>
      </c>
      <c r="G64" s="10">
        <v>1</v>
      </c>
      <c r="H64" s="10">
        <v>1</v>
      </c>
      <c r="I64" s="10" t="s">
        <v>322</v>
      </c>
      <c r="J64" s="10">
        <f t="shared" si="5"/>
        <v>34553</v>
      </c>
      <c r="K64" s="10" t="s">
        <v>174</v>
      </c>
      <c r="L64" s="10"/>
      <c r="M64" s="10"/>
      <c r="N64" s="55"/>
    </row>
    <row r="65" spans="2:14" ht="15.6" x14ac:dyDescent="0.3">
      <c r="B65" s="111" t="s">
        <v>2480</v>
      </c>
      <c r="C65" s="10">
        <v>2</v>
      </c>
      <c r="D65" s="10">
        <f t="shared" si="12"/>
        <v>1</v>
      </c>
      <c r="E65" s="10">
        <v>0</v>
      </c>
      <c r="F65" s="10">
        <v>65535</v>
      </c>
      <c r="G65" s="10">
        <v>1</v>
      </c>
      <c r="H65" s="10">
        <v>1</v>
      </c>
      <c r="I65" s="10" t="s">
        <v>322</v>
      </c>
      <c r="J65" s="10">
        <f t="shared" si="5"/>
        <v>34554</v>
      </c>
      <c r="K65" s="10" t="s">
        <v>174</v>
      </c>
      <c r="L65" s="10"/>
      <c r="M65" s="10"/>
      <c r="N65" s="55"/>
    </row>
    <row r="66" spans="2:14" ht="15.6" x14ac:dyDescent="0.3">
      <c r="B66" s="111" t="s">
        <v>2481</v>
      </c>
      <c r="C66" s="10">
        <v>2</v>
      </c>
      <c r="D66" s="10">
        <f t="shared" si="12"/>
        <v>1</v>
      </c>
      <c r="E66" s="10">
        <v>0</v>
      </c>
      <c r="F66" s="10">
        <v>65535</v>
      </c>
      <c r="G66" s="10">
        <v>1</v>
      </c>
      <c r="H66" s="10">
        <v>1</v>
      </c>
      <c r="I66" s="10" t="s">
        <v>322</v>
      </c>
      <c r="J66" s="10">
        <f t="shared" si="5"/>
        <v>34555</v>
      </c>
      <c r="K66" s="10" t="s">
        <v>174</v>
      </c>
      <c r="L66" s="10"/>
      <c r="M66" s="10"/>
      <c r="N66" s="55"/>
    </row>
    <row r="67" spans="2:14" ht="15.6" x14ac:dyDescent="0.3">
      <c r="B67" s="111" t="s">
        <v>2482</v>
      </c>
      <c r="C67" s="10">
        <v>2</v>
      </c>
      <c r="D67" s="10">
        <f t="shared" si="12"/>
        <v>1</v>
      </c>
      <c r="E67" s="10">
        <v>0</v>
      </c>
      <c r="F67" s="10">
        <v>65535</v>
      </c>
      <c r="G67" s="10">
        <v>1</v>
      </c>
      <c r="H67" s="10">
        <v>1</v>
      </c>
      <c r="I67" s="10" t="s">
        <v>322</v>
      </c>
      <c r="J67" s="10">
        <f t="shared" si="5"/>
        <v>34556</v>
      </c>
      <c r="K67" s="10" t="s">
        <v>174</v>
      </c>
      <c r="L67" s="10"/>
      <c r="M67" s="10"/>
      <c r="N67" s="55"/>
    </row>
    <row r="68" spans="2:14" ht="15.6" x14ac:dyDescent="0.3">
      <c r="B68" s="111" t="s">
        <v>2483</v>
      </c>
      <c r="C68" s="10">
        <v>2</v>
      </c>
      <c r="D68" s="10">
        <f t="shared" si="12"/>
        <v>1</v>
      </c>
      <c r="E68" s="10">
        <v>0</v>
      </c>
      <c r="F68" s="10">
        <v>65535</v>
      </c>
      <c r="G68" s="10">
        <v>1</v>
      </c>
      <c r="H68" s="10">
        <v>1</v>
      </c>
      <c r="I68" s="10" t="s">
        <v>322</v>
      </c>
      <c r="J68" s="10">
        <f t="shared" si="5"/>
        <v>34557</v>
      </c>
      <c r="K68" s="10" t="s">
        <v>174</v>
      </c>
      <c r="L68" s="10"/>
      <c r="M68" s="10"/>
      <c r="N68" s="55"/>
    </row>
    <row r="69" spans="2:14" ht="15.6" x14ac:dyDescent="0.3">
      <c r="B69" s="111" t="s">
        <v>2484</v>
      </c>
      <c r="C69" s="10">
        <v>2</v>
      </c>
      <c r="D69" s="10">
        <f t="shared" ref="D69:D72" si="13">C69/2</f>
        <v>1</v>
      </c>
      <c r="E69" s="10">
        <v>0</v>
      </c>
      <c r="F69" s="10">
        <v>65535</v>
      </c>
      <c r="G69" s="10">
        <v>1</v>
      </c>
      <c r="H69" s="10">
        <v>1</v>
      </c>
      <c r="I69" s="10" t="s">
        <v>322</v>
      </c>
      <c r="J69" s="10">
        <f t="shared" si="5"/>
        <v>34558</v>
      </c>
      <c r="K69" s="10" t="s">
        <v>174</v>
      </c>
      <c r="L69" s="10"/>
      <c r="M69" s="10"/>
      <c r="N69" s="55"/>
    </row>
    <row r="70" spans="2:14" ht="15.6" x14ac:dyDescent="0.3">
      <c r="B70" s="111" t="s">
        <v>2485</v>
      </c>
      <c r="C70" s="10">
        <v>2</v>
      </c>
      <c r="D70" s="10">
        <f t="shared" si="13"/>
        <v>1</v>
      </c>
      <c r="E70" s="10">
        <v>0</v>
      </c>
      <c r="F70" s="10">
        <v>65535</v>
      </c>
      <c r="G70" s="10">
        <v>1</v>
      </c>
      <c r="H70" s="10">
        <v>1</v>
      </c>
      <c r="I70" s="10" t="s">
        <v>322</v>
      </c>
      <c r="J70" s="10">
        <f t="shared" si="5"/>
        <v>34559</v>
      </c>
      <c r="K70" s="10" t="s">
        <v>174</v>
      </c>
      <c r="L70" s="10"/>
      <c r="M70" s="10"/>
      <c r="N70" s="55"/>
    </row>
    <row r="71" spans="2:14" ht="15.6" x14ac:dyDescent="0.3">
      <c r="B71" s="111" t="s">
        <v>2486</v>
      </c>
      <c r="C71" s="10">
        <v>2</v>
      </c>
      <c r="D71" s="10">
        <f t="shared" si="13"/>
        <v>1</v>
      </c>
      <c r="E71" s="10">
        <v>0</v>
      </c>
      <c r="F71" s="10">
        <v>65535</v>
      </c>
      <c r="G71" s="10">
        <v>1</v>
      </c>
      <c r="H71" s="10">
        <v>1</v>
      </c>
      <c r="I71" s="10" t="s">
        <v>322</v>
      </c>
      <c r="J71" s="10">
        <f t="shared" si="5"/>
        <v>34560</v>
      </c>
      <c r="K71" s="10" t="s">
        <v>174</v>
      </c>
      <c r="L71" s="10"/>
      <c r="M71" s="10"/>
      <c r="N71" s="55"/>
    </row>
    <row r="72" spans="2:14" ht="15.6" x14ac:dyDescent="0.3">
      <c r="B72" s="111" t="s">
        <v>2487</v>
      </c>
      <c r="C72" s="10">
        <v>2</v>
      </c>
      <c r="D72" s="10">
        <f t="shared" si="13"/>
        <v>1</v>
      </c>
      <c r="E72" s="10">
        <v>0</v>
      </c>
      <c r="F72" s="10">
        <v>65535</v>
      </c>
      <c r="G72" s="10">
        <v>1</v>
      </c>
      <c r="H72" s="10">
        <v>1</v>
      </c>
      <c r="I72" s="10" t="s">
        <v>322</v>
      </c>
      <c r="J72" s="10">
        <f t="shared" si="5"/>
        <v>34561</v>
      </c>
      <c r="K72" s="10" t="s">
        <v>174</v>
      </c>
      <c r="L72" s="10"/>
      <c r="M72" s="10"/>
      <c r="N72" s="55"/>
    </row>
    <row r="73" spans="2:14" ht="15.6" x14ac:dyDescent="0.3">
      <c r="B73" s="111" t="s">
        <v>2488</v>
      </c>
      <c r="C73" s="10">
        <v>2</v>
      </c>
      <c r="D73" s="10">
        <f t="shared" ref="D73:D74" si="14">C73/2</f>
        <v>1</v>
      </c>
      <c r="E73" s="10">
        <v>0</v>
      </c>
      <c r="F73" s="10">
        <v>65535</v>
      </c>
      <c r="G73" s="10">
        <v>1</v>
      </c>
      <c r="H73" s="10">
        <v>1</v>
      </c>
      <c r="I73" s="10" t="s">
        <v>322</v>
      </c>
      <c r="J73" s="10">
        <f t="shared" ref="J73:J74" si="15">J72+D72</f>
        <v>34562</v>
      </c>
      <c r="K73" s="10" t="s">
        <v>174</v>
      </c>
      <c r="L73" s="10"/>
      <c r="M73" s="10"/>
      <c r="N73" s="55"/>
    </row>
    <row r="74" spans="2:14" ht="15.6" x14ac:dyDescent="0.3">
      <c r="B74" s="111" t="s">
        <v>2489</v>
      </c>
      <c r="C74" s="10">
        <v>2</v>
      </c>
      <c r="D74" s="10">
        <f t="shared" si="14"/>
        <v>1</v>
      </c>
      <c r="E74" s="10">
        <v>0</v>
      </c>
      <c r="F74" s="10">
        <v>65535</v>
      </c>
      <c r="G74" s="10">
        <v>1</v>
      </c>
      <c r="H74" s="10">
        <v>1</v>
      </c>
      <c r="I74" s="10" t="s">
        <v>322</v>
      </c>
      <c r="J74" s="10">
        <f t="shared" si="15"/>
        <v>34563</v>
      </c>
      <c r="K74" s="10" t="s">
        <v>174</v>
      </c>
      <c r="L74" s="10"/>
      <c r="M74" s="10"/>
      <c r="N74" s="55"/>
    </row>
    <row r="75" spans="2:14" ht="15.6" x14ac:dyDescent="0.3">
      <c r="B75" s="111" t="s">
        <v>2490</v>
      </c>
      <c r="C75" s="10">
        <v>2</v>
      </c>
      <c r="D75" s="10">
        <f t="shared" ref="D75" si="16">C75/2</f>
        <v>1</v>
      </c>
      <c r="E75" s="10">
        <v>0</v>
      </c>
      <c r="F75" s="10">
        <v>65535</v>
      </c>
      <c r="G75" s="10">
        <v>1</v>
      </c>
      <c r="H75" s="10">
        <v>1</v>
      </c>
      <c r="I75" s="10" t="s">
        <v>322</v>
      </c>
      <c r="J75" s="10">
        <f t="shared" ref="J75" si="17">J74+D74</f>
        <v>34564</v>
      </c>
      <c r="K75" s="10" t="s">
        <v>174</v>
      </c>
      <c r="L75" s="10"/>
      <c r="M75" s="10"/>
      <c r="N75" s="55"/>
    </row>
    <row r="76" spans="2:14" ht="15.6" x14ac:dyDescent="0.3">
      <c r="B76" s="111" t="s">
        <v>2491</v>
      </c>
      <c r="C76" s="10">
        <v>2</v>
      </c>
      <c r="D76" s="10">
        <f t="shared" ref="D76" si="18">C76/2</f>
        <v>1</v>
      </c>
      <c r="E76" s="10">
        <v>0</v>
      </c>
      <c r="F76" s="10">
        <v>65535</v>
      </c>
      <c r="G76" s="10">
        <v>1</v>
      </c>
      <c r="H76" s="10">
        <v>1</v>
      </c>
      <c r="I76" s="10" t="s">
        <v>322</v>
      </c>
      <c r="J76" s="10">
        <f t="shared" ref="J76" si="19">J75+D75</f>
        <v>34565</v>
      </c>
      <c r="K76" s="10" t="s">
        <v>174</v>
      </c>
      <c r="L76" s="10"/>
      <c r="M76" s="10"/>
      <c r="N76" s="55"/>
    </row>
    <row r="78" spans="2:14" ht="15.6" x14ac:dyDescent="0.3">
      <c r="B78" s="521" t="s">
        <v>2492</v>
      </c>
      <c r="C78" s="522"/>
      <c r="D78" s="522"/>
      <c r="E78" s="522"/>
      <c r="F78" s="522"/>
      <c r="G78" s="522"/>
      <c r="H78" s="522"/>
      <c r="I78" s="522"/>
      <c r="J78" s="522"/>
      <c r="K78" s="522"/>
      <c r="L78" s="522"/>
      <c r="M78" s="522"/>
      <c r="N78" s="523"/>
    </row>
    <row r="79" spans="2:14" ht="15.6" x14ac:dyDescent="0.3">
      <c r="B79" s="496" t="s">
        <v>2493</v>
      </c>
      <c r="C79" s="496"/>
      <c r="D79" s="496"/>
      <c r="E79" s="496"/>
      <c r="F79" s="496"/>
      <c r="G79" s="496"/>
      <c r="H79" s="496"/>
      <c r="I79" s="496"/>
      <c r="J79" s="496"/>
      <c r="K79" s="496"/>
      <c r="L79" s="496"/>
      <c r="M79" s="496"/>
      <c r="N79" s="496"/>
    </row>
    <row r="80" spans="2:14" ht="15.6" x14ac:dyDescent="0.3">
      <c r="B80" s="10" t="s">
        <v>2494</v>
      </c>
      <c r="C80" s="10">
        <v>2</v>
      </c>
      <c r="D80" s="10">
        <f t="shared" ref="D80:D91" si="20">C80/2</f>
        <v>1</v>
      </c>
      <c r="E80" s="10">
        <v>0</v>
      </c>
      <c r="F80" s="10">
        <v>40000</v>
      </c>
      <c r="G80" s="10">
        <v>5</v>
      </c>
      <c r="H80" s="10">
        <v>1</v>
      </c>
      <c r="I80" s="10" t="s">
        <v>418</v>
      </c>
      <c r="J80" s="10">
        <v>49251</v>
      </c>
      <c r="K80" s="10" t="s">
        <v>419</v>
      </c>
      <c r="L80" s="10"/>
      <c r="M80" s="10"/>
      <c r="N80" s="55"/>
    </row>
    <row r="81" spans="2:14" ht="15.6" x14ac:dyDescent="0.3">
      <c r="B81" s="10" t="s">
        <v>2495</v>
      </c>
      <c r="C81" s="10">
        <v>2</v>
      </c>
      <c r="D81" s="10">
        <f t="shared" si="20"/>
        <v>1</v>
      </c>
      <c r="E81" s="10">
        <v>0</v>
      </c>
      <c r="F81" s="10">
        <v>40000</v>
      </c>
      <c r="G81" s="10">
        <v>5</v>
      </c>
      <c r="H81" s="10">
        <v>1</v>
      </c>
      <c r="I81" s="10" t="s">
        <v>418</v>
      </c>
      <c r="J81" s="10">
        <f t="shared" ref="J81:J91" si="21">J80+D80</f>
        <v>49252</v>
      </c>
      <c r="K81" s="10" t="s">
        <v>419</v>
      </c>
      <c r="L81" s="10"/>
      <c r="M81" s="10"/>
      <c r="N81" s="55"/>
    </row>
    <row r="82" spans="2:14" ht="15.6" x14ac:dyDescent="0.3">
      <c r="B82" s="10" t="s">
        <v>2496</v>
      </c>
      <c r="C82" s="10">
        <v>2</v>
      </c>
      <c r="D82" s="10">
        <f t="shared" si="20"/>
        <v>1</v>
      </c>
      <c r="E82" s="10">
        <v>0</v>
      </c>
      <c r="F82" s="10">
        <v>40000</v>
      </c>
      <c r="G82" s="10">
        <v>5</v>
      </c>
      <c r="H82" s="10">
        <v>1</v>
      </c>
      <c r="I82" s="10" t="s">
        <v>418</v>
      </c>
      <c r="J82" s="10">
        <f t="shared" si="21"/>
        <v>49253</v>
      </c>
      <c r="K82" s="10" t="s">
        <v>419</v>
      </c>
      <c r="L82" s="10"/>
      <c r="M82" s="10"/>
      <c r="N82" s="55"/>
    </row>
    <row r="83" spans="2:14" ht="15.6" x14ac:dyDescent="0.3">
      <c r="B83" s="10" t="s">
        <v>2497</v>
      </c>
      <c r="C83" s="10">
        <v>2</v>
      </c>
      <c r="D83" s="10">
        <f t="shared" si="20"/>
        <v>1</v>
      </c>
      <c r="E83" s="10">
        <v>0</v>
      </c>
      <c r="F83" s="10">
        <v>1</v>
      </c>
      <c r="G83" s="10">
        <v>1</v>
      </c>
      <c r="H83" s="10">
        <v>1</v>
      </c>
      <c r="I83" s="10" t="s">
        <v>418</v>
      </c>
      <c r="J83" s="10">
        <f t="shared" si="21"/>
        <v>49254</v>
      </c>
      <c r="K83" s="10" t="s">
        <v>419</v>
      </c>
      <c r="L83" s="10"/>
      <c r="M83" s="10"/>
      <c r="N83" s="55"/>
    </row>
    <row r="84" spans="2:14" ht="15.6" x14ac:dyDescent="0.3">
      <c r="B84" s="10" t="s">
        <v>2498</v>
      </c>
      <c r="C84" s="10">
        <v>2</v>
      </c>
      <c r="D84" s="10">
        <f t="shared" si="20"/>
        <v>1</v>
      </c>
      <c r="E84" s="10">
        <v>50</v>
      </c>
      <c r="F84" s="10">
        <v>300</v>
      </c>
      <c r="G84" s="10">
        <v>1</v>
      </c>
      <c r="H84" s="10">
        <v>1</v>
      </c>
      <c r="I84" s="10" t="s">
        <v>418</v>
      </c>
      <c r="J84" s="10">
        <f t="shared" si="21"/>
        <v>49255</v>
      </c>
      <c r="K84" s="10" t="s">
        <v>419</v>
      </c>
      <c r="L84" s="10"/>
      <c r="M84" s="10"/>
      <c r="N84" s="55"/>
    </row>
    <row r="85" spans="2:14" ht="15.6" x14ac:dyDescent="0.3">
      <c r="B85" s="10" t="s">
        <v>2499</v>
      </c>
      <c r="C85" s="10">
        <v>2</v>
      </c>
      <c r="D85" s="10">
        <f t="shared" si="20"/>
        <v>1</v>
      </c>
      <c r="E85" s="10">
        <v>0</v>
      </c>
      <c r="F85" s="10">
        <v>1</v>
      </c>
      <c r="G85" s="10">
        <v>1</v>
      </c>
      <c r="H85" s="10">
        <v>1</v>
      </c>
      <c r="I85" s="10" t="s">
        <v>418</v>
      </c>
      <c r="J85" s="10">
        <f t="shared" si="21"/>
        <v>49256</v>
      </c>
      <c r="K85" s="10" t="s">
        <v>419</v>
      </c>
      <c r="L85" s="10"/>
      <c r="M85" s="10"/>
      <c r="N85" s="55"/>
    </row>
    <row r="86" spans="2:14" ht="15.6" x14ac:dyDescent="0.3">
      <c r="B86" s="193" t="s">
        <v>2500</v>
      </c>
      <c r="C86" s="193">
        <v>2</v>
      </c>
      <c r="D86" s="193">
        <f t="shared" si="20"/>
        <v>1</v>
      </c>
      <c r="E86" s="193">
        <v>0</v>
      </c>
      <c r="F86" s="193">
        <v>60000</v>
      </c>
      <c r="G86" s="193">
        <v>1</v>
      </c>
      <c r="H86" s="193">
        <v>1</v>
      </c>
      <c r="I86" s="193" t="s">
        <v>418</v>
      </c>
      <c r="J86" s="193">
        <f t="shared" si="21"/>
        <v>49257</v>
      </c>
      <c r="K86" s="193" t="s">
        <v>419</v>
      </c>
      <c r="L86" s="10"/>
      <c r="M86" s="10"/>
      <c r="N86" s="55"/>
    </row>
    <row r="87" spans="2:14" ht="15.6" x14ac:dyDescent="0.3">
      <c r="B87" s="10" t="s">
        <v>320</v>
      </c>
      <c r="C87" s="10">
        <v>2</v>
      </c>
      <c r="D87" s="10">
        <f t="shared" si="20"/>
        <v>1</v>
      </c>
      <c r="E87" s="10">
        <v>0</v>
      </c>
      <c r="F87" s="10">
        <v>0</v>
      </c>
      <c r="G87" s="10">
        <v>0</v>
      </c>
      <c r="H87" s="10">
        <v>0</v>
      </c>
      <c r="I87" s="10" t="s">
        <v>418</v>
      </c>
      <c r="J87" s="10">
        <f t="shared" si="21"/>
        <v>49258</v>
      </c>
      <c r="K87" s="10" t="s">
        <v>419</v>
      </c>
      <c r="L87" s="10"/>
      <c r="M87" s="10"/>
      <c r="N87" s="55"/>
    </row>
    <row r="88" spans="2:14" ht="15.6" x14ac:dyDescent="0.3">
      <c r="B88" s="10" t="s">
        <v>320</v>
      </c>
      <c r="C88" s="10">
        <v>2</v>
      </c>
      <c r="D88" s="10">
        <f t="shared" si="20"/>
        <v>1</v>
      </c>
      <c r="E88" s="10">
        <v>0</v>
      </c>
      <c r="F88" s="10">
        <v>0</v>
      </c>
      <c r="G88" s="10">
        <v>0</v>
      </c>
      <c r="H88" s="10">
        <v>0</v>
      </c>
      <c r="I88" s="10" t="s">
        <v>418</v>
      </c>
      <c r="J88" s="10">
        <f t="shared" si="21"/>
        <v>49259</v>
      </c>
      <c r="K88" s="10" t="s">
        <v>419</v>
      </c>
      <c r="L88" s="10"/>
      <c r="M88" s="10"/>
      <c r="N88" s="55"/>
    </row>
    <row r="89" spans="2:14" ht="15.6" x14ac:dyDescent="0.3">
      <c r="B89" s="10" t="s">
        <v>320</v>
      </c>
      <c r="C89" s="10">
        <v>2</v>
      </c>
      <c r="D89" s="10">
        <f t="shared" si="20"/>
        <v>1</v>
      </c>
      <c r="E89" s="10">
        <v>0</v>
      </c>
      <c r="F89" s="10">
        <v>0</v>
      </c>
      <c r="G89" s="10">
        <v>0</v>
      </c>
      <c r="H89" s="10">
        <v>0</v>
      </c>
      <c r="I89" s="10" t="s">
        <v>418</v>
      </c>
      <c r="J89" s="10">
        <f t="shared" si="21"/>
        <v>49260</v>
      </c>
      <c r="K89" s="10" t="s">
        <v>419</v>
      </c>
      <c r="L89" s="10"/>
      <c r="M89" s="10"/>
      <c r="N89" s="55"/>
    </row>
    <row r="90" spans="2:14" ht="15.6" x14ac:dyDescent="0.3">
      <c r="B90" s="10" t="s">
        <v>320</v>
      </c>
      <c r="C90" s="10">
        <v>2</v>
      </c>
      <c r="D90" s="10">
        <f t="shared" si="20"/>
        <v>1</v>
      </c>
      <c r="E90" s="10">
        <v>0</v>
      </c>
      <c r="F90" s="10">
        <v>0</v>
      </c>
      <c r="G90" s="10">
        <v>0</v>
      </c>
      <c r="H90" s="10">
        <v>0</v>
      </c>
      <c r="I90" s="10" t="s">
        <v>418</v>
      </c>
      <c r="J90" s="10">
        <f t="shared" si="21"/>
        <v>49261</v>
      </c>
      <c r="K90" s="10" t="s">
        <v>419</v>
      </c>
      <c r="L90" s="10"/>
      <c r="M90" s="10"/>
      <c r="N90" s="55"/>
    </row>
    <row r="91" spans="2:14" ht="15.6" x14ac:dyDescent="0.3">
      <c r="B91" s="10" t="s">
        <v>320</v>
      </c>
      <c r="C91" s="10">
        <v>2</v>
      </c>
      <c r="D91" s="10">
        <f t="shared" si="20"/>
        <v>1</v>
      </c>
      <c r="E91" s="10">
        <v>0</v>
      </c>
      <c r="F91" s="10">
        <v>0</v>
      </c>
      <c r="G91" s="10">
        <v>0</v>
      </c>
      <c r="H91" s="10">
        <v>0</v>
      </c>
      <c r="I91" s="10" t="s">
        <v>418</v>
      </c>
      <c r="J91" s="10">
        <f t="shared" si="21"/>
        <v>49262</v>
      </c>
      <c r="K91" s="10" t="s">
        <v>419</v>
      </c>
      <c r="L91" s="10"/>
      <c r="M91" s="10"/>
      <c r="N91" s="55"/>
    </row>
    <row r="92" spans="2:14" ht="15.6" x14ac:dyDescent="0.3">
      <c r="B92" s="497" t="s">
        <v>2501</v>
      </c>
      <c r="C92" s="508"/>
      <c r="D92" s="508"/>
      <c r="E92" s="508"/>
      <c r="F92" s="508"/>
      <c r="G92" s="508"/>
      <c r="H92" s="508"/>
      <c r="I92" s="508"/>
      <c r="J92" s="508"/>
      <c r="K92" s="508"/>
      <c r="L92" s="508"/>
      <c r="M92" s="508"/>
      <c r="N92" s="509"/>
    </row>
    <row r="93" spans="2:14" ht="15.6" x14ac:dyDescent="0.3">
      <c r="B93" s="10" t="s">
        <v>2347</v>
      </c>
      <c r="C93" s="10">
        <v>4</v>
      </c>
      <c r="D93" s="10">
        <f>C93/2</f>
        <v>2</v>
      </c>
      <c r="E93" s="10">
        <v>0</v>
      </c>
      <c r="F93" s="10">
        <v>4294967295</v>
      </c>
      <c r="G93" s="10">
        <v>1</v>
      </c>
      <c r="H93" s="10">
        <v>1</v>
      </c>
      <c r="I93" s="10" t="s">
        <v>418</v>
      </c>
      <c r="J93" s="10">
        <f>J91+D91</f>
        <v>49263</v>
      </c>
      <c r="K93" s="10" t="s">
        <v>419</v>
      </c>
      <c r="L93" s="10"/>
      <c r="M93" s="10"/>
      <c r="N93" s="10"/>
    </row>
    <row r="94" spans="2:14" ht="15.6" x14ac:dyDescent="0.3">
      <c r="B94" s="10" t="s">
        <v>2502</v>
      </c>
      <c r="C94" s="10">
        <v>4</v>
      </c>
      <c r="D94" s="10">
        <f>C94/2</f>
        <v>2</v>
      </c>
      <c r="E94" s="10">
        <v>0</v>
      </c>
      <c r="F94" s="10">
        <v>4294967295</v>
      </c>
      <c r="G94" s="10">
        <v>1</v>
      </c>
      <c r="H94" s="10">
        <v>1</v>
      </c>
      <c r="I94" s="10" t="s">
        <v>418</v>
      </c>
      <c r="J94" s="10">
        <f>J93+$D93</f>
        <v>49265</v>
      </c>
      <c r="K94" s="10" t="s">
        <v>419</v>
      </c>
      <c r="L94" s="10"/>
      <c r="M94" s="10"/>
      <c r="N94" s="10"/>
    </row>
    <row r="95" spans="2:14" ht="15.6" x14ac:dyDescent="0.3">
      <c r="B95" s="10" t="s">
        <v>2503</v>
      </c>
      <c r="C95" s="10">
        <v>4</v>
      </c>
      <c r="D95" s="10">
        <f>C95/2</f>
        <v>2</v>
      </c>
      <c r="E95" s="10">
        <v>0</v>
      </c>
      <c r="F95" s="10">
        <v>4294967295</v>
      </c>
      <c r="G95" s="10">
        <v>1</v>
      </c>
      <c r="H95" s="10">
        <v>1</v>
      </c>
      <c r="I95" s="10" t="s">
        <v>418</v>
      </c>
      <c r="J95" s="10">
        <f>J94+$D94</f>
        <v>49267</v>
      </c>
      <c r="K95" s="10" t="s">
        <v>419</v>
      </c>
      <c r="L95" s="10"/>
      <c r="M95" s="10"/>
      <c r="N95" s="10"/>
    </row>
    <row r="96" spans="2:14" ht="15.6" x14ac:dyDescent="0.3">
      <c r="B96" s="497" t="s">
        <v>2504</v>
      </c>
      <c r="C96" s="508"/>
      <c r="D96" s="508"/>
      <c r="E96" s="508"/>
      <c r="F96" s="508"/>
      <c r="G96" s="508"/>
      <c r="H96" s="508"/>
      <c r="I96" s="508"/>
      <c r="J96" s="508"/>
      <c r="K96" s="508"/>
      <c r="L96" s="508"/>
      <c r="M96" s="508"/>
      <c r="N96" s="509"/>
    </row>
    <row r="97" spans="2:14" ht="15.6" x14ac:dyDescent="0.3">
      <c r="B97" s="10" t="s">
        <v>2505</v>
      </c>
      <c r="C97" s="10">
        <v>2</v>
      </c>
      <c r="D97" s="10">
        <f>C97/2</f>
        <v>1</v>
      </c>
      <c r="E97" s="10">
        <v>0</v>
      </c>
      <c r="F97" s="10">
        <v>65535</v>
      </c>
      <c r="G97" s="10">
        <v>1</v>
      </c>
      <c r="H97" s="10">
        <v>1</v>
      </c>
      <c r="I97" s="10" t="s">
        <v>418</v>
      </c>
      <c r="J97" s="10">
        <f>J95+D95</f>
        <v>49269</v>
      </c>
      <c r="K97" s="10" t="s">
        <v>419</v>
      </c>
      <c r="L97" s="10"/>
      <c r="M97" s="10"/>
      <c r="N97" s="10"/>
    </row>
    <row r="98" spans="2:14" ht="15.6" x14ac:dyDescent="0.3">
      <c r="B98" s="10" t="s">
        <v>2506</v>
      </c>
      <c r="C98" s="10">
        <v>2</v>
      </c>
      <c r="D98" s="10">
        <f t="shared" ref="D98:D108" si="22">C98/2</f>
        <v>1</v>
      </c>
      <c r="E98" s="10">
        <v>0</v>
      </c>
      <c r="F98" s="10">
        <v>65535</v>
      </c>
      <c r="G98" s="10">
        <v>1</v>
      </c>
      <c r="H98" s="10">
        <v>1</v>
      </c>
      <c r="I98" s="10" t="s">
        <v>418</v>
      </c>
      <c r="J98" s="10">
        <f>J97+D97</f>
        <v>49270</v>
      </c>
      <c r="K98" s="10" t="s">
        <v>419</v>
      </c>
      <c r="L98" s="10"/>
      <c r="M98" s="10"/>
      <c r="N98" s="55"/>
    </row>
    <row r="99" spans="2:14" ht="15.6" x14ac:dyDescent="0.3">
      <c r="B99" s="117" t="s">
        <v>2507</v>
      </c>
      <c r="C99" s="10">
        <v>2</v>
      </c>
      <c r="D99" s="10">
        <f t="shared" si="22"/>
        <v>1</v>
      </c>
      <c r="E99" s="10">
        <v>0</v>
      </c>
      <c r="F99" s="10">
        <v>65535</v>
      </c>
      <c r="G99" s="10">
        <v>1</v>
      </c>
      <c r="H99" s="10">
        <v>1</v>
      </c>
      <c r="I99" s="10" t="s">
        <v>418</v>
      </c>
      <c r="J99" s="10">
        <f>J98+D98</f>
        <v>49271</v>
      </c>
      <c r="K99" s="10" t="s">
        <v>419</v>
      </c>
      <c r="L99" s="10"/>
      <c r="M99" s="10"/>
      <c r="N99" s="55"/>
    </row>
    <row r="100" spans="2:14" ht="15.6" x14ac:dyDescent="0.3">
      <c r="B100" s="10" t="s">
        <v>2508</v>
      </c>
      <c r="C100" s="10">
        <v>2</v>
      </c>
      <c r="D100" s="10">
        <f t="shared" si="22"/>
        <v>1</v>
      </c>
      <c r="E100" s="10">
        <v>1</v>
      </c>
      <c r="F100" s="10">
        <v>31</v>
      </c>
      <c r="G100" s="10">
        <v>1</v>
      </c>
      <c r="H100" s="10">
        <v>1</v>
      </c>
      <c r="I100" s="10" t="s">
        <v>418</v>
      </c>
      <c r="J100" s="10">
        <f t="shared" ref="J100:J108" si="23">J99+D99</f>
        <v>49272</v>
      </c>
      <c r="K100" s="10" t="s">
        <v>419</v>
      </c>
      <c r="L100" s="10"/>
      <c r="M100" s="10"/>
      <c r="N100" s="55"/>
    </row>
    <row r="101" spans="2:14" ht="15.6" x14ac:dyDescent="0.3">
      <c r="B101" s="10" t="s">
        <v>2509</v>
      </c>
      <c r="C101" s="10">
        <v>2</v>
      </c>
      <c r="D101" s="10">
        <f t="shared" si="22"/>
        <v>1</v>
      </c>
      <c r="E101" s="10">
        <v>1</v>
      </c>
      <c r="F101" s="10">
        <v>12</v>
      </c>
      <c r="G101" s="10">
        <v>1</v>
      </c>
      <c r="H101" s="10">
        <v>1</v>
      </c>
      <c r="I101" s="10" t="s">
        <v>418</v>
      </c>
      <c r="J101" s="10">
        <f t="shared" si="23"/>
        <v>49273</v>
      </c>
      <c r="K101" s="10" t="s">
        <v>419</v>
      </c>
      <c r="L101" s="10"/>
      <c r="M101" s="10"/>
      <c r="N101" s="55"/>
    </row>
    <row r="102" spans="2:14" ht="15.6" x14ac:dyDescent="0.3">
      <c r="B102" s="10" t="s">
        <v>2510</v>
      </c>
      <c r="C102" s="10">
        <v>2</v>
      </c>
      <c r="D102" s="10">
        <f t="shared" si="22"/>
        <v>1</v>
      </c>
      <c r="E102" s="10">
        <v>2000</v>
      </c>
      <c r="F102" s="10">
        <v>2999</v>
      </c>
      <c r="G102" s="10">
        <v>1</v>
      </c>
      <c r="H102" s="10">
        <v>1</v>
      </c>
      <c r="I102" s="10" t="s">
        <v>418</v>
      </c>
      <c r="J102" s="10">
        <f t="shared" si="23"/>
        <v>49274</v>
      </c>
      <c r="K102" s="10" t="s">
        <v>419</v>
      </c>
      <c r="L102" s="10"/>
      <c r="M102" s="10"/>
      <c r="N102" s="55"/>
    </row>
    <row r="103" spans="2:14" ht="15.6" x14ac:dyDescent="0.3">
      <c r="B103" s="10" t="s">
        <v>2511</v>
      </c>
      <c r="C103" s="10">
        <v>2</v>
      </c>
      <c r="D103" s="10">
        <f t="shared" si="22"/>
        <v>1</v>
      </c>
      <c r="E103" s="10">
        <v>0</v>
      </c>
      <c r="F103" s="10">
        <v>23</v>
      </c>
      <c r="G103" s="10">
        <v>1</v>
      </c>
      <c r="H103" s="10">
        <v>1</v>
      </c>
      <c r="I103" s="10" t="s">
        <v>418</v>
      </c>
      <c r="J103" s="10">
        <f t="shared" si="23"/>
        <v>49275</v>
      </c>
      <c r="K103" s="10" t="s">
        <v>419</v>
      </c>
      <c r="L103" s="10"/>
      <c r="M103" s="10"/>
      <c r="N103" s="55"/>
    </row>
    <row r="104" spans="2:14" ht="15.6" x14ac:dyDescent="0.3">
      <c r="B104" s="10" t="s">
        <v>2512</v>
      </c>
      <c r="C104" s="10">
        <v>2</v>
      </c>
      <c r="D104" s="10">
        <f t="shared" si="22"/>
        <v>1</v>
      </c>
      <c r="E104" s="10">
        <v>0</v>
      </c>
      <c r="F104" s="10">
        <v>59</v>
      </c>
      <c r="G104" s="10">
        <v>1</v>
      </c>
      <c r="H104" s="10">
        <v>1</v>
      </c>
      <c r="I104" s="10" t="s">
        <v>418</v>
      </c>
      <c r="J104" s="10">
        <f t="shared" si="23"/>
        <v>49276</v>
      </c>
      <c r="K104" s="10" t="s">
        <v>419</v>
      </c>
      <c r="L104" s="10"/>
      <c r="M104" s="10"/>
      <c r="N104" s="55"/>
    </row>
    <row r="105" spans="2:14" ht="15.6" x14ac:dyDescent="0.3">
      <c r="B105" s="10" t="s">
        <v>2513</v>
      </c>
      <c r="C105" s="10">
        <v>2</v>
      </c>
      <c r="D105" s="10">
        <f t="shared" si="22"/>
        <v>1</v>
      </c>
      <c r="E105" s="10">
        <v>0</v>
      </c>
      <c r="F105" s="10">
        <v>59</v>
      </c>
      <c r="G105" s="10">
        <v>1</v>
      </c>
      <c r="H105" s="10">
        <v>1</v>
      </c>
      <c r="I105" s="10" t="s">
        <v>418</v>
      </c>
      <c r="J105" s="10">
        <f t="shared" si="23"/>
        <v>49277</v>
      </c>
      <c r="K105" s="10" t="s">
        <v>419</v>
      </c>
      <c r="L105" s="10"/>
      <c r="M105" s="10"/>
      <c r="N105" s="55"/>
    </row>
    <row r="106" spans="2:14" ht="15.6" x14ac:dyDescent="0.3">
      <c r="B106" s="117" t="s">
        <v>2514</v>
      </c>
      <c r="C106" s="117">
        <v>2</v>
      </c>
      <c r="D106" s="117">
        <f t="shared" si="22"/>
        <v>1</v>
      </c>
      <c r="E106" s="117">
        <v>0</v>
      </c>
      <c r="F106" s="117">
        <v>65535</v>
      </c>
      <c r="G106" s="117">
        <v>1</v>
      </c>
      <c r="H106" s="117">
        <v>1</v>
      </c>
      <c r="I106" s="117" t="s">
        <v>418</v>
      </c>
      <c r="J106" s="117">
        <f t="shared" si="23"/>
        <v>49278</v>
      </c>
      <c r="K106" s="117" t="s">
        <v>419</v>
      </c>
      <c r="L106" s="10"/>
      <c r="M106" s="10"/>
      <c r="N106" s="55"/>
    </row>
    <row r="107" spans="2:14" ht="15.6" x14ac:dyDescent="0.3">
      <c r="B107" s="10" t="s">
        <v>2515</v>
      </c>
      <c r="C107" s="10">
        <v>2</v>
      </c>
      <c r="D107" s="10">
        <f t="shared" si="22"/>
        <v>1</v>
      </c>
      <c r="E107" s="10">
        <v>0</v>
      </c>
      <c r="F107" s="10">
        <v>0</v>
      </c>
      <c r="G107" s="10">
        <v>0</v>
      </c>
      <c r="H107" s="10">
        <v>0</v>
      </c>
      <c r="I107" s="10" t="s">
        <v>322</v>
      </c>
      <c r="J107" s="10">
        <f t="shared" si="23"/>
        <v>49279</v>
      </c>
      <c r="K107" s="10" t="s">
        <v>323</v>
      </c>
      <c r="L107" s="10"/>
      <c r="M107" s="10"/>
      <c r="N107" s="55"/>
    </row>
    <row r="108" spans="2:14" ht="15.6" x14ac:dyDescent="0.3">
      <c r="B108" s="10" t="s">
        <v>2516</v>
      </c>
      <c r="C108" s="10">
        <v>2</v>
      </c>
      <c r="D108" s="10">
        <f t="shared" si="22"/>
        <v>1</v>
      </c>
      <c r="E108" s="10">
        <v>0</v>
      </c>
      <c r="F108" s="10">
        <v>0</v>
      </c>
      <c r="G108" s="10">
        <v>0</v>
      </c>
      <c r="H108" s="10">
        <v>0</v>
      </c>
      <c r="I108" s="10" t="s">
        <v>322</v>
      </c>
      <c r="J108" s="10">
        <f t="shared" si="23"/>
        <v>49280</v>
      </c>
      <c r="K108" s="10" t="s">
        <v>323</v>
      </c>
      <c r="L108" s="10"/>
      <c r="M108" s="10"/>
      <c r="N108" s="55"/>
    </row>
    <row r="109" spans="2:14" ht="15.6" x14ac:dyDescent="0.3">
      <c r="B109" s="496" t="s">
        <v>2517</v>
      </c>
      <c r="C109" s="496"/>
      <c r="D109" s="496"/>
      <c r="E109" s="496"/>
      <c r="F109" s="496"/>
      <c r="G109" s="496"/>
      <c r="H109" s="496"/>
      <c r="I109" s="496"/>
      <c r="J109" s="496"/>
      <c r="K109" s="496"/>
      <c r="L109" s="496"/>
      <c r="M109" s="496"/>
      <c r="N109" s="496"/>
    </row>
    <row r="110" spans="2:14" ht="15.6" x14ac:dyDescent="0.3">
      <c r="B110" s="10" t="s">
        <v>2518</v>
      </c>
      <c r="C110" s="10">
        <v>4</v>
      </c>
      <c r="D110" s="10">
        <f t="shared" ref="D110:D130" si="24">C110/2</f>
        <v>2</v>
      </c>
      <c r="E110" s="10">
        <v>0</v>
      </c>
      <c r="F110" s="10">
        <v>4294967295</v>
      </c>
      <c r="G110" s="10">
        <v>1</v>
      </c>
      <c r="H110" s="10">
        <v>1</v>
      </c>
      <c r="I110" s="10" t="s">
        <v>418</v>
      </c>
      <c r="J110" s="10">
        <f>J108+D108</f>
        <v>49281</v>
      </c>
      <c r="K110" s="10" t="s">
        <v>419</v>
      </c>
      <c r="L110" s="10"/>
      <c r="M110" s="10"/>
      <c r="N110" s="55"/>
    </row>
    <row r="111" spans="2:14" ht="15.6" x14ac:dyDescent="0.3">
      <c r="B111" s="10" t="s">
        <v>2519</v>
      </c>
      <c r="C111" s="10">
        <v>4</v>
      </c>
      <c r="D111" s="10">
        <f t="shared" si="24"/>
        <v>2</v>
      </c>
      <c r="E111" s="10">
        <v>0</v>
      </c>
      <c r="F111" s="10">
        <v>4294967295</v>
      </c>
      <c r="G111" s="10">
        <v>1</v>
      </c>
      <c r="H111" s="10">
        <v>1</v>
      </c>
      <c r="I111" s="10" t="s">
        <v>418</v>
      </c>
      <c r="J111" s="10">
        <f t="shared" ref="J111:J124" si="25">J110+D110</f>
        <v>49283</v>
      </c>
      <c r="K111" s="10" t="s">
        <v>419</v>
      </c>
      <c r="L111" s="10"/>
      <c r="M111" s="10"/>
      <c r="N111" s="55"/>
    </row>
    <row r="112" spans="2:14" ht="15.6" x14ac:dyDescent="0.3">
      <c r="B112" s="10" t="s">
        <v>2520</v>
      </c>
      <c r="C112" s="10">
        <v>4</v>
      </c>
      <c r="D112" s="10">
        <f t="shared" si="24"/>
        <v>2</v>
      </c>
      <c r="E112" s="10">
        <v>0</v>
      </c>
      <c r="F112" s="10">
        <v>4294967295</v>
      </c>
      <c r="G112" s="10">
        <v>1</v>
      </c>
      <c r="H112" s="10">
        <v>1</v>
      </c>
      <c r="I112" s="10" t="s">
        <v>418</v>
      </c>
      <c r="J112" s="10">
        <f t="shared" si="25"/>
        <v>49285</v>
      </c>
      <c r="K112" s="10" t="s">
        <v>419</v>
      </c>
      <c r="L112" s="10"/>
      <c r="M112" s="10"/>
      <c r="N112" s="55"/>
    </row>
    <row r="113" spans="2:14" ht="15.6" x14ac:dyDescent="0.3">
      <c r="B113" s="10" t="s">
        <v>2521</v>
      </c>
      <c r="C113" s="10">
        <v>4</v>
      </c>
      <c r="D113" s="10">
        <f t="shared" si="24"/>
        <v>2</v>
      </c>
      <c r="E113" s="10">
        <v>0</v>
      </c>
      <c r="F113" s="10">
        <v>4294967295</v>
      </c>
      <c r="G113" s="10">
        <v>1</v>
      </c>
      <c r="H113" s="10">
        <v>1</v>
      </c>
      <c r="I113" s="10" t="s">
        <v>418</v>
      </c>
      <c r="J113" s="10">
        <f t="shared" si="25"/>
        <v>49287</v>
      </c>
      <c r="K113" s="10" t="s">
        <v>419</v>
      </c>
      <c r="L113" s="10"/>
      <c r="M113" s="10"/>
      <c r="N113" s="55"/>
    </row>
    <row r="114" spans="2:14" ht="15.6" x14ac:dyDescent="0.3">
      <c r="B114" s="10" t="s">
        <v>2522</v>
      </c>
      <c r="C114" s="10">
        <v>4</v>
      </c>
      <c r="D114" s="10">
        <f t="shared" si="24"/>
        <v>2</v>
      </c>
      <c r="E114" s="10">
        <v>0</v>
      </c>
      <c r="F114" s="10">
        <v>4294967295</v>
      </c>
      <c r="G114" s="10">
        <v>1</v>
      </c>
      <c r="H114" s="10">
        <v>1</v>
      </c>
      <c r="I114" s="10" t="s">
        <v>418</v>
      </c>
      <c r="J114" s="10">
        <f t="shared" si="25"/>
        <v>49289</v>
      </c>
      <c r="K114" s="10" t="s">
        <v>419</v>
      </c>
      <c r="L114" s="10"/>
      <c r="M114" s="10"/>
      <c r="N114" s="55"/>
    </row>
    <row r="115" spans="2:14" ht="15.6" x14ac:dyDescent="0.3">
      <c r="B115" s="10" t="s">
        <v>2523</v>
      </c>
      <c r="C115" s="10">
        <v>4</v>
      </c>
      <c r="D115" s="10">
        <f t="shared" si="24"/>
        <v>2</v>
      </c>
      <c r="E115" s="10">
        <v>0</v>
      </c>
      <c r="F115" s="10">
        <v>4294967295</v>
      </c>
      <c r="G115" s="10">
        <v>1</v>
      </c>
      <c r="H115" s="10">
        <v>1</v>
      </c>
      <c r="I115" s="10" t="s">
        <v>418</v>
      </c>
      <c r="J115" s="10">
        <f t="shared" si="25"/>
        <v>49291</v>
      </c>
      <c r="K115" s="10" t="s">
        <v>419</v>
      </c>
      <c r="L115" s="10"/>
      <c r="M115" s="10"/>
      <c r="N115" s="55"/>
    </row>
    <row r="116" spans="2:14" ht="15.6" x14ac:dyDescent="0.3">
      <c r="B116" s="10" t="s">
        <v>2524</v>
      </c>
      <c r="C116" s="10">
        <v>4</v>
      </c>
      <c r="D116" s="10">
        <f t="shared" si="24"/>
        <v>2</v>
      </c>
      <c r="E116" s="10">
        <v>0</v>
      </c>
      <c r="F116" s="10">
        <v>4294967295</v>
      </c>
      <c r="G116" s="10">
        <v>1</v>
      </c>
      <c r="H116" s="10">
        <v>1</v>
      </c>
      <c r="I116" s="10" t="s">
        <v>418</v>
      </c>
      <c r="J116" s="10">
        <f t="shared" si="25"/>
        <v>49293</v>
      </c>
      <c r="K116" s="10" t="s">
        <v>419</v>
      </c>
      <c r="L116" s="10"/>
      <c r="M116" s="10"/>
      <c r="N116" s="55"/>
    </row>
    <row r="117" spans="2:14" ht="15.6" x14ac:dyDescent="0.3">
      <c r="B117" s="10" t="s">
        <v>2525</v>
      </c>
      <c r="C117" s="10">
        <v>4</v>
      </c>
      <c r="D117" s="10">
        <f t="shared" si="24"/>
        <v>2</v>
      </c>
      <c r="E117" s="10">
        <v>0</v>
      </c>
      <c r="F117" s="10">
        <v>4294967295</v>
      </c>
      <c r="G117" s="10">
        <v>1</v>
      </c>
      <c r="H117" s="10">
        <v>1</v>
      </c>
      <c r="I117" s="10" t="s">
        <v>418</v>
      </c>
      <c r="J117" s="10">
        <f t="shared" si="25"/>
        <v>49295</v>
      </c>
      <c r="K117" s="10" t="s">
        <v>419</v>
      </c>
      <c r="L117" s="10"/>
      <c r="M117" s="10"/>
      <c r="N117" s="55"/>
    </row>
    <row r="118" spans="2:14" ht="15.6" x14ac:dyDescent="0.3">
      <c r="B118" s="10" t="s">
        <v>2526</v>
      </c>
      <c r="C118" s="10">
        <v>4</v>
      </c>
      <c r="D118" s="10">
        <f t="shared" si="24"/>
        <v>2</v>
      </c>
      <c r="E118" s="10">
        <v>0</v>
      </c>
      <c r="F118" s="10">
        <v>4294967295</v>
      </c>
      <c r="G118" s="10">
        <v>1</v>
      </c>
      <c r="H118" s="10">
        <v>1</v>
      </c>
      <c r="I118" s="10" t="s">
        <v>418</v>
      </c>
      <c r="J118" s="10">
        <f t="shared" si="25"/>
        <v>49297</v>
      </c>
      <c r="K118" s="10" t="s">
        <v>419</v>
      </c>
      <c r="L118" s="10"/>
      <c r="M118" s="10"/>
      <c r="N118" s="55"/>
    </row>
    <row r="119" spans="2:14" ht="15.6" x14ac:dyDescent="0.3">
      <c r="B119" s="10" t="s">
        <v>2527</v>
      </c>
      <c r="C119" s="10">
        <v>4</v>
      </c>
      <c r="D119" s="10">
        <f t="shared" si="24"/>
        <v>2</v>
      </c>
      <c r="E119" s="10">
        <v>0</v>
      </c>
      <c r="F119" s="10">
        <v>4294967295</v>
      </c>
      <c r="G119" s="10">
        <v>1</v>
      </c>
      <c r="H119" s="10">
        <v>1</v>
      </c>
      <c r="I119" s="10" t="s">
        <v>418</v>
      </c>
      <c r="J119" s="10">
        <f t="shared" si="25"/>
        <v>49299</v>
      </c>
      <c r="K119" s="10" t="s">
        <v>419</v>
      </c>
      <c r="L119" s="10"/>
      <c r="M119" s="10"/>
      <c r="N119" s="55"/>
    </row>
    <row r="120" spans="2:14" ht="15.6" x14ac:dyDescent="0.3">
      <c r="B120" s="10" t="s">
        <v>2528</v>
      </c>
      <c r="C120" s="10">
        <v>4</v>
      </c>
      <c r="D120" s="10">
        <f t="shared" si="24"/>
        <v>2</v>
      </c>
      <c r="E120" s="10">
        <v>0</v>
      </c>
      <c r="F120" s="10">
        <v>4294967295</v>
      </c>
      <c r="G120" s="10">
        <v>1</v>
      </c>
      <c r="H120" s="10">
        <v>1</v>
      </c>
      <c r="I120" s="10" t="s">
        <v>418</v>
      </c>
      <c r="J120" s="10">
        <f t="shared" si="25"/>
        <v>49301</v>
      </c>
      <c r="K120" s="10" t="s">
        <v>419</v>
      </c>
      <c r="L120" s="10"/>
      <c r="M120" s="10"/>
      <c r="N120" s="55"/>
    </row>
    <row r="121" spans="2:14" ht="15.6" x14ac:dyDescent="0.3">
      <c r="B121" s="10" t="s">
        <v>2529</v>
      </c>
      <c r="C121" s="10">
        <v>4</v>
      </c>
      <c r="D121" s="10">
        <f t="shared" si="24"/>
        <v>2</v>
      </c>
      <c r="E121" s="10">
        <v>0</v>
      </c>
      <c r="F121" s="10">
        <v>4294967295</v>
      </c>
      <c r="G121" s="10">
        <v>1</v>
      </c>
      <c r="H121" s="10">
        <v>1</v>
      </c>
      <c r="I121" s="10" t="s">
        <v>418</v>
      </c>
      <c r="J121" s="10">
        <f t="shared" si="25"/>
        <v>49303</v>
      </c>
      <c r="K121" s="10" t="s">
        <v>419</v>
      </c>
      <c r="L121" s="10"/>
      <c r="M121" s="10"/>
      <c r="N121" s="55"/>
    </row>
    <row r="122" spans="2:14" ht="15.6" x14ac:dyDescent="0.3">
      <c r="B122" s="10" t="s">
        <v>2530</v>
      </c>
      <c r="C122" s="10">
        <v>4</v>
      </c>
      <c r="D122" s="10">
        <f t="shared" si="24"/>
        <v>2</v>
      </c>
      <c r="E122" s="10">
        <v>0</v>
      </c>
      <c r="F122" s="10">
        <v>4294967295</v>
      </c>
      <c r="G122" s="10">
        <v>1</v>
      </c>
      <c r="H122" s="10">
        <v>1</v>
      </c>
      <c r="I122" s="10" t="s">
        <v>418</v>
      </c>
      <c r="J122" s="10">
        <f t="shared" si="25"/>
        <v>49305</v>
      </c>
      <c r="K122" s="10" t="s">
        <v>419</v>
      </c>
      <c r="L122" s="10"/>
      <c r="M122" s="10"/>
      <c r="N122" s="55"/>
    </row>
    <row r="123" spans="2:14" ht="15.6" x14ac:dyDescent="0.3">
      <c r="B123" s="10" t="s">
        <v>2531</v>
      </c>
      <c r="C123" s="10">
        <v>4</v>
      </c>
      <c r="D123" s="10">
        <f t="shared" si="24"/>
        <v>2</v>
      </c>
      <c r="E123" s="10">
        <v>0</v>
      </c>
      <c r="F123" s="10">
        <v>4294967295</v>
      </c>
      <c r="G123" s="10">
        <v>1</v>
      </c>
      <c r="H123" s="10">
        <v>1</v>
      </c>
      <c r="I123" s="10" t="s">
        <v>418</v>
      </c>
      <c r="J123" s="10">
        <f t="shared" si="25"/>
        <v>49307</v>
      </c>
      <c r="K123" s="10" t="s">
        <v>419</v>
      </c>
      <c r="L123" s="10"/>
      <c r="M123" s="10"/>
      <c r="N123" s="55"/>
    </row>
    <row r="124" spans="2:14" ht="15.6" x14ac:dyDescent="0.3">
      <c r="B124" s="10" t="s">
        <v>2532</v>
      </c>
      <c r="C124" s="10">
        <v>4</v>
      </c>
      <c r="D124" s="10">
        <f t="shared" si="24"/>
        <v>2</v>
      </c>
      <c r="E124" s="10">
        <v>0</v>
      </c>
      <c r="F124" s="10">
        <v>4294967295</v>
      </c>
      <c r="G124" s="10">
        <v>1</v>
      </c>
      <c r="H124" s="10">
        <v>1</v>
      </c>
      <c r="I124" s="10" t="s">
        <v>418</v>
      </c>
      <c r="J124" s="10">
        <f t="shared" si="25"/>
        <v>49309</v>
      </c>
      <c r="K124" s="10" t="s">
        <v>419</v>
      </c>
      <c r="L124" s="10"/>
      <c r="M124" s="10"/>
      <c r="N124" s="55"/>
    </row>
    <row r="125" spans="2:14" ht="15.6" x14ac:dyDescent="0.3">
      <c r="B125" s="10" t="s">
        <v>2508</v>
      </c>
      <c r="C125" s="10">
        <v>2</v>
      </c>
      <c r="D125" s="10">
        <f t="shared" si="24"/>
        <v>1</v>
      </c>
      <c r="E125" s="10">
        <v>1</v>
      </c>
      <c r="F125" s="10">
        <v>31</v>
      </c>
      <c r="G125" s="10">
        <v>1</v>
      </c>
      <c r="H125" s="10">
        <v>1</v>
      </c>
      <c r="I125" s="10" t="s">
        <v>418</v>
      </c>
      <c r="J125" s="10">
        <f>J124+D124</f>
        <v>49311</v>
      </c>
      <c r="K125" s="10" t="s">
        <v>419</v>
      </c>
      <c r="L125" s="10"/>
      <c r="M125" s="10"/>
      <c r="N125" s="55"/>
    </row>
    <row r="126" spans="2:14" ht="15.6" x14ac:dyDescent="0.3">
      <c r="B126" s="10" t="s">
        <v>2509</v>
      </c>
      <c r="C126" s="10">
        <v>2</v>
      </c>
      <c r="D126" s="10">
        <f t="shared" si="24"/>
        <v>1</v>
      </c>
      <c r="E126" s="10">
        <v>1</v>
      </c>
      <c r="F126" s="10">
        <v>12</v>
      </c>
      <c r="G126" s="10">
        <v>1</v>
      </c>
      <c r="H126" s="10">
        <v>1</v>
      </c>
      <c r="I126" s="10" t="s">
        <v>418</v>
      </c>
      <c r="J126" s="10">
        <f t="shared" ref="J126:J130" si="26">J125+D125</f>
        <v>49312</v>
      </c>
      <c r="K126" s="10" t="s">
        <v>419</v>
      </c>
      <c r="L126" s="10"/>
      <c r="M126" s="10"/>
      <c r="N126" s="55"/>
    </row>
    <row r="127" spans="2:14" ht="15.6" x14ac:dyDescent="0.3">
      <c r="B127" s="10" t="s">
        <v>2510</v>
      </c>
      <c r="C127" s="10">
        <v>2</v>
      </c>
      <c r="D127" s="10">
        <f t="shared" si="24"/>
        <v>1</v>
      </c>
      <c r="E127" s="10">
        <v>2000</v>
      </c>
      <c r="F127" s="10">
        <v>2999</v>
      </c>
      <c r="G127" s="10">
        <v>1</v>
      </c>
      <c r="H127" s="10">
        <v>1</v>
      </c>
      <c r="I127" s="10" t="s">
        <v>418</v>
      </c>
      <c r="J127" s="10">
        <f t="shared" si="26"/>
        <v>49313</v>
      </c>
      <c r="K127" s="10" t="s">
        <v>419</v>
      </c>
      <c r="L127" s="10"/>
      <c r="M127" s="10"/>
      <c r="N127" s="55"/>
    </row>
    <row r="128" spans="2:14" ht="15.6" x14ac:dyDescent="0.3">
      <c r="B128" s="10" t="s">
        <v>2511</v>
      </c>
      <c r="C128" s="10">
        <v>2</v>
      </c>
      <c r="D128" s="10">
        <f t="shared" si="24"/>
        <v>1</v>
      </c>
      <c r="E128" s="10">
        <v>0</v>
      </c>
      <c r="F128" s="10">
        <v>23</v>
      </c>
      <c r="G128" s="10">
        <v>1</v>
      </c>
      <c r="H128" s="10">
        <v>1</v>
      </c>
      <c r="I128" s="10" t="s">
        <v>418</v>
      </c>
      <c r="J128" s="10">
        <f t="shared" si="26"/>
        <v>49314</v>
      </c>
      <c r="K128" s="10" t="s">
        <v>419</v>
      </c>
      <c r="L128" s="10"/>
      <c r="M128" s="10"/>
      <c r="N128" s="55"/>
    </row>
    <row r="129" spans="2:14" ht="15.6" x14ac:dyDescent="0.3">
      <c r="B129" s="10" t="s">
        <v>2512</v>
      </c>
      <c r="C129" s="10">
        <v>2</v>
      </c>
      <c r="D129" s="10">
        <f t="shared" si="24"/>
        <v>1</v>
      </c>
      <c r="E129" s="10">
        <v>0</v>
      </c>
      <c r="F129" s="10">
        <v>59</v>
      </c>
      <c r="G129" s="10">
        <v>1</v>
      </c>
      <c r="H129" s="10">
        <v>1</v>
      </c>
      <c r="I129" s="10" t="s">
        <v>418</v>
      </c>
      <c r="J129" s="10">
        <f t="shared" si="26"/>
        <v>49315</v>
      </c>
      <c r="K129" s="10" t="s">
        <v>419</v>
      </c>
      <c r="L129" s="10"/>
      <c r="M129" s="10"/>
      <c r="N129" s="55"/>
    </row>
    <row r="130" spans="2:14" ht="15.6" x14ac:dyDescent="0.3">
      <c r="B130" s="10" t="s">
        <v>2513</v>
      </c>
      <c r="C130" s="10">
        <v>2</v>
      </c>
      <c r="D130" s="10">
        <f t="shared" si="24"/>
        <v>1</v>
      </c>
      <c r="E130" s="10">
        <v>0</v>
      </c>
      <c r="F130" s="10">
        <v>59</v>
      </c>
      <c r="G130" s="10">
        <v>1</v>
      </c>
      <c r="H130" s="10">
        <v>1</v>
      </c>
      <c r="I130" s="10" t="s">
        <v>418</v>
      </c>
      <c r="J130" s="10">
        <f t="shared" si="26"/>
        <v>49316</v>
      </c>
      <c r="K130" s="10" t="s">
        <v>419</v>
      </c>
      <c r="L130" s="10"/>
      <c r="M130" s="10"/>
      <c r="N130" s="55"/>
    </row>
    <row r="131" spans="2:14" ht="15.6" x14ac:dyDescent="0.3">
      <c r="B131" s="497" t="s">
        <v>2533</v>
      </c>
      <c r="C131" s="508"/>
      <c r="D131" s="508"/>
      <c r="E131" s="508"/>
      <c r="F131" s="508"/>
      <c r="G131" s="508"/>
      <c r="H131" s="508"/>
      <c r="I131" s="508"/>
      <c r="J131" s="508"/>
      <c r="K131" s="508"/>
      <c r="L131" s="508"/>
      <c r="M131" s="508"/>
      <c r="N131" s="509"/>
    </row>
    <row r="132" spans="2:14" ht="15.6" x14ac:dyDescent="0.3">
      <c r="B132" s="10" t="s">
        <v>2534</v>
      </c>
      <c r="C132" s="10">
        <v>2</v>
      </c>
      <c r="D132" s="10">
        <f>C132/2</f>
        <v>1</v>
      </c>
      <c r="E132" s="10">
        <v>0</v>
      </c>
      <c r="F132" s="10">
        <v>1</v>
      </c>
      <c r="G132" s="10">
        <v>1</v>
      </c>
      <c r="H132" s="10">
        <v>1</v>
      </c>
      <c r="I132" s="10" t="s">
        <v>418</v>
      </c>
      <c r="J132" s="10">
        <f>J130+D130</f>
        <v>49317</v>
      </c>
      <c r="K132" s="10" t="s">
        <v>323</v>
      </c>
      <c r="L132" s="10"/>
      <c r="M132" s="10"/>
      <c r="N132" s="10"/>
    </row>
    <row r="133" spans="2:14" ht="15.6" x14ac:dyDescent="0.3">
      <c r="B133" s="10" t="s">
        <v>2535</v>
      </c>
      <c r="C133" s="10">
        <v>2</v>
      </c>
      <c r="D133" s="10">
        <f t="shared" ref="D133" si="27">C133/2</f>
        <v>1</v>
      </c>
      <c r="E133" s="10">
        <v>0</v>
      </c>
      <c r="F133" s="10">
        <v>65535</v>
      </c>
      <c r="G133" s="10">
        <v>1</v>
      </c>
      <c r="H133" s="10">
        <v>1</v>
      </c>
      <c r="I133" s="10" t="s">
        <v>418</v>
      </c>
      <c r="J133" s="10">
        <f>J132+D132</f>
        <v>49318</v>
      </c>
      <c r="K133" s="10" t="s">
        <v>419</v>
      </c>
      <c r="L133" s="10"/>
      <c r="M133" s="10"/>
      <c r="N133" s="55"/>
    </row>
    <row r="134" spans="2:14" ht="15.6" x14ac:dyDescent="0.3">
      <c r="B134" s="497" t="s">
        <v>2536</v>
      </c>
      <c r="C134" s="508"/>
      <c r="D134" s="508"/>
      <c r="E134" s="508"/>
      <c r="F134" s="508"/>
      <c r="G134" s="508"/>
      <c r="H134" s="508"/>
      <c r="I134" s="508"/>
      <c r="J134" s="508"/>
      <c r="K134" s="508"/>
      <c r="L134" s="508"/>
      <c r="M134" s="508"/>
      <c r="N134" s="509"/>
    </row>
    <row r="135" spans="2:14" ht="15.6" x14ac:dyDescent="0.3">
      <c r="B135" s="10" t="s">
        <v>2537</v>
      </c>
      <c r="C135" s="10">
        <v>2</v>
      </c>
      <c r="D135" s="10">
        <f>C135/2</f>
        <v>1</v>
      </c>
      <c r="E135" s="10">
        <v>0</v>
      </c>
      <c r="F135" s="10">
        <v>511</v>
      </c>
      <c r="G135" s="10">
        <v>1</v>
      </c>
      <c r="H135" s="10">
        <v>1</v>
      </c>
      <c r="I135" s="10" t="s">
        <v>418</v>
      </c>
      <c r="J135" s="10">
        <f>J133+D133</f>
        <v>49319</v>
      </c>
      <c r="K135" s="10" t="s">
        <v>419</v>
      </c>
      <c r="L135" s="10">
        <v>0</v>
      </c>
      <c r="M135" s="10"/>
      <c r="N135" s="10"/>
    </row>
    <row r="136" spans="2:14" ht="15.6" x14ac:dyDescent="0.3">
      <c r="B136" s="10" t="s">
        <v>2538</v>
      </c>
      <c r="C136" s="10">
        <v>2</v>
      </c>
      <c r="D136" s="10">
        <f t="shared" ref="D136" si="28">C136/2</f>
        <v>1</v>
      </c>
      <c r="E136" s="10">
        <v>0</v>
      </c>
      <c r="F136" s="10">
        <v>1</v>
      </c>
      <c r="G136" s="10">
        <v>1</v>
      </c>
      <c r="H136" s="10">
        <v>1</v>
      </c>
      <c r="I136" s="10" t="s">
        <v>418</v>
      </c>
      <c r="J136" s="10">
        <f>J135+D135</f>
        <v>49320</v>
      </c>
      <c r="K136" s="10" t="s">
        <v>419</v>
      </c>
      <c r="L136" s="10">
        <v>0</v>
      </c>
      <c r="M136" s="10"/>
      <c r="N136" s="55"/>
    </row>
    <row r="137" spans="2:14" ht="28.8" x14ac:dyDescent="0.3">
      <c r="B137" s="10" t="s">
        <v>2539</v>
      </c>
      <c r="C137" s="10">
        <v>2</v>
      </c>
      <c r="D137" s="10">
        <f t="shared" ref="D137" si="29">C137/2</f>
        <v>1</v>
      </c>
      <c r="E137" s="10">
        <v>0</v>
      </c>
      <c r="F137" s="10">
        <v>1</v>
      </c>
      <c r="G137" s="10">
        <v>1</v>
      </c>
      <c r="H137" s="10">
        <v>1</v>
      </c>
      <c r="I137" s="10" t="s">
        <v>418</v>
      </c>
      <c r="J137" s="10">
        <f>J136+D136</f>
        <v>49321</v>
      </c>
      <c r="K137" s="10" t="s">
        <v>419</v>
      </c>
      <c r="L137" s="10">
        <v>0</v>
      </c>
      <c r="M137" s="10"/>
      <c r="N137" s="133" t="s">
        <v>971</v>
      </c>
    </row>
    <row r="138" spans="2:14" ht="15.6" x14ac:dyDescent="0.3">
      <c r="B138" s="10" t="s">
        <v>320</v>
      </c>
      <c r="C138" s="10">
        <v>2</v>
      </c>
      <c r="D138" s="10">
        <f t="shared" ref="D138" si="30">C138/2</f>
        <v>1</v>
      </c>
      <c r="E138" s="10">
        <v>0</v>
      </c>
      <c r="F138" s="10">
        <v>0</v>
      </c>
      <c r="G138" s="10">
        <v>0</v>
      </c>
      <c r="H138" s="10">
        <v>0</v>
      </c>
      <c r="I138" s="10" t="s">
        <v>418</v>
      </c>
      <c r="J138" s="10">
        <f>J137+D137</f>
        <v>49322</v>
      </c>
      <c r="K138" s="10" t="s">
        <v>419</v>
      </c>
      <c r="L138" s="10">
        <v>0</v>
      </c>
      <c r="M138" s="10"/>
      <c r="N138" s="133"/>
    </row>
    <row r="139" spans="2:14" ht="15.6" x14ac:dyDescent="0.3">
      <c r="B139" s="497" t="s">
        <v>2540</v>
      </c>
      <c r="C139" s="508"/>
      <c r="D139" s="508"/>
      <c r="E139" s="508"/>
      <c r="F139" s="508"/>
      <c r="G139" s="508"/>
      <c r="H139" s="508"/>
      <c r="I139" s="508"/>
      <c r="J139" s="508"/>
      <c r="K139" s="508"/>
      <c r="L139" s="508"/>
      <c r="M139" s="508"/>
      <c r="N139" s="509"/>
    </row>
    <row r="140" spans="2:14" ht="15.6" x14ac:dyDescent="0.3">
      <c r="B140" s="10" t="s">
        <v>2541</v>
      </c>
      <c r="C140" s="10">
        <v>2</v>
      </c>
      <c r="D140" s="10">
        <f>C140/2</f>
        <v>1</v>
      </c>
      <c r="E140" s="10">
        <v>0</v>
      </c>
      <c r="F140" s="10">
        <v>1</v>
      </c>
      <c r="G140" s="10">
        <v>1</v>
      </c>
      <c r="H140" s="10">
        <v>1</v>
      </c>
      <c r="I140" s="10" t="s">
        <v>418</v>
      </c>
      <c r="J140" s="10">
        <f>J138+D138</f>
        <v>49323</v>
      </c>
      <c r="K140" s="10" t="s">
        <v>419</v>
      </c>
      <c r="L140" s="10">
        <v>0</v>
      </c>
      <c r="M140" s="10"/>
      <c r="N140" s="10"/>
    </row>
    <row r="141" spans="2:14" ht="15.6" x14ac:dyDescent="0.3">
      <c r="B141" s="10" t="s">
        <v>2542</v>
      </c>
      <c r="C141" s="10">
        <v>2</v>
      </c>
      <c r="D141" s="10">
        <f t="shared" ref="D141" si="31">C141/2</f>
        <v>1</v>
      </c>
      <c r="E141" s="10">
        <v>0</v>
      </c>
      <c r="F141" s="10">
        <v>1</v>
      </c>
      <c r="G141" s="10">
        <v>1</v>
      </c>
      <c r="H141" s="10">
        <v>1</v>
      </c>
      <c r="I141" s="10" t="s">
        <v>418</v>
      </c>
      <c r="J141" s="10">
        <f>J140+D140</f>
        <v>49324</v>
      </c>
      <c r="K141" s="10" t="s">
        <v>419</v>
      </c>
      <c r="L141" s="10">
        <v>0</v>
      </c>
      <c r="M141" s="10"/>
      <c r="N141" s="55"/>
    </row>
    <row r="142" spans="2:14" ht="15.6" x14ac:dyDescent="0.3">
      <c r="B142" s="497" t="s">
        <v>2543</v>
      </c>
      <c r="C142" s="508"/>
      <c r="D142" s="508"/>
      <c r="E142" s="508"/>
      <c r="F142" s="508"/>
      <c r="G142" s="508"/>
      <c r="H142" s="508"/>
      <c r="I142" s="508"/>
      <c r="J142" s="508"/>
      <c r="K142" s="508"/>
      <c r="L142" s="508"/>
      <c r="M142" s="508"/>
      <c r="N142" s="509"/>
    </row>
    <row r="143" spans="2:14" ht="28.8" x14ac:dyDescent="0.3">
      <c r="B143" s="10" t="s">
        <v>1001</v>
      </c>
      <c r="C143" s="10">
        <v>2</v>
      </c>
      <c r="D143" s="10">
        <f>C143/2</f>
        <v>1</v>
      </c>
      <c r="E143" s="10">
        <v>0</v>
      </c>
      <c r="F143" s="10">
        <v>1</v>
      </c>
      <c r="G143" s="10">
        <v>1</v>
      </c>
      <c r="H143" s="10">
        <v>1</v>
      </c>
      <c r="I143" s="10" t="s">
        <v>418</v>
      </c>
      <c r="J143" s="10">
        <f>J141+D141</f>
        <v>49325</v>
      </c>
      <c r="K143" s="10" t="s">
        <v>419</v>
      </c>
      <c r="L143" s="10">
        <v>0</v>
      </c>
      <c r="M143" s="10"/>
      <c r="N143" s="133" t="s">
        <v>971</v>
      </c>
    </row>
    <row r="144" spans="2:14" ht="15.6" x14ac:dyDescent="0.3">
      <c r="B144" s="10" t="s">
        <v>2544</v>
      </c>
      <c r="C144" s="10">
        <v>2</v>
      </c>
      <c r="D144" s="10">
        <f t="shared" ref="D144:D145" si="32">C144/2</f>
        <v>1</v>
      </c>
      <c r="E144" s="10">
        <v>0</v>
      </c>
      <c r="F144" s="10">
        <v>600</v>
      </c>
      <c r="G144" s="10">
        <v>1</v>
      </c>
      <c r="H144" s="10">
        <v>1</v>
      </c>
      <c r="I144" s="10" t="s">
        <v>418</v>
      </c>
      <c r="J144" s="10">
        <f>J143+D143</f>
        <v>49326</v>
      </c>
      <c r="K144" s="10" t="s">
        <v>419</v>
      </c>
      <c r="L144" s="10">
        <v>0</v>
      </c>
      <c r="M144" s="10"/>
      <c r="N144" s="55" t="s">
        <v>381</v>
      </c>
    </row>
    <row r="145" spans="2:14" ht="15.6" x14ac:dyDescent="0.3">
      <c r="B145" s="10" t="s">
        <v>320</v>
      </c>
      <c r="C145" s="10">
        <v>1098</v>
      </c>
      <c r="D145" s="10">
        <f t="shared" si="32"/>
        <v>549</v>
      </c>
      <c r="E145" s="10">
        <v>0</v>
      </c>
      <c r="F145" s="10">
        <v>0</v>
      </c>
      <c r="G145" s="10">
        <v>0</v>
      </c>
      <c r="H145" s="10">
        <v>0</v>
      </c>
      <c r="I145" s="10" t="s">
        <v>418</v>
      </c>
      <c r="J145" s="10">
        <f>J144+D144</f>
        <v>49327</v>
      </c>
      <c r="K145" s="10" t="s">
        <v>419</v>
      </c>
      <c r="L145" s="10">
        <v>0</v>
      </c>
      <c r="M145" s="10"/>
      <c r="N145" s="170"/>
    </row>
    <row r="146" spans="2:14" ht="15.6" x14ac:dyDescent="0.3">
      <c r="B146" s="513" t="s">
        <v>2545</v>
      </c>
      <c r="C146" s="514"/>
      <c r="D146" s="514"/>
      <c r="E146" s="514"/>
      <c r="F146" s="514"/>
      <c r="G146" s="514"/>
      <c r="H146" s="514"/>
      <c r="I146" s="514"/>
      <c r="J146" s="514"/>
      <c r="K146" s="514"/>
      <c r="L146" s="518"/>
      <c r="M146" s="518"/>
      <c r="N146" s="519"/>
    </row>
    <row r="147" spans="2:14" ht="15.6" x14ac:dyDescent="0.3">
      <c r="B147" s="513" t="s">
        <v>2546</v>
      </c>
      <c r="C147" s="514"/>
      <c r="D147" s="514"/>
      <c r="E147" s="514"/>
      <c r="F147" s="514"/>
      <c r="G147" s="514"/>
      <c r="H147" s="514"/>
      <c r="I147" s="514"/>
      <c r="J147" s="514"/>
      <c r="K147" s="514"/>
      <c r="L147" s="518"/>
      <c r="M147" s="518"/>
      <c r="N147" s="519"/>
    </row>
    <row r="148" spans="2:14" ht="15.6" x14ac:dyDescent="0.3">
      <c r="B148" s="10" t="s">
        <v>2547</v>
      </c>
      <c r="C148" s="10">
        <v>2</v>
      </c>
      <c r="D148" s="10">
        <f t="shared" ref="D148:D153" si="33">C148/2</f>
        <v>1</v>
      </c>
      <c r="E148" s="10">
        <v>0</v>
      </c>
      <c r="F148" s="10">
        <v>255</v>
      </c>
      <c r="G148" s="10">
        <v>1</v>
      </c>
      <c r="H148" s="10">
        <v>1</v>
      </c>
      <c r="I148" s="10" t="s">
        <v>418</v>
      </c>
      <c r="J148" s="10">
        <f>J145+1</f>
        <v>49328</v>
      </c>
      <c r="K148" s="10" t="s">
        <v>419</v>
      </c>
      <c r="L148" s="10" t="s">
        <v>2548</v>
      </c>
      <c r="M148" s="10"/>
      <c r="N148" s="55" t="s">
        <v>2549</v>
      </c>
    </row>
    <row r="149" spans="2:14" ht="15.6" x14ac:dyDescent="0.3">
      <c r="B149" s="10" t="s">
        <v>2550</v>
      </c>
      <c r="C149" s="10">
        <v>2</v>
      </c>
      <c r="D149" s="10">
        <f t="shared" si="33"/>
        <v>1</v>
      </c>
      <c r="E149" s="10">
        <v>0</v>
      </c>
      <c r="F149" s="10">
        <v>255</v>
      </c>
      <c r="G149" s="10">
        <v>1</v>
      </c>
      <c r="H149" s="10">
        <v>1</v>
      </c>
      <c r="I149" s="10" t="s">
        <v>418</v>
      </c>
      <c r="J149" s="10">
        <f>J148+D148</f>
        <v>49329</v>
      </c>
      <c r="K149" s="10" t="s">
        <v>419</v>
      </c>
      <c r="L149" s="10" t="s">
        <v>2548</v>
      </c>
      <c r="M149" s="10"/>
      <c r="N149" s="55"/>
    </row>
    <row r="150" spans="2:14" ht="15.6" x14ac:dyDescent="0.3">
      <c r="B150" s="10" t="s">
        <v>2551</v>
      </c>
      <c r="C150" s="10">
        <v>2</v>
      </c>
      <c r="D150" s="10">
        <f t="shared" si="33"/>
        <v>1</v>
      </c>
      <c r="E150" s="10">
        <v>0</v>
      </c>
      <c r="F150" s="10">
        <v>255</v>
      </c>
      <c r="G150" s="10">
        <v>1</v>
      </c>
      <c r="H150" s="10">
        <v>1</v>
      </c>
      <c r="I150" s="10" t="s">
        <v>418</v>
      </c>
      <c r="J150" s="10">
        <f t="shared" ref="J150:J153" si="34">J149+D149</f>
        <v>49330</v>
      </c>
      <c r="K150" s="10" t="s">
        <v>419</v>
      </c>
      <c r="L150" s="10" t="s">
        <v>2548</v>
      </c>
      <c r="M150" s="10"/>
      <c r="N150" s="55"/>
    </row>
    <row r="151" spans="2:14" ht="15.6" x14ac:dyDescent="0.3">
      <c r="B151" s="10" t="s">
        <v>2552</v>
      </c>
      <c r="C151" s="10">
        <v>2</v>
      </c>
      <c r="D151" s="10">
        <f t="shared" si="33"/>
        <v>1</v>
      </c>
      <c r="E151" s="10">
        <v>0</v>
      </c>
      <c r="F151" s="10">
        <v>255</v>
      </c>
      <c r="G151" s="10">
        <v>1</v>
      </c>
      <c r="H151" s="10">
        <v>1</v>
      </c>
      <c r="I151" s="10" t="s">
        <v>418</v>
      </c>
      <c r="J151" s="10">
        <f t="shared" si="34"/>
        <v>49331</v>
      </c>
      <c r="K151" s="10" t="s">
        <v>419</v>
      </c>
      <c r="L151" s="10" t="s">
        <v>2548</v>
      </c>
      <c r="M151" s="10"/>
      <c r="N151" s="55"/>
    </row>
    <row r="152" spans="2:14" ht="15.6" x14ac:dyDescent="0.3">
      <c r="B152" s="10" t="s">
        <v>2553</v>
      </c>
      <c r="C152" s="10">
        <v>2</v>
      </c>
      <c r="D152" s="10">
        <f t="shared" si="33"/>
        <v>1</v>
      </c>
      <c r="E152" s="10">
        <v>0</v>
      </c>
      <c r="F152" s="10">
        <v>255</v>
      </c>
      <c r="G152" s="10">
        <v>1</v>
      </c>
      <c r="H152" s="10">
        <v>1</v>
      </c>
      <c r="I152" s="10" t="s">
        <v>418</v>
      </c>
      <c r="J152" s="10">
        <f t="shared" si="34"/>
        <v>49332</v>
      </c>
      <c r="K152" s="10" t="s">
        <v>419</v>
      </c>
      <c r="L152" s="10" t="s">
        <v>2548</v>
      </c>
      <c r="M152" s="10"/>
      <c r="N152" s="55"/>
    </row>
    <row r="153" spans="2:14" ht="15.6" x14ac:dyDescent="0.3">
      <c r="B153" s="10" t="s">
        <v>2554</v>
      </c>
      <c r="C153" s="10">
        <v>2</v>
      </c>
      <c r="D153" s="10">
        <f t="shared" si="33"/>
        <v>1</v>
      </c>
      <c r="E153" s="10">
        <v>0</v>
      </c>
      <c r="F153" s="10">
        <v>255</v>
      </c>
      <c r="G153" s="10">
        <v>1</v>
      </c>
      <c r="H153" s="10">
        <v>1</v>
      </c>
      <c r="I153" s="10" t="s">
        <v>418</v>
      </c>
      <c r="J153" s="10">
        <f t="shared" si="34"/>
        <v>49333</v>
      </c>
      <c r="K153" s="10" t="s">
        <v>419</v>
      </c>
      <c r="L153" s="10" t="s">
        <v>2548</v>
      </c>
      <c r="M153" s="10"/>
      <c r="N153" s="55"/>
    </row>
    <row r="154" spans="2:14" ht="15.6" x14ac:dyDescent="0.3">
      <c r="B154" s="513" t="s">
        <v>2555</v>
      </c>
      <c r="C154" s="514"/>
      <c r="D154" s="514"/>
      <c r="E154" s="514"/>
      <c r="F154" s="514"/>
      <c r="G154" s="514"/>
      <c r="H154" s="514"/>
      <c r="I154" s="514"/>
      <c r="J154" s="514"/>
      <c r="K154" s="514"/>
      <c r="L154" s="518"/>
      <c r="M154" s="518"/>
      <c r="N154" s="519"/>
    </row>
    <row r="155" spans="2:14" ht="15.6" x14ac:dyDescent="0.3">
      <c r="B155" s="10" t="s">
        <v>2547</v>
      </c>
      <c r="C155" s="10">
        <v>2</v>
      </c>
      <c r="D155" s="10">
        <f t="shared" ref="D155:D160" si="35">C155/2</f>
        <v>1</v>
      </c>
      <c r="E155" s="10">
        <v>0</v>
      </c>
      <c r="F155" s="10">
        <v>255</v>
      </c>
      <c r="G155" s="10">
        <v>1</v>
      </c>
      <c r="H155" s="10">
        <v>1</v>
      </c>
      <c r="I155" s="10" t="s">
        <v>418</v>
      </c>
      <c r="J155" s="10">
        <f>J153+D153</f>
        <v>49334</v>
      </c>
      <c r="K155" s="10" t="s">
        <v>419</v>
      </c>
      <c r="L155" s="10" t="s">
        <v>2548</v>
      </c>
      <c r="M155" s="10"/>
      <c r="N155" s="55" t="s">
        <v>2556</v>
      </c>
    </row>
    <row r="156" spans="2:14" ht="15.6" x14ac:dyDescent="0.3">
      <c r="B156" s="10" t="s">
        <v>2550</v>
      </c>
      <c r="C156" s="10">
        <v>2</v>
      </c>
      <c r="D156" s="10">
        <f t="shared" si="35"/>
        <v>1</v>
      </c>
      <c r="E156" s="10">
        <v>0</v>
      </c>
      <c r="F156" s="10">
        <v>255</v>
      </c>
      <c r="G156" s="10">
        <v>1</v>
      </c>
      <c r="H156" s="10">
        <v>1</v>
      </c>
      <c r="I156" s="10" t="s">
        <v>418</v>
      </c>
      <c r="J156" s="10">
        <f>J155+D155</f>
        <v>49335</v>
      </c>
      <c r="K156" s="10" t="s">
        <v>419</v>
      </c>
      <c r="L156" s="10" t="s">
        <v>2548</v>
      </c>
      <c r="M156" s="10"/>
      <c r="N156" s="55"/>
    </row>
    <row r="157" spans="2:14" ht="15.6" x14ac:dyDescent="0.3">
      <c r="B157" s="10" t="s">
        <v>2551</v>
      </c>
      <c r="C157" s="10">
        <v>2</v>
      </c>
      <c r="D157" s="10">
        <f t="shared" si="35"/>
        <v>1</v>
      </c>
      <c r="E157" s="10">
        <v>0</v>
      </c>
      <c r="F157" s="10">
        <v>255</v>
      </c>
      <c r="G157" s="10">
        <v>1</v>
      </c>
      <c r="H157" s="10">
        <v>1</v>
      </c>
      <c r="I157" s="10" t="s">
        <v>418</v>
      </c>
      <c r="J157" s="10">
        <f t="shared" ref="J157:J160" si="36">J156+D156</f>
        <v>49336</v>
      </c>
      <c r="K157" s="10" t="s">
        <v>419</v>
      </c>
      <c r="L157" s="10" t="s">
        <v>2548</v>
      </c>
      <c r="M157" s="10"/>
      <c r="N157" s="55"/>
    </row>
    <row r="158" spans="2:14" ht="15.6" x14ac:dyDescent="0.3">
      <c r="B158" s="10" t="s">
        <v>2552</v>
      </c>
      <c r="C158" s="10">
        <v>2</v>
      </c>
      <c r="D158" s="10">
        <f t="shared" si="35"/>
        <v>1</v>
      </c>
      <c r="E158" s="10">
        <v>0</v>
      </c>
      <c r="F158" s="10">
        <v>255</v>
      </c>
      <c r="G158" s="10">
        <v>1</v>
      </c>
      <c r="H158" s="10">
        <v>1</v>
      </c>
      <c r="I158" s="10" t="s">
        <v>418</v>
      </c>
      <c r="J158" s="10">
        <f t="shared" si="36"/>
        <v>49337</v>
      </c>
      <c r="K158" s="10" t="s">
        <v>419</v>
      </c>
      <c r="L158" s="10" t="s">
        <v>2548</v>
      </c>
      <c r="M158" s="10"/>
      <c r="N158" s="55"/>
    </row>
    <row r="159" spans="2:14" ht="15.6" x14ac:dyDescent="0.3">
      <c r="B159" s="10" t="s">
        <v>2553</v>
      </c>
      <c r="C159" s="10">
        <v>2</v>
      </c>
      <c r="D159" s="10">
        <f t="shared" si="35"/>
        <v>1</v>
      </c>
      <c r="E159" s="10">
        <v>0</v>
      </c>
      <c r="F159" s="10">
        <v>255</v>
      </c>
      <c r="G159" s="10">
        <v>1</v>
      </c>
      <c r="H159" s="10">
        <v>1</v>
      </c>
      <c r="I159" s="10" t="s">
        <v>418</v>
      </c>
      <c r="J159" s="10">
        <f t="shared" si="36"/>
        <v>49338</v>
      </c>
      <c r="K159" s="10" t="s">
        <v>419</v>
      </c>
      <c r="L159" s="10" t="s">
        <v>2548</v>
      </c>
      <c r="M159" s="10"/>
      <c r="N159" s="55"/>
    </row>
    <row r="160" spans="2:14" ht="15.6" x14ac:dyDescent="0.3">
      <c r="B160" s="10" t="s">
        <v>2554</v>
      </c>
      <c r="C160" s="10">
        <v>2</v>
      </c>
      <c r="D160" s="10">
        <f t="shared" si="35"/>
        <v>1</v>
      </c>
      <c r="E160" s="10">
        <v>0</v>
      </c>
      <c r="F160" s="10">
        <v>255</v>
      </c>
      <c r="G160" s="10">
        <v>1</v>
      </c>
      <c r="H160" s="10">
        <v>1</v>
      </c>
      <c r="I160" s="10" t="s">
        <v>418</v>
      </c>
      <c r="J160" s="10">
        <f t="shared" si="36"/>
        <v>49339</v>
      </c>
      <c r="K160" s="10" t="s">
        <v>419</v>
      </c>
      <c r="L160" s="10" t="s">
        <v>2548</v>
      </c>
      <c r="M160" s="10"/>
      <c r="N160" s="55"/>
    </row>
    <row r="161" spans="2:15" ht="15.6" x14ac:dyDescent="0.3">
      <c r="B161" s="513" t="s">
        <v>2557</v>
      </c>
      <c r="C161" s="514"/>
      <c r="D161" s="514"/>
      <c r="E161" s="514"/>
      <c r="F161" s="514"/>
      <c r="G161" s="514"/>
      <c r="H161" s="514"/>
      <c r="I161" s="514"/>
      <c r="J161" s="514"/>
      <c r="K161" s="514"/>
      <c r="L161" s="518"/>
      <c r="M161" s="518"/>
      <c r="N161" s="519"/>
    </row>
    <row r="162" spans="2:15" ht="15.6" x14ac:dyDescent="0.3">
      <c r="B162" s="10" t="s">
        <v>2558</v>
      </c>
      <c r="C162" s="10">
        <v>2</v>
      </c>
      <c r="D162" s="10">
        <f t="shared" ref="D162" si="37">C162/2</f>
        <v>1</v>
      </c>
      <c r="E162" s="10">
        <v>0</v>
      </c>
      <c r="F162" s="10">
        <v>255</v>
      </c>
      <c r="G162" s="10">
        <v>1</v>
      </c>
      <c r="H162" s="10">
        <v>1</v>
      </c>
      <c r="I162" s="10" t="s">
        <v>418</v>
      </c>
      <c r="J162" s="10">
        <f>J160+D160</f>
        <v>49340</v>
      </c>
      <c r="K162" s="10" t="s">
        <v>419</v>
      </c>
      <c r="L162" s="10"/>
      <c r="M162" s="10"/>
      <c r="N162" s="55" t="s">
        <v>2559</v>
      </c>
    </row>
    <row r="163" spans="2:15" ht="15.6" x14ac:dyDescent="0.3">
      <c r="B163" s="497" t="s">
        <v>2560</v>
      </c>
      <c r="C163" s="508"/>
      <c r="D163" s="508"/>
      <c r="E163" s="508"/>
      <c r="F163" s="508"/>
      <c r="G163" s="508"/>
      <c r="H163" s="508"/>
      <c r="I163" s="508"/>
      <c r="J163" s="508"/>
      <c r="K163" s="508"/>
      <c r="L163" s="508"/>
      <c r="M163" s="508"/>
      <c r="N163" s="509"/>
    </row>
    <row r="164" spans="2:15" ht="254.1" customHeight="1" x14ac:dyDescent="0.3">
      <c r="B164" s="10" t="s">
        <v>2561</v>
      </c>
      <c r="C164" s="10">
        <v>2</v>
      </c>
      <c r="D164" s="10">
        <f>C164/2</f>
        <v>1</v>
      </c>
      <c r="E164" s="10">
        <v>0</v>
      </c>
      <c r="F164" s="10">
        <v>65535</v>
      </c>
      <c r="G164" s="10">
        <v>1</v>
      </c>
      <c r="H164" s="10">
        <v>1</v>
      </c>
      <c r="I164" s="10" t="s">
        <v>418</v>
      </c>
      <c r="J164" s="10">
        <f>J145+D145</f>
        <v>49876</v>
      </c>
      <c r="K164" s="10" t="s">
        <v>419</v>
      </c>
      <c r="L164" s="10">
        <v>0</v>
      </c>
      <c r="M164" s="10"/>
      <c r="N164" s="169" t="s">
        <v>2562</v>
      </c>
      <c r="O164" s="168"/>
    </row>
    <row r="165" spans="2:15" ht="172.8" x14ac:dyDescent="0.3">
      <c r="B165" s="10" t="s">
        <v>2563</v>
      </c>
      <c r="C165" s="10">
        <v>2</v>
      </c>
      <c r="D165" s="10">
        <f t="shared" ref="D165:D167" si="38">C165/2</f>
        <v>1</v>
      </c>
      <c r="E165" s="10">
        <v>0</v>
      </c>
      <c r="F165" s="10">
        <v>1</v>
      </c>
      <c r="G165" s="10">
        <v>1</v>
      </c>
      <c r="H165" s="10">
        <v>1</v>
      </c>
      <c r="I165" s="10" t="s">
        <v>418</v>
      </c>
      <c r="J165" s="10">
        <f>J164+D164</f>
        <v>49877</v>
      </c>
      <c r="K165" s="10" t="s">
        <v>419</v>
      </c>
      <c r="L165" s="67">
        <v>0</v>
      </c>
      <c r="M165" s="67"/>
      <c r="N165" s="169" t="s">
        <v>2564</v>
      </c>
    </row>
    <row r="166" spans="2:15" ht="100.8" x14ac:dyDescent="0.3">
      <c r="B166" s="117" t="s">
        <v>2565</v>
      </c>
      <c r="C166" s="117">
        <v>2</v>
      </c>
      <c r="D166" s="117">
        <f t="shared" ref="D166" si="39">C166/2</f>
        <v>1</v>
      </c>
      <c r="E166" s="117">
        <v>0</v>
      </c>
      <c r="F166" s="117">
        <v>1</v>
      </c>
      <c r="G166" s="117">
        <v>1</v>
      </c>
      <c r="H166" s="117">
        <v>1</v>
      </c>
      <c r="I166" s="117" t="s">
        <v>418</v>
      </c>
      <c r="J166" s="117">
        <f>J165+D165</f>
        <v>49878</v>
      </c>
      <c r="K166" s="117" t="s">
        <v>419</v>
      </c>
      <c r="L166" s="361">
        <v>0</v>
      </c>
      <c r="M166" s="361"/>
      <c r="N166" s="368" t="s">
        <v>2566</v>
      </c>
    </row>
    <row r="167" spans="2:15" ht="15.6" x14ac:dyDescent="0.3">
      <c r="B167" s="10" t="s">
        <v>320</v>
      </c>
      <c r="C167" s="10">
        <v>2</v>
      </c>
      <c r="D167" s="10">
        <f t="shared" si="38"/>
        <v>1</v>
      </c>
      <c r="E167" s="10">
        <v>0</v>
      </c>
      <c r="F167" s="10">
        <v>0</v>
      </c>
      <c r="G167" s="10">
        <v>0</v>
      </c>
      <c r="H167" s="10">
        <v>0</v>
      </c>
      <c r="I167" s="10" t="s">
        <v>418</v>
      </c>
      <c r="J167" s="10">
        <f>J166+D166</f>
        <v>49879</v>
      </c>
      <c r="K167" s="10" t="s">
        <v>419</v>
      </c>
      <c r="L167" s="10">
        <v>0</v>
      </c>
      <c r="M167" s="10"/>
      <c r="N167" s="170"/>
    </row>
    <row r="168" spans="2:15" ht="15.6" x14ac:dyDescent="0.3">
      <c r="B168" s="497" t="s">
        <v>2567</v>
      </c>
      <c r="C168" s="508"/>
      <c r="D168" s="508"/>
      <c r="E168" s="508"/>
      <c r="F168" s="508"/>
      <c r="G168" s="508"/>
      <c r="H168" s="508"/>
      <c r="I168" s="508"/>
      <c r="J168" s="508"/>
      <c r="K168" s="508"/>
      <c r="L168" s="508"/>
      <c r="M168" s="508"/>
      <c r="N168" s="509"/>
    </row>
    <row r="169" spans="2:15" ht="135.6" customHeight="1" x14ac:dyDescent="0.3">
      <c r="B169" s="10" t="s">
        <v>2568</v>
      </c>
      <c r="C169" s="10">
        <v>2</v>
      </c>
      <c r="D169" s="10">
        <f>C169/2</f>
        <v>1</v>
      </c>
      <c r="E169" s="10">
        <v>0</v>
      </c>
      <c r="F169" s="10">
        <v>0</v>
      </c>
      <c r="G169" s="10">
        <v>1</v>
      </c>
      <c r="H169" s="10">
        <v>1</v>
      </c>
      <c r="I169" s="10" t="s">
        <v>322</v>
      </c>
      <c r="J169" s="10">
        <f>J167+D167</f>
        <v>49880</v>
      </c>
      <c r="K169" s="10" t="s">
        <v>323</v>
      </c>
      <c r="L169" s="10"/>
      <c r="M169" s="10"/>
      <c r="N169" s="192" t="s">
        <v>2569</v>
      </c>
    </row>
    <row r="170" spans="2:15" ht="67.05" customHeight="1" x14ac:dyDescent="0.3">
      <c r="B170" s="10" t="s">
        <v>2570</v>
      </c>
      <c r="C170" s="10">
        <v>2</v>
      </c>
      <c r="D170" s="10">
        <f>C170/2</f>
        <v>1</v>
      </c>
      <c r="E170" s="10">
        <v>0</v>
      </c>
      <c r="F170" s="10">
        <v>7</v>
      </c>
      <c r="G170" s="10">
        <v>1</v>
      </c>
      <c r="H170" s="10">
        <v>1</v>
      </c>
      <c r="I170" s="10" t="s">
        <v>418</v>
      </c>
      <c r="J170" s="10">
        <f>J169+D169</f>
        <v>49881</v>
      </c>
      <c r="K170" s="10" t="s">
        <v>419</v>
      </c>
      <c r="L170" s="10"/>
      <c r="M170" s="10"/>
      <c r="N170" s="110" t="s">
        <v>2571</v>
      </c>
    </row>
    <row r="171" spans="2:15" ht="171.6" x14ac:dyDescent="0.3">
      <c r="B171" s="10" t="s">
        <v>2572</v>
      </c>
      <c r="C171" s="10">
        <v>2</v>
      </c>
      <c r="D171" s="10">
        <f>C171/2</f>
        <v>1</v>
      </c>
      <c r="E171" s="10">
        <v>0</v>
      </c>
      <c r="F171" s="10">
        <v>0</v>
      </c>
      <c r="G171" s="10">
        <v>1</v>
      </c>
      <c r="H171" s="10">
        <v>1</v>
      </c>
      <c r="I171" s="10" t="s">
        <v>322</v>
      </c>
      <c r="J171" s="10">
        <f>J170+D170</f>
        <v>49882</v>
      </c>
      <c r="K171" s="10" t="s">
        <v>323</v>
      </c>
      <c r="L171" s="10"/>
      <c r="M171" s="10"/>
      <c r="N171" s="110" t="s">
        <v>2573</v>
      </c>
    </row>
    <row r="174" spans="2:15" x14ac:dyDescent="0.3">
      <c r="I174" s="89"/>
      <c r="J174" s="89"/>
    </row>
    <row r="175" spans="2:15" x14ac:dyDescent="0.3">
      <c r="I175" s="89"/>
      <c r="J175" s="89"/>
    </row>
    <row r="176" spans="2:15" x14ac:dyDescent="0.3">
      <c r="I176" s="89"/>
      <c r="J176" s="89"/>
    </row>
    <row r="177" spans="9:10" x14ac:dyDescent="0.3">
      <c r="I177" s="89"/>
      <c r="J177" s="89"/>
    </row>
    <row r="180" spans="9:10" x14ac:dyDescent="0.3">
      <c r="I180" s="89"/>
      <c r="J180" s="89"/>
    </row>
    <row r="181" spans="9:10" x14ac:dyDescent="0.3">
      <c r="I181" s="89"/>
      <c r="J181" s="89"/>
    </row>
    <row r="182" spans="9:10" x14ac:dyDescent="0.3">
      <c r="I182" s="89"/>
      <c r="J182" s="89"/>
    </row>
    <row r="183" spans="9:10" x14ac:dyDescent="0.3">
      <c r="I183" s="89"/>
      <c r="J183" s="89"/>
    </row>
  </sheetData>
  <mergeCells count="19">
    <mergeCell ref="B3:N3"/>
    <mergeCell ref="B4:N4"/>
    <mergeCell ref="B9:N9"/>
    <mergeCell ref="B78:N78"/>
    <mergeCell ref="B79:N79"/>
    <mergeCell ref="B168:N168"/>
    <mergeCell ref="B163:N163"/>
    <mergeCell ref="B142:N142"/>
    <mergeCell ref="B92:N92"/>
    <mergeCell ref="B31:N31"/>
    <mergeCell ref="B139:N139"/>
    <mergeCell ref="B134:N134"/>
    <mergeCell ref="B131:N131"/>
    <mergeCell ref="B96:N96"/>
    <mergeCell ref="B109:N109"/>
    <mergeCell ref="B146:N146"/>
    <mergeCell ref="B147:N147"/>
    <mergeCell ref="B154:N154"/>
    <mergeCell ref="B161:N161"/>
  </mergeCells>
  <phoneticPr fontId="30" type="noConversion"/>
  <conditionalFormatting sqref="B32:B76">
    <cfRule type="cellIs" dxfId="928" priority="98" stopIfTrue="1" operator="notEqual">
      <formula>INDIRECT("Dummy_for_Comparison2!"&amp;ADDRESS(ROW(),COLUMN()))</formula>
    </cfRule>
  </conditionalFormatting>
  <conditionalFormatting sqref="B98:C108 E98:H108 L98:M108">
    <cfRule type="cellIs" dxfId="927" priority="266" stopIfTrue="1" operator="notEqual">
      <formula>INDIRECT("Dummy_for_Comparison2!"&amp;ADDRESS(ROW(),COLUMN()))</formula>
    </cfRule>
  </conditionalFormatting>
  <conditionalFormatting sqref="B133:C133 E133:H133 L133:M133">
    <cfRule type="cellIs" dxfId="926" priority="215" stopIfTrue="1" operator="notEqual">
      <formula>INDIRECT("Dummy_for_Comparison2!"&amp;ADDRESS(ROW(),COLUMN()))</formula>
    </cfRule>
  </conditionalFormatting>
  <conditionalFormatting sqref="B136:C138 E136:H138 L136:M138">
    <cfRule type="cellIs" dxfId="925" priority="84" stopIfTrue="1" operator="notEqual">
      <formula>INDIRECT("Dummy_for_Comparison2!"&amp;ADDRESS(ROW(),COLUMN()))</formula>
    </cfRule>
  </conditionalFormatting>
  <conditionalFormatting sqref="B141:C141 E141:H141 L141:M141">
    <cfRule type="cellIs" dxfId="924" priority="90" stopIfTrue="1" operator="notEqual">
      <formula>INDIRECT("Dummy_for_Comparison2!"&amp;ADDRESS(ROW(),COLUMN()))</formula>
    </cfRule>
  </conditionalFormatting>
  <conditionalFormatting sqref="B144:C145 E144:H145">
    <cfRule type="cellIs" dxfId="923" priority="58" stopIfTrue="1" operator="notEqual">
      <formula>INDIRECT("Dummy_for_Comparison2!"&amp;ADDRESS(ROW(),COLUMN()))</formula>
    </cfRule>
  </conditionalFormatting>
  <conditionalFormatting sqref="B165:C167 E165:H167">
    <cfRule type="cellIs" dxfId="922" priority="32" stopIfTrue="1" operator="notEqual">
      <formula>INDIRECT("Dummy_for_Comparison2!"&amp;ADDRESS(ROW(),COLUMN()))</formula>
    </cfRule>
  </conditionalFormatting>
  <conditionalFormatting sqref="B97:H97 L97:N97">
    <cfRule type="cellIs" dxfId="921" priority="407" stopIfTrue="1" operator="notEqual">
      <formula>INDIRECT("Dummy_for_Comparison2!"&amp;ADDRESS(ROW(),COLUMN()))</formula>
    </cfRule>
  </conditionalFormatting>
  <conditionalFormatting sqref="B132:H132 L132:N132 D132:D133">
    <cfRule type="cellIs" dxfId="920" priority="216" stopIfTrue="1" operator="notEqual">
      <formula>INDIRECT("Dummy_for_Comparison2!"&amp;ADDRESS(ROW(),COLUMN()))</formula>
    </cfRule>
  </conditionalFormatting>
  <conditionalFormatting sqref="B135:H135 L135:N135">
    <cfRule type="cellIs" dxfId="919" priority="209" stopIfTrue="1" operator="notEqual">
      <formula>INDIRECT("Dummy_for_Comparison2!"&amp;ADDRESS(ROW(),COLUMN()))</formula>
    </cfRule>
  </conditionalFormatting>
  <conditionalFormatting sqref="B140:H140 L140:N140 D140:D141">
    <cfRule type="cellIs" dxfId="918" priority="91" stopIfTrue="1" operator="notEqual">
      <formula>INDIRECT("Dummy_for_Comparison2!"&amp;ADDRESS(ROW(),COLUMN()))</formula>
    </cfRule>
  </conditionalFormatting>
  <conditionalFormatting sqref="B143:H143">
    <cfRule type="cellIs" dxfId="917" priority="79" stopIfTrue="1" operator="notEqual">
      <formula>INDIRECT("Dummy_for_Comparison2!"&amp;ADDRESS(ROW(),COLUMN()))</formula>
    </cfRule>
  </conditionalFormatting>
  <conditionalFormatting sqref="B164:H164">
    <cfRule type="cellIs" dxfId="916" priority="65" stopIfTrue="1" operator="notEqual">
      <formula>INDIRECT("Dummy_for_Comparison2!"&amp;ADDRESS(ROW(),COLUMN()))</formula>
    </cfRule>
  </conditionalFormatting>
  <conditionalFormatting sqref="B2:J2">
    <cfRule type="cellIs" dxfId="915" priority="286" stopIfTrue="1" operator="notEqual">
      <formula>INDIRECT("Dummy_for_Comparison2!"&amp;ADDRESS(ROW(),COLUMN()))</formula>
    </cfRule>
  </conditionalFormatting>
  <conditionalFormatting sqref="B5:M8">
    <cfRule type="cellIs" dxfId="914" priority="276" stopIfTrue="1" operator="notEqual">
      <formula>INDIRECT("Dummy_for_Comparison2!"&amp;ADDRESS(ROW(),COLUMN()))</formula>
    </cfRule>
  </conditionalFormatting>
  <conditionalFormatting sqref="B10:M30">
    <cfRule type="cellIs" dxfId="913" priority="268" stopIfTrue="1" operator="notEqual">
      <formula>INDIRECT("Dummy_for_Comparison2!"&amp;ADDRESS(ROW(),COLUMN()))</formula>
    </cfRule>
  </conditionalFormatting>
  <conditionalFormatting sqref="B80:M91">
    <cfRule type="cellIs" dxfId="912" priority="203" stopIfTrue="1" operator="notEqual">
      <formula>INDIRECT("Dummy_for_Comparison2!"&amp;ADDRESS(ROW(),COLUMN()))</formula>
    </cfRule>
  </conditionalFormatting>
  <conditionalFormatting sqref="B110:M130">
    <cfRule type="cellIs" dxfId="911" priority="197" stopIfTrue="1" operator="notEqual">
      <formula>INDIRECT("Dummy_for_Comparison2!"&amp;ADDRESS(ROW(),COLUMN()))</formula>
    </cfRule>
  </conditionalFormatting>
  <conditionalFormatting sqref="B148:M153">
    <cfRule type="cellIs" dxfId="910" priority="12" stopIfTrue="1" operator="notEqual">
      <formula>INDIRECT("Dummy_for_Comparison2!"&amp;ADDRESS(ROW(),COLUMN()))</formula>
    </cfRule>
  </conditionalFormatting>
  <conditionalFormatting sqref="B155:M160">
    <cfRule type="cellIs" dxfId="909" priority="6" stopIfTrue="1" operator="notEqual">
      <formula>INDIRECT("Dummy_for_Comparison2!"&amp;ADDRESS(ROW(),COLUMN()))</formula>
    </cfRule>
  </conditionalFormatting>
  <conditionalFormatting sqref="B162:M162">
    <cfRule type="cellIs" dxfId="908" priority="1" stopIfTrue="1" operator="notEqual">
      <formula>INDIRECT("Dummy_for_Comparison2!"&amp;ADDRESS(ROW(),COLUMN()))</formula>
    </cfRule>
  </conditionalFormatting>
  <conditionalFormatting sqref="B93:N95">
    <cfRule type="cellIs" dxfId="907" priority="201" stopIfTrue="1" operator="notEqual">
      <formula>INDIRECT("Dummy_for_Comparison2!"&amp;ADDRESS(ROW(),COLUMN()))</formula>
    </cfRule>
  </conditionalFormatting>
  <conditionalFormatting sqref="B169:N171">
    <cfRule type="cellIs" dxfId="906" priority="18" stopIfTrue="1" operator="notEqual">
      <formula>INDIRECT("Dummy_for_Comparison2!"&amp;ADDRESS(ROW(),COLUMN()))</formula>
    </cfRule>
  </conditionalFormatting>
  <conditionalFormatting sqref="C61:C76 E61:E76">
    <cfRule type="cellIs" dxfId="905" priority="95" stopIfTrue="1" operator="notEqual">
      <formula>INDIRECT("Dummy_for_Comparison2!"&amp;ADDRESS(ROW(),COLUMN()))</formula>
    </cfRule>
  </conditionalFormatting>
  <conditionalFormatting sqref="C32:E60">
    <cfRule type="cellIs" dxfId="904" priority="128" stopIfTrue="1" operator="notEqual">
      <formula>INDIRECT("Dummy_for_Comparison2!"&amp;ADDRESS(ROW(),COLUMN()))</formula>
    </cfRule>
  </conditionalFormatting>
  <conditionalFormatting sqref="D61:D77">
    <cfRule type="cellIs" dxfId="903" priority="96" stopIfTrue="1" operator="notEqual">
      <formula>INDIRECT("Dummy_for_Comparison2!"&amp;ADDRESS(ROW(),COLUMN()))</formula>
    </cfRule>
  </conditionalFormatting>
  <conditionalFormatting sqref="D97:D108">
    <cfRule type="cellIs" dxfId="902" priority="267" stopIfTrue="1" operator="notEqual">
      <formula>INDIRECT("Dummy_for_Comparison2!"&amp;ADDRESS(ROW(),COLUMN()))</formula>
    </cfRule>
  </conditionalFormatting>
  <conditionalFormatting sqref="D135:D138">
    <cfRule type="cellIs" dxfId="901" priority="85" stopIfTrue="1" operator="notEqual">
      <formula>INDIRECT("Dummy_for_Comparison2!"&amp;ADDRESS(ROW(),COLUMN()))</formula>
    </cfRule>
  </conditionalFormatting>
  <conditionalFormatting sqref="D143:D145">
    <cfRule type="cellIs" dxfId="900" priority="59" stopIfTrue="1" operator="notEqual">
      <formula>INDIRECT("Dummy_for_Comparison2!"&amp;ADDRESS(ROW(),COLUMN()))</formula>
    </cfRule>
  </conditionalFormatting>
  <conditionalFormatting sqref="D164:D167">
    <cfRule type="cellIs" dxfId="899" priority="33" stopIfTrue="1" operator="notEqual">
      <formula>INDIRECT("Dummy_for_Comparison2!"&amp;ADDRESS(ROW(),COLUMN()))</formula>
    </cfRule>
  </conditionalFormatting>
  <conditionalFormatting sqref="F32:M76">
    <cfRule type="cellIs" dxfId="898" priority="93" stopIfTrue="1" operator="notEqual">
      <formula>INDIRECT("Dummy_for_Comparison2!"&amp;ADDRESS(ROW(),COLUMN()))</formula>
    </cfRule>
  </conditionalFormatting>
  <conditionalFormatting sqref="I97:K108">
    <cfRule type="cellIs" dxfId="897" priority="199" stopIfTrue="1" operator="notEqual">
      <formula>INDIRECT("Dummy_for_Comparison2!"&amp;ADDRESS(ROW(),COLUMN()))</formula>
    </cfRule>
  </conditionalFormatting>
  <conditionalFormatting sqref="I132:K133">
    <cfRule type="cellIs" dxfId="896" priority="196" stopIfTrue="1" operator="notEqual">
      <formula>INDIRECT("Dummy_for_Comparison2!"&amp;ADDRESS(ROW(),COLUMN()))</formula>
    </cfRule>
  </conditionalFormatting>
  <conditionalFormatting sqref="I135:K138">
    <cfRule type="cellIs" dxfId="895" priority="81" stopIfTrue="1" operator="notEqual">
      <formula>INDIRECT("Dummy_for_Comparison2!"&amp;ADDRESS(ROW(),COLUMN()))</formula>
    </cfRule>
  </conditionalFormatting>
  <conditionalFormatting sqref="I140:K141">
    <cfRule type="cellIs" dxfId="894" priority="86" stopIfTrue="1" operator="notEqual">
      <formula>INDIRECT("Dummy_for_Comparison2!"&amp;ADDRESS(ROW(),COLUMN()))</formula>
    </cfRule>
  </conditionalFormatting>
  <conditionalFormatting sqref="I143:M145">
    <cfRule type="cellIs" dxfId="893" priority="55" stopIfTrue="1" operator="notEqual">
      <formula>INDIRECT("Dummy_for_Comparison2!"&amp;ADDRESS(ROW(),COLUMN()))</formula>
    </cfRule>
  </conditionalFormatting>
  <conditionalFormatting sqref="I164:M167">
    <cfRule type="cellIs" dxfId="892" priority="29" stopIfTrue="1" operator="notEqual">
      <formula>INDIRECT("Dummy_for_Comparison2!"&amp;ADDRESS(ROW(),COLUMN()))</formula>
    </cfRule>
  </conditionalFormatting>
  <conditionalFormatting sqref="K2">
    <cfRule type="cellIs" dxfId="891" priority="408" stopIfTrue="1" operator="notEqual">
      <formula>INDIRECT("Dummy_for_Comparison6!"&amp;ADDRESS(ROW(),COLUMN()))</formula>
    </cfRule>
  </conditionalFormatting>
  <conditionalFormatting sqref="L2:N2">
    <cfRule type="cellIs" dxfId="890" priority="409" stopIfTrue="1" operator="notEqual">
      <formula>INDIRECT("Dummy_for_Comparison2!"&amp;ADDRESS(ROW(),COLUMN()))</formula>
    </cfRule>
  </conditionalFormatting>
  <conditionalFormatting sqref="N5">
    <cfRule type="cellIs" dxfId="889" priority="283" stopIfTrue="1" operator="notEqual">
      <formula>INDIRECT("Dummy_for_Comparison2!"&amp;ADDRESS(ROW(),COLUMN()))</formula>
    </cfRule>
  </conditionalFormatting>
  <conditionalFormatting sqref="N7:N8">
    <cfRule type="cellIs" dxfId="888" priority="277" stopIfTrue="1" operator="notEqual">
      <formula>INDIRECT("Dummy_for_Comparison2!"&amp;ADDRESS(ROW(),COLUMN()))</formula>
    </cfRule>
  </conditionalFormatting>
  <conditionalFormatting sqref="N10">
    <cfRule type="cellIs" dxfId="887" priority="413" stopIfTrue="1" operator="notEqual">
      <formula>INDIRECT("Dummy_for_Comparison2!"&amp;ADDRESS(ROW(),COLUMN()))</formula>
    </cfRule>
  </conditionalFormatting>
  <conditionalFormatting sqref="N32">
    <cfRule type="cellIs" dxfId="886" priority="193" stopIfTrue="1" operator="notEqual">
      <formula>INDIRECT("Dummy_for_Comparison2!"&amp;ADDRESS(ROW(),COLUMN()))</formula>
    </cfRule>
  </conditionalFormatting>
  <conditionalFormatting sqref="N164:N166">
    <cfRule type="cellIs" dxfId="885" priority="45" stopIfTrue="1" operator="notEqual">
      <formula>INDIRECT("Dummy_for_Comparison2!"&amp;ADDRESS(ROW(),COLUMN()))</formula>
    </cfRule>
  </conditionalFormatting>
  <pageMargins left="0.7" right="0.7" top="0.75" bottom="0.75" header="0.3" footer="0.3"/>
  <pageSetup paperSize="9" orientation="portrait" verticalDpi="0" r:id="rId1"/>
  <headerFooter>
    <oddFooter>&amp;C_x000D_&amp;1#&amp;"Calibri"&amp;6&amp;K626469 General</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AAAB-42AF-4A4A-9343-193F2539AEEF}">
  <sheetPr codeName="Sheet16"/>
  <dimension ref="A1:Y36"/>
  <sheetViews>
    <sheetView zoomScale="81" zoomScaleNormal="81" workbookViewId="0">
      <selection activeCell="B4" sqref="B4"/>
    </sheetView>
  </sheetViews>
  <sheetFormatPr defaultColWidth="9.21875" defaultRowHeight="14.4" x14ac:dyDescent="0.3"/>
  <cols>
    <col min="2" max="2" width="30.5546875" bestFit="1" customWidth="1"/>
    <col min="3" max="3" width="12.5546875" customWidth="1"/>
    <col min="4" max="4" width="12.77734375" customWidth="1"/>
    <col min="5" max="5" width="12.44140625" customWidth="1"/>
    <col min="6" max="6" width="11.5546875" customWidth="1"/>
    <col min="7" max="7" width="13" customWidth="1"/>
    <col min="9" max="9" width="12.44140625" customWidth="1"/>
    <col min="10" max="10" width="17.5546875" customWidth="1"/>
    <col min="11" max="13" width="12.44140625" customWidth="1"/>
    <col min="14" max="14" width="16.5546875" bestFit="1" customWidth="1"/>
    <col min="15" max="15" width="11.44140625" customWidth="1"/>
    <col min="18" max="18" width="23" customWidth="1"/>
  </cols>
  <sheetData>
    <row r="1" spans="1:25" ht="15" thickBot="1" x14ac:dyDescent="0.35"/>
    <row r="2" spans="1:25" ht="33" thickBot="1" x14ac:dyDescent="0.35">
      <c r="A2" s="57"/>
      <c r="B2" s="84" t="s">
        <v>303</v>
      </c>
      <c r="C2" s="139" t="s">
        <v>304</v>
      </c>
      <c r="D2" s="65" t="s">
        <v>305</v>
      </c>
      <c r="E2" s="65" t="s">
        <v>306</v>
      </c>
      <c r="F2" s="65" t="s">
        <v>307</v>
      </c>
      <c r="G2" s="65" t="s">
        <v>308</v>
      </c>
      <c r="H2" s="65" t="s">
        <v>309</v>
      </c>
      <c r="I2" s="65" t="s">
        <v>310</v>
      </c>
      <c r="J2" s="65" t="s">
        <v>311</v>
      </c>
      <c r="K2" s="65" t="s">
        <v>745</v>
      </c>
      <c r="L2" s="65" t="s">
        <v>312</v>
      </c>
      <c r="M2" s="65" t="s">
        <v>313</v>
      </c>
      <c r="N2" s="71" t="s">
        <v>314</v>
      </c>
      <c r="O2" s="71" t="s">
        <v>315</v>
      </c>
      <c r="P2" s="65" t="s">
        <v>316</v>
      </c>
      <c r="Q2" s="65" t="s">
        <v>317</v>
      </c>
      <c r="R2" s="66" t="s">
        <v>318</v>
      </c>
    </row>
    <row r="3" spans="1:25" ht="15.6" x14ac:dyDescent="0.3">
      <c r="B3" s="477" t="s">
        <v>2574</v>
      </c>
      <c r="C3" s="477"/>
      <c r="D3" s="477"/>
      <c r="E3" s="477"/>
      <c r="F3" s="477"/>
      <c r="G3" s="477"/>
      <c r="H3" s="477"/>
      <c r="I3" s="477"/>
      <c r="J3" s="477"/>
      <c r="K3" s="477"/>
      <c r="L3" s="477"/>
      <c r="M3" s="477"/>
      <c r="N3" s="477"/>
      <c r="O3" s="477"/>
      <c r="P3" s="477"/>
      <c r="Q3" s="477"/>
      <c r="R3" s="477"/>
      <c r="X3" s="60"/>
      <c r="Y3" s="60"/>
    </row>
    <row r="4" spans="1:25" s="6" customFormat="1" ht="62.4" x14ac:dyDescent="0.3">
      <c r="B4" s="10" t="s">
        <v>2575</v>
      </c>
      <c r="C4" s="10" t="s">
        <v>321</v>
      </c>
      <c r="D4" s="10">
        <v>2</v>
      </c>
      <c r="E4" s="10">
        <f t="shared" ref="E4:E19" si="0">D4/2</f>
        <v>1</v>
      </c>
      <c r="F4" s="117">
        <v>0</v>
      </c>
      <c r="G4" s="117">
        <v>704</v>
      </c>
      <c r="H4" s="10">
        <v>1</v>
      </c>
      <c r="I4" s="10">
        <v>1</v>
      </c>
      <c r="J4" s="10" t="s">
        <v>418</v>
      </c>
      <c r="K4" s="10">
        <v>49751</v>
      </c>
      <c r="L4" s="10">
        <f>K4-40000</f>
        <v>9751</v>
      </c>
      <c r="M4" s="10">
        <f t="shared" ref="M4:M36" si="1">L4-1</f>
        <v>9750</v>
      </c>
      <c r="N4" s="10" t="s">
        <v>419</v>
      </c>
      <c r="O4" s="10" t="s">
        <v>327</v>
      </c>
      <c r="P4" s="117">
        <v>0</v>
      </c>
      <c r="Q4" s="85"/>
      <c r="R4" s="215" t="s">
        <v>2576</v>
      </c>
      <c r="S4" s="8"/>
      <c r="T4" s="13"/>
      <c r="U4" s="33"/>
    </row>
    <row r="5" spans="1:25" s="6" customFormat="1" ht="62.4" x14ac:dyDescent="0.3">
      <c r="B5" s="10" t="s">
        <v>2577</v>
      </c>
      <c r="C5" s="10" t="s">
        <v>321</v>
      </c>
      <c r="D5" s="10">
        <v>2</v>
      </c>
      <c r="E5" s="10">
        <f t="shared" si="0"/>
        <v>1</v>
      </c>
      <c r="F5" s="117">
        <v>0</v>
      </c>
      <c r="G5" s="117">
        <v>704</v>
      </c>
      <c r="H5" s="10">
        <v>1</v>
      </c>
      <c r="I5" s="10">
        <v>1</v>
      </c>
      <c r="J5" s="10" t="s">
        <v>418</v>
      </c>
      <c r="K5" s="10">
        <f t="shared" ref="K5:K19" si="2">K4+E4</f>
        <v>49752</v>
      </c>
      <c r="L5" s="10">
        <f t="shared" ref="L5:L19" si="3">K5-40000</f>
        <v>9752</v>
      </c>
      <c r="M5" s="10">
        <f t="shared" si="1"/>
        <v>9751</v>
      </c>
      <c r="N5" s="10" t="s">
        <v>419</v>
      </c>
      <c r="O5" s="10" t="s">
        <v>327</v>
      </c>
      <c r="P5" s="117">
        <v>0</v>
      </c>
      <c r="Q5" s="85"/>
      <c r="R5" s="215" t="s">
        <v>2576</v>
      </c>
      <c r="S5" s="8"/>
      <c r="T5" s="13"/>
      <c r="U5" s="33"/>
    </row>
    <row r="6" spans="1:25" s="6" customFormat="1" ht="62.4" x14ac:dyDescent="0.3">
      <c r="B6" s="10" t="s">
        <v>2578</v>
      </c>
      <c r="C6" s="10" t="s">
        <v>321</v>
      </c>
      <c r="D6" s="10">
        <v>2</v>
      </c>
      <c r="E6" s="10">
        <f>D6/2</f>
        <v>1</v>
      </c>
      <c r="F6" s="117">
        <v>0</v>
      </c>
      <c r="G6" s="117">
        <v>704</v>
      </c>
      <c r="H6" s="10">
        <v>1</v>
      </c>
      <c r="I6" s="10">
        <v>1</v>
      </c>
      <c r="J6" s="10" t="s">
        <v>418</v>
      </c>
      <c r="K6" s="10">
        <f t="shared" si="2"/>
        <v>49753</v>
      </c>
      <c r="L6" s="10">
        <f t="shared" si="3"/>
        <v>9753</v>
      </c>
      <c r="M6" s="10">
        <f t="shared" si="1"/>
        <v>9752</v>
      </c>
      <c r="N6" s="10" t="s">
        <v>419</v>
      </c>
      <c r="O6" s="10" t="s">
        <v>327</v>
      </c>
      <c r="P6" s="117">
        <v>0</v>
      </c>
      <c r="Q6" s="86"/>
      <c r="R6" s="215" t="s">
        <v>2576</v>
      </c>
      <c r="S6" s="13"/>
      <c r="T6" s="13"/>
      <c r="U6" s="33"/>
    </row>
    <row r="7" spans="1:25" s="6" customFormat="1" ht="62.4" x14ac:dyDescent="0.3">
      <c r="B7" s="10" t="s">
        <v>2579</v>
      </c>
      <c r="C7" s="10" t="s">
        <v>321</v>
      </c>
      <c r="D7" s="10">
        <v>2</v>
      </c>
      <c r="E7" s="10">
        <f>D7/2</f>
        <v>1</v>
      </c>
      <c r="F7" s="117">
        <v>0</v>
      </c>
      <c r="G7" s="117">
        <v>704</v>
      </c>
      <c r="H7" s="10">
        <v>1</v>
      </c>
      <c r="I7" s="10">
        <v>1</v>
      </c>
      <c r="J7" s="10" t="s">
        <v>418</v>
      </c>
      <c r="K7" s="10">
        <f t="shared" si="2"/>
        <v>49754</v>
      </c>
      <c r="L7" s="10">
        <f t="shared" si="3"/>
        <v>9754</v>
      </c>
      <c r="M7" s="10">
        <f t="shared" si="1"/>
        <v>9753</v>
      </c>
      <c r="N7" s="10" t="s">
        <v>419</v>
      </c>
      <c r="O7" s="10" t="s">
        <v>327</v>
      </c>
      <c r="P7" s="117">
        <v>0</v>
      </c>
      <c r="Q7" s="86"/>
      <c r="R7" s="215" t="s">
        <v>2576</v>
      </c>
      <c r="S7" s="13"/>
      <c r="T7" s="13"/>
      <c r="U7" s="33"/>
    </row>
    <row r="8" spans="1:25" s="6" customFormat="1" ht="62.4" x14ac:dyDescent="0.3">
      <c r="B8" s="10" t="s">
        <v>2580</v>
      </c>
      <c r="C8" s="10" t="s">
        <v>321</v>
      </c>
      <c r="D8" s="10">
        <v>2</v>
      </c>
      <c r="E8" s="10">
        <f t="shared" si="0"/>
        <v>1</v>
      </c>
      <c r="F8" s="117">
        <v>0</v>
      </c>
      <c r="G8" s="117">
        <v>704</v>
      </c>
      <c r="H8" s="10">
        <v>1</v>
      </c>
      <c r="I8" s="10">
        <v>1</v>
      </c>
      <c r="J8" s="10" t="s">
        <v>418</v>
      </c>
      <c r="K8" s="10">
        <f t="shared" si="2"/>
        <v>49755</v>
      </c>
      <c r="L8" s="10">
        <f t="shared" si="3"/>
        <v>9755</v>
      </c>
      <c r="M8" s="10">
        <f t="shared" si="1"/>
        <v>9754</v>
      </c>
      <c r="N8" s="10" t="s">
        <v>419</v>
      </c>
      <c r="O8" s="10" t="s">
        <v>327</v>
      </c>
      <c r="P8" s="117">
        <v>0</v>
      </c>
      <c r="Q8" s="86"/>
      <c r="R8" s="215" t="s">
        <v>2576</v>
      </c>
      <c r="S8" s="8"/>
      <c r="T8" s="21"/>
    </row>
    <row r="9" spans="1:25" s="6" customFormat="1" ht="62.4" x14ac:dyDescent="0.3">
      <c r="B9" s="10" t="s">
        <v>2581</v>
      </c>
      <c r="C9" s="10" t="s">
        <v>321</v>
      </c>
      <c r="D9" s="10">
        <v>2</v>
      </c>
      <c r="E9" s="10">
        <f t="shared" si="0"/>
        <v>1</v>
      </c>
      <c r="F9" s="117">
        <v>0</v>
      </c>
      <c r="G9" s="117">
        <v>704</v>
      </c>
      <c r="H9" s="10">
        <v>1</v>
      </c>
      <c r="I9" s="10">
        <v>1</v>
      </c>
      <c r="J9" s="10" t="s">
        <v>418</v>
      </c>
      <c r="K9" s="10">
        <f t="shared" si="2"/>
        <v>49756</v>
      </c>
      <c r="L9" s="10">
        <f t="shared" si="3"/>
        <v>9756</v>
      </c>
      <c r="M9" s="10">
        <f t="shared" si="1"/>
        <v>9755</v>
      </c>
      <c r="N9" s="10" t="s">
        <v>419</v>
      </c>
      <c r="O9" s="10" t="s">
        <v>327</v>
      </c>
      <c r="P9" s="117">
        <v>0</v>
      </c>
      <c r="Q9" s="86"/>
      <c r="R9" s="215" t="s">
        <v>2576</v>
      </c>
      <c r="S9" s="8"/>
      <c r="T9" s="21"/>
    </row>
    <row r="10" spans="1:25" s="6" customFormat="1" ht="62.4" x14ac:dyDescent="0.3">
      <c r="B10" s="10" t="s">
        <v>2582</v>
      </c>
      <c r="C10" s="10" t="s">
        <v>321</v>
      </c>
      <c r="D10" s="10">
        <v>2</v>
      </c>
      <c r="E10" s="10">
        <f t="shared" si="0"/>
        <v>1</v>
      </c>
      <c r="F10" s="117">
        <v>0</v>
      </c>
      <c r="G10" s="117">
        <v>704</v>
      </c>
      <c r="H10" s="10">
        <v>1</v>
      </c>
      <c r="I10" s="10">
        <v>1</v>
      </c>
      <c r="J10" s="10" t="s">
        <v>418</v>
      </c>
      <c r="K10" s="10">
        <f t="shared" si="2"/>
        <v>49757</v>
      </c>
      <c r="L10" s="10">
        <f t="shared" si="3"/>
        <v>9757</v>
      </c>
      <c r="M10" s="10">
        <f t="shared" si="1"/>
        <v>9756</v>
      </c>
      <c r="N10" s="10" t="s">
        <v>419</v>
      </c>
      <c r="O10" s="10" t="s">
        <v>327</v>
      </c>
      <c r="P10" s="117">
        <v>0</v>
      </c>
      <c r="Q10" s="86"/>
      <c r="R10" s="215" t="s">
        <v>2576</v>
      </c>
      <c r="S10" s="8"/>
      <c r="T10" s="13"/>
    </row>
    <row r="11" spans="1:25" s="6" customFormat="1" ht="62.4" x14ac:dyDescent="0.3">
      <c r="B11" s="10" t="s">
        <v>2583</v>
      </c>
      <c r="C11" s="10" t="s">
        <v>321</v>
      </c>
      <c r="D11" s="10">
        <v>2</v>
      </c>
      <c r="E11" s="10">
        <f t="shared" si="0"/>
        <v>1</v>
      </c>
      <c r="F11" s="117">
        <v>0</v>
      </c>
      <c r="G11" s="117">
        <v>704</v>
      </c>
      <c r="H11" s="10">
        <v>1</v>
      </c>
      <c r="I11" s="10">
        <v>1</v>
      </c>
      <c r="J11" s="10" t="s">
        <v>418</v>
      </c>
      <c r="K11" s="10">
        <f t="shared" si="2"/>
        <v>49758</v>
      </c>
      <c r="L11" s="10">
        <f t="shared" si="3"/>
        <v>9758</v>
      </c>
      <c r="M11" s="10">
        <f t="shared" si="1"/>
        <v>9757</v>
      </c>
      <c r="N11" s="10" t="s">
        <v>419</v>
      </c>
      <c r="O11" s="10" t="s">
        <v>327</v>
      </c>
      <c r="P11" s="117">
        <v>0</v>
      </c>
      <c r="Q11" s="86"/>
      <c r="R11" s="215" t="s">
        <v>2576</v>
      </c>
      <c r="S11" s="8"/>
      <c r="T11" s="13"/>
    </row>
    <row r="12" spans="1:25" s="6" customFormat="1" ht="62.4" x14ac:dyDescent="0.3">
      <c r="B12" s="10" t="s">
        <v>2584</v>
      </c>
      <c r="C12" s="10" t="s">
        <v>321</v>
      </c>
      <c r="D12" s="10">
        <v>2</v>
      </c>
      <c r="E12" s="10">
        <f t="shared" si="0"/>
        <v>1</v>
      </c>
      <c r="F12" s="117">
        <v>0</v>
      </c>
      <c r="G12" s="117">
        <v>704</v>
      </c>
      <c r="H12" s="10">
        <v>1</v>
      </c>
      <c r="I12" s="10">
        <v>1</v>
      </c>
      <c r="J12" s="10" t="s">
        <v>418</v>
      </c>
      <c r="K12" s="10">
        <f t="shared" si="2"/>
        <v>49759</v>
      </c>
      <c r="L12" s="10">
        <f t="shared" si="3"/>
        <v>9759</v>
      </c>
      <c r="M12" s="10">
        <f t="shared" si="1"/>
        <v>9758</v>
      </c>
      <c r="N12" s="10" t="s">
        <v>419</v>
      </c>
      <c r="O12" s="10" t="s">
        <v>327</v>
      </c>
      <c r="P12" s="117">
        <v>0</v>
      </c>
      <c r="Q12" s="69"/>
      <c r="R12" s="215" t="s">
        <v>2576</v>
      </c>
      <c r="S12" s="21"/>
      <c r="T12" s="21"/>
    </row>
    <row r="13" spans="1:25" s="6" customFormat="1" ht="62.4" x14ac:dyDescent="0.3">
      <c r="B13" s="10" t="s">
        <v>2585</v>
      </c>
      <c r="C13" s="10" t="s">
        <v>321</v>
      </c>
      <c r="D13" s="10">
        <v>2</v>
      </c>
      <c r="E13" s="10">
        <f t="shared" si="0"/>
        <v>1</v>
      </c>
      <c r="F13" s="117">
        <v>0</v>
      </c>
      <c r="G13" s="117">
        <v>704</v>
      </c>
      <c r="H13" s="10">
        <v>1</v>
      </c>
      <c r="I13" s="10">
        <v>1</v>
      </c>
      <c r="J13" s="10" t="s">
        <v>418</v>
      </c>
      <c r="K13" s="10">
        <f t="shared" si="2"/>
        <v>49760</v>
      </c>
      <c r="L13" s="10">
        <f t="shared" si="3"/>
        <v>9760</v>
      </c>
      <c r="M13" s="10">
        <f t="shared" si="1"/>
        <v>9759</v>
      </c>
      <c r="N13" s="10" t="s">
        <v>419</v>
      </c>
      <c r="O13" s="10" t="s">
        <v>327</v>
      </c>
      <c r="P13" s="117">
        <v>0</v>
      </c>
      <c r="Q13" s="69"/>
      <c r="R13" s="215" t="s">
        <v>2576</v>
      </c>
      <c r="S13" s="21"/>
      <c r="T13" s="21"/>
    </row>
    <row r="14" spans="1:25" s="6" customFormat="1" ht="62.4" x14ac:dyDescent="0.3">
      <c r="B14" s="10" t="s">
        <v>2586</v>
      </c>
      <c r="C14" s="10" t="s">
        <v>321</v>
      </c>
      <c r="D14" s="10">
        <v>2</v>
      </c>
      <c r="E14" s="10">
        <f t="shared" si="0"/>
        <v>1</v>
      </c>
      <c r="F14" s="117">
        <v>0</v>
      </c>
      <c r="G14" s="117">
        <v>704</v>
      </c>
      <c r="H14" s="10">
        <v>1</v>
      </c>
      <c r="I14" s="10">
        <v>1</v>
      </c>
      <c r="J14" s="10" t="s">
        <v>418</v>
      </c>
      <c r="K14" s="10">
        <f t="shared" si="2"/>
        <v>49761</v>
      </c>
      <c r="L14" s="10">
        <f t="shared" si="3"/>
        <v>9761</v>
      </c>
      <c r="M14" s="10">
        <f t="shared" si="1"/>
        <v>9760</v>
      </c>
      <c r="N14" s="10" t="s">
        <v>419</v>
      </c>
      <c r="O14" s="10" t="s">
        <v>327</v>
      </c>
      <c r="P14" s="117">
        <v>0</v>
      </c>
      <c r="Q14" s="69"/>
      <c r="R14" s="215" t="s">
        <v>2576</v>
      </c>
      <c r="S14" s="21"/>
      <c r="T14" s="21"/>
    </row>
    <row r="15" spans="1:25" s="6" customFormat="1" ht="62.4" x14ac:dyDescent="0.3">
      <c r="B15" s="10" t="s">
        <v>2587</v>
      </c>
      <c r="C15" s="10" t="s">
        <v>321</v>
      </c>
      <c r="D15" s="10">
        <v>2</v>
      </c>
      <c r="E15" s="10">
        <f t="shared" si="0"/>
        <v>1</v>
      </c>
      <c r="F15" s="117">
        <v>0</v>
      </c>
      <c r="G15" s="117">
        <v>704</v>
      </c>
      <c r="H15" s="10">
        <v>1</v>
      </c>
      <c r="I15" s="10">
        <v>1</v>
      </c>
      <c r="J15" s="10" t="s">
        <v>418</v>
      </c>
      <c r="K15" s="10">
        <f t="shared" si="2"/>
        <v>49762</v>
      </c>
      <c r="L15" s="10">
        <f t="shared" si="3"/>
        <v>9762</v>
      </c>
      <c r="M15" s="10">
        <f t="shared" si="1"/>
        <v>9761</v>
      </c>
      <c r="N15" s="10" t="s">
        <v>419</v>
      </c>
      <c r="O15" s="10" t="s">
        <v>327</v>
      </c>
      <c r="P15" s="117">
        <v>0</v>
      </c>
      <c r="Q15" s="69"/>
      <c r="R15" s="215" t="s">
        <v>2576</v>
      </c>
      <c r="S15" s="21"/>
      <c r="T15" s="21"/>
    </row>
    <row r="16" spans="1:25" s="6" customFormat="1" ht="62.4" x14ac:dyDescent="0.3">
      <c r="B16" s="10" t="s">
        <v>2588</v>
      </c>
      <c r="C16" s="10" t="s">
        <v>321</v>
      </c>
      <c r="D16" s="10">
        <v>2</v>
      </c>
      <c r="E16" s="10">
        <f t="shared" si="0"/>
        <v>1</v>
      </c>
      <c r="F16" s="117">
        <v>0</v>
      </c>
      <c r="G16" s="117">
        <v>704</v>
      </c>
      <c r="H16" s="10">
        <v>1</v>
      </c>
      <c r="I16" s="10">
        <v>1</v>
      </c>
      <c r="J16" s="10" t="s">
        <v>418</v>
      </c>
      <c r="K16" s="10">
        <f t="shared" si="2"/>
        <v>49763</v>
      </c>
      <c r="L16" s="10">
        <f t="shared" si="3"/>
        <v>9763</v>
      </c>
      <c r="M16" s="10">
        <f t="shared" si="1"/>
        <v>9762</v>
      </c>
      <c r="N16" s="10" t="s">
        <v>419</v>
      </c>
      <c r="O16" s="10" t="s">
        <v>327</v>
      </c>
      <c r="P16" s="117">
        <v>0</v>
      </c>
      <c r="Q16" s="69"/>
      <c r="R16" s="215" t="s">
        <v>2576</v>
      </c>
      <c r="S16" s="21"/>
      <c r="T16" s="21"/>
    </row>
    <row r="17" spans="2:25" s="6" customFormat="1" ht="62.4" x14ac:dyDescent="0.3">
      <c r="B17" s="10" t="s">
        <v>2589</v>
      </c>
      <c r="C17" s="10" t="s">
        <v>321</v>
      </c>
      <c r="D17" s="10">
        <v>2</v>
      </c>
      <c r="E17" s="10">
        <f t="shared" si="0"/>
        <v>1</v>
      </c>
      <c r="F17" s="117">
        <v>0</v>
      </c>
      <c r="G17" s="117">
        <v>704</v>
      </c>
      <c r="H17" s="10">
        <v>1</v>
      </c>
      <c r="I17" s="10">
        <v>1</v>
      </c>
      <c r="J17" s="10" t="s">
        <v>418</v>
      </c>
      <c r="K17" s="10">
        <f t="shared" si="2"/>
        <v>49764</v>
      </c>
      <c r="L17" s="10">
        <f t="shared" si="3"/>
        <v>9764</v>
      </c>
      <c r="M17" s="10">
        <f t="shared" si="1"/>
        <v>9763</v>
      </c>
      <c r="N17" s="10" t="s">
        <v>419</v>
      </c>
      <c r="O17" s="10" t="s">
        <v>327</v>
      </c>
      <c r="P17" s="117">
        <v>0</v>
      </c>
      <c r="Q17" s="69"/>
      <c r="R17" s="215" t="s">
        <v>2576</v>
      </c>
      <c r="S17" s="21"/>
      <c r="T17" s="21"/>
    </row>
    <row r="18" spans="2:25" s="6" customFormat="1" ht="62.4" x14ac:dyDescent="0.3">
      <c r="B18" s="10" t="s">
        <v>2590</v>
      </c>
      <c r="C18" s="10" t="s">
        <v>321</v>
      </c>
      <c r="D18" s="10">
        <v>2</v>
      </c>
      <c r="E18" s="10">
        <f t="shared" si="0"/>
        <v>1</v>
      </c>
      <c r="F18" s="117">
        <v>0</v>
      </c>
      <c r="G18" s="117">
        <v>704</v>
      </c>
      <c r="H18" s="10">
        <v>1</v>
      </c>
      <c r="I18" s="10">
        <v>1</v>
      </c>
      <c r="J18" s="10" t="s">
        <v>418</v>
      </c>
      <c r="K18" s="10">
        <f t="shared" si="2"/>
        <v>49765</v>
      </c>
      <c r="L18" s="10">
        <f t="shared" si="3"/>
        <v>9765</v>
      </c>
      <c r="M18" s="10">
        <f t="shared" si="1"/>
        <v>9764</v>
      </c>
      <c r="N18" s="10" t="s">
        <v>419</v>
      </c>
      <c r="O18" s="10" t="s">
        <v>327</v>
      </c>
      <c r="P18" s="117">
        <v>0</v>
      </c>
      <c r="Q18" s="69"/>
      <c r="R18" s="215" t="s">
        <v>2576</v>
      </c>
      <c r="S18" s="21"/>
      <c r="T18" s="21"/>
    </row>
    <row r="19" spans="2:25" s="6" customFormat="1" ht="62.4" x14ac:dyDescent="0.3">
      <c r="B19" s="10" t="s">
        <v>2591</v>
      </c>
      <c r="C19" s="10" t="s">
        <v>321</v>
      </c>
      <c r="D19" s="10">
        <v>2</v>
      </c>
      <c r="E19" s="10">
        <f t="shared" si="0"/>
        <v>1</v>
      </c>
      <c r="F19" s="117">
        <v>0</v>
      </c>
      <c r="G19" s="117">
        <v>704</v>
      </c>
      <c r="H19" s="10">
        <v>1</v>
      </c>
      <c r="I19" s="10">
        <v>1</v>
      </c>
      <c r="J19" s="10" t="s">
        <v>418</v>
      </c>
      <c r="K19" s="10">
        <f t="shared" si="2"/>
        <v>49766</v>
      </c>
      <c r="L19" s="10">
        <f t="shared" si="3"/>
        <v>9766</v>
      </c>
      <c r="M19" s="10">
        <f t="shared" si="1"/>
        <v>9765</v>
      </c>
      <c r="N19" s="10" t="s">
        <v>419</v>
      </c>
      <c r="O19" s="10" t="s">
        <v>327</v>
      </c>
      <c r="P19" s="117">
        <v>0</v>
      </c>
      <c r="Q19" s="69"/>
      <c r="R19" s="215" t="s">
        <v>2576</v>
      </c>
      <c r="S19" s="21"/>
      <c r="T19" s="21"/>
    </row>
    <row r="20" spans="2:25" ht="15.6" x14ac:dyDescent="0.3">
      <c r="B20" s="477" t="s">
        <v>2592</v>
      </c>
      <c r="C20" s="477"/>
      <c r="D20" s="477"/>
      <c r="E20" s="477"/>
      <c r="F20" s="477"/>
      <c r="G20" s="477"/>
      <c r="H20" s="477"/>
      <c r="I20" s="477"/>
      <c r="J20" s="477"/>
      <c r="K20" s="477"/>
      <c r="L20" s="477"/>
      <c r="M20" s="477"/>
      <c r="N20" s="477"/>
      <c r="O20" s="477"/>
      <c r="P20" s="477"/>
      <c r="Q20" s="477"/>
      <c r="R20" s="477"/>
      <c r="X20" s="60"/>
      <c r="Y20" s="60"/>
    </row>
    <row r="21" spans="2:25" s="6" customFormat="1" ht="62.4" x14ac:dyDescent="0.3">
      <c r="B21" s="10" t="s">
        <v>2575</v>
      </c>
      <c r="C21" s="10" t="s">
        <v>321</v>
      </c>
      <c r="D21" s="10">
        <v>2</v>
      </c>
      <c r="E21" s="10">
        <f t="shared" ref="E21:E23" si="4">D21/2</f>
        <v>1</v>
      </c>
      <c r="F21" s="117">
        <v>0</v>
      </c>
      <c r="G21" s="117">
        <v>704</v>
      </c>
      <c r="H21" s="10">
        <v>1</v>
      </c>
      <c r="I21" s="10">
        <v>1</v>
      </c>
      <c r="J21" s="10" t="s">
        <v>418</v>
      </c>
      <c r="K21" s="10">
        <f>K19+E19</f>
        <v>49767</v>
      </c>
      <c r="L21" s="10">
        <f>K21-40000</f>
        <v>9767</v>
      </c>
      <c r="M21" s="10">
        <f t="shared" si="1"/>
        <v>9766</v>
      </c>
      <c r="N21" s="10" t="s">
        <v>419</v>
      </c>
      <c r="O21" s="10" t="s">
        <v>327</v>
      </c>
      <c r="P21" s="117">
        <v>0</v>
      </c>
      <c r="Q21" s="85"/>
      <c r="R21" s="215" t="s">
        <v>2576</v>
      </c>
      <c r="S21" s="8"/>
      <c r="T21" s="13"/>
      <c r="U21" s="33"/>
    </row>
    <row r="22" spans="2:25" s="6" customFormat="1" ht="62.4" x14ac:dyDescent="0.3">
      <c r="B22" s="10" t="s">
        <v>2577</v>
      </c>
      <c r="C22" s="10" t="s">
        <v>321</v>
      </c>
      <c r="D22" s="10">
        <v>2</v>
      </c>
      <c r="E22" s="10">
        <f t="shared" si="4"/>
        <v>1</v>
      </c>
      <c r="F22" s="117">
        <v>0</v>
      </c>
      <c r="G22" s="117">
        <v>704</v>
      </c>
      <c r="H22" s="10">
        <v>1</v>
      </c>
      <c r="I22" s="10">
        <v>1</v>
      </c>
      <c r="J22" s="10" t="s">
        <v>418</v>
      </c>
      <c r="K22" s="10">
        <f t="shared" ref="K22:K36" si="5">K21+E21</f>
        <v>49768</v>
      </c>
      <c r="L22" s="10">
        <f t="shared" ref="L22:L36" si="6">K22-40000</f>
        <v>9768</v>
      </c>
      <c r="M22" s="10">
        <f t="shared" si="1"/>
        <v>9767</v>
      </c>
      <c r="N22" s="10" t="s">
        <v>419</v>
      </c>
      <c r="O22" s="10" t="s">
        <v>327</v>
      </c>
      <c r="P22" s="117">
        <v>0</v>
      </c>
      <c r="Q22" s="85"/>
      <c r="R22" s="215" t="s">
        <v>2576</v>
      </c>
      <c r="S22" s="8"/>
      <c r="T22" s="13"/>
      <c r="U22" s="33"/>
    </row>
    <row r="23" spans="2:25" s="6" customFormat="1" ht="62.4" x14ac:dyDescent="0.3">
      <c r="B23" s="10" t="s">
        <v>2578</v>
      </c>
      <c r="C23" s="10" t="s">
        <v>321</v>
      </c>
      <c r="D23" s="10">
        <v>2</v>
      </c>
      <c r="E23" s="10">
        <f t="shared" si="4"/>
        <v>1</v>
      </c>
      <c r="F23" s="117">
        <v>0</v>
      </c>
      <c r="G23" s="117">
        <v>704</v>
      </c>
      <c r="H23" s="10">
        <v>1</v>
      </c>
      <c r="I23" s="10">
        <v>1</v>
      </c>
      <c r="J23" s="10" t="s">
        <v>418</v>
      </c>
      <c r="K23" s="10">
        <f t="shared" si="5"/>
        <v>49769</v>
      </c>
      <c r="L23" s="10">
        <f t="shared" si="6"/>
        <v>9769</v>
      </c>
      <c r="M23" s="10">
        <f t="shared" si="1"/>
        <v>9768</v>
      </c>
      <c r="N23" s="10" t="s">
        <v>419</v>
      </c>
      <c r="O23" s="10" t="s">
        <v>327</v>
      </c>
      <c r="P23" s="117">
        <v>0</v>
      </c>
      <c r="Q23" s="86"/>
      <c r="R23" s="215" t="s">
        <v>2576</v>
      </c>
      <c r="S23" s="13"/>
      <c r="T23" s="13"/>
      <c r="U23" s="33"/>
    </row>
    <row r="24" spans="2:25" s="6" customFormat="1" ht="62.4" x14ac:dyDescent="0.3">
      <c r="B24" s="10" t="s">
        <v>2579</v>
      </c>
      <c r="C24" s="10" t="s">
        <v>321</v>
      </c>
      <c r="D24" s="10">
        <v>2</v>
      </c>
      <c r="E24" s="10">
        <f>D24/2</f>
        <v>1</v>
      </c>
      <c r="F24" s="117">
        <v>0</v>
      </c>
      <c r="G24" s="117">
        <v>704</v>
      </c>
      <c r="H24" s="10">
        <v>1</v>
      </c>
      <c r="I24" s="10">
        <v>1</v>
      </c>
      <c r="J24" s="10" t="s">
        <v>418</v>
      </c>
      <c r="K24" s="10">
        <f t="shared" si="5"/>
        <v>49770</v>
      </c>
      <c r="L24" s="10">
        <f t="shared" si="6"/>
        <v>9770</v>
      </c>
      <c r="M24" s="10">
        <f t="shared" si="1"/>
        <v>9769</v>
      </c>
      <c r="N24" s="10" t="s">
        <v>419</v>
      </c>
      <c r="O24" s="10" t="s">
        <v>327</v>
      </c>
      <c r="P24" s="117">
        <v>0</v>
      </c>
      <c r="Q24" s="86"/>
      <c r="R24" s="215" t="s">
        <v>2576</v>
      </c>
      <c r="S24" s="13"/>
      <c r="T24" s="13"/>
      <c r="U24" s="33"/>
    </row>
    <row r="25" spans="2:25" s="6" customFormat="1" ht="62.4" x14ac:dyDescent="0.3">
      <c r="B25" s="10" t="s">
        <v>2580</v>
      </c>
      <c r="C25" s="10" t="s">
        <v>321</v>
      </c>
      <c r="D25" s="10">
        <v>2</v>
      </c>
      <c r="E25" s="10">
        <f t="shared" ref="E25" si="7">D25/2</f>
        <v>1</v>
      </c>
      <c r="F25" s="117">
        <v>0</v>
      </c>
      <c r="G25" s="117">
        <v>704</v>
      </c>
      <c r="H25" s="10">
        <v>1</v>
      </c>
      <c r="I25" s="10">
        <v>1</v>
      </c>
      <c r="J25" s="10" t="s">
        <v>418</v>
      </c>
      <c r="K25" s="10">
        <f t="shared" si="5"/>
        <v>49771</v>
      </c>
      <c r="L25" s="10">
        <f t="shared" si="6"/>
        <v>9771</v>
      </c>
      <c r="M25" s="10">
        <f t="shared" si="1"/>
        <v>9770</v>
      </c>
      <c r="N25" s="10" t="s">
        <v>419</v>
      </c>
      <c r="O25" s="10" t="s">
        <v>327</v>
      </c>
      <c r="P25" s="117">
        <v>0</v>
      </c>
      <c r="Q25" s="86"/>
      <c r="R25" s="215" t="s">
        <v>2576</v>
      </c>
      <c r="S25" s="8"/>
      <c r="T25" s="21"/>
    </row>
    <row r="26" spans="2:25" s="6" customFormat="1" ht="62.4" x14ac:dyDescent="0.3">
      <c r="B26" s="10" t="s">
        <v>2581</v>
      </c>
      <c r="C26" s="10" t="s">
        <v>321</v>
      </c>
      <c r="D26" s="10">
        <v>2</v>
      </c>
      <c r="E26" s="10">
        <f>D26/2</f>
        <v>1</v>
      </c>
      <c r="F26" s="117">
        <v>0</v>
      </c>
      <c r="G26" s="117">
        <v>704</v>
      </c>
      <c r="H26" s="10">
        <v>1</v>
      </c>
      <c r="I26" s="10">
        <v>1</v>
      </c>
      <c r="J26" s="10" t="s">
        <v>418</v>
      </c>
      <c r="K26" s="10">
        <f t="shared" si="5"/>
        <v>49772</v>
      </c>
      <c r="L26" s="10">
        <f t="shared" si="6"/>
        <v>9772</v>
      </c>
      <c r="M26" s="10">
        <f t="shared" si="1"/>
        <v>9771</v>
      </c>
      <c r="N26" s="10" t="s">
        <v>419</v>
      </c>
      <c r="O26" s="10" t="s">
        <v>327</v>
      </c>
      <c r="P26" s="117">
        <v>0</v>
      </c>
      <c r="Q26" s="86"/>
      <c r="R26" s="215" t="s">
        <v>2576</v>
      </c>
      <c r="S26" s="8"/>
      <c r="T26" s="21"/>
    </row>
    <row r="27" spans="2:25" s="6" customFormat="1" ht="62.4" x14ac:dyDescent="0.3">
      <c r="B27" s="10" t="s">
        <v>2582</v>
      </c>
      <c r="C27" s="10" t="s">
        <v>321</v>
      </c>
      <c r="D27" s="10">
        <v>2</v>
      </c>
      <c r="E27" s="10">
        <f>D27/2</f>
        <v>1</v>
      </c>
      <c r="F27" s="117">
        <v>0</v>
      </c>
      <c r="G27" s="117">
        <v>704</v>
      </c>
      <c r="H27" s="10">
        <v>1</v>
      </c>
      <c r="I27" s="10">
        <v>1</v>
      </c>
      <c r="J27" s="10" t="s">
        <v>418</v>
      </c>
      <c r="K27" s="10">
        <f t="shared" si="5"/>
        <v>49773</v>
      </c>
      <c r="L27" s="10">
        <f t="shared" si="6"/>
        <v>9773</v>
      </c>
      <c r="M27" s="10">
        <f t="shared" si="1"/>
        <v>9772</v>
      </c>
      <c r="N27" s="10" t="s">
        <v>419</v>
      </c>
      <c r="O27" s="10" t="s">
        <v>327</v>
      </c>
      <c r="P27" s="117">
        <v>0</v>
      </c>
      <c r="Q27" s="86"/>
      <c r="R27" s="215" t="s">
        <v>2576</v>
      </c>
      <c r="S27" s="8"/>
      <c r="T27" s="13"/>
    </row>
    <row r="28" spans="2:25" s="6" customFormat="1" ht="62.4" x14ac:dyDescent="0.3">
      <c r="B28" s="10" t="s">
        <v>2583</v>
      </c>
      <c r="C28" s="10" t="s">
        <v>321</v>
      </c>
      <c r="D28" s="10">
        <v>2</v>
      </c>
      <c r="E28" s="10">
        <f t="shared" ref="E28:E36" si="8">D28/2</f>
        <v>1</v>
      </c>
      <c r="F28" s="117">
        <v>0</v>
      </c>
      <c r="G28" s="117">
        <v>704</v>
      </c>
      <c r="H28" s="10">
        <v>1</v>
      </c>
      <c r="I28" s="10">
        <v>1</v>
      </c>
      <c r="J28" s="10" t="s">
        <v>418</v>
      </c>
      <c r="K28" s="10">
        <f t="shared" si="5"/>
        <v>49774</v>
      </c>
      <c r="L28" s="10">
        <f t="shared" si="6"/>
        <v>9774</v>
      </c>
      <c r="M28" s="10">
        <f t="shared" si="1"/>
        <v>9773</v>
      </c>
      <c r="N28" s="10" t="s">
        <v>419</v>
      </c>
      <c r="O28" s="10" t="s">
        <v>327</v>
      </c>
      <c r="P28" s="117">
        <v>0</v>
      </c>
      <c r="Q28" s="86"/>
      <c r="R28" s="215" t="s">
        <v>2576</v>
      </c>
      <c r="S28" s="8"/>
      <c r="T28" s="13"/>
    </row>
    <row r="29" spans="2:25" s="6" customFormat="1" ht="62.4" x14ac:dyDescent="0.3">
      <c r="B29" s="10" t="s">
        <v>2584</v>
      </c>
      <c r="C29" s="10" t="s">
        <v>321</v>
      </c>
      <c r="D29" s="10">
        <v>2</v>
      </c>
      <c r="E29" s="10">
        <f t="shared" si="8"/>
        <v>1</v>
      </c>
      <c r="F29" s="117">
        <v>0</v>
      </c>
      <c r="G29" s="117">
        <v>704</v>
      </c>
      <c r="H29" s="10">
        <v>1</v>
      </c>
      <c r="I29" s="10">
        <v>1</v>
      </c>
      <c r="J29" s="10" t="s">
        <v>418</v>
      </c>
      <c r="K29" s="10">
        <f t="shared" si="5"/>
        <v>49775</v>
      </c>
      <c r="L29" s="10">
        <f t="shared" si="6"/>
        <v>9775</v>
      </c>
      <c r="M29" s="10">
        <f t="shared" si="1"/>
        <v>9774</v>
      </c>
      <c r="N29" s="10" t="s">
        <v>419</v>
      </c>
      <c r="O29" s="10" t="s">
        <v>327</v>
      </c>
      <c r="P29" s="117">
        <v>0</v>
      </c>
      <c r="Q29" s="69"/>
      <c r="R29" s="215" t="s">
        <v>2576</v>
      </c>
      <c r="S29" s="21"/>
      <c r="T29" s="21"/>
    </row>
    <row r="30" spans="2:25" s="6" customFormat="1" ht="62.4" x14ac:dyDescent="0.3">
      <c r="B30" s="10" t="s">
        <v>2585</v>
      </c>
      <c r="C30" s="10" t="s">
        <v>321</v>
      </c>
      <c r="D30" s="10">
        <v>2</v>
      </c>
      <c r="E30" s="10">
        <f t="shared" si="8"/>
        <v>1</v>
      </c>
      <c r="F30" s="117">
        <v>0</v>
      </c>
      <c r="G30" s="117">
        <v>704</v>
      </c>
      <c r="H30" s="10">
        <v>1</v>
      </c>
      <c r="I30" s="10">
        <v>1</v>
      </c>
      <c r="J30" s="10" t="s">
        <v>418</v>
      </c>
      <c r="K30" s="10">
        <f t="shared" si="5"/>
        <v>49776</v>
      </c>
      <c r="L30" s="10">
        <f t="shared" si="6"/>
        <v>9776</v>
      </c>
      <c r="M30" s="10">
        <f t="shared" si="1"/>
        <v>9775</v>
      </c>
      <c r="N30" s="10" t="s">
        <v>419</v>
      </c>
      <c r="O30" s="10" t="s">
        <v>327</v>
      </c>
      <c r="P30" s="117">
        <v>0</v>
      </c>
      <c r="Q30" s="69"/>
      <c r="R30" s="215" t="s">
        <v>2576</v>
      </c>
      <c r="S30" s="21"/>
      <c r="T30" s="21"/>
    </row>
    <row r="31" spans="2:25" s="6" customFormat="1" ht="62.4" x14ac:dyDescent="0.3">
      <c r="B31" s="10" t="s">
        <v>2586</v>
      </c>
      <c r="C31" s="10" t="s">
        <v>321</v>
      </c>
      <c r="D31" s="10">
        <v>2</v>
      </c>
      <c r="E31" s="10">
        <f t="shared" si="8"/>
        <v>1</v>
      </c>
      <c r="F31" s="117">
        <v>0</v>
      </c>
      <c r="G31" s="117">
        <v>704</v>
      </c>
      <c r="H31" s="10">
        <v>1</v>
      </c>
      <c r="I31" s="10">
        <v>1</v>
      </c>
      <c r="J31" s="10" t="s">
        <v>418</v>
      </c>
      <c r="K31" s="10">
        <f t="shared" si="5"/>
        <v>49777</v>
      </c>
      <c r="L31" s="10">
        <f t="shared" si="6"/>
        <v>9777</v>
      </c>
      <c r="M31" s="10">
        <f t="shared" si="1"/>
        <v>9776</v>
      </c>
      <c r="N31" s="10" t="s">
        <v>419</v>
      </c>
      <c r="O31" s="10" t="s">
        <v>327</v>
      </c>
      <c r="P31" s="117">
        <v>0</v>
      </c>
      <c r="Q31" s="69"/>
      <c r="R31" s="215" t="s">
        <v>2576</v>
      </c>
      <c r="S31" s="21"/>
      <c r="T31" s="21"/>
    </row>
    <row r="32" spans="2:25" s="6" customFormat="1" ht="62.4" x14ac:dyDescent="0.3">
      <c r="B32" s="10" t="s">
        <v>2587</v>
      </c>
      <c r="C32" s="10" t="s">
        <v>321</v>
      </c>
      <c r="D32" s="10">
        <v>2</v>
      </c>
      <c r="E32" s="10">
        <f t="shared" si="8"/>
        <v>1</v>
      </c>
      <c r="F32" s="117">
        <v>0</v>
      </c>
      <c r="G32" s="117">
        <v>704</v>
      </c>
      <c r="H32" s="10">
        <v>1</v>
      </c>
      <c r="I32" s="10">
        <v>1</v>
      </c>
      <c r="J32" s="10" t="s">
        <v>418</v>
      </c>
      <c r="K32" s="10">
        <f t="shared" si="5"/>
        <v>49778</v>
      </c>
      <c r="L32" s="10">
        <f t="shared" si="6"/>
        <v>9778</v>
      </c>
      <c r="M32" s="10">
        <f t="shared" si="1"/>
        <v>9777</v>
      </c>
      <c r="N32" s="10" t="s">
        <v>419</v>
      </c>
      <c r="O32" s="10" t="s">
        <v>327</v>
      </c>
      <c r="P32" s="117">
        <v>0</v>
      </c>
      <c r="Q32" s="69"/>
      <c r="R32" s="215" t="s">
        <v>2576</v>
      </c>
      <c r="S32" s="21"/>
      <c r="T32" s="21"/>
    </row>
    <row r="33" spans="2:20" s="6" customFormat="1" ht="62.4" x14ac:dyDescent="0.3">
      <c r="B33" s="10" t="s">
        <v>2588</v>
      </c>
      <c r="C33" s="10" t="s">
        <v>321</v>
      </c>
      <c r="D33" s="10">
        <v>2</v>
      </c>
      <c r="E33" s="10">
        <f t="shared" si="8"/>
        <v>1</v>
      </c>
      <c r="F33" s="117">
        <v>0</v>
      </c>
      <c r="G33" s="117">
        <v>704</v>
      </c>
      <c r="H33" s="10">
        <v>1</v>
      </c>
      <c r="I33" s="10">
        <v>1</v>
      </c>
      <c r="J33" s="10" t="s">
        <v>418</v>
      </c>
      <c r="K33" s="10">
        <f t="shared" si="5"/>
        <v>49779</v>
      </c>
      <c r="L33" s="10">
        <f t="shared" si="6"/>
        <v>9779</v>
      </c>
      <c r="M33" s="10">
        <f t="shared" si="1"/>
        <v>9778</v>
      </c>
      <c r="N33" s="10" t="s">
        <v>419</v>
      </c>
      <c r="O33" s="10" t="s">
        <v>327</v>
      </c>
      <c r="P33" s="117">
        <v>0</v>
      </c>
      <c r="Q33" s="69"/>
      <c r="R33" s="215" t="s">
        <v>2576</v>
      </c>
      <c r="S33" s="21"/>
      <c r="T33" s="21"/>
    </row>
    <row r="34" spans="2:20" s="6" customFormat="1" ht="62.4" x14ac:dyDescent="0.3">
      <c r="B34" s="10" t="s">
        <v>2589</v>
      </c>
      <c r="C34" s="10" t="s">
        <v>321</v>
      </c>
      <c r="D34" s="10">
        <v>2</v>
      </c>
      <c r="E34" s="10">
        <f t="shared" si="8"/>
        <v>1</v>
      </c>
      <c r="F34" s="117">
        <v>0</v>
      </c>
      <c r="G34" s="117">
        <v>704</v>
      </c>
      <c r="H34" s="10">
        <v>1</v>
      </c>
      <c r="I34" s="10">
        <v>1</v>
      </c>
      <c r="J34" s="10" t="s">
        <v>418</v>
      </c>
      <c r="K34" s="10">
        <f t="shared" si="5"/>
        <v>49780</v>
      </c>
      <c r="L34" s="10">
        <f t="shared" si="6"/>
        <v>9780</v>
      </c>
      <c r="M34" s="10">
        <f t="shared" si="1"/>
        <v>9779</v>
      </c>
      <c r="N34" s="10" t="s">
        <v>419</v>
      </c>
      <c r="O34" s="10" t="s">
        <v>327</v>
      </c>
      <c r="P34" s="117">
        <v>0</v>
      </c>
      <c r="Q34" s="69"/>
      <c r="R34" s="215" t="s">
        <v>2576</v>
      </c>
      <c r="S34" s="21"/>
      <c r="T34" s="21"/>
    </row>
    <row r="35" spans="2:20" s="6" customFormat="1" ht="62.4" x14ac:dyDescent="0.3">
      <c r="B35" s="10" t="s">
        <v>2590</v>
      </c>
      <c r="C35" s="10" t="s">
        <v>321</v>
      </c>
      <c r="D35" s="10">
        <v>2</v>
      </c>
      <c r="E35" s="10">
        <f t="shared" si="8"/>
        <v>1</v>
      </c>
      <c r="F35" s="117">
        <v>0</v>
      </c>
      <c r="G35" s="117">
        <v>704</v>
      </c>
      <c r="H35" s="10">
        <v>1</v>
      </c>
      <c r="I35" s="10">
        <v>1</v>
      </c>
      <c r="J35" s="10" t="s">
        <v>418</v>
      </c>
      <c r="K35" s="10">
        <f t="shared" si="5"/>
        <v>49781</v>
      </c>
      <c r="L35" s="10">
        <f t="shared" si="6"/>
        <v>9781</v>
      </c>
      <c r="M35" s="10">
        <f t="shared" si="1"/>
        <v>9780</v>
      </c>
      <c r="N35" s="10" t="s">
        <v>419</v>
      </c>
      <c r="O35" s="10" t="s">
        <v>327</v>
      </c>
      <c r="P35" s="117">
        <v>0</v>
      </c>
      <c r="Q35" s="69"/>
      <c r="R35" s="215" t="s">
        <v>2576</v>
      </c>
      <c r="S35" s="21"/>
      <c r="T35" s="21"/>
    </row>
    <row r="36" spans="2:20" s="6" customFormat="1" ht="62.4" x14ac:dyDescent="0.3">
      <c r="B36" s="10" t="s">
        <v>2591</v>
      </c>
      <c r="C36" s="10" t="s">
        <v>321</v>
      </c>
      <c r="D36" s="10">
        <v>2</v>
      </c>
      <c r="E36" s="10">
        <f t="shared" si="8"/>
        <v>1</v>
      </c>
      <c r="F36" s="117">
        <v>0</v>
      </c>
      <c r="G36" s="117">
        <v>704</v>
      </c>
      <c r="H36" s="10">
        <v>1</v>
      </c>
      <c r="I36" s="10">
        <v>1</v>
      </c>
      <c r="J36" s="10" t="s">
        <v>418</v>
      </c>
      <c r="K36" s="10">
        <f t="shared" si="5"/>
        <v>49782</v>
      </c>
      <c r="L36" s="10">
        <f t="shared" si="6"/>
        <v>9782</v>
      </c>
      <c r="M36" s="10">
        <f t="shared" si="1"/>
        <v>9781</v>
      </c>
      <c r="N36" s="10" t="s">
        <v>419</v>
      </c>
      <c r="O36" s="10" t="s">
        <v>327</v>
      </c>
      <c r="P36" s="117">
        <v>0</v>
      </c>
      <c r="Q36" s="69"/>
      <c r="R36" s="215" t="s">
        <v>2576</v>
      </c>
      <c r="S36" s="21"/>
      <c r="T36" s="21"/>
    </row>
  </sheetData>
  <mergeCells count="2">
    <mergeCell ref="B3:R3"/>
    <mergeCell ref="B20:R20"/>
  </mergeCells>
  <conditionalFormatting sqref="B3:C3">
    <cfRule type="cellIs" dxfId="884" priority="35" stopIfTrue="1" operator="notEqual">
      <formula>INDIRECT("Dummy_for_Comparison8!"&amp;ADDRESS(ROW(),COLUMN()))</formula>
    </cfRule>
  </conditionalFormatting>
  <conditionalFormatting sqref="B20:C20">
    <cfRule type="cellIs" dxfId="883" priority="24" stopIfTrue="1" operator="notEqual">
      <formula>INDIRECT("Dummy_for_Comparison8!"&amp;ADDRESS(ROW(),COLUMN()))</formula>
    </cfRule>
  </conditionalFormatting>
  <conditionalFormatting sqref="B2:M2">
    <cfRule type="cellIs" dxfId="882" priority="49" stopIfTrue="1" operator="notEqual">
      <formula>INDIRECT("Dummy_for_Comparison2!"&amp;ADDRESS(ROW(),COLUMN()))</formula>
    </cfRule>
  </conditionalFormatting>
  <conditionalFormatting sqref="B4:P19">
    <cfRule type="cellIs" dxfId="881" priority="7" stopIfTrue="1" operator="notEqual">
      <formula>INDIRECT("Dummy_for_Comparison2!"&amp;ADDRESS(ROW(),COLUMN()))</formula>
    </cfRule>
  </conditionalFormatting>
  <conditionalFormatting sqref="B21:P36">
    <cfRule type="cellIs" dxfId="880" priority="2" stopIfTrue="1" operator="notEqual">
      <formula>INDIRECT("Dummy_for_Comparison2!"&amp;ADDRESS(ROW(),COLUMN()))</formula>
    </cfRule>
  </conditionalFormatting>
  <conditionalFormatting sqref="N2:O2">
    <cfRule type="cellIs" dxfId="879" priority="69" stopIfTrue="1" operator="notEqual">
      <formula>INDIRECT("Dummy_for_Comparison6!"&amp;ADDRESS(ROW(),COLUMN()))</formula>
    </cfRule>
  </conditionalFormatting>
  <conditionalFormatting sqref="P2:R2">
    <cfRule type="cellIs" dxfId="878" priority="70" stopIfTrue="1" operator="notEqual">
      <formula>INDIRECT("Dummy_for_Comparison2!"&amp;ADDRESS(ROW(),COLUMN()))</formula>
    </cfRule>
  </conditionalFormatting>
  <conditionalFormatting sqref="Q5:Q11">
    <cfRule type="cellIs" dxfId="877" priority="126" stopIfTrue="1" operator="notEqual">
      <formula>INDIRECT("Dummy_for_Comparison9!"&amp;ADDRESS(ROW(),COLUMN()))</formula>
    </cfRule>
  </conditionalFormatting>
  <conditionalFormatting sqref="Q14:Q15 S14:T15">
    <cfRule type="cellIs" dxfId="876" priority="121" stopIfTrue="1" operator="notEqual">
      <formula>INDIRECT("Dummy_for_Comparison7!"&amp;ADDRESS(ROW(),COLUMN()))</formula>
    </cfRule>
  </conditionalFormatting>
  <conditionalFormatting sqref="Q18:Q19 S18:T19">
    <cfRule type="cellIs" dxfId="875" priority="119" stopIfTrue="1" operator="notEqual">
      <formula>INDIRECT("Dummy_for_Comparison7!"&amp;ADDRESS(ROW(),COLUMN()))</formula>
    </cfRule>
  </conditionalFormatting>
  <conditionalFormatting sqref="Q21:Q28">
    <cfRule type="cellIs" dxfId="874" priority="117" stopIfTrue="1" operator="notEqual">
      <formula>INDIRECT("Dummy_for_Comparison9!"&amp;ADDRESS(ROW(),COLUMN()))</formula>
    </cfRule>
  </conditionalFormatting>
  <conditionalFormatting sqref="Q31:Q32 S31:T32">
    <cfRule type="cellIs" dxfId="873" priority="112" stopIfTrue="1" operator="notEqual">
      <formula>INDIRECT("Dummy_for_Comparison7!"&amp;ADDRESS(ROW(),COLUMN()))</formula>
    </cfRule>
  </conditionalFormatting>
  <conditionalFormatting sqref="Q35:Q36 S35:T36">
    <cfRule type="cellIs" dxfId="872" priority="110" stopIfTrue="1" operator="notEqual">
      <formula>INDIRECT("Dummy_for_Comparison7!"&amp;ADDRESS(ROW(),COLUMN()))</formula>
    </cfRule>
  </conditionalFormatting>
  <conditionalFormatting sqref="Q4:U4 S5:U7 R5:R19">
    <cfRule type="cellIs" dxfId="871" priority="127" stopIfTrue="1" operator="notEqual">
      <formula>INDIRECT("Dummy_for_Comparison9!"&amp;ADDRESS(ROW(),COLUMN()))</formula>
    </cfRule>
  </conditionalFormatting>
  <conditionalFormatting sqref="R21:R36">
    <cfRule type="cellIs" dxfId="870" priority="1" stopIfTrue="1" operator="notEqual">
      <formula>INDIRECT("Dummy_for_Comparison9!"&amp;ADDRESS(ROW(),COLUMN()))</formula>
    </cfRule>
  </conditionalFormatting>
  <conditionalFormatting sqref="S8:S11">
    <cfRule type="cellIs" dxfId="869" priority="124" stopIfTrue="1" operator="notEqual">
      <formula>INDIRECT("Dummy_for_Comparison9!"&amp;ADDRESS(ROW(),COLUMN()))</formula>
    </cfRule>
  </conditionalFormatting>
  <conditionalFormatting sqref="S25:S28">
    <cfRule type="cellIs" dxfId="868" priority="115" stopIfTrue="1" operator="notEqual">
      <formula>INDIRECT("Dummy_for_Comparison9!"&amp;ADDRESS(ROW(),COLUMN()))</formula>
    </cfRule>
  </conditionalFormatting>
  <conditionalFormatting sqref="S21:U24">
    <cfRule type="cellIs" dxfId="867" priority="118" stopIfTrue="1" operator="notEqual">
      <formula>INDIRECT("Dummy_for_Comparison9!"&amp;ADDRESS(ROW(),COLUMN()))</formula>
    </cfRule>
  </conditionalFormatting>
  <conditionalFormatting sqref="T10:T11">
    <cfRule type="cellIs" dxfId="866" priority="122" stopIfTrue="1" operator="notEqual">
      <formula>INDIRECT("Dummy_for_Comparison9!"&amp;ADDRESS(ROW(),COLUMN()))</formula>
    </cfRule>
  </conditionalFormatting>
  <conditionalFormatting sqref="T27:T28">
    <cfRule type="cellIs" dxfId="865" priority="113" stopIfTrue="1" operator="notEqual">
      <formula>INDIRECT("Dummy_for_Comparison9!"&amp;ADDRESS(ROW(),COLUMN()))</formula>
    </cfRule>
  </conditionalFormatting>
  <pageMargins left="0.7" right="0.7" top="0.75" bottom="0.75" header="0.3" footer="0.3"/>
  <pageSetup orientation="portrait" r:id="rId1"/>
  <headerFooter>
    <oddFooter>&amp;C_x000D_&amp;1#&amp;"Calibri"&amp;6&amp;K626469 General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A699-44A0-46F0-A63A-1EBE24917CB1}">
  <sheetPr codeName="Sheet17"/>
  <dimension ref="A1:G47"/>
  <sheetViews>
    <sheetView topLeftCell="A13" workbookViewId="0">
      <selection activeCell="E49" sqref="E49"/>
    </sheetView>
  </sheetViews>
  <sheetFormatPr defaultColWidth="8.77734375" defaultRowHeight="14.4" x14ac:dyDescent="0.3"/>
  <cols>
    <col min="2" max="2" width="14.44140625" bestFit="1" customWidth="1"/>
    <col min="3" max="3" width="40.21875" bestFit="1" customWidth="1"/>
    <col min="4" max="4" width="54.5546875" bestFit="1" customWidth="1"/>
    <col min="5" max="5" width="40.21875" bestFit="1" customWidth="1"/>
    <col min="6" max="6" width="54.5546875" bestFit="1" customWidth="1"/>
    <col min="7" max="7" width="16" bestFit="1" customWidth="1"/>
  </cols>
  <sheetData>
    <row r="1" spans="1:7" ht="28.8" x14ac:dyDescent="0.3">
      <c r="A1" s="171" t="s">
        <v>2593</v>
      </c>
      <c r="B1" s="172" t="s">
        <v>2594</v>
      </c>
      <c r="C1" s="173" t="s">
        <v>2595</v>
      </c>
      <c r="D1" s="173" t="s">
        <v>2596</v>
      </c>
      <c r="E1" s="173" t="s">
        <v>2392</v>
      </c>
      <c r="F1" s="173" t="s">
        <v>2597</v>
      </c>
      <c r="G1" s="174" t="s">
        <v>2598</v>
      </c>
    </row>
    <row r="2" spans="1:7" x14ac:dyDescent="0.3">
      <c r="A2" s="70">
        <v>1</v>
      </c>
      <c r="B2" s="55" t="s">
        <v>2599</v>
      </c>
      <c r="C2" s="55" t="s">
        <v>2600</v>
      </c>
      <c r="D2" s="55" t="s">
        <v>2601</v>
      </c>
      <c r="E2" s="55" t="s">
        <v>2602</v>
      </c>
      <c r="F2" s="55" t="s">
        <v>2597</v>
      </c>
      <c r="G2" s="70" t="s">
        <v>2603</v>
      </c>
    </row>
    <row r="3" spans="1:7" x14ac:dyDescent="0.3">
      <c r="A3" s="70">
        <f>A2+1</f>
        <v>2</v>
      </c>
      <c r="B3" s="55" t="s">
        <v>2604</v>
      </c>
      <c r="C3" s="55" t="s">
        <v>2605</v>
      </c>
      <c r="D3" s="55" t="s">
        <v>2606</v>
      </c>
      <c r="E3" s="55" t="s">
        <v>2602</v>
      </c>
      <c r="F3" s="55" t="s">
        <v>2597</v>
      </c>
      <c r="G3" s="70" t="s">
        <v>2603</v>
      </c>
    </row>
    <row r="4" spans="1:7" x14ac:dyDescent="0.3">
      <c r="A4" s="70">
        <f t="shared" ref="A4:A46" si="0">A3+1</f>
        <v>3</v>
      </c>
      <c r="B4" s="55" t="s">
        <v>2607</v>
      </c>
      <c r="C4" s="55" t="s">
        <v>2608</v>
      </c>
      <c r="D4" s="55" t="s">
        <v>2609</v>
      </c>
      <c r="E4" s="55" t="s">
        <v>2602</v>
      </c>
      <c r="F4" s="55" t="s">
        <v>2597</v>
      </c>
      <c r="G4" s="70" t="s">
        <v>2603</v>
      </c>
    </row>
    <row r="5" spans="1:7" x14ac:dyDescent="0.3">
      <c r="A5" s="70">
        <f t="shared" si="0"/>
        <v>4</v>
      </c>
      <c r="B5" s="55" t="s">
        <v>2610</v>
      </c>
      <c r="C5" s="55" t="s">
        <v>2611</v>
      </c>
      <c r="D5" s="55" t="s">
        <v>2612</v>
      </c>
      <c r="E5" s="55" t="s">
        <v>2602</v>
      </c>
      <c r="F5" s="55" t="s">
        <v>2597</v>
      </c>
      <c r="G5" s="70" t="s">
        <v>2603</v>
      </c>
    </row>
    <row r="6" spans="1:7" x14ac:dyDescent="0.3">
      <c r="A6" s="70">
        <f t="shared" si="0"/>
        <v>5</v>
      </c>
      <c r="B6" s="55" t="s">
        <v>2613</v>
      </c>
      <c r="C6" s="55" t="s">
        <v>2614</v>
      </c>
      <c r="D6" s="55" t="s">
        <v>2615</v>
      </c>
      <c r="E6" s="55" t="s">
        <v>2602</v>
      </c>
      <c r="F6" s="55" t="s">
        <v>2597</v>
      </c>
      <c r="G6" s="70" t="s">
        <v>2603</v>
      </c>
    </row>
    <row r="7" spans="1:7" x14ac:dyDescent="0.3">
      <c r="A7" s="70">
        <f t="shared" si="0"/>
        <v>6</v>
      </c>
      <c r="B7" s="55" t="s">
        <v>2616</v>
      </c>
      <c r="C7" s="55" t="s">
        <v>2617</v>
      </c>
      <c r="D7" s="55" t="s">
        <v>2618</v>
      </c>
      <c r="E7" s="55" t="s">
        <v>2602</v>
      </c>
      <c r="F7" s="55" t="s">
        <v>2597</v>
      </c>
      <c r="G7" s="70" t="s">
        <v>2603</v>
      </c>
    </row>
    <row r="8" spans="1:7" x14ac:dyDescent="0.3">
      <c r="A8" s="70">
        <f t="shared" si="0"/>
        <v>7</v>
      </c>
      <c r="B8" s="55" t="s">
        <v>2619</v>
      </c>
      <c r="C8" s="55" t="s">
        <v>2620</v>
      </c>
      <c r="D8" s="55" t="s">
        <v>2621</v>
      </c>
      <c r="E8" s="55" t="s">
        <v>2602</v>
      </c>
      <c r="F8" s="55" t="s">
        <v>2597</v>
      </c>
      <c r="G8" s="70" t="s">
        <v>2603</v>
      </c>
    </row>
    <row r="9" spans="1:7" x14ac:dyDescent="0.3">
      <c r="A9" s="70">
        <f t="shared" si="0"/>
        <v>8</v>
      </c>
      <c r="B9" s="55" t="s">
        <v>2622</v>
      </c>
      <c r="C9" s="55" t="s">
        <v>2623</v>
      </c>
      <c r="D9" s="55" t="s">
        <v>2624</v>
      </c>
      <c r="E9" s="55" t="s">
        <v>2602</v>
      </c>
      <c r="F9" s="55" t="s">
        <v>2597</v>
      </c>
      <c r="G9" s="70" t="s">
        <v>2603</v>
      </c>
    </row>
    <row r="10" spans="1:7" x14ac:dyDescent="0.3">
      <c r="A10" s="70">
        <f t="shared" si="0"/>
        <v>9</v>
      </c>
      <c r="B10" s="55" t="s">
        <v>2625</v>
      </c>
      <c r="C10" s="55" t="s">
        <v>2626</v>
      </c>
      <c r="D10" s="55" t="s">
        <v>2627</v>
      </c>
      <c r="E10" s="55" t="s">
        <v>2602</v>
      </c>
      <c r="F10" s="55" t="s">
        <v>2597</v>
      </c>
      <c r="G10" s="175" t="s">
        <v>1297</v>
      </c>
    </row>
    <row r="11" spans="1:7" x14ac:dyDescent="0.3">
      <c r="A11" s="70">
        <f t="shared" si="0"/>
        <v>10</v>
      </c>
      <c r="B11" s="55" t="s">
        <v>2628</v>
      </c>
      <c r="C11" s="55" t="s">
        <v>2629</v>
      </c>
      <c r="D11" s="55" t="s">
        <v>2630</v>
      </c>
      <c r="E11" s="55" t="s">
        <v>2602</v>
      </c>
      <c r="F11" s="55" t="s">
        <v>2597</v>
      </c>
      <c r="G11" s="175" t="s">
        <v>1297</v>
      </c>
    </row>
    <row r="12" spans="1:7" x14ac:dyDescent="0.3">
      <c r="A12" s="70">
        <f t="shared" si="0"/>
        <v>11</v>
      </c>
      <c r="B12" s="176" t="s">
        <v>2631</v>
      </c>
      <c r="C12" s="55" t="s">
        <v>2632</v>
      </c>
      <c r="D12" s="55" t="s">
        <v>2633</v>
      </c>
      <c r="E12" s="55" t="s">
        <v>2634</v>
      </c>
      <c r="F12" s="55" t="s">
        <v>2597</v>
      </c>
      <c r="G12" s="175" t="s">
        <v>1297</v>
      </c>
    </row>
    <row r="13" spans="1:7" x14ac:dyDescent="0.3">
      <c r="A13" s="70">
        <f t="shared" si="0"/>
        <v>12</v>
      </c>
      <c r="B13" s="55" t="s">
        <v>2635</v>
      </c>
      <c r="C13" s="55" t="s">
        <v>2636</v>
      </c>
      <c r="D13" s="55" t="s">
        <v>2637</v>
      </c>
      <c r="E13" s="55" t="s">
        <v>2634</v>
      </c>
      <c r="F13" s="55" t="s">
        <v>2597</v>
      </c>
      <c r="G13" s="175" t="s">
        <v>1297</v>
      </c>
    </row>
    <row r="14" spans="1:7" s="178" customFormat="1" x14ac:dyDescent="0.3">
      <c r="A14" s="177">
        <f t="shared" si="0"/>
        <v>13</v>
      </c>
      <c r="B14" s="176" t="s">
        <v>2638</v>
      </c>
      <c r="C14" s="176" t="s">
        <v>2639</v>
      </c>
      <c r="D14" s="176" t="s">
        <v>2640</v>
      </c>
      <c r="E14" s="176" t="s">
        <v>2634</v>
      </c>
      <c r="F14" s="176" t="s">
        <v>2597</v>
      </c>
      <c r="G14" s="175" t="s">
        <v>1297</v>
      </c>
    </row>
    <row r="15" spans="1:7" x14ac:dyDescent="0.3">
      <c r="A15" s="70">
        <f t="shared" si="0"/>
        <v>14</v>
      </c>
      <c r="B15" s="55" t="s">
        <v>2641</v>
      </c>
      <c r="C15" s="55" t="s">
        <v>2642</v>
      </c>
      <c r="D15" s="55" t="s">
        <v>2643</v>
      </c>
      <c r="E15" s="55" t="s">
        <v>2634</v>
      </c>
      <c r="F15" s="55" t="s">
        <v>2597</v>
      </c>
      <c r="G15" s="175" t="s">
        <v>1297</v>
      </c>
    </row>
    <row r="16" spans="1:7" x14ac:dyDescent="0.3">
      <c r="A16" s="70">
        <f t="shared" si="0"/>
        <v>15</v>
      </c>
      <c r="B16" s="176" t="s">
        <v>2644</v>
      </c>
      <c r="C16" s="55" t="s">
        <v>2645</v>
      </c>
      <c r="D16" s="55" t="s">
        <v>2646</v>
      </c>
      <c r="E16" s="55" t="s">
        <v>2634</v>
      </c>
      <c r="F16" s="55" t="s">
        <v>2597</v>
      </c>
      <c r="G16" s="175" t="s">
        <v>1297</v>
      </c>
    </row>
    <row r="17" spans="1:7" x14ac:dyDescent="0.3">
      <c r="A17" s="70">
        <f t="shared" si="0"/>
        <v>16</v>
      </c>
      <c r="B17" s="55" t="s">
        <v>2647</v>
      </c>
      <c r="C17" s="55" t="s">
        <v>2648</v>
      </c>
      <c r="D17" s="55" t="s">
        <v>2649</v>
      </c>
      <c r="E17" s="55" t="s">
        <v>2634</v>
      </c>
      <c r="F17" s="55" t="s">
        <v>2597</v>
      </c>
      <c r="G17" s="175" t="s">
        <v>1297</v>
      </c>
    </row>
    <row r="18" spans="1:7" x14ac:dyDescent="0.3">
      <c r="A18" s="70">
        <f t="shared" si="0"/>
        <v>17</v>
      </c>
      <c r="B18" s="55" t="s">
        <v>2650</v>
      </c>
      <c r="C18" s="55" t="s">
        <v>2651</v>
      </c>
      <c r="D18" s="55" t="s">
        <v>2652</v>
      </c>
      <c r="E18" s="55" t="s">
        <v>2634</v>
      </c>
      <c r="F18" s="55" t="s">
        <v>2597</v>
      </c>
      <c r="G18" s="175" t="s">
        <v>1297</v>
      </c>
    </row>
    <row r="19" spans="1:7" x14ac:dyDescent="0.3">
      <c r="A19" s="70">
        <f t="shared" si="0"/>
        <v>18</v>
      </c>
      <c r="B19" s="176" t="s">
        <v>2653</v>
      </c>
      <c r="C19" s="55" t="s">
        <v>2654</v>
      </c>
      <c r="D19" s="55" t="s">
        <v>2655</v>
      </c>
      <c r="E19" s="55" t="s">
        <v>2634</v>
      </c>
      <c r="F19" s="55" t="s">
        <v>2597</v>
      </c>
      <c r="G19" s="175" t="s">
        <v>1297</v>
      </c>
    </row>
    <row r="20" spans="1:7" x14ac:dyDescent="0.3">
      <c r="A20" s="70">
        <f t="shared" si="0"/>
        <v>19</v>
      </c>
      <c r="B20" s="55" t="s">
        <v>2656</v>
      </c>
      <c r="C20" s="55" t="s">
        <v>2657</v>
      </c>
      <c r="D20" s="55" t="s">
        <v>2658</v>
      </c>
      <c r="E20" s="55" t="s">
        <v>2634</v>
      </c>
      <c r="F20" s="55" t="s">
        <v>2597</v>
      </c>
      <c r="G20" s="175" t="s">
        <v>1297</v>
      </c>
    </row>
    <row r="21" spans="1:7" s="178" customFormat="1" x14ac:dyDescent="0.3">
      <c r="A21" s="177">
        <f t="shared" si="0"/>
        <v>20</v>
      </c>
      <c r="B21" s="176" t="s">
        <v>2659</v>
      </c>
      <c r="C21" s="176" t="s">
        <v>2660</v>
      </c>
      <c r="D21" s="176" t="s">
        <v>2661</v>
      </c>
      <c r="E21" s="176" t="s">
        <v>2634</v>
      </c>
      <c r="F21" s="176" t="s">
        <v>2597</v>
      </c>
      <c r="G21" s="175" t="s">
        <v>1297</v>
      </c>
    </row>
    <row r="22" spans="1:7" x14ac:dyDescent="0.3">
      <c r="A22" s="70">
        <f t="shared" si="0"/>
        <v>21</v>
      </c>
      <c r="B22" s="55" t="s">
        <v>2662</v>
      </c>
      <c r="C22" s="55" t="s">
        <v>2663</v>
      </c>
      <c r="D22" s="55" t="s">
        <v>2664</v>
      </c>
      <c r="E22" s="55" t="s">
        <v>2634</v>
      </c>
      <c r="F22" s="55" t="s">
        <v>2597</v>
      </c>
      <c r="G22" s="175" t="s">
        <v>1297</v>
      </c>
    </row>
    <row r="23" spans="1:7" x14ac:dyDescent="0.3">
      <c r="A23" s="70">
        <f t="shared" si="0"/>
        <v>22</v>
      </c>
      <c r="B23" s="176" t="s">
        <v>2665</v>
      </c>
      <c r="C23" s="55" t="s">
        <v>2666</v>
      </c>
      <c r="D23" s="55" t="s">
        <v>2667</v>
      </c>
      <c r="E23" s="55" t="s">
        <v>2634</v>
      </c>
      <c r="F23" s="55" t="s">
        <v>2597</v>
      </c>
      <c r="G23" s="175" t="s">
        <v>1297</v>
      </c>
    </row>
    <row r="24" spans="1:7" x14ac:dyDescent="0.3">
      <c r="A24" s="70">
        <f t="shared" si="0"/>
        <v>23</v>
      </c>
      <c r="B24" s="55" t="s">
        <v>2668</v>
      </c>
      <c r="C24" s="55" t="s">
        <v>2669</v>
      </c>
      <c r="D24" s="55" t="s">
        <v>2670</v>
      </c>
      <c r="E24" s="55" t="s">
        <v>2634</v>
      </c>
      <c r="F24" s="55" t="s">
        <v>2597</v>
      </c>
      <c r="G24" s="175" t="s">
        <v>1297</v>
      </c>
    </row>
    <row r="25" spans="1:7" x14ac:dyDescent="0.3">
      <c r="A25" s="70">
        <f t="shared" si="0"/>
        <v>24</v>
      </c>
      <c r="B25" s="55" t="s">
        <v>2671</v>
      </c>
      <c r="C25" s="55" t="s">
        <v>2672</v>
      </c>
      <c r="D25" s="55" t="s">
        <v>2673</v>
      </c>
      <c r="E25" s="55" t="s">
        <v>2634</v>
      </c>
      <c r="F25" s="55" t="s">
        <v>2597</v>
      </c>
      <c r="G25" s="175" t="s">
        <v>1297</v>
      </c>
    </row>
    <row r="26" spans="1:7" x14ac:dyDescent="0.3">
      <c r="A26" s="70">
        <f t="shared" si="0"/>
        <v>25</v>
      </c>
      <c r="B26" s="55" t="s">
        <v>2674</v>
      </c>
      <c r="C26" s="55" t="s">
        <v>2675</v>
      </c>
      <c r="D26" s="55" t="s">
        <v>2676</v>
      </c>
      <c r="E26" s="55" t="s">
        <v>2677</v>
      </c>
      <c r="F26" s="55" t="s">
        <v>2597</v>
      </c>
      <c r="G26" s="70" t="s">
        <v>2603</v>
      </c>
    </row>
    <row r="27" spans="1:7" x14ac:dyDescent="0.3">
      <c r="A27" s="70">
        <f t="shared" si="0"/>
        <v>26</v>
      </c>
      <c r="B27" s="55" t="s">
        <v>2678</v>
      </c>
      <c r="C27" s="55" t="s">
        <v>2679</v>
      </c>
      <c r="D27" s="55" t="s">
        <v>2680</v>
      </c>
      <c r="E27" s="55" t="s">
        <v>2677</v>
      </c>
      <c r="F27" s="55" t="s">
        <v>2597</v>
      </c>
      <c r="G27" s="70" t="s">
        <v>2603</v>
      </c>
    </row>
    <row r="28" spans="1:7" x14ac:dyDescent="0.3">
      <c r="A28" s="70">
        <f t="shared" si="0"/>
        <v>27</v>
      </c>
      <c r="B28" s="55" t="s">
        <v>2681</v>
      </c>
      <c r="C28" s="55" t="s">
        <v>2682</v>
      </c>
      <c r="D28" s="55" t="s">
        <v>2683</v>
      </c>
      <c r="E28" s="55" t="s">
        <v>2677</v>
      </c>
      <c r="F28" s="55" t="s">
        <v>2597</v>
      </c>
      <c r="G28" s="70" t="s">
        <v>2603</v>
      </c>
    </row>
    <row r="29" spans="1:7" x14ac:dyDescent="0.3">
      <c r="A29" s="70">
        <f t="shared" si="0"/>
        <v>28</v>
      </c>
      <c r="B29" s="55" t="s">
        <v>2684</v>
      </c>
      <c r="C29" s="55" t="s">
        <v>2685</v>
      </c>
      <c r="D29" s="55" t="s">
        <v>2686</v>
      </c>
      <c r="E29" s="55" t="s">
        <v>2677</v>
      </c>
      <c r="F29" s="55" t="s">
        <v>2597</v>
      </c>
      <c r="G29" s="70" t="s">
        <v>2603</v>
      </c>
    </row>
    <row r="30" spans="1:7" x14ac:dyDescent="0.3">
      <c r="A30" s="70">
        <f t="shared" si="0"/>
        <v>29</v>
      </c>
      <c r="B30" s="55" t="s">
        <v>2687</v>
      </c>
      <c r="C30" s="55" t="s">
        <v>2688</v>
      </c>
      <c r="D30" s="55" t="s">
        <v>2689</v>
      </c>
      <c r="E30" s="55" t="s">
        <v>2677</v>
      </c>
      <c r="F30" s="55" t="s">
        <v>2597</v>
      </c>
      <c r="G30" s="70" t="s">
        <v>2603</v>
      </c>
    </row>
    <row r="31" spans="1:7" x14ac:dyDescent="0.3">
      <c r="A31" s="70">
        <f t="shared" si="0"/>
        <v>30</v>
      </c>
      <c r="B31" s="55" t="s">
        <v>2690</v>
      </c>
      <c r="C31" s="55" t="s">
        <v>2691</v>
      </c>
      <c r="D31" s="55" t="s">
        <v>2692</v>
      </c>
      <c r="E31" s="55" t="s">
        <v>2677</v>
      </c>
      <c r="F31" s="55" t="s">
        <v>2597</v>
      </c>
      <c r="G31" s="70" t="s">
        <v>2603</v>
      </c>
    </row>
    <row r="32" spans="1:7" x14ac:dyDescent="0.3">
      <c r="A32" s="70">
        <f t="shared" si="0"/>
        <v>31</v>
      </c>
      <c r="B32" s="55" t="s">
        <v>2693</v>
      </c>
      <c r="C32" s="55" t="s">
        <v>2694</v>
      </c>
      <c r="D32" s="55" t="s">
        <v>2695</v>
      </c>
      <c r="E32" s="55" t="s">
        <v>2677</v>
      </c>
      <c r="F32" s="55" t="s">
        <v>2597</v>
      </c>
      <c r="G32" s="70" t="s">
        <v>2603</v>
      </c>
    </row>
    <row r="33" spans="1:7" x14ac:dyDescent="0.3">
      <c r="A33" s="70">
        <f t="shared" si="0"/>
        <v>32</v>
      </c>
      <c r="B33" s="55" t="s">
        <v>2696</v>
      </c>
      <c r="C33" s="55" t="s">
        <v>2697</v>
      </c>
      <c r="D33" s="55" t="s">
        <v>2698</v>
      </c>
      <c r="E33" s="55" t="s">
        <v>2677</v>
      </c>
      <c r="F33" s="55" t="s">
        <v>2597</v>
      </c>
      <c r="G33" s="70" t="s">
        <v>2603</v>
      </c>
    </row>
    <row r="34" spans="1:7" x14ac:dyDescent="0.3">
      <c r="A34" s="70">
        <f t="shared" si="0"/>
        <v>33</v>
      </c>
      <c r="B34" s="55" t="s">
        <v>2699</v>
      </c>
      <c r="C34" s="55" t="s">
        <v>2700</v>
      </c>
      <c r="D34" s="55" t="s">
        <v>2701</v>
      </c>
      <c r="E34" s="55" t="s">
        <v>2702</v>
      </c>
      <c r="F34" s="55" t="s">
        <v>2597</v>
      </c>
      <c r="G34" s="70" t="s">
        <v>2603</v>
      </c>
    </row>
    <row r="35" spans="1:7" x14ac:dyDescent="0.3">
      <c r="A35" s="70">
        <f t="shared" si="0"/>
        <v>34</v>
      </c>
      <c r="B35" s="55" t="s">
        <v>2703</v>
      </c>
      <c r="C35" s="55" t="s">
        <v>2704</v>
      </c>
      <c r="D35" s="55" t="s">
        <v>2705</v>
      </c>
      <c r="E35" s="55" t="s">
        <v>2706</v>
      </c>
      <c r="F35" s="55" t="s">
        <v>2597</v>
      </c>
      <c r="G35" s="70" t="s">
        <v>2603</v>
      </c>
    </row>
    <row r="36" spans="1:7" x14ac:dyDescent="0.3">
      <c r="A36" s="70">
        <f t="shared" si="0"/>
        <v>35</v>
      </c>
      <c r="B36" s="55" t="s">
        <v>2707</v>
      </c>
      <c r="C36" s="55" t="s">
        <v>2708</v>
      </c>
      <c r="D36" s="55" t="s">
        <v>2709</v>
      </c>
      <c r="E36" s="55" t="s">
        <v>2710</v>
      </c>
      <c r="F36" s="55" t="s">
        <v>2597</v>
      </c>
      <c r="G36" s="70" t="s">
        <v>2603</v>
      </c>
    </row>
    <row r="37" spans="1:7" x14ac:dyDescent="0.3">
      <c r="A37" s="70">
        <f t="shared" si="0"/>
        <v>36</v>
      </c>
      <c r="B37" s="135" t="s">
        <v>2711</v>
      </c>
      <c r="C37" s="55" t="s">
        <v>2712</v>
      </c>
      <c r="D37" s="55" t="s">
        <v>2713</v>
      </c>
      <c r="E37" s="55" t="s">
        <v>2710</v>
      </c>
      <c r="F37" s="55" t="s">
        <v>2597</v>
      </c>
      <c r="G37" s="70" t="s">
        <v>2603</v>
      </c>
    </row>
    <row r="38" spans="1:7" x14ac:dyDescent="0.3">
      <c r="A38" s="70">
        <f t="shared" si="0"/>
        <v>37</v>
      </c>
      <c r="B38" s="55" t="s">
        <v>2714</v>
      </c>
      <c r="C38" s="55" t="s">
        <v>2715</v>
      </c>
      <c r="D38" s="55" t="s">
        <v>2716</v>
      </c>
      <c r="E38" s="55" t="s">
        <v>2717</v>
      </c>
      <c r="F38" s="55" t="s">
        <v>2597</v>
      </c>
      <c r="G38" s="70" t="s">
        <v>2603</v>
      </c>
    </row>
    <row r="39" spans="1:7" x14ac:dyDescent="0.3">
      <c r="A39" s="70">
        <f t="shared" si="0"/>
        <v>38</v>
      </c>
      <c r="B39" s="55" t="s">
        <v>2718</v>
      </c>
      <c r="C39" s="55" t="s">
        <v>2719</v>
      </c>
      <c r="D39" s="55" t="s">
        <v>2720</v>
      </c>
      <c r="E39" s="55" t="s">
        <v>2634</v>
      </c>
      <c r="F39" s="55" t="s">
        <v>2597</v>
      </c>
      <c r="G39" s="70" t="s">
        <v>2603</v>
      </c>
    </row>
    <row r="40" spans="1:7" x14ac:dyDescent="0.3">
      <c r="A40" s="70">
        <f t="shared" si="0"/>
        <v>39</v>
      </c>
      <c r="B40" s="55" t="s">
        <v>2721</v>
      </c>
      <c r="C40" s="55" t="s">
        <v>2722</v>
      </c>
      <c r="D40" s="55" t="s">
        <v>2723</v>
      </c>
      <c r="E40" s="55" t="s">
        <v>2634</v>
      </c>
      <c r="F40" s="55" t="s">
        <v>2597</v>
      </c>
      <c r="G40" s="70" t="s">
        <v>2603</v>
      </c>
    </row>
    <row r="41" spans="1:7" x14ac:dyDescent="0.3">
      <c r="A41" s="70">
        <f t="shared" si="0"/>
        <v>40</v>
      </c>
      <c r="B41" s="55" t="s">
        <v>2724</v>
      </c>
      <c r="C41" s="55" t="s">
        <v>2725</v>
      </c>
      <c r="D41" s="55" t="s">
        <v>2726</v>
      </c>
      <c r="E41" s="55" t="s">
        <v>2634</v>
      </c>
      <c r="F41" s="55" t="s">
        <v>2597</v>
      </c>
      <c r="G41" s="70" t="s">
        <v>2603</v>
      </c>
    </row>
    <row r="42" spans="1:7" x14ac:dyDescent="0.3">
      <c r="A42" s="70">
        <f t="shared" si="0"/>
        <v>41</v>
      </c>
      <c r="B42" s="55" t="s">
        <v>2727</v>
      </c>
      <c r="C42" s="55" t="s">
        <v>2728</v>
      </c>
      <c r="D42" s="55" t="s">
        <v>2729</v>
      </c>
      <c r="E42" s="55" t="s">
        <v>2634</v>
      </c>
      <c r="F42" s="55" t="s">
        <v>2597</v>
      </c>
      <c r="G42" s="70" t="s">
        <v>2603</v>
      </c>
    </row>
    <row r="43" spans="1:7" x14ac:dyDescent="0.3">
      <c r="A43" s="70">
        <f t="shared" si="0"/>
        <v>42</v>
      </c>
      <c r="B43" s="55" t="s">
        <v>2730</v>
      </c>
      <c r="C43" s="55" t="s">
        <v>2731</v>
      </c>
      <c r="D43" s="55" t="s">
        <v>2732</v>
      </c>
      <c r="E43" s="55" t="s">
        <v>2634</v>
      </c>
      <c r="F43" s="55" t="s">
        <v>2597</v>
      </c>
      <c r="G43" s="70" t="s">
        <v>2603</v>
      </c>
    </row>
    <row r="44" spans="1:7" x14ac:dyDescent="0.3">
      <c r="A44" s="70">
        <f t="shared" si="0"/>
        <v>43</v>
      </c>
      <c r="B44" s="55" t="s">
        <v>2733</v>
      </c>
      <c r="C44" s="55" t="s">
        <v>2734</v>
      </c>
      <c r="D44" s="55" t="s">
        <v>2735</v>
      </c>
      <c r="E44" s="55" t="s">
        <v>2634</v>
      </c>
      <c r="F44" s="55" t="s">
        <v>2597</v>
      </c>
      <c r="G44" s="70" t="s">
        <v>2603</v>
      </c>
    </row>
    <row r="45" spans="1:7" x14ac:dyDescent="0.3">
      <c r="A45" s="70">
        <f t="shared" si="0"/>
        <v>44</v>
      </c>
      <c r="B45" s="55" t="s">
        <v>2736</v>
      </c>
      <c r="C45" s="55" t="s">
        <v>2737</v>
      </c>
      <c r="D45" s="55" t="s">
        <v>2738</v>
      </c>
      <c r="E45" s="55" t="s">
        <v>2739</v>
      </c>
      <c r="F45" s="155" t="s">
        <v>70</v>
      </c>
      <c r="G45" s="70" t="s">
        <v>2603</v>
      </c>
    </row>
    <row r="46" spans="1:7" x14ac:dyDescent="0.3">
      <c r="A46" s="70">
        <f t="shared" si="0"/>
        <v>45</v>
      </c>
      <c r="B46" s="55" t="s">
        <v>2740</v>
      </c>
      <c r="C46" s="55" t="s">
        <v>2741</v>
      </c>
      <c r="D46" s="55" t="s">
        <v>2738</v>
      </c>
      <c r="E46" s="55" t="s">
        <v>2742</v>
      </c>
      <c r="F46" s="155" t="s">
        <v>70</v>
      </c>
      <c r="G46" s="70" t="s">
        <v>2603</v>
      </c>
    </row>
    <row r="47" spans="1:7" x14ac:dyDescent="0.3">
      <c r="A47" s="70">
        <f>A46+1</f>
        <v>46</v>
      </c>
      <c r="B47" s="176" t="s">
        <v>2743</v>
      </c>
      <c r="C47" s="55" t="s">
        <v>2744</v>
      </c>
      <c r="D47" s="55" t="s">
        <v>2745</v>
      </c>
      <c r="E47" s="55" t="s">
        <v>246</v>
      </c>
      <c r="F47" s="155" t="s">
        <v>70</v>
      </c>
      <c r="G47" s="70" t="s">
        <v>2603</v>
      </c>
    </row>
  </sheetData>
  <dataValidations count="3">
    <dataValidation type="textLength" operator="lessThanOrEqual" showInputMessage="1" showErrorMessage="1" sqref="B2:B17 B39:B40" xr:uid="{29F288B9-5B1F-47F2-BD1D-8BE681095217}">
      <formula1>18</formula1>
    </dataValidation>
    <dataValidation type="textLength" operator="lessThanOrEqual" allowBlank="1" showInputMessage="1" showErrorMessage="1" sqref="D39:D40 D2:D17" xr:uid="{729A4B7F-B2C8-4636-891C-B61ACCFA9B7E}">
      <formula1>120</formula1>
    </dataValidation>
    <dataValidation type="textLength" allowBlank="1" sqref="C1:C44 C47" xr:uid="{D2B5717A-2154-495C-A9D3-49CEDF97A61F}">
      <formula1>10</formula1>
      <formula2>40</formula2>
    </dataValidation>
  </dataValidations>
  <pageMargins left="0.7" right="0.7" top="0.75" bottom="0.75" header="0.3" footer="0.3"/>
  <headerFooter>
    <oddFooter>&amp;C_x000D_&amp;1#&amp;"Calibri"&amp;6&amp;K626469 General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38B8B-C450-4284-AE4E-793DDD254C39}">
  <sheetPr codeName="Sheet18"/>
  <dimension ref="B2:O22"/>
  <sheetViews>
    <sheetView topLeftCell="A2" zoomScale="70" workbookViewId="0">
      <selection activeCell="E17" sqref="E17"/>
    </sheetView>
  </sheetViews>
  <sheetFormatPr defaultColWidth="8.77734375" defaultRowHeight="14.4" x14ac:dyDescent="0.3"/>
  <cols>
    <col min="2" max="2" width="35.44140625" style="150" bestFit="1" customWidth="1"/>
    <col min="3" max="3" width="17.77734375" customWidth="1"/>
    <col min="4" max="4" width="20.21875" customWidth="1"/>
    <col min="5" max="5" width="21" customWidth="1"/>
    <col min="6" max="6" width="19.77734375" customWidth="1"/>
    <col min="7" max="7" width="18.21875" bestFit="1" customWidth="1"/>
    <col min="8" max="8" width="24.44140625" customWidth="1"/>
    <col min="9" max="9" width="18.21875" customWidth="1"/>
    <col min="10" max="10" width="19.5546875" customWidth="1"/>
    <col min="15" max="15" width="18.21875" customWidth="1"/>
  </cols>
  <sheetData>
    <row r="2" spans="2:10" ht="86.4" x14ac:dyDescent="0.3">
      <c r="B2" s="149" t="s">
        <v>906</v>
      </c>
      <c r="C2" s="79" t="s">
        <v>2746</v>
      </c>
      <c r="D2" s="55"/>
      <c r="E2" s="79" t="s">
        <v>2747</v>
      </c>
      <c r="F2" s="55"/>
      <c r="G2" s="79" t="s">
        <v>2748</v>
      </c>
      <c r="H2" s="55"/>
      <c r="I2" s="79" t="s">
        <v>2749</v>
      </c>
      <c r="J2" s="112"/>
    </row>
    <row r="3" spans="2:10" x14ac:dyDescent="0.3">
      <c r="B3" s="149"/>
      <c r="C3" s="79" t="s">
        <v>2750</v>
      </c>
      <c r="D3" s="79" t="s">
        <v>2751</v>
      </c>
      <c r="E3" s="79" t="s">
        <v>2750</v>
      </c>
      <c r="F3" s="79" t="s">
        <v>2751</v>
      </c>
      <c r="G3" s="79" t="s">
        <v>2750</v>
      </c>
      <c r="H3" s="79" t="s">
        <v>2751</v>
      </c>
      <c r="I3" s="79" t="s">
        <v>2750</v>
      </c>
      <c r="J3" s="79" t="s">
        <v>2751</v>
      </c>
    </row>
    <row r="4" spans="2:10" ht="15.6" x14ac:dyDescent="0.3">
      <c r="B4" s="111" t="s">
        <v>985</v>
      </c>
      <c r="C4" s="151" t="s">
        <v>2752</v>
      </c>
      <c r="D4" s="112">
        <v>1</v>
      </c>
      <c r="E4" s="151" t="s">
        <v>2752</v>
      </c>
      <c r="F4" s="112">
        <v>1</v>
      </c>
      <c r="G4" s="112">
        <v>1</v>
      </c>
      <c r="H4" s="112">
        <v>1</v>
      </c>
      <c r="I4" s="112">
        <v>1</v>
      </c>
      <c r="J4" s="112">
        <v>1</v>
      </c>
    </row>
    <row r="5" spans="2:10" ht="15.6" x14ac:dyDescent="0.3">
      <c r="B5" s="111" t="s">
        <v>987</v>
      </c>
      <c r="C5" s="112">
        <v>1</v>
      </c>
      <c r="D5" s="112">
        <v>1</v>
      </c>
      <c r="E5" s="112">
        <v>1</v>
      </c>
      <c r="F5" s="112">
        <v>1</v>
      </c>
      <c r="G5" s="112">
        <v>1</v>
      </c>
      <c r="H5" s="112">
        <v>1</v>
      </c>
      <c r="I5" s="112">
        <v>1</v>
      </c>
      <c r="J5" s="112">
        <v>1</v>
      </c>
    </row>
    <row r="6" spans="2:10" ht="15.6" x14ac:dyDescent="0.3">
      <c r="B6" s="111" t="s">
        <v>999</v>
      </c>
      <c r="C6" s="156" t="s">
        <v>2753</v>
      </c>
      <c r="D6" s="112">
        <v>1</v>
      </c>
      <c r="E6" s="156" t="s">
        <v>2753</v>
      </c>
      <c r="F6" s="112">
        <v>1</v>
      </c>
      <c r="G6" s="112">
        <v>1</v>
      </c>
      <c r="H6" s="112">
        <v>1</v>
      </c>
      <c r="I6" s="112">
        <v>1</v>
      </c>
      <c r="J6" s="112">
        <v>1</v>
      </c>
    </row>
    <row r="7" spans="2:10" ht="15.6" x14ac:dyDescent="0.3">
      <c r="B7" s="111" t="s">
        <v>2754</v>
      </c>
      <c r="C7" s="112" t="s">
        <v>2755</v>
      </c>
      <c r="D7" s="112">
        <v>0.3</v>
      </c>
      <c r="E7" s="112" t="s">
        <v>2756</v>
      </c>
      <c r="F7" s="112">
        <v>2.5</v>
      </c>
      <c r="G7" s="112" t="s">
        <v>2757</v>
      </c>
      <c r="H7" s="112">
        <v>10</v>
      </c>
      <c r="I7" s="112" t="s">
        <v>2758</v>
      </c>
      <c r="J7" s="112">
        <v>7</v>
      </c>
    </row>
    <row r="8" spans="2:10" ht="15.6" x14ac:dyDescent="0.3">
      <c r="B8" s="111" t="s">
        <v>988</v>
      </c>
      <c r="C8" s="151" t="s">
        <v>2752</v>
      </c>
      <c r="D8" s="112">
        <v>1</v>
      </c>
      <c r="E8" s="151" t="s">
        <v>2752</v>
      </c>
      <c r="F8" s="112">
        <v>1</v>
      </c>
      <c r="G8" s="112">
        <v>1</v>
      </c>
      <c r="H8" s="112">
        <v>1</v>
      </c>
      <c r="I8" s="112">
        <v>1</v>
      </c>
      <c r="J8" s="112">
        <v>1</v>
      </c>
    </row>
    <row r="9" spans="2:10" ht="15.6" x14ac:dyDescent="0.3">
      <c r="B9" s="111" t="s">
        <v>989</v>
      </c>
      <c r="C9" s="112">
        <v>1</v>
      </c>
      <c r="D9" s="112">
        <v>1</v>
      </c>
      <c r="E9" s="112">
        <v>1</v>
      </c>
      <c r="F9" s="112">
        <v>1</v>
      </c>
      <c r="G9" s="112">
        <v>1</v>
      </c>
      <c r="H9" s="112">
        <v>1</v>
      </c>
      <c r="I9" s="112">
        <v>1</v>
      </c>
      <c r="J9" s="112">
        <v>1</v>
      </c>
    </row>
    <row r="10" spans="2:10" ht="15.6" x14ac:dyDescent="0.3">
      <c r="B10" s="111" t="s">
        <v>2759</v>
      </c>
      <c r="C10" s="156" t="s">
        <v>2753</v>
      </c>
      <c r="D10" s="112">
        <v>1</v>
      </c>
      <c r="E10" s="156" t="s">
        <v>2753</v>
      </c>
      <c r="F10" s="112">
        <v>1</v>
      </c>
      <c r="G10" s="112">
        <v>1</v>
      </c>
      <c r="H10" s="112">
        <v>1</v>
      </c>
      <c r="I10" s="112">
        <v>1</v>
      </c>
      <c r="J10" s="112">
        <v>1</v>
      </c>
    </row>
    <row r="11" spans="2:10" ht="15.6" x14ac:dyDescent="0.3">
      <c r="B11" s="111" t="s">
        <v>998</v>
      </c>
      <c r="C11" s="112" t="s">
        <v>2755</v>
      </c>
      <c r="D11" s="112">
        <v>0.3</v>
      </c>
      <c r="E11" s="112" t="s">
        <v>2756</v>
      </c>
      <c r="F11" s="112">
        <v>2.5</v>
      </c>
      <c r="G11" s="112" t="s">
        <v>2757</v>
      </c>
      <c r="H11" s="112">
        <v>10</v>
      </c>
      <c r="I11" s="112" t="s">
        <v>2758</v>
      </c>
      <c r="J11" s="112">
        <v>7</v>
      </c>
    </row>
    <row r="13" spans="2:10" x14ac:dyDescent="0.3">
      <c r="B13" s="524" t="s">
        <v>2760</v>
      </c>
      <c r="C13" s="524"/>
      <c r="D13" s="524"/>
      <c r="E13" s="524"/>
      <c r="F13" s="524"/>
      <c r="G13" s="524"/>
      <c r="H13" s="524"/>
      <c r="I13" s="524"/>
      <c r="J13" s="524"/>
    </row>
    <row r="14" spans="2:10" ht="86.4" x14ac:dyDescent="0.3">
      <c r="B14" s="152" t="s">
        <v>2761</v>
      </c>
      <c r="C14" s="153" t="s">
        <v>2746</v>
      </c>
      <c r="D14" s="154"/>
      <c r="E14" s="153" t="s">
        <v>2747</v>
      </c>
      <c r="F14" s="154"/>
      <c r="G14" s="153" t="s">
        <v>2748</v>
      </c>
      <c r="H14" s="154"/>
      <c r="I14" s="153" t="s">
        <v>2749</v>
      </c>
      <c r="J14" s="154"/>
    </row>
    <row r="15" spans="2:10" ht="28.8" x14ac:dyDescent="0.3">
      <c r="B15" s="152" t="s">
        <v>2762</v>
      </c>
      <c r="C15" s="55">
        <v>1500</v>
      </c>
      <c r="D15" s="154"/>
      <c r="E15" s="55">
        <v>1000</v>
      </c>
      <c r="F15" s="154"/>
      <c r="G15" s="181">
        <v>1</v>
      </c>
      <c r="H15" s="182" t="s">
        <v>2763</v>
      </c>
      <c r="I15" s="181">
        <v>1</v>
      </c>
      <c r="J15" s="182" t="s">
        <v>2763</v>
      </c>
    </row>
    <row r="16" spans="2:10" ht="43.2" x14ac:dyDescent="0.3">
      <c r="B16" s="152" t="s">
        <v>2764</v>
      </c>
      <c r="C16" s="176">
        <v>1</v>
      </c>
      <c r="D16" s="183" t="s">
        <v>2765</v>
      </c>
      <c r="E16" s="135">
        <v>5</v>
      </c>
      <c r="F16" s="183" t="s">
        <v>2766</v>
      </c>
      <c r="G16" s="181">
        <v>1</v>
      </c>
      <c r="H16" s="182" t="s">
        <v>2767</v>
      </c>
      <c r="I16" s="181">
        <v>1</v>
      </c>
      <c r="J16" s="182" t="s">
        <v>2767</v>
      </c>
    </row>
    <row r="17" spans="2:15" x14ac:dyDescent="0.3">
      <c r="B17" s="152" t="s">
        <v>2768</v>
      </c>
      <c r="C17" s="154">
        <v>1</v>
      </c>
      <c r="D17" s="154"/>
      <c r="E17" s="154">
        <v>1</v>
      </c>
      <c r="F17" s="154"/>
      <c r="G17" s="154">
        <v>1</v>
      </c>
      <c r="H17" s="154"/>
      <c r="I17" s="154">
        <v>1</v>
      </c>
      <c r="J17" s="154"/>
    </row>
    <row r="18" spans="2:15" x14ac:dyDescent="0.3">
      <c r="B18" s="152" t="s">
        <v>2769</v>
      </c>
      <c r="C18" s="214">
        <f>IF((((0.3*C15)/C16)/C17)&lt;0.1, 0.1, (((0.3*C15)/C16)/C17))</f>
        <v>450</v>
      </c>
      <c r="D18" s="154"/>
      <c r="E18" s="214">
        <f>((2.5*E15)/E16)/E17</f>
        <v>500</v>
      </c>
      <c r="F18" s="154"/>
      <c r="G18" s="155">
        <f>(10*G15)/(G16*G17)</f>
        <v>10</v>
      </c>
      <c r="H18" s="154"/>
      <c r="I18" s="155">
        <f>(7*I15)/(I16*I17)</f>
        <v>7</v>
      </c>
      <c r="J18" s="154"/>
    </row>
    <row r="19" spans="2:15" x14ac:dyDescent="0.3">
      <c r="B19" s="152" t="s">
        <v>2770</v>
      </c>
      <c r="C19" s="214">
        <f>IF((2*C15)&lt;3,(3/C17),IF(((3*C15/C16)/C17)&lt;(2*C15),IF(((3*C15/C16)/C17)&gt;1000,1000,((3*C15/C16)/C17)),IF(((2*C15)/C17)&gt;1000,1000,((2*C15)/C17))))</f>
        <v>1000</v>
      </c>
      <c r="D19" s="154"/>
      <c r="E19" s="214">
        <f>IF((2*E15)&lt;25,(25/E17),IF(((2*E15)/E17)&gt;=1000,1000,((2*E15)/E17)))</f>
        <v>1000</v>
      </c>
      <c r="F19" s="154"/>
      <c r="G19" s="155">
        <f>100/G17</f>
        <v>100</v>
      </c>
      <c r="H19" s="154"/>
      <c r="I19" s="155">
        <f>70/I17</f>
        <v>70</v>
      </c>
      <c r="J19" s="154"/>
    </row>
    <row r="21" spans="2:15" x14ac:dyDescent="0.3">
      <c r="C21" s="213"/>
      <c r="O21" s="118"/>
    </row>
    <row r="22" spans="2:15" x14ac:dyDescent="0.3">
      <c r="O22" s="118"/>
    </row>
  </sheetData>
  <mergeCells count="1">
    <mergeCell ref="B13:J13"/>
  </mergeCells>
  <conditionalFormatting sqref="B4:B11">
    <cfRule type="cellIs" dxfId="864" priority="1" stopIfTrue="1" operator="notEqual">
      <formula>INDIRECT("Dummy_for_Comparison2!"&amp;ADDRESS(ROW(),COLUMN()))</formula>
    </cfRule>
  </conditionalFormatting>
  <pageMargins left="0.7" right="0.7" top="0.75" bottom="0.75" header="0.3" footer="0.3"/>
  <pageSetup orientation="portrait" r:id="rId1"/>
  <headerFooter>
    <oddFooter>&amp;C_x000D_&amp;1#&amp;"Calibri"&amp;6&amp;K626469 General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08BB7-3118-4D9C-B93A-DBD1CAE80F4A}">
  <sheetPr codeName="Sheet20"/>
  <dimension ref="A2:I710"/>
  <sheetViews>
    <sheetView topLeftCell="A686" zoomScale="103" zoomScaleNormal="130" workbookViewId="0">
      <selection activeCell="H15" sqref="H15"/>
    </sheetView>
  </sheetViews>
  <sheetFormatPr defaultColWidth="8.77734375" defaultRowHeight="14.4" x14ac:dyDescent="0.3"/>
  <cols>
    <col min="1" max="1" width="12.21875" customWidth="1"/>
    <col min="2" max="2" width="49" customWidth="1"/>
    <col min="3" max="4" width="20.21875" customWidth="1"/>
    <col min="5" max="5" width="17.21875" bestFit="1" customWidth="1"/>
    <col min="6" max="6" width="14.77734375" customWidth="1"/>
    <col min="8" max="8" width="58.21875" bestFit="1" customWidth="1"/>
  </cols>
  <sheetData>
    <row r="2" spans="1:9" x14ac:dyDescent="0.3">
      <c r="C2" s="525" t="s">
        <v>70</v>
      </c>
      <c r="D2" s="525"/>
      <c r="E2" s="525" t="s">
        <v>3192</v>
      </c>
      <c r="F2" s="525"/>
      <c r="H2" s="372" t="s">
        <v>3193</v>
      </c>
      <c r="I2" s="371"/>
    </row>
    <row r="4" spans="1:9" x14ac:dyDescent="0.3">
      <c r="B4" s="251" t="s">
        <v>3194</v>
      </c>
    </row>
    <row r="5" spans="1:9" x14ac:dyDescent="0.3">
      <c r="B5" s="135" t="s">
        <v>3195</v>
      </c>
    </row>
    <row r="6" spans="1:9" x14ac:dyDescent="0.3">
      <c r="A6" s="55"/>
      <c r="B6" s="55"/>
      <c r="C6" s="526" t="s">
        <v>3196</v>
      </c>
      <c r="D6" s="527"/>
      <c r="E6" s="526" t="s">
        <v>3196</v>
      </c>
      <c r="F6" s="527"/>
      <c r="G6" s="31"/>
      <c r="H6" s="26"/>
    </row>
    <row r="7" spans="1:9" x14ac:dyDescent="0.3">
      <c r="A7" s="54" t="s">
        <v>3197</v>
      </c>
      <c r="B7" s="54" t="s">
        <v>3198</v>
      </c>
      <c r="C7" s="54" t="s">
        <v>3199</v>
      </c>
      <c r="D7" s="54" t="s">
        <v>3200</v>
      </c>
      <c r="E7" s="54" t="s">
        <v>3199</v>
      </c>
      <c r="F7" s="54" t="s">
        <v>3200</v>
      </c>
      <c r="G7" s="54"/>
    </row>
    <row r="8" spans="1:9" x14ac:dyDescent="0.3">
      <c r="A8" s="55"/>
      <c r="B8" s="252"/>
      <c r="C8" s="252"/>
      <c r="D8" s="252"/>
      <c r="E8" s="55"/>
      <c r="F8" s="55"/>
      <c r="G8" s="55"/>
    </row>
    <row r="9" spans="1:9" ht="28.8" x14ac:dyDescent="0.3">
      <c r="A9" s="54" t="s">
        <v>3201</v>
      </c>
      <c r="B9" s="55" t="s">
        <v>3202</v>
      </c>
      <c r="C9" s="253" t="s">
        <v>3203</v>
      </c>
      <c r="D9" s="70" t="s">
        <v>1297</v>
      </c>
      <c r="E9" s="253" t="s">
        <v>3203</v>
      </c>
      <c r="F9" s="70" t="s">
        <v>1297</v>
      </c>
      <c r="G9" s="55"/>
      <c r="H9" s="118" t="s">
        <v>3204</v>
      </c>
    </row>
    <row r="10" spans="1:9" ht="28.8" x14ac:dyDescent="0.3">
      <c r="A10" s="54" t="s">
        <v>3205</v>
      </c>
      <c r="B10" s="55" t="s">
        <v>3206</v>
      </c>
      <c r="C10" s="253" t="s">
        <v>3203</v>
      </c>
      <c r="D10" s="70" t="s">
        <v>1297</v>
      </c>
      <c r="E10" s="253" t="s">
        <v>3203</v>
      </c>
      <c r="F10" s="70" t="s">
        <v>1297</v>
      </c>
      <c r="G10" s="55"/>
      <c r="H10" s="118" t="s">
        <v>3207</v>
      </c>
    </row>
    <row r="11" spans="1:9" ht="28.8" x14ac:dyDescent="0.3">
      <c r="A11" s="54" t="s">
        <v>3208</v>
      </c>
      <c r="B11" s="55" t="s">
        <v>3209</v>
      </c>
      <c r="C11" s="253" t="s">
        <v>3203</v>
      </c>
      <c r="D11" s="70" t="s">
        <v>1297</v>
      </c>
      <c r="E11" s="253" t="s">
        <v>3203</v>
      </c>
      <c r="F11" s="70" t="s">
        <v>1297</v>
      </c>
      <c r="G11" s="55"/>
      <c r="H11" s="118" t="s">
        <v>3210</v>
      </c>
    </row>
    <row r="12" spans="1:9" x14ac:dyDescent="0.3">
      <c r="A12" s="54" t="s">
        <v>3211</v>
      </c>
      <c r="B12" s="55" t="s">
        <v>3212</v>
      </c>
      <c r="C12" s="253" t="s">
        <v>3203</v>
      </c>
      <c r="D12" s="70" t="s">
        <v>1297</v>
      </c>
      <c r="E12" s="254" t="s">
        <v>3213</v>
      </c>
      <c r="F12" s="70" t="s">
        <v>1297</v>
      </c>
      <c r="G12" s="55"/>
    </row>
    <row r="13" spans="1:9" x14ac:dyDescent="0.3">
      <c r="A13" s="54" t="s">
        <v>3214</v>
      </c>
      <c r="B13" s="55" t="s">
        <v>3215</v>
      </c>
      <c r="C13" s="253" t="s">
        <v>3203</v>
      </c>
      <c r="D13" s="70" t="s">
        <v>1297</v>
      </c>
      <c r="E13" s="254" t="s">
        <v>3213</v>
      </c>
      <c r="F13" s="70" t="s">
        <v>1297</v>
      </c>
      <c r="G13" s="55"/>
    </row>
    <row r="15" spans="1:9" x14ac:dyDescent="0.3">
      <c r="B15" s="135" t="s">
        <v>3216</v>
      </c>
      <c r="C15" s="255"/>
      <c r="D15" s="255"/>
    </row>
    <row r="16" spans="1:9" x14ac:dyDescent="0.3">
      <c r="A16" s="55"/>
      <c r="B16" s="55"/>
      <c r="C16" s="526" t="s">
        <v>3196</v>
      </c>
      <c r="D16" s="527"/>
      <c r="E16" s="526" t="s">
        <v>3196</v>
      </c>
      <c r="F16" s="527"/>
      <c r="G16" s="55"/>
    </row>
    <row r="17" spans="1:8" x14ac:dyDescent="0.3">
      <c r="A17" s="55" t="s">
        <v>3217</v>
      </c>
      <c r="B17" s="54" t="s">
        <v>3198</v>
      </c>
      <c r="C17" s="55" t="s">
        <v>3218</v>
      </c>
      <c r="D17" s="55"/>
      <c r="E17" s="55" t="s">
        <v>3218</v>
      </c>
      <c r="F17" s="55"/>
      <c r="G17" s="55"/>
    </row>
    <row r="18" spans="1:8" x14ac:dyDescent="0.3">
      <c r="A18" s="55"/>
      <c r="B18" s="54"/>
      <c r="C18" s="54"/>
      <c r="D18" s="54"/>
      <c r="E18" s="55"/>
      <c r="F18" s="55"/>
      <c r="G18" s="55"/>
    </row>
    <row r="19" spans="1:8" x14ac:dyDescent="0.3">
      <c r="A19" s="54" t="s">
        <v>3201</v>
      </c>
      <c r="B19" s="55" t="s">
        <v>3219</v>
      </c>
      <c r="C19" s="253" t="s">
        <v>3203</v>
      </c>
      <c r="D19" s="55"/>
      <c r="E19" s="253" t="s">
        <v>3203</v>
      </c>
      <c r="F19" s="55"/>
      <c r="G19" s="55"/>
    </row>
    <row r="20" spans="1:8" x14ac:dyDescent="0.3">
      <c r="A20" s="54" t="s">
        <v>3220</v>
      </c>
      <c r="B20" s="55" t="s">
        <v>3221</v>
      </c>
      <c r="C20" s="253" t="s">
        <v>3203</v>
      </c>
      <c r="D20" s="55"/>
      <c r="E20" s="253" t="s">
        <v>3203</v>
      </c>
      <c r="F20" s="55"/>
      <c r="G20" s="55"/>
    </row>
    <row r="22" spans="1:8" x14ac:dyDescent="0.3">
      <c r="A22" s="135" t="s">
        <v>3222</v>
      </c>
      <c r="B22" s="135" t="s">
        <v>3223</v>
      </c>
      <c r="C22" s="255"/>
      <c r="D22" s="255"/>
    </row>
    <row r="23" spans="1:8" x14ac:dyDescent="0.3">
      <c r="A23" s="55"/>
      <c r="B23" s="55"/>
      <c r="C23" s="526" t="s">
        <v>3196</v>
      </c>
      <c r="D23" s="527"/>
      <c r="E23" s="526" t="s">
        <v>3196</v>
      </c>
      <c r="F23" s="527"/>
      <c r="G23" s="31"/>
    </row>
    <row r="24" spans="1:8" x14ac:dyDescent="0.3">
      <c r="A24" s="70" t="s">
        <v>3197</v>
      </c>
      <c r="B24" s="70" t="s">
        <v>3198</v>
      </c>
      <c r="C24" s="70" t="s">
        <v>3199</v>
      </c>
      <c r="D24" s="70" t="s">
        <v>3200</v>
      </c>
      <c r="E24" s="70" t="s">
        <v>3199</v>
      </c>
      <c r="F24" s="70" t="s">
        <v>3200</v>
      </c>
      <c r="G24" s="70"/>
    </row>
    <row r="25" spans="1:8" x14ac:dyDescent="0.3">
      <c r="A25" s="70"/>
      <c r="B25" s="55"/>
      <c r="C25" s="55"/>
      <c r="D25" s="55"/>
      <c r="E25" s="70"/>
      <c r="F25" s="70"/>
      <c r="G25" s="70"/>
    </row>
    <row r="26" spans="1:8" x14ac:dyDescent="0.3">
      <c r="A26" s="70" t="s">
        <v>3201</v>
      </c>
      <c r="B26" s="55" t="s">
        <v>3224</v>
      </c>
      <c r="C26" s="253" t="s">
        <v>3203</v>
      </c>
      <c r="D26" s="55"/>
      <c r="E26" s="253" t="s">
        <v>3203</v>
      </c>
      <c r="F26" s="70" t="s">
        <v>1297</v>
      </c>
      <c r="G26" s="70"/>
      <c r="H26" t="s">
        <v>3225</v>
      </c>
    </row>
    <row r="27" spans="1:8" x14ac:dyDescent="0.3">
      <c r="A27" s="70" t="s">
        <v>3205</v>
      </c>
      <c r="B27" s="55" t="s">
        <v>3226</v>
      </c>
      <c r="C27" s="253" t="s">
        <v>3203</v>
      </c>
      <c r="D27" s="55"/>
      <c r="E27" s="253" t="s">
        <v>3203</v>
      </c>
      <c r="F27" s="70" t="s">
        <v>1297</v>
      </c>
      <c r="G27" s="70"/>
      <c r="H27" t="s">
        <v>3227</v>
      </c>
    </row>
    <row r="28" spans="1:8" ht="28.8" x14ac:dyDescent="0.3">
      <c r="A28" s="70" t="s">
        <v>3208</v>
      </c>
      <c r="B28" s="55" t="s">
        <v>3228</v>
      </c>
      <c r="C28" s="253" t="s">
        <v>3203</v>
      </c>
      <c r="D28" s="55"/>
      <c r="E28" s="253" t="s">
        <v>3203</v>
      </c>
      <c r="F28" s="70" t="s">
        <v>1297</v>
      </c>
      <c r="G28" s="70"/>
      <c r="H28" s="118" t="s">
        <v>3229</v>
      </c>
    </row>
    <row r="29" spans="1:8" x14ac:dyDescent="0.3">
      <c r="A29" s="70" t="s">
        <v>3230</v>
      </c>
      <c r="B29" s="55" t="s">
        <v>3231</v>
      </c>
      <c r="C29" s="253" t="s">
        <v>3203</v>
      </c>
      <c r="D29" s="55"/>
      <c r="E29" s="253" t="s">
        <v>3203</v>
      </c>
      <c r="F29" s="70" t="s">
        <v>1297</v>
      </c>
      <c r="G29" s="70"/>
      <c r="H29" t="s">
        <v>3232</v>
      </c>
    </row>
    <row r="30" spans="1:8" x14ac:dyDescent="0.3">
      <c r="A30" s="70" t="s">
        <v>3233</v>
      </c>
      <c r="B30" s="55" t="s">
        <v>3234</v>
      </c>
      <c r="C30" s="253" t="s">
        <v>3203</v>
      </c>
      <c r="D30" s="55"/>
      <c r="E30" s="253" t="s">
        <v>3203</v>
      </c>
      <c r="F30" s="70" t="s">
        <v>1297</v>
      </c>
      <c r="G30" s="70"/>
      <c r="H30" t="s">
        <v>3235</v>
      </c>
    </row>
    <row r="31" spans="1:8" ht="43.2" x14ac:dyDescent="0.3">
      <c r="A31" s="70" t="s">
        <v>3211</v>
      </c>
      <c r="B31" s="55" t="s">
        <v>3236</v>
      </c>
      <c r="C31" s="253" t="s">
        <v>3203</v>
      </c>
      <c r="D31" s="55"/>
      <c r="E31" s="253" t="s">
        <v>3203</v>
      </c>
      <c r="F31" s="70" t="s">
        <v>1297</v>
      </c>
      <c r="G31" s="70"/>
      <c r="H31" s="118" t="s">
        <v>3237</v>
      </c>
    </row>
    <row r="32" spans="1:8" x14ac:dyDescent="0.3">
      <c r="A32" s="70" t="s">
        <v>3214</v>
      </c>
      <c r="B32" s="55" t="s">
        <v>3238</v>
      </c>
      <c r="C32" s="253" t="s">
        <v>3203</v>
      </c>
      <c r="D32" s="55"/>
      <c r="E32" s="253" t="s">
        <v>3203</v>
      </c>
      <c r="F32" s="70" t="s">
        <v>1297</v>
      </c>
      <c r="G32" s="70"/>
      <c r="H32" t="s">
        <v>3239</v>
      </c>
    </row>
    <row r="34" spans="1:7" x14ac:dyDescent="0.3">
      <c r="A34" s="55"/>
      <c r="B34" s="135" t="s">
        <v>3240</v>
      </c>
      <c r="C34" s="135"/>
      <c r="D34" s="135"/>
      <c r="E34" s="55"/>
    </row>
    <row r="35" spans="1:7" x14ac:dyDescent="0.3">
      <c r="A35" s="55"/>
      <c r="B35" s="55"/>
      <c r="C35" s="526" t="s">
        <v>3196</v>
      </c>
      <c r="D35" s="527"/>
      <c r="E35" s="526" t="s">
        <v>3196</v>
      </c>
      <c r="F35" s="527"/>
      <c r="G35" s="31"/>
    </row>
    <row r="36" spans="1:7" x14ac:dyDescent="0.3">
      <c r="A36" s="70" t="s">
        <v>3241</v>
      </c>
      <c r="B36" s="70" t="s">
        <v>1520</v>
      </c>
      <c r="C36" s="256" t="s">
        <v>3218</v>
      </c>
      <c r="E36" s="256" t="s">
        <v>3218</v>
      </c>
    </row>
    <row r="37" spans="1:7" x14ac:dyDescent="0.3">
      <c r="A37" s="70"/>
      <c r="B37" s="55"/>
      <c r="C37" s="55"/>
      <c r="D37" s="55"/>
      <c r="E37" s="55"/>
      <c r="F37" s="55"/>
    </row>
    <row r="38" spans="1:7" x14ac:dyDescent="0.3">
      <c r="A38" s="70" t="s">
        <v>3201</v>
      </c>
      <c r="B38" s="55" t="s">
        <v>3219</v>
      </c>
      <c r="C38" s="253" t="s">
        <v>3203</v>
      </c>
      <c r="D38" s="55"/>
      <c r="E38" s="253" t="s">
        <v>3203</v>
      </c>
      <c r="F38" s="70"/>
    </row>
    <row r="39" spans="1:7" x14ac:dyDescent="0.3">
      <c r="A39" s="70" t="s">
        <v>3233</v>
      </c>
      <c r="B39" s="55" t="s">
        <v>3242</v>
      </c>
      <c r="C39" s="253" t="s">
        <v>3203</v>
      </c>
      <c r="D39" s="55"/>
      <c r="E39" s="253" t="s">
        <v>3203</v>
      </c>
      <c r="F39" s="70"/>
    </row>
    <row r="40" spans="1:7" x14ac:dyDescent="0.3">
      <c r="A40" s="70" t="s">
        <v>3220</v>
      </c>
      <c r="B40" s="55" t="s">
        <v>3221</v>
      </c>
      <c r="C40" s="253" t="s">
        <v>3203</v>
      </c>
      <c r="D40" s="55"/>
      <c r="E40" s="253" t="s">
        <v>3203</v>
      </c>
      <c r="F40" s="70"/>
    </row>
    <row r="42" spans="1:7" x14ac:dyDescent="0.3">
      <c r="B42" s="257" t="s">
        <v>3243</v>
      </c>
      <c r="C42" s="258"/>
      <c r="D42" s="258"/>
    </row>
    <row r="43" spans="1:7" x14ac:dyDescent="0.3">
      <c r="B43" s="135" t="s">
        <v>3195</v>
      </c>
      <c r="C43" s="255"/>
      <c r="D43" s="255"/>
    </row>
    <row r="44" spans="1:7" x14ac:dyDescent="0.3">
      <c r="A44" s="55"/>
      <c r="B44" s="55"/>
      <c r="C44" s="526" t="s">
        <v>3196</v>
      </c>
      <c r="D44" s="527"/>
      <c r="E44" s="526" t="s">
        <v>3196</v>
      </c>
      <c r="F44" s="527"/>
      <c r="G44" s="31"/>
    </row>
    <row r="45" spans="1:7" x14ac:dyDescent="0.3">
      <c r="A45" s="70" t="s">
        <v>3197</v>
      </c>
      <c r="B45" s="55" t="s">
        <v>3198</v>
      </c>
      <c r="C45" s="70" t="s">
        <v>3199</v>
      </c>
      <c r="D45" s="70" t="s">
        <v>3200</v>
      </c>
      <c r="E45" s="70" t="s">
        <v>3199</v>
      </c>
      <c r="F45" s="70" t="s">
        <v>3200</v>
      </c>
      <c r="G45" s="55"/>
    </row>
    <row r="46" spans="1:7" x14ac:dyDescent="0.3">
      <c r="A46" s="70"/>
      <c r="B46" s="252"/>
      <c r="C46" s="252"/>
      <c r="D46" s="252"/>
      <c r="E46" s="70"/>
      <c r="F46" s="70"/>
      <c r="G46" s="55"/>
    </row>
    <row r="47" spans="1:7" x14ac:dyDescent="0.3">
      <c r="A47" s="70" t="s">
        <v>3201</v>
      </c>
      <c r="B47" s="55" t="s">
        <v>3202</v>
      </c>
      <c r="C47" s="253" t="s">
        <v>3203</v>
      </c>
      <c r="D47" s="55"/>
      <c r="E47" s="254" t="s">
        <v>3213</v>
      </c>
      <c r="F47" s="70"/>
      <c r="G47" s="55"/>
    </row>
    <row r="48" spans="1:7" x14ac:dyDescent="0.3">
      <c r="A48" s="70" t="s">
        <v>3205</v>
      </c>
      <c r="B48" s="55" t="s">
        <v>3206</v>
      </c>
      <c r="C48" s="253" t="s">
        <v>3203</v>
      </c>
      <c r="D48" s="55"/>
      <c r="E48" s="254" t="s">
        <v>3213</v>
      </c>
      <c r="F48" s="70"/>
      <c r="G48" s="55"/>
    </row>
    <row r="49" spans="1:7" x14ac:dyDescent="0.3">
      <c r="A49" s="70" t="s">
        <v>3208</v>
      </c>
      <c r="B49" s="55" t="s">
        <v>3209</v>
      </c>
      <c r="C49" s="253" t="s">
        <v>3203</v>
      </c>
      <c r="D49" s="55"/>
      <c r="E49" s="254" t="s">
        <v>3213</v>
      </c>
      <c r="F49" s="70"/>
      <c r="G49" s="55"/>
    </row>
    <row r="50" spans="1:7" x14ac:dyDescent="0.3">
      <c r="A50" s="70" t="s">
        <v>3230</v>
      </c>
      <c r="B50" s="55" t="s">
        <v>3244</v>
      </c>
      <c r="C50" s="253" t="s">
        <v>3203</v>
      </c>
      <c r="D50" s="55"/>
      <c r="E50" s="254" t="s">
        <v>3213</v>
      </c>
      <c r="F50" s="70"/>
      <c r="G50" s="55"/>
    </row>
    <row r="51" spans="1:7" x14ac:dyDescent="0.3">
      <c r="A51" s="70" t="s">
        <v>3233</v>
      </c>
      <c r="B51" s="55" t="s">
        <v>3245</v>
      </c>
      <c r="C51" s="253" t="s">
        <v>3203</v>
      </c>
      <c r="D51" s="55"/>
      <c r="E51" s="254" t="s">
        <v>3213</v>
      </c>
      <c r="F51" s="70"/>
      <c r="G51" s="55"/>
    </row>
    <row r="52" spans="1:7" x14ac:dyDescent="0.3">
      <c r="A52" s="70" t="s">
        <v>3211</v>
      </c>
      <c r="B52" s="55" t="s">
        <v>3246</v>
      </c>
      <c r="C52" s="253" t="s">
        <v>3203</v>
      </c>
      <c r="D52" s="55"/>
      <c r="E52" s="254" t="s">
        <v>3213</v>
      </c>
      <c r="F52" s="70"/>
      <c r="G52" s="55"/>
    </row>
    <row r="53" spans="1:7" x14ac:dyDescent="0.3">
      <c r="A53" s="70" t="s">
        <v>3214</v>
      </c>
      <c r="B53" s="55" t="s">
        <v>3215</v>
      </c>
      <c r="C53" s="253" t="s">
        <v>3203</v>
      </c>
      <c r="D53" s="55"/>
      <c r="E53" s="254" t="s">
        <v>3213</v>
      </c>
      <c r="F53" s="70"/>
      <c r="G53" s="55"/>
    </row>
    <row r="55" spans="1:7" x14ac:dyDescent="0.3">
      <c r="B55" s="135" t="s">
        <v>3216</v>
      </c>
      <c r="C55" s="255"/>
      <c r="D55" s="255"/>
    </row>
    <row r="56" spans="1:7" x14ac:dyDescent="0.3">
      <c r="B56" s="176"/>
      <c r="C56" s="178"/>
      <c r="D56" s="178"/>
    </row>
    <row r="57" spans="1:7" x14ac:dyDescent="0.3">
      <c r="A57" s="55"/>
      <c r="B57" s="55"/>
      <c r="C57" s="526" t="s">
        <v>3196</v>
      </c>
      <c r="D57" s="527"/>
      <c r="E57" s="526" t="s">
        <v>3196</v>
      </c>
      <c r="F57" s="527"/>
      <c r="G57" s="55"/>
    </row>
    <row r="58" spans="1:7" x14ac:dyDescent="0.3">
      <c r="A58" s="55" t="s">
        <v>3217</v>
      </c>
      <c r="B58" s="54" t="s">
        <v>3198</v>
      </c>
      <c r="C58" s="55" t="s">
        <v>3218</v>
      </c>
      <c r="D58" s="55"/>
      <c r="E58" s="55" t="s">
        <v>3218</v>
      </c>
      <c r="F58" s="55"/>
      <c r="G58" s="55"/>
    </row>
    <row r="59" spans="1:7" x14ac:dyDescent="0.3">
      <c r="A59" s="55"/>
      <c r="B59" s="54"/>
      <c r="C59" s="54"/>
      <c r="D59" s="54"/>
      <c r="E59" s="55"/>
      <c r="F59" s="55"/>
      <c r="G59" s="55"/>
    </row>
    <row r="60" spans="1:7" x14ac:dyDescent="0.3">
      <c r="A60" s="54" t="s">
        <v>3201</v>
      </c>
      <c r="B60" s="55" t="s">
        <v>3219</v>
      </c>
      <c r="C60" s="253" t="s">
        <v>3203</v>
      </c>
      <c r="D60" s="55"/>
      <c r="E60" s="254" t="s">
        <v>3213</v>
      </c>
      <c r="F60" s="70"/>
      <c r="G60" s="55"/>
    </row>
    <row r="61" spans="1:7" x14ac:dyDescent="0.3">
      <c r="A61" s="54" t="s">
        <v>3220</v>
      </c>
      <c r="B61" s="55" t="s">
        <v>3221</v>
      </c>
      <c r="C61" s="253" t="s">
        <v>3203</v>
      </c>
      <c r="D61" s="55"/>
      <c r="E61" s="254" t="s">
        <v>3213</v>
      </c>
      <c r="F61" s="70"/>
      <c r="G61" s="55"/>
    </row>
    <row r="62" spans="1:7" x14ac:dyDescent="0.3">
      <c r="A62" s="56"/>
    </row>
    <row r="63" spans="1:7" x14ac:dyDescent="0.3">
      <c r="B63" s="135" t="s">
        <v>3223</v>
      </c>
      <c r="C63" s="255"/>
      <c r="D63" s="255"/>
    </row>
    <row r="64" spans="1:7" x14ac:dyDescent="0.3">
      <c r="A64" s="55"/>
      <c r="B64" s="55"/>
      <c r="C64" s="526" t="s">
        <v>3196</v>
      </c>
      <c r="D64" s="527"/>
      <c r="E64" s="526" t="s">
        <v>3196</v>
      </c>
      <c r="F64" s="527"/>
      <c r="G64" s="31"/>
    </row>
    <row r="65" spans="1:7" x14ac:dyDescent="0.3">
      <c r="A65" s="70" t="s">
        <v>3197</v>
      </c>
      <c r="B65" s="70" t="s">
        <v>3198</v>
      </c>
      <c r="C65" s="70" t="s">
        <v>3199</v>
      </c>
      <c r="D65" s="70" t="s">
        <v>3200</v>
      </c>
      <c r="E65" s="70" t="s">
        <v>3199</v>
      </c>
      <c r="F65" s="70" t="s">
        <v>3200</v>
      </c>
      <c r="G65" s="70"/>
    </row>
    <row r="66" spans="1:7" x14ac:dyDescent="0.3">
      <c r="A66" s="70"/>
      <c r="B66" s="55"/>
      <c r="C66" s="55"/>
      <c r="D66" s="55"/>
      <c r="E66" s="70"/>
      <c r="F66" s="70"/>
      <c r="G66" s="70"/>
    </row>
    <row r="67" spans="1:7" x14ac:dyDescent="0.3">
      <c r="A67" s="70" t="s">
        <v>3201</v>
      </c>
      <c r="B67" s="55" t="s">
        <v>3247</v>
      </c>
      <c r="C67" s="253" t="s">
        <v>3203</v>
      </c>
      <c r="D67" s="55"/>
      <c r="E67" s="254" t="s">
        <v>3213</v>
      </c>
      <c r="F67" s="70"/>
      <c r="G67" s="70"/>
    </row>
    <row r="68" spans="1:7" x14ac:dyDescent="0.3">
      <c r="A68" s="70" t="s">
        <v>3205</v>
      </c>
      <c r="B68" s="55" t="s">
        <v>3248</v>
      </c>
      <c r="C68" s="253" t="s">
        <v>3203</v>
      </c>
      <c r="D68" s="55"/>
      <c r="E68" s="254" t="s">
        <v>3213</v>
      </c>
      <c r="F68" s="70"/>
      <c r="G68" s="70"/>
    </row>
    <row r="69" spans="1:7" x14ac:dyDescent="0.3">
      <c r="A69" s="70" t="s">
        <v>3208</v>
      </c>
      <c r="B69" s="55" t="s">
        <v>3249</v>
      </c>
      <c r="C69" s="253" t="s">
        <v>3203</v>
      </c>
      <c r="D69" s="55"/>
      <c r="E69" s="254" t="s">
        <v>3213</v>
      </c>
      <c r="F69" s="70"/>
      <c r="G69" s="70"/>
    </row>
    <row r="70" spans="1:7" x14ac:dyDescent="0.3">
      <c r="A70" s="70" t="s">
        <v>3230</v>
      </c>
      <c r="B70" s="55" t="s">
        <v>3250</v>
      </c>
      <c r="C70" s="253" t="s">
        <v>3203</v>
      </c>
      <c r="D70" s="55"/>
      <c r="E70" s="254" t="s">
        <v>3213</v>
      </c>
      <c r="F70" s="70"/>
      <c r="G70" s="70"/>
    </row>
    <row r="71" spans="1:7" x14ac:dyDescent="0.3">
      <c r="A71" s="70" t="s">
        <v>3251</v>
      </c>
      <c r="B71" s="55" t="s">
        <v>3252</v>
      </c>
      <c r="C71" s="253" t="s">
        <v>3203</v>
      </c>
      <c r="D71" s="55"/>
      <c r="E71" s="254" t="s">
        <v>3213</v>
      </c>
      <c r="F71" s="70"/>
      <c r="G71" s="70"/>
    </row>
    <row r="72" spans="1:7" x14ac:dyDescent="0.3">
      <c r="A72" s="70" t="s">
        <v>3253</v>
      </c>
      <c r="B72" s="55" t="s">
        <v>3254</v>
      </c>
      <c r="C72" s="253" t="s">
        <v>3203</v>
      </c>
      <c r="D72" s="55"/>
      <c r="E72" s="254" t="s">
        <v>3213</v>
      </c>
      <c r="F72" s="70"/>
      <c r="G72" s="70"/>
    </row>
    <row r="73" spans="1:7" x14ac:dyDescent="0.3">
      <c r="A73" s="70" t="s">
        <v>3255</v>
      </c>
      <c r="B73" s="55" t="s">
        <v>3256</v>
      </c>
      <c r="C73" s="253" t="s">
        <v>3203</v>
      </c>
      <c r="D73" s="55"/>
      <c r="E73" s="254" t="s">
        <v>3213</v>
      </c>
      <c r="F73" s="70"/>
      <c r="G73" s="70"/>
    </row>
    <row r="74" spans="1:7" x14ac:dyDescent="0.3">
      <c r="A74" s="70" t="s">
        <v>3257</v>
      </c>
      <c r="B74" s="55" t="s">
        <v>3258</v>
      </c>
      <c r="C74" s="253" t="s">
        <v>3203</v>
      </c>
      <c r="D74" s="55"/>
      <c r="E74" s="254" t="s">
        <v>3213</v>
      </c>
      <c r="F74" s="55"/>
      <c r="G74" s="55"/>
    </row>
    <row r="75" spans="1:7" x14ac:dyDescent="0.3">
      <c r="A75" s="70" t="s">
        <v>3259</v>
      </c>
      <c r="B75" s="55" t="s">
        <v>3260</v>
      </c>
      <c r="C75" s="253" t="s">
        <v>3203</v>
      </c>
      <c r="D75" s="55"/>
      <c r="E75" s="254" t="s">
        <v>3213</v>
      </c>
      <c r="F75" s="55"/>
      <c r="G75" s="55"/>
    </row>
    <row r="76" spans="1:7" x14ac:dyDescent="0.3">
      <c r="A76" s="70" t="s">
        <v>3261</v>
      </c>
      <c r="B76" s="55" t="s">
        <v>3262</v>
      </c>
      <c r="C76" s="253" t="s">
        <v>3203</v>
      </c>
      <c r="D76" s="55"/>
      <c r="E76" s="254" t="s">
        <v>3213</v>
      </c>
      <c r="F76" s="55"/>
      <c r="G76" s="55"/>
    </row>
    <row r="77" spans="1:7" x14ac:dyDescent="0.3">
      <c r="A77" s="70" t="s">
        <v>3263</v>
      </c>
      <c r="B77" s="55" t="s">
        <v>3264</v>
      </c>
      <c r="C77" s="253" t="s">
        <v>3203</v>
      </c>
      <c r="D77" s="55"/>
      <c r="E77" s="254" t="s">
        <v>3213</v>
      </c>
      <c r="F77" s="55"/>
      <c r="G77" s="55"/>
    </row>
    <row r="78" spans="1:7" x14ac:dyDescent="0.3">
      <c r="A78" s="70" t="s">
        <v>3265</v>
      </c>
      <c r="B78" s="55" t="s">
        <v>3266</v>
      </c>
      <c r="C78" s="253" t="s">
        <v>3203</v>
      </c>
      <c r="D78" s="55"/>
      <c r="E78" s="254" t="s">
        <v>3213</v>
      </c>
      <c r="F78" s="55"/>
      <c r="G78" s="55"/>
    </row>
    <row r="79" spans="1:7" x14ac:dyDescent="0.3">
      <c r="A79" s="70" t="s">
        <v>3267</v>
      </c>
      <c r="B79" s="55" t="s">
        <v>3268</v>
      </c>
      <c r="C79" s="253" t="s">
        <v>3203</v>
      </c>
      <c r="D79" s="55"/>
      <c r="E79" s="254" t="s">
        <v>3213</v>
      </c>
      <c r="F79" s="55"/>
      <c r="G79" s="55"/>
    </row>
    <row r="80" spans="1:7" x14ac:dyDescent="0.3">
      <c r="A80" s="70" t="s">
        <v>3269</v>
      </c>
      <c r="B80" s="55" t="s">
        <v>3270</v>
      </c>
      <c r="C80" s="253" t="s">
        <v>3203</v>
      </c>
      <c r="D80" s="55"/>
      <c r="E80" s="254" t="s">
        <v>3213</v>
      </c>
      <c r="F80" s="55"/>
      <c r="G80" s="55"/>
    </row>
    <row r="81" spans="1:7" x14ac:dyDescent="0.3">
      <c r="A81" s="70" t="s">
        <v>3271</v>
      </c>
      <c r="B81" s="55" t="s">
        <v>3272</v>
      </c>
      <c r="C81" s="253" t="s">
        <v>3203</v>
      </c>
      <c r="D81" s="55"/>
      <c r="E81" s="254" t="s">
        <v>3213</v>
      </c>
      <c r="F81" s="55"/>
      <c r="G81" s="55"/>
    </row>
    <row r="82" spans="1:7" ht="18.600000000000001" customHeight="1" x14ac:dyDescent="0.3">
      <c r="A82" s="70" t="s">
        <v>3273</v>
      </c>
      <c r="B82" s="133" t="s">
        <v>3274</v>
      </c>
      <c r="C82" s="253" t="s">
        <v>3203</v>
      </c>
      <c r="D82" s="133"/>
      <c r="E82" s="254" t="s">
        <v>3213</v>
      </c>
      <c r="F82" s="55"/>
      <c r="G82" s="55"/>
    </row>
    <row r="83" spans="1:7" x14ac:dyDescent="0.3">
      <c r="A83" s="70" t="s">
        <v>3275</v>
      </c>
      <c r="B83" s="55" t="s">
        <v>3276</v>
      </c>
      <c r="C83" s="253" t="s">
        <v>3203</v>
      </c>
      <c r="D83" s="55"/>
      <c r="E83" s="254" t="s">
        <v>3213</v>
      </c>
      <c r="F83" s="55"/>
      <c r="G83" s="55"/>
    </row>
    <row r="84" spans="1:7" ht="19.05" customHeight="1" x14ac:dyDescent="0.3">
      <c r="A84" s="70" t="s">
        <v>3277</v>
      </c>
      <c r="B84" s="133" t="s">
        <v>3278</v>
      </c>
      <c r="C84" s="253" t="s">
        <v>3203</v>
      </c>
      <c r="D84" s="133"/>
      <c r="E84" s="254" t="s">
        <v>3213</v>
      </c>
      <c r="F84" s="55"/>
      <c r="G84" s="55"/>
    </row>
    <row r="85" spans="1:7" x14ac:dyDescent="0.3">
      <c r="A85" s="70" t="s">
        <v>3279</v>
      </c>
      <c r="B85" s="55" t="s">
        <v>3280</v>
      </c>
      <c r="C85" s="253" t="s">
        <v>3203</v>
      </c>
      <c r="D85" s="55"/>
      <c r="E85" s="254" t="s">
        <v>3213</v>
      </c>
      <c r="F85" s="55"/>
      <c r="G85" s="55"/>
    </row>
    <row r="86" spans="1:7" ht="22.5" customHeight="1" x14ac:dyDescent="0.3">
      <c r="A86" s="70" t="s">
        <v>3281</v>
      </c>
      <c r="B86" s="133" t="s">
        <v>3282</v>
      </c>
      <c r="C86" s="253" t="s">
        <v>3203</v>
      </c>
      <c r="D86" s="133"/>
      <c r="E86" s="254" t="s">
        <v>3213</v>
      </c>
      <c r="F86" s="55"/>
      <c r="G86" s="55"/>
    </row>
    <row r="87" spans="1:7" ht="19.05" customHeight="1" x14ac:dyDescent="0.3">
      <c r="A87" s="70" t="s">
        <v>3283</v>
      </c>
      <c r="B87" s="133" t="s">
        <v>3284</v>
      </c>
      <c r="C87" s="253" t="s">
        <v>3203</v>
      </c>
      <c r="D87" s="133"/>
      <c r="E87" s="254" t="s">
        <v>3213</v>
      </c>
      <c r="F87" s="55"/>
      <c r="G87" s="55"/>
    </row>
    <row r="88" spans="1:7" ht="18" customHeight="1" x14ac:dyDescent="0.3">
      <c r="A88" s="70" t="s">
        <v>3285</v>
      </c>
      <c r="B88" s="133" t="s">
        <v>3286</v>
      </c>
      <c r="C88" s="253" t="s">
        <v>3203</v>
      </c>
      <c r="D88" s="133"/>
      <c r="E88" s="254" t="s">
        <v>3213</v>
      </c>
      <c r="F88" s="55"/>
      <c r="G88" s="55"/>
    </row>
    <row r="89" spans="1:7" ht="17.55" customHeight="1" x14ac:dyDescent="0.3">
      <c r="A89" s="70" t="s">
        <v>3287</v>
      </c>
      <c r="B89" s="133" t="s">
        <v>3288</v>
      </c>
      <c r="C89" s="253" t="s">
        <v>3203</v>
      </c>
      <c r="D89" s="133"/>
      <c r="E89" s="254" t="s">
        <v>3213</v>
      </c>
      <c r="F89" s="55"/>
      <c r="G89" s="55"/>
    </row>
    <row r="90" spans="1:7" ht="19.5" customHeight="1" x14ac:dyDescent="0.3">
      <c r="A90" s="70" t="s">
        <v>3289</v>
      </c>
      <c r="B90" s="133" t="s">
        <v>3290</v>
      </c>
      <c r="C90" s="253" t="s">
        <v>3203</v>
      </c>
      <c r="D90" s="133"/>
      <c r="E90" s="254" t="s">
        <v>3213</v>
      </c>
      <c r="F90" s="55"/>
      <c r="G90" s="55"/>
    </row>
    <row r="92" spans="1:7" x14ac:dyDescent="0.3">
      <c r="A92" s="55"/>
      <c r="B92" s="135" t="s">
        <v>3240</v>
      </c>
      <c r="C92" s="135"/>
      <c r="D92" s="135"/>
      <c r="E92" s="55"/>
    </row>
    <row r="93" spans="1:7" x14ac:dyDescent="0.3">
      <c r="A93" s="55"/>
      <c r="B93" s="55"/>
      <c r="C93" s="526" t="s">
        <v>3196</v>
      </c>
      <c r="D93" s="527"/>
      <c r="E93" s="526" t="s">
        <v>3196</v>
      </c>
      <c r="F93" s="527"/>
      <c r="G93" s="31"/>
    </row>
    <row r="94" spans="1:7" x14ac:dyDescent="0.3">
      <c r="A94" s="70" t="s">
        <v>3241</v>
      </c>
      <c r="B94" s="70" t="s">
        <v>1520</v>
      </c>
      <c r="C94" s="55" t="s">
        <v>3218</v>
      </c>
      <c r="E94" s="55" t="s">
        <v>3218</v>
      </c>
    </row>
    <row r="95" spans="1:7" x14ac:dyDescent="0.3">
      <c r="A95" s="70"/>
      <c r="B95" s="55"/>
      <c r="C95" s="55"/>
      <c r="D95" s="55"/>
      <c r="E95" s="55"/>
    </row>
    <row r="96" spans="1:7" x14ac:dyDescent="0.3">
      <c r="A96" s="70" t="s">
        <v>3201</v>
      </c>
      <c r="B96" s="55" t="s">
        <v>3219</v>
      </c>
      <c r="C96" s="253" t="s">
        <v>3203</v>
      </c>
      <c r="D96" s="55"/>
      <c r="E96" s="254" t="s">
        <v>3213</v>
      </c>
      <c r="F96" s="55"/>
    </row>
    <row r="97" spans="1:8" x14ac:dyDescent="0.3">
      <c r="A97" s="70" t="s">
        <v>3291</v>
      </c>
      <c r="B97" s="55" t="s">
        <v>3292</v>
      </c>
      <c r="C97" s="253" t="s">
        <v>3203</v>
      </c>
      <c r="D97" s="55"/>
      <c r="E97" s="254" t="s">
        <v>3213</v>
      </c>
      <c r="F97" s="55"/>
    </row>
    <row r="98" spans="1:8" x14ac:dyDescent="0.3">
      <c r="A98" s="70" t="s">
        <v>3220</v>
      </c>
      <c r="B98" s="55" t="s">
        <v>3221</v>
      </c>
      <c r="D98" s="55"/>
      <c r="E98" s="254" t="s">
        <v>3213</v>
      </c>
      <c r="F98" s="55"/>
    </row>
    <row r="100" spans="1:8" x14ac:dyDescent="0.3">
      <c r="B100" s="251" t="s">
        <v>3293</v>
      </c>
      <c r="C100" s="259"/>
      <c r="D100" s="259"/>
    </row>
    <row r="101" spans="1:8" x14ac:dyDescent="0.3">
      <c r="B101" s="135" t="s">
        <v>3195</v>
      </c>
      <c r="C101" s="255"/>
      <c r="D101" s="255"/>
    </row>
    <row r="102" spans="1:8" x14ac:dyDescent="0.3">
      <c r="A102" s="55"/>
      <c r="B102" s="55"/>
      <c r="C102" s="526" t="s">
        <v>3196</v>
      </c>
      <c r="D102" s="527"/>
      <c r="E102" s="526" t="s">
        <v>3196</v>
      </c>
      <c r="F102" s="527"/>
      <c r="G102" s="31"/>
    </row>
    <row r="103" spans="1:8" x14ac:dyDescent="0.3">
      <c r="A103" s="54" t="s">
        <v>3197</v>
      </c>
      <c r="B103" s="54" t="s">
        <v>3198</v>
      </c>
      <c r="C103" s="54" t="s">
        <v>3199</v>
      </c>
      <c r="D103" s="54" t="s">
        <v>3200</v>
      </c>
      <c r="E103" s="54" t="s">
        <v>3199</v>
      </c>
      <c r="F103" s="54" t="s">
        <v>3200</v>
      </c>
      <c r="G103" s="54"/>
    </row>
    <row r="104" spans="1:8" x14ac:dyDescent="0.3">
      <c r="A104" s="55"/>
      <c r="B104" s="252"/>
      <c r="C104" s="252"/>
      <c r="D104" s="252"/>
      <c r="E104" s="55"/>
      <c r="F104" s="55"/>
      <c r="G104" s="55"/>
    </row>
    <row r="105" spans="1:8" x14ac:dyDescent="0.3">
      <c r="A105" s="54" t="s">
        <v>3201</v>
      </c>
      <c r="B105" s="55" t="s">
        <v>3202</v>
      </c>
      <c r="C105" s="253" t="s">
        <v>3203</v>
      </c>
      <c r="D105" s="55"/>
      <c r="E105" s="253" t="s">
        <v>3203</v>
      </c>
      <c r="F105" s="54" t="s">
        <v>1297</v>
      </c>
      <c r="G105" s="55"/>
    </row>
    <row r="106" spans="1:8" ht="28.8" x14ac:dyDescent="0.3">
      <c r="A106" s="54" t="s">
        <v>3205</v>
      </c>
      <c r="B106" s="55" t="s">
        <v>3206</v>
      </c>
      <c r="C106" s="253" t="s">
        <v>3203</v>
      </c>
      <c r="D106" s="55"/>
      <c r="E106" s="253" t="s">
        <v>3203</v>
      </c>
      <c r="F106" s="54" t="s">
        <v>1297</v>
      </c>
      <c r="G106" s="55"/>
      <c r="H106" s="118" t="s">
        <v>3294</v>
      </c>
    </row>
    <row r="107" spans="1:8" ht="28.8" x14ac:dyDescent="0.3">
      <c r="A107" s="54" t="s">
        <v>3208</v>
      </c>
      <c r="B107" s="55" t="s">
        <v>3209</v>
      </c>
      <c r="C107" s="253" t="s">
        <v>3203</v>
      </c>
      <c r="D107" s="55"/>
      <c r="E107" s="253" t="s">
        <v>3203</v>
      </c>
      <c r="F107" s="54" t="s">
        <v>1297</v>
      </c>
      <c r="G107" s="55"/>
      <c r="H107" s="118" t="s">
        <v>3295</v>
      </c>
    </row>
    <row r="108" spans="1:8" x14ac:dyDescent="0.3">
      <c r="A108" s="54" t="s">
        <v>3230</v>
      </c>
      <c r="B108" s="55" t="s">
        <v>3296</v>
      </c>
      <c r="C108" s="253" t="s">
        <v>3203</v>
      </c>
      <c r="D108" s="55"/>
      <c r="E108" s="254" t="s">
        <v>3213</v>
      </c>
      <c r="F108" s="54" t="s">
        <v>1297</v>
      </c>
      <c r="G108" s="55"/>
    </row>
    <row r="109" spans="1:8" x14ac:dyDescent="0.3">
      <c r="A109" s="54" t="s">
        <v>3211</v>
      </c>
      <c r="B109" s="55" t="s">
        <v>3212</v>
      </c>
      <c r="C109" s="253" t="s">
        <v>3203</v>
      </c>
      <c r="D109" s="55"/>
      <c r="E109" s="254" t="s">
        <v>3213</v>
      </c>
      <c r="F109" s="54" t="s">
        <v>1297</v>
      </c>
      <c r="G109" s="55"/>
    </row>
    <row r="110" spans="1:8" x14ac:dyDescent="0.3">
      <c r="A110" s="54" t="s">
        <v>3214</v>
      </c>
      <c r="B110" s="55" t="s">
        <v>3215</v>
      </c>
      <c r="C110" s="253" t="s">
        <v>3203</v>
      </c>
      <c r="D110" s="55"/>
      <c r="E110" s="254" t="s">
        <v>3213</v>
      </c>
      <c r="F110" s="54" t="s">
        <v>1297</v>
      </c>
      <c r="G110" s="55"/>
    </row>
    <row r="112" spans="1:8" x14ac:dyDescent="0.3">
      <c r="B112" s="135" t="s">
        <v>3216</v>
      </c>
      <c r="C112" s="255"/>
      <c r="D112" s="255"/>
    </row>
    <row r="113" spans="1:8" x14ac:dyDescent="0.3">
      <c r="A113" s="55"/>
      <c r="B113" s="55"/>
      <c r="C113" s="526" t="s">
        <v>3196</v>
      </c>
      <c r="D113" s="527"/>
      <c r="E113" s="526" t="s">
        <v>3196</v>
      </c>
      <c r="F113" s="527"/>
      <c r="G113" s="55"/>
    </row>
    <row r="114" spans="1:8" x14ac:dyDescent="0.3">
      <c r="A114" s="55" t="s">
        <v>3217</v>
      </c>
      <c r="B114" s="54" t="s">
        <v>3198</v>
      </c>
      <c r="C114" s="55" t="s">
        <v>3218</v>
      </c>
      <c r="D114" s="55"/>
      <c r="E114" s="55" t="s">
        <v>3218</v>
      </c>
      <c r="F114" s="55"/>
      <c r="G114" s="55"/>
    </row>
    <row r="115" spans="1:8" x14ac:dyDescent="0.3">
      <c r="A115" s="55"/>
      <c r="B115" s="54"/>
      <c r="C115" s="54"/>
      <c r="D115" s="54"/>
      <c r="E115" s="55"/>
      <c r="F115" s="55"/>
      <c r="G115" s="55"/>
    </row>
    <row r="116" spans="1:8" x14ac:dyDescent="0.3">
      <c r="A116" s="54" t="s">
        <v>3220</v>
      </c>
      <c r="B116" s="55" t="s">
        <v>3297</v>
      </c>
      <c r="C116" s="253" t="s">
        <v>3203</v>
      </c>
      <c r="D116" s="55"/>
      <c r="E116" s="253" t="s">
        <v>3203</v>
      </c>
      <c r="F116" s="55"/>
      <c r="G116" s="55"/>
    </row>
    <row r="117" spans="1:8" x14ac:dyDescent="0.3">
      <c r="A117" s="54" t="s">
        <v>3298</v>
      </c>
      <c r="B117" s="55" t="s">
        <v>3299</v>
      </c>
      <c r="C117" s="253" t="s">
        <v>3203</v>
      </c>
      <c r="D117" s="55"/>
      <c r="E117" s="254" t="s">
        <v>3213</v>
      </c>
      <c r="F117" s="55"/>
      <c r="G117" s="55"/>
    </row>
    <row r="119" spans="1:8" x14ac:dyDescent="0.3">
      <c r="B119" s="135" t="s">
        <v>3223</v>
      </c>
      <c r="C119" s="255"/>
      <c r="D119" s="255"/>
    </row>
    <row r="120" spans="1:8" x14ac:dyDescent="0.3">
      <c r="A120" s="55"/>
      <c r="B120" s="55"/>
      <c r="C120" s="526" t="s">
        <v>3196</v>
      </c>
      <c r="D120" s="527"/>
      <c r="E120" s="526" t="s">
        <v>3196</v>
      </c>
      <c r="F120" s="527"/>
      <c r="G120" s="31"/>
    </row>
    <row r="121" spans="1:8" x14ac:dyDescent="0.3">
      <c r="A121" s="70" t="s">
        <v>3197</v>
      </c>
      <c r="B121" s="70" t="s">
        <v>3198</v>
      </c>
      <c r="C121" s="70" t="s">
        <v>3199</v>
      </c>
      <c r="D121" s="70" t="s">
        <v>3200</v>
      </c>
      <c r="E121" s="70" t="s">
        <v>3199</v>
      </c>
      <c r="F121" s="70" t="s">
        <v>3200</v>
      </c>
      <c r="G121" s="70"/>
    </row>
    <row r="122" spans="1:8" x14ac:dyDescent="0.3">
      <c r="A122" s="70"/>
      <c r="B122" s="55"/>
      <c r="C122" s="55"/>
      <c r="D122" s="55"/>
      <c r="E122" s="70"/>
      <c r="F122" s="70"/>
      <c r="G122" s="70"/>
    </row>
    <row r="123" spans="1:8" ht="43.2" x14ac:dyDescent="0.3">
      <c r="A123" s="70" t="s">
        <v>3208</v>
      </c>
      <c r="B123" s="55" t="s">
        <v>3300</v>
      </c>
      <c r="C123" s="253" t="s">
        <v>3203</v>
      </c>
      <c r="D123" s="55"/>
      <c r="E123" s="253" t="s">
        <v>3203</v>
      </c>
      <c r="F123" s="253" t="s">
        <v>3203</v>
      </c>
      <c r="G123" s="70"/>
      <c r="H123" s="118" t="s">
        <v>3301</v>
      </c>
    </row>
    <row r="124" spans="1:8" x14ac:dyDescent="0.3">
      <c r="A124" s="70" t="s">
        <v>3230</v>
      </c>
      <c r="B124" s="55" t="s">
        <v>3302</v>
      </c>
      <c r="C124" s="253" t="s">
        <v>3203</v>
      </c>
      <c r="D124" s="55"/>
      <c r="E124" s="254" t="s">
        <v>3213</v>
      </c>
      <c r="F124" s="254" t="s">
        <v>3213</v>
      </c>
      <c r="G124" s="70"/>
    </row>
    <row r="126" spans="1:8" x14ac:dyDescent="0.3">
      <c r="A126" s="55"/>
      <c r="B126" s="135" t="s">
        <v>3240</v>
      </c>
      <c r="C126" s="135"/>
      <c r="D126" s="135"/>
      <c r="E126" s="55"/>
    </row>
    <row r="127" spans="1:8" x14ac:dyDescent="0.3">
      <c r="A127" s="55"/>
      <c r="B127" s="55"/>
      <c r="C127" s="526" t="s">
        <v>3196</v>
      </c>
      <c r="D127" s="527"/>
      <c r="E127" s="526" t="s">
        <v>3196</v>
      </c>
      <c r="F127" s="527"/>
      <c r="G127" s="31"/>
    </row>
    <row r="128" spans="1:8" x14ac:dyDescent="0.3">
      <c r="A128" s="70" t="s">
        <v>3241</v>
      </c>
      <c r="B128" s="70" t="s">
        <v>1520</v>
      </c>
      <c r="C128" s="55" t="s">
        <v>3218</v>
      </c>
      <c r="E128" s="55" t="s">
        <v>3218</v>
      </c>
    </row>
    <row r="129" spans="1:8" x14ac:dyDescent="0.3">
      <c r="A129" s="70"/>
      <c r="B129" s="55"/>
      <c r="C129" s="55"/>
      <c r="D129" s="55"/>
      <c r="E129" s="55"/>
    </row>
    <row r="130" spans="1:8" x14ac:dyDescent="0.3">
      <c r="A130" s="54" t="s">
        <v>3220</v>
      </c>
      <c r="B130" s="55" t="s">
        <v>3221</v>
      </c>
      <c r="C130" s="253" t="s">
        <v>3203</v>
      </c>
      <c r="D130" s="55"/>
      <c r="E130" s="253" t="s">
        <v>3203</v>
      </c>
    </row>
    <row r="131" spans="1:8" x14ac:dyDescent="0.3">
      <c r="A131" s="54" t="s">
        <v>3298</v>
      </c>
      <c r="B131" s="55" t="s">
        <v>3299</v>
      </c>
      <c r="C131" s="253" t="s">
        <v>3203</v>
      </c>
      <c r="D131" s="55"/>
      <c r="E131" s="253" t="s">
        <v>3203</v>
      </c>
    </row>
    <row r="133" spans="1:8" x14ac:dyDescent="0.3">
      <c r="B133" s="251" t="s">
        <v>3303</v>
      </c>
      <c r="C133" s="259"/>
      <c r="D133" s="259"/>
    </row>
    <row r="134" spans="1:8" x14ac:dyDescent="0.3">
      <c r="B134" s="135" t="s">
        <v>3195</v>
      </c>
      <c r="C134" s="255"/>
      <c r="D134" s="255"/>
    </row>
    <row r="135" spans="1:8" x14ac:dyDescent="0.3">
      <c r="A135" s="55"/>
      <c r="B135" s="55"/>
      <c r="C135" s="526" t="s">
        <v>3196</v>
      </c>
      <c r="D135" s="527"/>
      <c r="E135" s="526" t="s">
        <v>3196</v>
      </c>
      <c r="F135" s="527"/>
      <c r="G135" s="31"/>
    </row>
    <row r="136" spans="1:8" x14ac:dyDescent="0.3">
      <c r="A136" s="54" t="s">
        <v>3197</v>
      </c>
      <c r="B136" s="54" t="s">
        <v>3198</v>
      </c>
      <c r="C136" s="54" t="s">
        <v>3199</v>
      </c>
      <c r="D136" s="54" t="s">
        <v>3200</v>
      </c>
      <c r="E136" s="54" t="s">
        <v>3199</v>
      </c>
      <c r="F136" s="54" t="s">
        <v>3200</v>
      </c>
      <c r="G136" s="54"/>
    </row>
    <row r="137" spans="1:8" x14ac:dyDescent="0.3">
      <c r="A137" s="55"/>
      <c r="B137" s="252"/>
      <c r="C137" s="252"/>
      <c r="D137" s="252"/>
      <c r="E137" s="55"/>
      <c r="F137" s="55"/>
      <c r="G137" s="55"/>
    </row>
    <row r="138" spans="1:8" ht="28.8" x14ac:dyDescent="0.3">
      <c r="A138" s="54" t="s">
        <v>3201</v>
      </c>
      <c r="B138" s="55" t="s">
        <v>3202</v>
      </c>
      <c r="C138" s="253" t="s">
        <v>3203</v>
      </c>
      <c r="D138" s="55"/>
      <c r="E138" s="253" t="s">
        <v>3203</v>
      </c>
      <c r="F138" s="54" t="s">
        <v>1297</v>
      </c>
      <c r="G138" s="55"/>
      <c r="H138" s="118" t="s">
        <v>3304</v>
      </c>
    </row>
    <row r="139" spans="1:8" ht="28.8" x14ac:dyDescent="0.3">
      <c r="A139" s="54" t="s">
        <v>3205</v>
      </c>
      <c r="B139" s="55" t="s">
        <v>3206</v>
      </c>
      <c r="C139" s="253" t="s">
        <v>3203</v>
      </c>
      <c r="D139" s="55"/>
      <c r="E139" s="253" t="s">
        <v>3203</v>
      </c>
      <c r="F139" s="54" t="s">
        <v>1297</v>
      </c>
      <c r="G139" s="55"/>
      <c r="H139" s="118" t="s">
        <v>3207</v>
      </c>
    </row>
    <row r="140" spans="1:8" ht="28.8" x14ac:dyDescent="0.3">
      <c r="A140" s="54" t="s">
        <v>3208</v>
      </c>
      <c r="B140" s="55" t="s">
        <v>3209</v>
      </c>
      <c r="C140" s="253" t="s">
        <v>3203</v>
      </c>
      <c r="D140" s="55"/>
      <c r="E140" s="253" t="s">
        <v>3203</v>
      </c>
      <c r="F140" s="54" t="s">
        <v>1297</v>
      </c>
      <c r="G140" s="55"/>
      <c r="H140" s="118" t="s">
        <v>3210</v>
      </c>
    </row>
    <row r="141" spans="1:8" x14ac:dyDescent="0.3">
      <c r="A141" s="54" t="s">
        <v>3230</v>
      </c>
      <c r="B141" s="55" t="s">
        <v>3296</v>
      </c>
      <c r="C141" s="253" t="s">
        <v>3203</v>
      </c>
      <c r="D141" s="55"/>
      <c r="E141" s="254" t="s">
        <v>3213</v>
      </c>
      <c r="F141" s="54" t="s">
        <v>1297</v>
      </c>
      <c r="G141" s="55"/>
    </row>
    <row r="142" spans="1:8" x14ac:dyDescent="0.3">
      <c r="A142" s="54" t="s">
        <v>3211</v>
      </c>
      <c r="B142" s="55" t="s">
        <v>3212</v>
      </c>
      <c r="C142" s="253" t="s">
        <v>3203</v>
      </c>
      <c r="D142" s="55"/>
      <c r="E142" s="254" t="s">
        <v>3213</v>
      </c>
      <c r="F142" s="54" t="s">
        <v>1297</v>
      </c>
      <c r="G142" s="55"/>
    </row>
    <row r="143" spans="1:8" x14ac:dyDescent="0.3">
      <c r="A143" s="54" t="s">
        <v>3214</v>
      </c>
      <c r="B143" s="55" t="s">
        <v>3215</v>
      </c>
      <c r="C143" s="253" t="s">
        <v>3203</v>
      </c>
      <c r="D143" s="55"/>
      <c r="E143" s="254" t="s">
        <v>3213</v>
      </c>
      <c r="F143" s="54" t="s">
        <v>1297</v>
      </c>
      <c r="G143" s="55"/>
    </row>
    <row r="145" spans="1:8" x14ac:dyDescent="0.3">
      <c r="B145" s="135" t="s">
        <v>3216</v>
      </c>
      <c r="C145" s="255"/>
      <c r="D145" s="255"/>
    </row>
    <row r="146" spans="1:8" x14ac:dyDescent="0.3">
      <c r="A146" s="55"/>
      <c r="B146" s="55"/>
      <c r="C146" s="526" t="s">
        <v>3196</v>
      </c>
      <c r="D146" s="527"/>
      <c r="E146" s="526" t="s">
        <v>3196</v>
      </c>
      <c r="F146" s="527"/>
      <c r="G146" s="55"/>
    </row>
    <row r="147" spans="1:8" x14ac:dyDescent="0.3">
      <c r="A147" s="55" t="s">
        <v>3217</v>
      </c>
      <c r="B147" s="54" t="s">
        <v>3198</v>
      </c>
      <c r="C147" s="55" t="s">
        <v>3218</v>
      </c>
      <c r="D147" s="55"/>
      <c r="E147" s="55" t="s">
        <v>3218</v>
      </c>
      <c r="F147" s="55"/>
      <c r="G147" s="55"/>
    </row>
    <row r="148" spans="1:8" x14ac:dyDescent="0.3">
      <c r="A148" s="55"/>
      <c r="B148" s="54"/>
      <c r="C148" s="54"/>
      <c r="D148" s="54"/>
      <c r="E148" s="55"/>
      <c r="F148" s="55"/>
      <c r="G148" s="55"/>
    </row>
    <row r="149" spans="1:8" x14ac:dyDescent="0.3">
      <c r="A149" s="54" t="s">
        <v>3201</v>
      </c>
      <c r="B149" s="55" t="s">
        <v>3219</v>
      </c>
      <c r="C149" s="253" t="s">
        <v>3203</v>
      </c>
      <c r="D149" s="55"/>
      <c r="E149" s="253" t="s">
        <v>3203</v>
      </c>
      <c r="F149" s="55"/>
      <c r="G149" s="55"/>
    </row>
    <row r="150" spans="1:8" x14ac:dyDescent="0.3">
      <c r="A150" s="54" t="s">
        <v>3220</v>
      </c>
      <c r="B150" s="55" t="s">
        <v>3221</v>
      </c>
      <c r="C150" s="253" t="s">
        <v>3203</v>
      </c>
      <c r="D150" s="55"/>
      <c r="E150" s="253" t="s">
        <v>3203</v>
      </c>
      <c r="F150" s="55"/>
      <c r="G150" s="55"/>
    </row>
    <row r="152" spans="1:8" x14ac:dyDescent="0.3">
      <c r="B152" s="135" t="s">
        <v>3223</v>
      </c>
      <c r="C152" s="255"/>
      <c r="D152" s="255"/>
    </row>
    <row r="153" spans="1:8" x14ac:dyDescent="0.3">
      <c r="A153" s="55"/>
      <c r="B153" s="55"/>
      <c r="C153" s="526" t="s">
        <v>3196</v>
      </c>
      <c r="D153" s="527"/>
      <c r="E153" s="526" t="s">
        <v>3196</v>
      </c>
      <c r="F153" s="527"/>
      <c r="G153" s="31"/>
    </row>
    <row r="154" spans="1:8" x14ac:dyDescent="0.3">
      <c r="A154" s="70" t="s">
        <v>3197</v>
      </c>
      <c r="B154" s="70" t="s">
        <v>3198</v>
      </c>
      <c r="C154" s="70" t="s">
        <v>3199</v>
      </c>
      <c r="D154" s="70" t="s">
        <v>3200</v>
      </c>
      <c r="E154" s="70" t="s">
        <v>3199</v>
      </c>
      <c r="F154" s="70" t="s">
        <v>3200</v>
      </c>
      <c r="G154" s="70"/>
    </row>
    <row r="155" spans="1:8" x14ac:dyDescent="0.3">
      <c r="A155" s="70"/>
      <c r="B155" s="55"/>
      <c r="C155" s="55"/>
      <c r="D155" s="55"/>
      <c r="E155" s="70"/>
      <c r="F155" s="70"/>
      <c r="G155" s="70"/>
    </row>
    <row r="156" spans="1:8" x14ac:dyDescent="0.3">
      <c r="A156" s="70" t="s">
        <v>3201</v>
      </c>
      <c r="B156" s="55" t="s">
        <v>3305</v>
      </c>
      <c r="C156" s="253" t="s">
        <v>3203</v>
      </c>
      <c r="D156" s="55"/>
      <c r="E156" s="253" t="s">
        <v>3203</v>
      </c>
      <c r="F156" s="253" t="s">
        <v>3203</v>
      </c>
      <c r="G156" s="70"/>
      <c r="H156" s="373" t="s">
        <v>3306</v>
      </c>
    </row>
    <row r="157" spans="1:8" ht="28.8" x14ac:dyDescent="0.3">
      <c r="A157" s="70" t="s">
        <v>3205</v>
      </c>
      <c r="B157" s="55" t="s">
        <v>3307</v>
      </c>
      <c r="C157" s="253" t="s">
        <v>3203</v>
      </c>
      <c r="D157" s="55"/>
      <c r="E157" s="253" t="s">
        <v>3203</v>
      </c>
      <c r="F157" s="253" t="s">
        <v>3203</v>
      </c>
      <c r="G157" s="70"/>
      <c r="H157" s="373" t="s">
        <v>3308</v>
      </c>
    </row>
    <row r="158" spans="1:8" ht="28.8" x14ac:dyDescent="0.3">
      <c r="A158" s="70" t="s">
        <v>3208</v>
      </c>
      <c r="B158" s="55" t="s">
        <v>3309</v>
      </c>
      <c r="C158" s="253" t="s">
        <v>3203</v>
      </c>
      <c r="D158" s="55"/>
      <c r="E158" s="253" t="s">
        <v>3203</v>
      </c>
      <c r="F158" s="253" t="s">
        <v>3203</v>
      </c>
      <c r="G158" s="70"/>
      <c r="H158" s="373" t="s">
        <v>3310</v>
      </c>
    </row>
    <row r="159" spans="1:8" ht="28.8" x14ac:dyDescent="0.3">
      <c r="A159" s="70" t="s">
        <v>3230</v>
      </c>
      <c r="B159" s="55" t="s">
        <v>3311</v>
      </c>
      <c r="C159" s="253" t="s">
        <v>3203</v>
      </c>
      <c r="D159" s="55"/>
      <c r="E159" s="253" t="s">
        <v>3203</v>
      </c>
      <c r="F159" s="253" t="s">
        <v>3203</v>
      </c>
      <c r="G159" s="70"/>
      <c r="H159" s="373" t="s">
        <v>3312</v>
      </c>
    </row>
    <row r="160" spans="1:8" x14ac:dyDescent="0.3">
      <c r="A160" s="70" t="s">
        <v>3233</v>
      </c>
      <c r="B160" s="55" t="s">
        <v>3313</v>
      </c>
      <c r="C160" s="253" t="s">
        <v>3203</v>
      </c>
      <c r="D160" s="55"/>
      <c r="E160" s="253" t="s">
        <v>3203</v>
      </c>
      <c r="F160" s="253" t="s">
        <v>3203</v>
      </c>
      <c r="G160" s="70"/>
      <c r="H160" s="373" t="s">
        <v>3314</v>
      </c>
    </row>
    <row r="161" spans="1:8" x14ac:dyDescent="0.3">
      <c r="A161" s="70" t="s">
        <v>3211</v>
      </c>
      <c r="B161" s="55" t="s">
        <v>3315</v>
      </c>
      <c r="C161" s="253" t="s">
        <v>3203</v>
      </c>
      <c r="D161" s="55"/>
      <c r="E161" s="253" t="s">
        <v>3203</v>
      </c>
      <c r="F161" s="253" t="s">
        <v>3203</v>
      </c>
      <c r="G161" s="70"/>
      <c r="H161" s="373" t="s">
        <v>3316</v>
      </c>
    </row>
    <row r="162" spans="1:8" ht="28.8" x14ac:dyDescent="0.3">
      <c r="A162" s="70" t="s">
        <v>3214</v>
      </c>
      <c r="B162" s="55" t="s">
        <v>3317</v>
      </c>
      <c r="C162" s="253" t="s">
        <v>3203</v>
      </c>
      <c r="D162" s="55"/>
      <c r="E162" s="253" t="s">
        <v>3203</v>
      </c>
      <c r="F162" s="253" t="s">
        <v>3203</v>
      </c>
      <c r="G162" s="70"/>
      <c r="H162" s="373" t="s">
        <v>3318</v>
      </c>
    </row>
    <row r="163" spans="1:8" ht="28.8" x14ac:dyDescent="0.3">
      <c r="A163" s="70" t="s">
        <v>3319</v>
      </c>
      <c r="B163" s="55" t="s">
        <v>3320</v>
      </c>
      <c r="C163" s="253" t="s">
        <v>3203</v>
      </c>
      <c r="D163" s="55"/>
      <c r="E163" s="253" t="s">
        <v>3203</v>
      </c>
      <c r="F163" s="253" t="s">
        <v>3203</v>
      </c>
      <c r="G163" s="55"/>
      <c r="H163" s="373" t="s">
        <v>3321</v>
      </c>
    </row>
    <row r="165" spans="1:8" x14ac:dyDescent="0.3">
      <c r="A165" s="55"/>
      <c r="B165" s="135" t="s">
        <v>3240</v>
      </c>
      <c r="C165" s="135"/>
      <c r="D165" s="135"/>
      <c r="E165" s="55"/>
      <c r="F165" s="55"/>
      <c r="G165" s="55"/>
    </row>
    <row r="166" spans="1:8" x14ac:dyDescent="0.3">
      <c r="A166" s="55"/>
      <c r="B166" s="55"/>
      <c r="C166" s="526" t="s">
        <v>3196</v>
      </c>
      <c r="D166" s="527"/>
      <c r="E166" s="526" t="s">
        <v>3196</v>
      </c>
      <c r="F166" s="527"/>
      <c r="G166" s="31"/>
    </row>
    <row r="167" spans="1:8" x14ac:dyDescent="0.3">
      <c r="A167" s="70" t="s">
        <v>3241</v>
      </c>
      <c r="B167" s="70" t="s">
        <v>1520</v>
      </c>
      <c r="C167" s="55" t="s">
        <v>3218</v>
      </c>
      <c r="D167" s="55"/>
      <c r="E167" s="55" t="s">
        <v>3218</v>
      </c>
      <c r="F167" s="55"/>
      <c r="G167" s="55"/>
    </row>
    <row r="168" spans="1:8" x14ac:dyDescent="0.3">
      <c r="A168" s="70"/>
      <c r="B168" s="55"/>
      <c r="C168" s="55"/>
      <c r="D168" s="55"/>
      <c r="E168" s="55"/>
      <c r="F168" s="55"/>
      <c r="G168" s="55"/>
    </row>
    <row r="169" spans="1:8" x14ac:dyDescent="0.3">
      <c r="A169" s="70" t="s">
        <v>3201</v>
      </c>
      <c r="B169" s="55" t="s">
        <v>3219</v>
      </c>
      <c r="C169" s="253" t="s">
        <v>3203</v>
      </c>
      <c r="D169" s="55"/>
      <c r="E169" s="253" t="s">
        <v>3203</v>
      </c>
      <c r="F169" s="55"/>
      <c r="G169" s="55"/>
    </row>
    <row r="170" spans="1:8" x14ac:dyDescent="0.3">
      <c r="A170" s="70" t="s">
        <v>3205</v>
      </c>
      <c r="B170" s="55" t="s">
        <v>3322</v>
      </c>
      <c r="C170" s="253" t="s">
        <v>3203</v>
      </c>
      <c r="D170" s="55"/>
      <c r="E170" s="254" t="s">
        <v>3213</v>
      </c>
      <c r="F170" s="55"/>
      <c r="G170" s="55"/>
    </row>
    <row r="171" spans="1:8" x14ac:dyDescent="0.3">
      <c r="A171" s="70" t="s">
        <v>3220</v>
      </c>
      <c r="B171" s="55" t="s">
        <v>3221</v>
      </c>
      <c r="C171" s="253" t="s">
        <v>3203</v>
      </c>
      <c r="D171" s="55"/>
      <c r="E171" s="253" t="s">
        <v>3203</v>
      </c>
      <c r="F171" s="55"/>
      <c r="G171" s="55"/>
    </row>
    <row r="172" spans="1:8" x14ac:dyDescent="0.3">
      <c r="A172" s="70" t="s">
        <v>3298</v>
      </c>
      <c r="B172" s="55" t="s">
        <v>3323</v>
      </c>
      <c r="C172" s="253" t="s">
        <v>3203</v>
      </c>
      <c r="D172" s="55"/>
      <c r="E172" s="254" t="s">
        <v>3213</v>
      </c>
      <c r="F172" s="55"/>
      <c r="G172" s="55"/>
    </row>
    <row r="173" spans="1:8" x14ac:dyDescent="0.3">
      <c r="A173" s="70" t="s">
        <v>3324</v>
      </c>
      <c r="B173" s="55" t="s">
        <v>3325</v>
      </c>
      <c r="C173" s="253" t="s">
        <v>3203</v>
      </c>
      <c r="D173" s="55"/>
      <c r="E173" s="253" t="s">
        <v>3203</v>
      </c>
      <c r="F173" s="55"/>
      <c r="G173" s="55"/>
    </row>
    <row r="174" spans="1:8" x14ac:dyDescent="0.3">
      <c r="A174" s="70" t="s">
        <v>3326</v>
      </c>
      <c r="B174" s="55" t="s">
        <v>3327</v>
      </c>
      <c r="C174" s="253" t="s">
        <v>3203</v>
      </c>
      <c r="D174" s="55"/>
      <c r="E174" s="254" t="s">
        <v>3213</v>
      </c>
      <c r="F174" s="55"/>
      <c r="G174" s="55"/>
    </row>
    <row r="175" spans="1:8" x14ac:dyDescent="0.3">
      <c r="A175" s="70" t="s">
        <v>3328</v>
      </c>
      <c r="B175" s="55" t="s">
        <v>3329</v>
      </c>
      <c r="C175" s="253" t="s">
        <v>3203</v>
      </c>
      <c r="D175" s="55"/>
      <c r="E175" s="253" t="s">
        <v>3203</v>
      </c>
      <c r="F175" s="55"/>
      <c r="G175" s="55"/>
    </row>
    <row r="176" spans="1:8" x14ac:dyDescent="0.3">
      <c r="A176" s="70" t="s">
        <v>3330</v>
      </c>
      <c r="B176" s="55" t="s">
        <v>3331</v>
      </c>
      <c r="C176" s="253" t="s">
        <v>3203</v>
      </c>
      <c r="D176" s="55"/>
      <c r="E176" s="254" t="s">
        <v>3213</v>
      </c>
      <c r="F176" s="55"/>
      <c r="G176" s="55"/>
    </row>
    <row r="177" spans="1:7" x14ac:dyDescent="0.3">
      <c r="A177" s="70" t="s">
        <v>3332</v>
      </c>
      <c r="B177" s="55" t="s">
        <v>3333</v>
      </c>
      <c r="C177" s="253" t="s">
        <v>3203</v>
      </c>
      <c r="D177" s="55"/>
      <c r="E177" s="254" t="s">
        <v>3213</v>
      </c>
      <c r="F177" s="55"/>
      <c r="G177" s="55"/>
    </row>
    <row r="179" spans="1:7" x14ac:dyDescent="0.3">
      <c r="B179" s="251" t="s">
        <v>3334</v>
      </c>
      <c r="C179" s="259"/>
      <c r="D179" s="259"/>
    </row>
    <row r="180" spans="1:7" x14ac:dyDescent="0.3">
      <c r="B180" s="135" t="s">
        <v>3195</v>
      </c>
      <c r="C180" s="255"/>
      <c r="D180" s="255"/>
    </row>
    <row r="181" spans="1:7" x14ac:dyDescent="0.3">
      <c r="A181" s="55"/>
      <c r="B181" s="55"/>
      <c r="C181" s="526" t="s">
        <v>3196</v>
      </c>
      <c r="D181" s="527"/>
      <c r="E181" s="526" t="s">
        <v>3196</v>
      </c>
      <c r="F181" s="527"/>
      <c r="G181" s="31"/>
    </row>
    <row r="182" spans="1:7" x14ac:dyDescent="0.3">
      <c r="A182" s="54" t="s">
        <v>3197</v>
      </c>
      <c r="B182" s="54" t="s">
        <v>3198</v>
      </c>
      <c r="C182" s="54" t="s">
        <v>3199</v>
      </c>
      <c r="D182" s="54" t="s">
        <v>3200</v>
      </c>
      <c r="E182" s="54" t="s">
        <v>3199</v>
      </c>
      <c r="F182" s="54" t="s">
        <v>3200</v>
      </c>
      <c r="G182" s="54"/>
    </row>
    <row r="183" spans="1:7" x14ac:dyDescent="0.3">
      <c r="A183" s="55"/>
      <c r="B183" s="252"/>
      <c r="C183" s="252"/>
      <c r="D183" s="252"/>
      <c r="E183" s="55"/>
      <c r="F183" s="55"/>
      <c r="G183" s="55"/>
    </row>
    <row r="184" spans="1:7" x14ac:dyDescent="0.3">
      <c r="A184" s="54" t="s">
        <v>3201</v>
      </c>
      <c r="B184" s="55" t="s">
        <v>3202</v>
      </c>
      <c r="C184" s="253" t="s">
        <v>3203</v>
      </c>
      <c r="D184" s="55"/>
      <c r="E184" s="253" t="s">
        <v>3203</v>
      </c>
      <c r="F184" s="54" t="s">
        <v>1297</v>
      </c>
      <c r="G184" s="55"/>
    </row>
    <row r="185" spans="1:7" x14ac:dyDescent="0.3">
      <c r="A185" s="54" t="s">
        <v>3205</v>
      </c>
      <c r="B185" s="55" t="s">
        <v>3206</v>
      </c>
      <c r="C185" s="253" t="s">
        <v>3203</v>
      </c>
      <c r="D185" s="55"/>
      <c r="E185" s="253" t="s">
        <v>3203</v>
      </c>
      <c r="F185" s="54" t="s">
        <v>1297</v>
      </c>
      <c r="G185" s="55"/>
    </row>
    <row r="186" spans="1:7" x14ac:dyDescent="0.3">
      <c r="A186" s="54" t="s">
        <v>3208</v>
      </c>
      <c r="B186" s="55" t="s">
        <v>3209</v>
      </c>
      <c r="C186" s="253" t="s">
        <v>3203</v>
      </c>
      <c r="D186" s="55"/>
      <c r="E186" s="253" t="s">
        <v>3203</v>
      </c>
      <c r="F186" s="54" t="s">
        <v>1297</v>
      </c>
      <c r="G186" s="55"/>
    </row>
    <row r="188" spans="1:7" x14ac:dyDescent="0.3">
      <c r="B188" s="135" t="s">
        <v>3216</v>
      </c>
      <c r="C188" s="255"/>
      <c r="D188" s="255"/>
    </row>
    <row r="189" spans="1:7" x14ac:dyDescent="0.3">
      <c r="A189" s="55"/>
      <c r="B189" s="55"/>
      <c r="C189" s="526" t="s">
        <v>3196</v>
      </c>
      <c r="D189" s="527"/>
      <c r="E189" s="526" t="s">
        <v>3196</v>
      </c>
      <c r="F189" s="527"/>
      <c r="G189" s="55"/>
    </row>
    <row r="190" spans="1:7" x14ac:dyDescent="0.3">
      <c r="A190" s="55" t="s">
        <v>3217</v>
      </c>
      <c r="B190" s="54" t="s">
        <v>3198</v>
      </c>
      <c r="C190" s="55" t="s">
        <v>3218</v>
      </c>
      <c r="D190" s="55"/>
      <c r="E190" s="55" t="s">
        <v>3218</v>
      </c>
      <c r="F190" s="55"/>
      <c r="G190" s="55"/>
    </row>
    <row r="191" spans="1:7" x14ac:dyDescent="0.3">
      <c r="A191" s="55"/>
      <c r="B191" s="54"/>
      <c r="C191" s="54"/>
      <c r="D191" s="54"/>
      <c r="E191" s="55"/>
      <c r="F191" s="55"/>
      <c r="G191" s="55"/>
    </row>
    <row r="192" spans="1:7" x14ac:dyDescent="0.3">
      <c r="A192" s="54" t="s">
        <v>3201</v>
      </c>
      <c r="B192" s="55" t="s">
        <v>3219</v>
      </c>
      <c r="C192" s="253" t="s">
        <v>3203</v>
      </c>
      <c r="D192" s="55"/>
      <c r="E192" s="253" t="s">
        <v>3203</v>
      </c>
      <c r="F192" s="55"/>
      <c r="G192" s="55"/>
    </row>
    <row r="193" spans="1:7" x14ac:dyDescent="0.3">
      <c r="A193" s="54" t="s">
        <v>3220</v>
      </c>
      <c r="B193" s="55" t="s">
        <v>3221</v>
      </c>
      <c r="C193" s="253" t="s">
        <v>3203</v>
      </c>
      <c r="D193" s="55"/>
      <c r="E193" s="253" t="s">
        <v>3203</v>
      </c>
      <c r="F193" s="55"/>
      <c r="G193" s="55"/>
    </row>
    <row r="195" spans="1:7" x14ac:dyDescent="0.3">
      <c r="B195" s="135" t="s">
        <v>3223</v>
      </c>
      <c r="C195" s="255"/>
      <c r="D195" s="255"/>
    </row>
    <row r="196" spans="1:7" x14ac:dyDescent="0.3">
      <c r="A196" s="55"/>
      <c r="B196" s="55"/>
      <c r="C196" s="526" t="s">
        <v>3196</v>
      </c>
      <c r="D196" s="527"/>
      <c r="E196" s="526" t="s">
        <v>3196</v>
      </c>
      <c r="F196" s="527"/>
      <c r="G196" s="31"/>
    </row>
    <row r="197" spans="1:7" x14ac:dyDescent="0.3">
      <c r="A197" s="70" t="s">
        <v>3197</v>
      </c>
      <c r="B197" s="70" t="s">
        <v>3198</v>
      </c>
      <c r="C197" s="70" t="s">
        <v>3199</v>
      </c>
      <c r="D197" s="70" t="s">
        <v>3200</v>
      </c>
      <c r="E197" s="70" t="s">
        <v>3199</v>
      </c>
      <c r="F197" s="70" t="s">
        <v>3200</v>
      </c>
      <c r="G197" s="70"/>
    </row>
    <row r="198" spans="1:7" x14ac:dyDescent="0.3">
      <c r="A198" s="70"/>
      <c r="B198" s="55"/>
      <c r="C198" s="55"/>
      <c r="D198" s="55"/>
      <c r="E198" s="70"/>
      <c r="F198" s="70"/>
      <c r="G198" s="70"/>
    </row>
    <row r="199" spans="1:7" x14ac:dyDescent="0.3">
      <c r="A199" s="70" t="s">
        <v>3230</v>
      </c>
      <c r="B199" s="55" t="s">
        <v>3335</v>
      </c>
      <c r="C199" s="253" t="s">
        <v>3203</v>
      </c>
      <c r="D199" s="253" t="s">
        <v>3203</v>
      </c>
      <c r="E199" s="253" t="s">
        <v>3203</v>
      </c>
      <c r="F199" s="253" t="s">
        <v>3203</v>
      </c>
      <c r="G199" s="70"/>
    </row>
    <row r="200" spans="1:7" x14ac:dyDescent="0.3">
      <c r="A200" s="70" t="s">
        <v>3233</v>
      </c>
      <c r="B200" s="55" t="s">
        <v>3336</v>
      </c>
      <c r="C200" s="253" t="s">
        <v>3203</v>
      </c>
      <c r="D200" s="253" t="s">
        <v>3203</v>
      </c>
      <c r="E200" s="253" t="s">
        <v>3203</v>
      </c>
      <c r="F200" s="253" t="s">
        <v>3203</v>
      </c>
      <c r="G200" s="70"/>
    </row>
    <row r="201" spans="1:7" x14ac:dyDescent="0.3">
      <c r="A201" s="70" t="s">
        <v>3211</v>
      </c>
      <c r="B201" s="55" t="s">
        <v>3337</v>
      </c>
      <c r="C201" s="253" t="s">
        <v>3203</v>
      </c>
      <c r="D201" s="253" t="s">
        <v>3203</v>
      </c>
      <c r="E201" s="253" t="s">
        <v>3203</v>
      </c>
      <c r="F201" s="253" t="s">
        <v>3203</v>
      </c>
      <c r="G201" s="70"/>
    </row>
    <row r="202" spans="1:7" x14ac:dyDescent="0.3">
      <c r="A202" s="70" t="s">
        <v>3214</v>
      </c>
      <c r="B202" s="55" t="s">
        <v>3338</v>
      </c>
      <c r="C202" s="253" t="s">
        <v>3203</v>
      </c>
      <c r="D202" s="253" t="s">
        <v>3203</v>
      </c>
      <c r="E202" s="253" t="s">
        <v>3203</v>
      </c>
      <c r="F202" s="253" t="s">
        <v>3203</v>
      </c>
      <c r="G202" s="70"/>
    </row>
    <row r="203" spans="1:7" x14ac:dyDescent="0.3">
      <c r="A203" s="70" t="s">
        <v>3319</v>
      </c>
      <c r="B203" s="55" t="s">
        <v>3339</v>
      </c>
      <c r="C203" s="253" t="s">
        <v>3203</v>
      </c>
      <c r="D203" s="253" t="s">
        <v>3203</v>
      </c>
      <c r="E203" s="253" t="s">
        <v>3203</v>
      </c>
      <c r="F203" s="253" t="s">
        <v>3203</v>
      </c>
      <c r="G203" s="55"/>
    </row>
    <row r="205" spans="1:7" x14ac:dyDescent="0.3">
      <c r="A205" s="55"/>
      <c r="B205" s="135" t="s">
        <v>3240</v>
      </c>
      <c r="C205" s="135"/>
      <c r="D205" s="135"/>
      <c r="E205" s="55"/>
    </row>
    <row r="206" spans="1:7" x14ac:dyDescent="0.3">
      <c r="A206" s="55"/>
      <c r="B206" s="55"/>
      <c r="C206" s="260"/>
      <c r="D206" s="260"/>
      <c r="E206" s="526" t="s">
        <v>3196</v>
      </c>
      <c r="F206" s="527"/>
      <c r="G206" s="31"/>
    </row>
    <row r="207" spans="1:7" x14ac:dyDescent="0.3">
      <c r="A207" s="70" t="s">
        <v>3241</v>
      </c>
      <c r="B207" s="70" t="s">
        <v>1520</v>
      </c>
      <c r="C207" s="70"/>
      <c r="D207" s="70"/>
      <c r="E207" s="55" t="s">
        <v>3218</v>
      </c>
    </row>
    <row r="208" spans="1:7" x14ac:dyDescent="0.3">
      <c r="A208" s="70"/>
      <c r="B208" s="55"/>
      <c r="C208" s="55"/>
      <c r="D208" s="55"/>
      <c r="E208" s="55"/>
    </row>
    <row r="209" spans="1:8" x14ac:dyDescent="0.3">
      <c r="A209" s="54" t="s">
        <v>3220</v>
      </c>
      <c r="B209" s="55" t="s">
        <v>3221</v>
      </c>
      <c r="C209" s="253" t="s">
        <v>3203</v>
      </c>
      <c r="D209" s="55"/>
      <c r="E209" s="253" t="s">
        <v>3203</v>
      </c>
    </row>
    <row r="210" spans="1:8" x14ac:dyDescent="0.3">
      <c r="A210" s="54" t="s">
        <v>3298</v>
      </c>
      <c r="B210" s="55" t="s">
        <v>3299</v>
      </c>
      <c r="C210" s="253" t="s">
        <v>3203</v>
      </c>
      <c r="D210" s="55"/>
      <c r="E210" s="253" t="s">
        <v>3203</v>
      </c>
    </row>
    <row r="212" spans="1:8" x14ac:dyDescent="0.3">
      <c r="B212" s="251" t="s">
        <v>3340</v>
      </c>
      <c r="C212" s="259"/>
      <c r="D212" s="259"/>
    </row>
    <row r="213" spans="1:8" x14ac:dyDescent="0.3">
      <c r="B213" s="135" t="s">
        <v>3195</v>
      </c>
      <c r="C213" s="255"/>
      <c r="D213" s="255"/>
    </row>
    <row r="214" spans="1:8" x14ac:dyDescent="0.3">
      <c r="A214" s="55"/>
      <c r="B214" s="55"/>
      <c r="C214" s="260"/>
      <c r="D214" s="260"/>
      <c r="E214" s="526" t="s">
        <v>3196</v>
      </c>
      <c r="F214" s="527"/>
      <c r="G214" s="31"/>
      <c r="H214" s="55" t="s">
        <v>3341</v>
      </c>
    </row>
    <row r="215" spans="1:8" x14ac:dyDescent="0.3">
      <c r="A215" s="54" t="s">
        <v>3197</v>
      </c>
      <c r="B215" s="54" t="s">
        <v>3198</v>
      </c>
      <c r="C215" s="54"/>
      <c r="D215" s="54"/>
      <c r="E215" s="54" t="s">
        <v>3199</v>
      </c>
      <c r="F215" s="54" t="s">
        <v>3200</v>
      </c>
      <c r="G215" s="54"/>
      <c r="H215" s="55"/>
    </row>
    <row r="216" spans="1:8" x14ac:dyDescent="0.3">
      <c r="A216" s="55"/>
      <c r="B216" s="252"/>
      <c r="C216" s="252"/>
      <c r="D216" s="252"/>
      <c r="E216" s="55"/>
      <c r="F216" s="55"/>
      <c r="G216" s="55"/>
      <c r="H216" s="55"/>
    </row>
    <row r="217" spans="1:8" x14ac:dyDescent="0.3">
      <c r="A217" s="54" t="s">
        <v>3201</v>
      </c>
      <c r="B217" s="55" t="s">
        <v>3202</v>
      </c>
      <c r="C217" s="253" t="s">
        <v>3203</v>
      </c>
      <c r="D217" s="55"/>
      <c r="E217" s="253" t="s">
        <v>3203</v>
      </c>
      <c r="F217" s="54" t="s">
        <v>1297</v>
      </c>
      <c r="G217" s="55"/>
      <c r="H217" s="55" t="s">
        <v>3342</v>
      </c>
    </row>
    <row r="218" spans="1:8" x14ac:dyDescent="0.3">
      <c r="A218" s="54" t="s">
        <v>3205</v>
      </c>
      <c r="B218" s="55" t="s">
        <v>3206</v>
      </c>
      <c r="C218" s="253" t="s">
        <v>3203</v>
      </c>
      <c r="D218" s="55"/>
      <c r="E218" s="253" t="s">
        <v>3203</v>
      </c>
      <c r="F218" s="54" t="s">
        <v>1297</v>
      </c>
      <c r="G218" s="55"/>
      <c r="H218" s="55" t="s">
        <v>3343</v>
      </c>
    </row>
    <row r="219" spans="1:8" x14ac:dyDescent="0.3">
      <c r="A219" s="54" t="s">
        <v>3208</v>
      </c>
      <c r="B219" s="55" t="s">
        <v>3209</v>
      </c>
      <c r="C219" s="253" t="s">
        <v>3203</v>
      </c>
      <c r="D219" s="55"/>
      <c r="E219" s="253" t="s">
        <v>3203</v>
      </c>
      <c r="F219" s="54" t="s">
        <v>1297</v>
      </c>
      <c r="G219" s="55"/>
      <c r="H219" s="55" t="s">
        <v>3344</v>
      </c>
    </row>
    <row r="220" spans="1:8" x14ac:dyDescent="0.3">
      <c r="A220" s="54" t="s">
        <v>3230</v>
      </c>
      <c r="B220" s="55" t="s">
        <v>3296</v>
      </c>
      <c r="C220" s="253" t="s">
        <v>3203</v>
      </c>
      <c r="D220" s="55"/>
      <c r="E220" s="254" t="s">
        <v>3213</v>
      </c>
      <c r="F220" s="54" t="s">
        <v>1297</v>
      </c>
      <c r="G220" s="55"/>
      <c r="H220" s="55"/>
    </row>
    <row r="221" spans="1:8" x14ac:dyDescent="0.3">
      <c r="A221" s="54" t="s">
        <v>3211</v>
      </c>
      <c r="B221" s="55" t="s">
        <v>3212</v>
      </c>
      <c r="C221" s="253" t="s">
        <v>3203</v>
      </c>
      <c r="D221" s="55"/>
      <c r="E221" s="254" t="s">
        <v>3213</v>
      </c>
      <c r="F221" s="54" t="s">
        <v>1297</v>
      </c>
      <c r="G221" s="55"/>
      <c r="H221" s="55"/>
    </row>
    <row r="222" spans="1:8" x14ac:dyDescent="0.3">
      <c r="A222" s="54" t="s">
        <v>3214</v>
      </c>
      <c r="B222" s="55" t="s">
        <v>3215</v>
      </c>
      <c r="C222" s="253" t="s">
        <v>3203</v>
      </c>
      <c r="D222" s="55"/>
      <c r="E222" s="254" t="s">
        <v>3213</v>
      </c>
      <c r="F222" s="54" t="s">
        <v>1297</v>
      </c>
      <c r="G222" s="55"/>
      <c r="H222" s="55"/>
    </row>
    <row r="224" spans="1:8" x14ac:dyDescent="0.3">
      <c r="B224" s="135" t="s">
        <v>3216</v>
      </c>
      <c r="C224" s="255"/>
      <c r="D224" s="255"/>
    </row>
    <row r="225" spans="1:8" x14ac:dyDescent="0.3">
      <c r="A225" s="55"/>
      <c r="B225" s="55"/>
      <c r="C225" s="260"/>
      <c r="D225" s="260"/>
      <c r="E225" s="526" t="s">
        <v>3196</v>
      </c>
      <c r="F225" s="527"/>
      <c r="G225" s="55"/>
    </row>
    <row r="226" spans="1:8" x14ac:dyDescent="0.3">
      <c r="A226" s="55" t="s">
        <v>3217</v>
      </c>
      <c r="B226" s="54" t="s">
        <v>3198</v>
      </c>
      <c r="C226" s="54"/>
      <c r="D226" s="54"/>
      <c r="E226" s="55" t="s">
        <v>3218</v>
      </c>
      <c r="F226" s="55"/>
      <c r="G226" s="55"/>
    </row>
    <row r="227" spans="1:8" x14ac:dyDescent="0.3">
      <c r="A227" s="55"/>
      <c r="B227" s="54"/>
      <c r="C227" s="54"/>
      <c r="D227" s="54"/>
      <c r="E227" s="55"/>
      <c r="F227" s="55"/>
      <c r="G227" s="55"/>
    </row>
    <row r="228" spans="1:8" x14ac:dyDescent="0.3">
      <c r="A228" s="54" t="s">
        <v>3201</v>
      </c>
      <c r="B228" s="55" t="s">
        <v>3219</v>
      </c>
      <c r="C228" s="253" t="s">
        <v>3203</v>
      </c>
      <c r="D228" s="55"/>
      <c r="E228" s="253" t="s">
        <v>3203</v>
      </c>
      <c r="F228" s="55"/>
      <c r="G228" s="55"/>
    </row>
    <row r="229" spans="1:8" x14ac:dyDescent="0.3">
      <c r="A229" s="54" t="s">
        <v>3220</v>
      </c>
      <c r="B229" s="55" t="s">
        <v>3221</v>
      </c>
      <c r="C229" s="253" t="s">
        <v>3203</v>
      </c>
      <c r="D229" s="55"/>
      <c r="E229" s="253" t="s">
        <v>3203</v>
      </c>
      <c r="F229" s="55"/>
      <c r="G229" s="55"/>
    </row>
    <row r="231" spans="1:8" x14ac:dyDescent="0.3">
      <c r="B231" s="135" t="s">
        <v>3223</v>
      </c>
      <c r="C231" s="255"/>
      <c r="D231" s="255"/>
    </row>
    <row r="232" spans="1:8" x14ac:dyDescent="0.3">
      <c r="A232" s="55"/>
      <c r="B232" s="55"/>
      <c r="C232" s="526" t="s">
        <v>3196</v>
      </c>
      <c r="D232" s="527"/>
      <c r="E232" s="526" t="s">
        <v>3196</v>
      </c>
      <c r="F232" s="527"/>
      <c r="G232" s="31"/>
    </row>
    <row r="233" spans="1:8" x14ac:dyDescent="0.3">
      <c r="A233" s="70" t="s">
        <v>3197</v>
      </c>
      <c r="B233" s="70" t="s">
        <v>3198</v>
      </c>
      <c r="C233" s="70" t="s">
        <v>3199</v>
      </c>
      <c r="D233" s="70" t="s">
        <v>3200</v>
      </c>
      <c r="E233" s="70" t="s">
        <v>3199</v>
      </c>
      <c r="F233" s="70" t="s">
        <v>3200</v>
      </c>
      <c r="G233" s="70"/>
    </row>
    <row r="234" spans="1:8" x14ac:dyDescent="0.3">
      <c r="A234" s="70"/>
      <c r="B234" s="55"/>
      <c r="C234" s="55"/>
      <c r="D234" s="55"/>
      <c r="E234" s="70"/>
      <c r="F234" s="254" t="s">
        <v>3213</v>
      </c>
      <c r="G234" s="70"/>
    </row>
    <row r="235" spans="1:8" ht="28.8" x14ac:dyDescent="0.3">
      <c r="A235" s="70" t="s">
        <v>3201</v>
      </c>
      <c r="B235" s="55" t="s">
        <v>3345</v>
      </c>
      <c r="C235" s="253" t="s">
        <v>3203</v>
      </c>
      <c r="D235" s="55"/>
      <c r="E235" s="253" t="s">
        <v>3203</v>
      </c>
      <c r="F235" s="254" t="s">
        <v>3213</v>
      </c>
      <c r="G235" s="70"/>
      <c r="H235" s="118" t="s">
        <v>3346</v>
      </c>
    </row>
    <row r="236" spans="1:8" x14ac:dyDescent="0.3">
      <c r="A236" s="70" t="s">
        <v>3205</v>
      </c>
      <c r="B236" s="55" t="s">
        <v>3347</v>
      </c>
      <c r="C236" s="253" t="s">
        <v>3203</v>
      </c>
      <c r="D236" s="55"/>
      <c r="E236" s="253" t="s">
        <v>3203</v>
      </c>
      <c r="F236" s="254" t="s">
        <v>3213</v>
      </c>
      <c r="G236" s="70"/>
    </row>
    <row r="237" spans="1:8" x14ac:dyDescent="0.3">
      <c r="A237" s="70" t="s">
        <v>3208</v>
      </c>
      <c r="B237" s="55" t="s">
        <v>3348</v>
      </c>
      <c r="C237" s="253" t="s">
        <v>3203</v>
      </c>
      <c r="D237" s="55"/>
      <c r="E237" s="253" t="s">
        <v>3203</v>
      </c>
      <c r="F237" s="254" t="s">
        <v>3213</v>
      </c>
      <c r="G237" s="70"/>
    </row>
    <row r="238" spans="1:8" x14ac:dyDescent="0.3">
      <c r="A238" s="70" t="s">
        <v>3230</v>
      </c>
      <c r="B238" s="55" t="s">
        <v>3349</v>
      </c>
      <c r="C238" s="253" t="s">
        <v>3203</v>
      </c>
      <c r="D238" s="55"/>
      <c r="E238" s="253" t="s">
        <v>3203</v>
      </c>
      <c r="F238" s="254" t="s">
        <v>3213</v>
      </c>
      <c r="G238" s="70"/>
    </row>
    <row r="239" spans="1:8" ht="144" x14ac:dyDescent="0.3">
      <c r="A239" s="70" t="s">
        <v>3233</v>
      </c>
      <c r="B239" s="55" t="s">
        <v>3350</v>
      </c>
      <c r="C239" s="253" t="s">
        <v>3203</v>
      </c>
      <c r="D239" s="55"/>
      <c r="E239" s="253" t="s">
        <v>3203</v>
      </c>
      <c r="F239" s="254" t="s">
        <v>3213</v>
      </c>
      <c r="G239" s="70"/>
      <c r="H239" s="118" t="s">
        <v>3351</v>
      </c>
    </row>
    <row r="240" spans="1:8" x14ac:dyDescent="0.3">
      <c r="A240" s="70" t="s">
        <v>3211</v>
      </c>
      <c r="B240" s="55" t="s">
        <v>3352</v>
      </c>
      <c r="C240" s="253" t="s">
        <v>3203</v>
      </c>
      <c r="D240" s="55"/>
      <c r="E240" s="253" t="s">
        <v>3203</v>
      </c>
      <c r="F240" s="254" t="s">
        <v>3213</v>
      </c>
      <c r="G240" s="70"/>
      <c r="H240" t="s">
        <v>3353</v>
      </c>
    </row>
    <row r="241" spans="1:8" x14ac:dyDescent="0.3">
      <c r="A241" s="70" t="s">
        <v>3214</v>
      </c>
      <c r="B241" s="55" t="s">
        <v>3354</v>
      </c>
      <c r="C241" s="253"/>
      <c r="D241" s="55"/>
      <c r="E241" s="254" t="s">
        <v>3213</v>
      </c>
      <c r="F241" s="254" t="s">
        <v>3213</v>
      </c>
      <c r="G241" s="70"/>
    </row>
    <row r="242" spans="1:8" x14ac:dyDescent="0.3">
      <c r="A242" s="70" t="s">
        <v>3319</v>
      </c>
      <c r="B242" s="55" t="s">
        <v>3355</v>
      </c>
      <c r="C242" s="253"/>
      <c r="D242" s="55"/>
      <c r="E242" s="254" t="s">
        <v>3213</v>
      </c>
      <c r="F242" s="254" t="s">
        <v>3213</v>
      </c>
      <c r="G242" s="55"/>
    </row>
    <row r="243" spans="1:8" x14ac:dyDescent="0.3">
      <c r="A243" s="70" t="s">
        <v>3356</v>
      </c>
      <c r="B243" s="55" t="s">
        <v>3357</v>
      </c>
      <c r="C243" s="253"/>
      <c r="D243" s="55"/>
      <c r="E243" s="254" t="s">
        <v>3213</v>
      </c>
      <c r="F243" s="254" t="s">
        <v>3213</v>
      </c>
      <c r="G243" s="55"/>
    </row>
    <row r="244" spans="1:8" x14ac:dyDescent="0.3">
      <c r="A244" s="70" t="s">
        <v>3291</v>
      </c>
      <c r="B244" s="55" t="s">
        <v>3358</v>
      </c>
      <c r="C244" s="253"/>
      <c r="D244" s="55"/>
      <c r="E244" s="254" t="s">
        <v>3213</v>
      </c>
      <c r="F244" s="254" t="s">
        <v>3213</v>
      </c>
      <c r="G244" s="55"/>
    </row>
    <row r="245" spans="1:8" x14ac:dyDescent="0.3">
      <c r="A245" s="70" t="s">
        <v>3359</v>
      </c>
      <c r="B245" s="55" t="s">
        <v>3360</v>
      </c>
      <c r="C245" s="253"/>
      <c r="D245" s="55"/>
      <c r="E245" s="254" t="s">
        <v>3213</v>
      </c>
      <c r="F245" s="254" t="s">
        <v>3213</v>
      </c>
      <c r="G245" s="55"/>
    </row>
    <row r="246" spans="1:8" x14ac:dyDescent="0.3">
      <c r="A246" s="70" t="s">
        <v>3361</v>
      </c>
      <c r="B246" s="55" t="s">
        <v>3362</v>
      </c>
      <c r="C246" s="253"/>
      <c r="D246" s="55"/>
      <c r="E246" s="254" t="s">
        <v>3213</v>
      </c>
      <c r="F246" s="254" t="s">
        <v>3213</v>
      </c>
      <c r="G246" s="55"/>
    </row>
    <row r="247" spans="1:8" x14ac:dyDescent="0.3">
      <c r="A247" s="70" t="s">
        <v>3363</v>
      </c>
      <c r="B247" s="55" t="s">
        <v>3364</v>
      </c>
      <c r="C247" s="253" t="s">
        <v>3203</v>
      </c>
      <c r="D247" s="55"/>
      <c r="E247" s="253" t="s">
        <v>3203</v>
      </c>
      <c r="F247" s="253" t="s">
        <v>3203</v>
      </c>
      <c r="G247" s="55"/>
      <c r="H247">
        <v>120</v>
      </c>
    </row>
    <row r="249" spans="1:8" x14ac:dyDescent="0.3">
      <c r="B249" s="135" t="s">
        <v>3240</v>
      </c>
      <c r="C249" s="255"/>
      <c r="D249" s="255"/>
    </row>
    <row r="250" spans="1:8" x14ac:dyDescent="0.3">
      <c r="A250" s="55"/>
      <c r="B250" s="55"/>
      <c r="C250" s="526" t="s">
        <v>3196</v>
      </c>
      <c r="D250" s="527"/>
      <c r="E250" s="526" t="s">
        <v>3196</v>
      </c>
      <c r="F250" s="527"/>
      <c r="G250" s="55"/>
    </row>
    <row r="251" spans="1:8" x14ac:dyDescent="0.3">
      <c r="A251" s="55" t="s">
        <v>3217</v>
      </c>
      <c r="B251" s="54" t="s">
        <v>3198</v>
      </c>
      <c r="C251" s="55" t="s">
        <v>3218</v>
      </c>
      <c r="D251" s="55"/>
      <c r="E251" s="55" t="s">
        <v>3218</v>
      </c>
      <c r="F251" s="55"/>
      <c r="G251" s="55"/>
    </row>
    <row r="252" spans="1:8" x14ac:dyDescent="0.3">
      <c r="A252" s="55"/>
      <c r="B252" s="54"/>
      <c r="C252" s="54"/>
      <c r="D252" s="54"/>
      <c r="E252" s="55"/>
      <c r="F252" s="55"/>
      <c r="G252" s="55"/>
    </row>
    <row r="253" spans="1:8" x14ac:dyDescent="0.3">
      <c r="A253" s="54" t="s">
        <v>3201</v>
      </c>
      <c r="B253" s="55" t="s">
        <v>3219</v>
      </c>
      <c r="C253" s="253" t="s">
        <v>3203</v>
      </c>
      <c r="D253" s="55"/>
      <c r="E253" s="253" t="s">
        <v>3203</v>
      </c>
      <c r="F253" s="55"/>
      <c r="G253" s="55"/>
    </row>
    <row r="254" spans="1:8" x14ac:dyDescent="0.3">
      <c r="A254" s="261" t="s">
        <v>3220</v>
      </c>
      <c r="B254" s="256" t="s">
        <v>3221</v>
      </c>
      <c r="C254" s="253" t="s">
        <v>3203</v>
      </c>
      <c r="D254" s="256"/>
      <c r="E254" s="253" t="s">
        <v>3203</v>
      </c>
      <c r="F254" s="256"/>
      <c r="G254" s="256"/>
    </row>
    <row r="255" spans="1:8" x14ac:dyDescent="0.3">
      <c r="A255" s="54" t="s">
        <v>3298</v>
      </c>
      <c r="B255" s="55" t="s">
        <v>3299</v>
      </c>
      <c r="C255" s="253"/>
      <c r="D255" s="55"/>
      <c r="E255" s="253" t="s">
        <v>3203</v>
      </c>
      <c r="F255" s="55"/>
      <c r="G255" s="55"/>
    </row>
    <row r="257" spans="1:8" x14ac:dyDescent="0.3">
      <c r="B257" s="251" t="s">
        <v>3365</v>
      </c>
      <c r="C257" s="259"/>
      <c r="D257" s="259"/>
    </row>
    <row r="258" spans="1:8" x14ac:dyDescent="0.3">
      <c r="B258" s="135" t="s">
        <v>3195</v>
      </c>
      <c r="C258" s="255"/>
      <c r="D258" s="255"/>
    </row>
    <row r="259" spans="1:8" x14ac:dyDescent="0.3">
      <c r="A259" s="55"/>
      <c r="B259" s="55"/>
      <c r="C259" s="526" t="s">
        <v>3196</v>
      </c>
      <c r="D259" s="527"/>
      <c r="E259" s="526" t="s">
        <v>3196</v>
      </c>
      <c r="F259" s="527"/>
      <c r="G259" s="31"/>
    </row>
    <row r="260" spans="1:8" x14ac:dyDescent="0.3">
      <c r="A260" s="54" t="s">
        <v>3197</v>
      </c>
      <c r="B260" s="54" t="s">
        <v>3198</v>
      </c>
      <c r="C260" s="54" t="s">
        <v>3199</v>
      </c>
      <c r="D260" s="54" t="s">
        <v>3200</v>
      </c>
      <c r="E260" s="54" t="s">
        <v>3199</v>
      </c>
      <c r="F260" s="54" t="s">
        <v>3200</v>
      </c>
      <c r="G260" s="54"/>
    </row>
    <row r="261" spans="1:8" x14ac:dyDescent="0.3">
      <c r="A261" s="55"/>
      <c r="B261" s="252"/>
      <c r="C261" s="252"/>
      <c r="D261" s="252"/>
      <c r="E261" s="55"/>
      <c r="F261" s="55"/>
      <c r="G261" s="55"/>
    </row>
    <row r="262" spans="1:8" x14ac:dyDescent="0.3">
      <c r="A262" s="54" t="s">
        <v>3201</v>
      </c>
      <c r="B262" s="55" t="s">
        <v>3202</v>
      </c>
      <c r="C262" s="253" t="s">
        <v>3203</v>
      </c>
      <c r="D262" s="55"/>
      <c r="E262" s="253" t="s">
        <v>3203</v>
      </c>
      <c r="F262" s="54"/>
      <c r="G262" s="55"/>
      <c r="H262" t="s">
        <v>3366</v>
      </c>
    </row>
    <row r="263" spans="1:8" x14ac:dyDescent="0.3">
      <c r="A263" s="54" t="s">
        <v>3205</v>
      </c>
      <c r="B263" s="55" t="s">
        <v>3206</v>
      </c>
      <c r="C263" s="253" t="s">
        <v>3203</v>
      </c>
      <c r="D263" s="55"/>
      <c r="E263" s="253" t="s">
        <v>3203</v>
      </c>
      <c r="F263" s="54"/>
      <c r="G263" s="55"/>
      <c r="H263" t="s">
        <v>3367</v>
      </c>
    </row>
    <row r="264" spans="1:8" x14ac:dyDescent="0.3">
      <c r="A264" s="54" t="s">
        <v>3208</v>
      </c>
      <c r="B264" s="55" t="s">
        <v>3209</v>
      </c>
      <c r="C264" s="253" t="s">
        <v>3203</v>
      </c>
      <c r="D264" s="55"/>
      <c r="E264" s="253" t="s">
        <v>3203</v>
      </c>
      <c r="F264" s="54"/>
      <c r="G264" s="55"/>
      <c r="H264" t="s">
        <v>3368</v>
      </c>
    </row>
    <row r="265" spans="1:8" x14ac:dyDescent="0.3">
      <c r="A265" s="54" t="s">
        <v>3230</v>
      </c>
      <c r="B265" s="55" t="s">
        <v>3296</v>
      </c>
      <c r="C265" s="253" t="s">
        <v>3203</v>
      </c>
      <c r="D265" s="55"/>
      <c r="E265" s="254" t="s">
        <v>3213</v>
      </c>
      <c r="F265" s="54"/>
      <c r="G265" s="55"/>
    </row>
    <row r="266" spans="1:8" x14ac:dyDescent="0.3">
      <c r="A266" s="54" t="s">
        <v>3211</v>
      </c>
      <c r="B266" s="55" t="s">
        <v>3212</v>
      </c>
      <c r="C266" s="253" t="s">
        <v>3203</v>
      </c>
      <c r="D266" s="55"/>
      <c r="E266" s="254" t="s">
        <v>3213</v>
      </c>
      <c r="F266" s="54"/>
      <c r="G266" s="55"/>
    </row>
    <row r="267" spans="1:8" x14ac:dyDescent="0.3">
      <c r="A267" s="54" t="s">
        <v>3214</v>
      </c>
      <c r="B267" s="55" t="s">
        <v>3215</v>
      </c>
      <c r="C267" s="253" t="s">
        <v>3203</v>
      </c>
      <c r="D267" s="55"/>
      <c r="E267" s="254" t="s">
        <v>3213</v>
      </c>
      <c r="F267" s="54"/>
      <c r="G267" s="55"/>
    </row>
    <row r="269" spans="1:8" x14ac:dyDescent="0.3">
      <c r="B269" s="135" t="s">
        <v>3216</v>
      </c>
      <c r="C269" s="255"/>
      <c r="D269" s="255"/>
    </row>
    <row r="270" spans="1:8" x14ac:dyDescent="0.3">
      <c r="A270" s="55"/>
      <c r="B270" s="55"/>
      <c r="C270" s="526" t="s">
        <v>3196</v>
      </c>
      <c r="D270" s="527"/>
      <c r="E270" s="526" t="s">
        <v>3196</v>
      </c>
      <c r="F270" s="527"/>
      <c r="G270" s="55"/>
    </row>
    <row r="271" spans="1:8" x14ac:dyDescent="0.3">
      <c r="A271" s="55" t="s">
        <v>3217</v>
      </c>
      <c r="B271" s="54" t="s">
        <v>3198</v>
      </c>
      <c r="C271" s="55" t="s">
        <v>3218</v>
      </c>
      <c r="D271" s="55"/>
      <c r="E271" s="55" t="s">
        <v>3218</v>
      </c>
      <c r="F271" s="55"/>
      <c r="G271" s="55"/>
    </row>
    <row r="272" spans="1:8" x14ac:dyDescent="0.3">
      <c r="A272" s="55"/>
      <c r="B272" s="54"/>
      <c r="C272" s="54"/>
      <c r="D272" s="54"/>
      <c r="E272" s="55"/>
      <c r="F272" s="55"/>
      <c r="G272" s="55"/>
    </row>
    <row r="273" spans="1:7" x14ac:dyDescent="0.3">
      <c r="A273" s="54" t="s">
        <v>3201</v>
      </c>
      <c r="B273" s="55" t="s">
        <v>3219</v>
      </c>
      <c r="C273" s="253" t="s">
        <v>3203</v>
      </c>
      <c r="D273" s="55"/>
      <c r="E273" s="253" t="s">
        <v>3203</v>
      </c>
      <c r="F273" s="55"/>
      <c r="G273" s="55"/>
    </row>
    <row r="274" spans="1:7" x14ac:dyDescent="0.3">
      <c r="A274" s="54" t="s">
        <v>3220</v>
      </c>
      <c r="B274" s="55" t="s">
        <v>3221</v>
      </c>
      <c r="C274" s="253" t="s">
        <v>3203</v>
      </c>
      <c r="D274" s="55"/>
      <c r="E274" s="253" t="s">
        <v>3203</v>
      </c>
      <c r="F274" s="55"/>
      <c r="G274" s="55"/>
    </row>
    <row r="276" spans="1:7" x14ac:dyDescent="0.3">
      <c r="B276" s="135" t="s">
        <v>3223</v>
      </c>
      <c r="C276" s="255"/>
      <c r="D276" s="255"/>
    </row>
    <row r="277" spans="1:7" x14ac:dyDescent="0.3">
      <c r="A277" s="55"/>
      <c r="B277" s="55"/>
      <c r="C277" s="526" t="s">
        <v>3196</v>
      </c>
      <c r="D277" s="527"/>
      <c r="E277" s="526" t="s">
        <v>3196</v>
      </c>
      <c r="F277" s="527"/>
      <c r="G277" s="31"/>
    </row>
    <row r="278" spans="1:7" x14ac:dyDescent="0.3">
      <c r="A278" s="70" t="s">
        <v>3197</v>
      </c>
      <c r="B278" s="70" t="s">
        <v>3198</v>
      </c>
      <c r="C278" s="70" t="s">
        <v>3199</v>
      </c>
      <c r="D278" s="70" t="s">
        <v>3200</v>
      </c>
      <c r="E278" s="70" t="s">
        <v>3199</v>
      </c>
      <c r="F278" s="70" t="s">
        <v>3200</v>
      </c>
      <c r="G278" s="70"/>
    </row>
    <row r="279" spans="1:7" x14ac:dyDescent="0.3">
      <c r="A279" s="70"/>
      <c r="B279" s="55"/>
      <c r="C279" s="55"/>
      <c r="D279" s="55"/>
      <c r="E279" s="70"/>
      <c r="F279" s="70"/>
      <c r="G279" s="70"/>
    </row>
    <row r="280" spans="1:7" x14ac:dyDescent="0.3">
      <c r="A280" s="70" t="s">
        <v>3201</v>
      </c>
      <c r="B280" s="55" t="s">
        <v>3369</v>
      </c>
      <c r="C280" s="253" t="s">
        <v>3203</v>
      </c>
      <c r="D280" s="55"/>
      <c r="E280" s="253" t="s">
        <v>3203</v>
      </c>
      <c r="F280" s="254" t="s">
        <v>3213</v>
      </c>
      <c r="G280" s="70"/>
    </row>
    <row r="281" spans="1:7" x14ac:dyDescent="0.3">
      <c r="A281" s="70" t="s">
        <v>3205</v>
      </c>
      <c r="B281" s="55" t="s">
        <v>3370</v>
      </c>
      <c r="C281" s="253" t="s">
        <v>3203</v>
      </c>
      <c r="D281" s="55"/>
      <c r="E281" s="253" t="s">
        <v>3203</v>
      </c>
      <c r="F281" s="254" t="s">
        <v>3213</v>
      </c>
      <c r="G281" s="70"/>
    </row>
    <row r="282" spans="1:7" x14ac:dyDescent="0.3">
      <c r="A282" s="70" t="s">
        <v>3208</v>
      </c>
      <c r="B282" s="55" t="s">
        <v>3371</v>
      </c>
      <c r="C282" s="253" t="s">
        <v>3203</v>
      </c>
      <c r="D282" s="55"/>
      <c r="E282" s="253" t="s">
        <v>3203</v>
      </c>
      <c r="F282" s="254" t="s">
        <v>3213</v>
      </c>
      <c r="G282" s="70"/>
    </row>
    <row r="283" spans="1:7" x14ac:dyDescent="0.3">
      <c r="A283" s="70" t="s">
        <v>3230</v>
      </c>
      <c r="B283" s="55" t="s">
        <v>3372</v>
      </c>
      <c r="C283" s="253" t="s">
        <v>3203</v>
      </c>
      <c r="D283" s="55"/>
      <c r="E283" s="253" t="s">
        <v>3203</v>
      </c>
      <c r="F283" s="254" t="s">
        <v>3213</v>
      </c>
      <c r="G283" s="70"/>
    </row>
    <row r="284" spans="1:7" x14ac:dyDescent="0.3">
      <c r="A284" s="70" t="s">
        <v>3233</v>
      </c>
      <c r="B284" s="55" t="s">
        <v>3373</v>
      </c>
      <c r="C284" s="253" t="s">
        <v>3203</v>
      </c>
      <c r="D284" s="55"/>
      <c r="E284" s="253" t="s">
        <v>3203</v>
      </c>
      <c r="F284" s="254" t="s">
        <v>3213</v>
      </c>
      <c r="G284" s="70"/>
    </row>
    <row r="285" spans="1:7" x14ac:dyDescent="0.3">
      <c r="A285" s="70" t="s">
        <v>3211</v>
      </c>
      <c r="B285" s="55" t="s">
        <v>3374</v>
      </c>
      <c r="C285" s="253" t="s">
        <v>3203</v>
      </c>
      <c r="D285" s="55"/>
      <c r="E285" s="253" t="s">
        <v>3203</v>
      </c>
      <c r="F285" s="253" t="s">
        <v>3203</v>
      </c>
      <c r="G285" s="70"/>
    </row>
    <row r="286" spans="1:7" x14ac:dyDescent="0.3">
      <c r="A286" s="70" t="s">
        <v>3214</v>
      </c>
      <c r="B286" s="55" t="s">
        <v>3375</v>
      </c>
      <c r="C286" s="253" t="s">
        <v>3203</v>
      </c>
      <c r="D286" s="55"/>
      <c r="E286" s="253" t="s">
        <v>3203</v>
      </c>
      <c r="F286" s="254" t="s">
        <v>3213</v>
      </c>
      <c r="G286" s="70"/>
    </row>
    <row r="287" spans="1:7" x14ac:dyDescent="0.3">
      <c r="A287" s="70" t="s">
        <v>3319</v>
      </c>
      <c r="B287" s="55" t="s">
        <v>3376</v>
      </c>
      <c r="C287" s="253" t="s">
        <v>3203</v>
      </c>
      <c r="D287" s="55"/>
      <c r="E287" s="253" t="s">
        <v>3203</v>
      </c>
      <c r="F287" s="254" t="s">
        <v>3213</v>
      </c>
      <c r="G287" s="55"/>
    </row>
    <row r="288" spans="1:7" ht="16.05" customHeight="1" x14ac:dyDescent="0.3">
      <c r="A288" s="70" t="s">
        <v>3356</v>
      </c>
      <c r="B288" s="55" t="s">
        <v>3377</v>
      </c>
      <c r="C288" s="253" t="s">
        <v>3203</v>
      </c>
      <c r="D288" s="55"/>
      <c r="E288" s="253" t="s">
        <v>3203</v>
      </c>
      <c r="F288" s="253" t="s">
        <v>3203</v>
      </c>
      <c r="G288" s="55"/>
    </row>
    <row r="289" spans="1:7" x14ac:dyDescent="0.3">
      <c r="A289" s="70" t="s">
        <v>3291</v>
      </c>
      <c r="B289" s="55" t="s">
        <v>3378</v>
      </c>
      <c r="C289" s="253" t="s">
        <v>3203</v>
      </c>
      <c r="D289" s="55"/>
      <c r="E289" s="253" t="s">
        <v>3203</v>
      </c>
      <c r="F289" s="254" t="s">
        <v>3213</v>
      </c>
      <c r="G289" s="55"/>
    </row>
    <row r="290" spans="1:7" x14ac:dyDescent="0.3">
      <c r="A290" s="70" t="s">
        <v>3359</v>
      </c>
      <c r="B290" s="55" t="s">
        <v>3379</v>
      </c>
      <c r="C290" s="253" t="s">
        <v>3203</v>
      </c>
      <c r="D290" s="55"/>
      <c r="E290" s="253" t="s">
        <v>3203</v>
      </c>
      <c r="F290" s="254" t="s">
        <v>3213</v>
      </c>
      <c r="G290" s="55"/>
    </row>
    <row r="292" spans="1:7" x14ac:dyDescent="0.3">
      <c r="B292" s="135" t="s">
        <v>3240</v>
      </c>
      <c r="C292" s="255"/>
      <c r="D292" s="255"/>
    </row>
    <row r="293" spans="1:7" x14ac:dyDescent="0.3">
      <c r="A293" s="55"/>
      <c r="B293" s="55"/>
      <c r="C293" s="526" t="s">
        <v>3196</v>
      </c>
      <c r="D293" s="527"/>
      <c r="E293" s="526" t="s">
        <v>3196</v>
      </c>
      <c r="F293" s="527"/>
      <c r="G293" s="55"/>
    </row>
    <row r="294" spans="1:7" x14ac:dyDescent="0.3">
      <c r="A294" s="55" t="s">
        <v>3217</v>
      </c>
      <c r="B294" s="54" t="s">
        <v>3198</v>
      </c>
      <c r="C294" s="55" t="s">
        <v>3218</v>
      </c>
      <c r="D294" s="55"/>
      <c r="E294" s="55" t="s">
        <v>3218</v>
      </c>
      <c r="F294" s="55"/>
      <c r="G294" s="55"/>
    </row>
    <row r="295" spans="1:7" x14ac:dyDescent="0.3">
      <c r="A295" s="55"/>
      <c r="B295" s="54"/>
      <c r="C295" s="54"/>
      <c r="D295" s="54"/>
      <c r="E295" s="55"/>
      <c r="F295" s="55"/>
      <c r="G295" s="55"/>
    </row>
    <row r="296" spans="1:7" x14ac:dyDescent="0.3">
      <c r="A296" s="54" t="s">
        <v>3201</v>
      </c>
      <c r="B296" s="55" t="s">
        <v>3219</v>
      </c>
      <c r="C296" s="253" t="s">
        <v>3203</v>
      </c>
      <c r="D296" s="55"/>
      <c r="E296" s="253" t="s">
        <v>3203</v>
      </c>
      <c r="F296" s="55"/>
      <c r="G296" s="55"/>
    </row>
    <row r="297" spans="1:7" x14ac:dyDescent="0.3">
      <c r="A297" s="54" t="s">
        <v>3220</v>
      </c>
      <c r="B297" s="55" t="s">
        <v>3221</v>
      </c>
      <c r="C297" s="253" t="s">
        <v>3203</v>
      </c>
      <c r="D297" s="55"/>
      <c r="E297" s="253" t="s">
        <v>3203</v>
      </c>
      <c r="F297" s="55"/>
      <c r="G297" s="55"/>
    </row>
    <row r="298" spans="1:7" x14ac:dyDescent="0.3">
      <c r="A298" s="54" t="s">
        <v>3298</v>
      </c>
      <c r="B298" s="55" t="s">
        <v>3299</v>
      </c>
      <c r="C298" s="253" t="s">
        <v>3203</v>
      </c>
      <c r="D298" s="55"/>
      <c r="E298" s="253" t="s">
        <v>3203</v>
      </c>
      <c r="F298" s="55"/>
      <c r="G298" s="55"/>
    </row>
    <row r="299" spans="1:7" x14ac:dyDescent="0.3">
      <c r="A299" s="54" t="s">
        <v>3380</v>
      </c>
      <c r="B299" s="55" t="s">
        <v>3381</v>
      </c>
      <c r="C299" s="253" t="s">
        <v>3203</v>
      </c>
      <c r="D299" s="55"/>
      <c r="E299" s="253" t="s">
        <v>3203</v>
      </c>
      <c r="F299" s="55"/>
      <c r="G299" s="55"/>
    </row>
    <row r="301" spans="1:7" x14ac:dyDescent="0.3">
      <c r="B301" s="251" t="s">
        <v>3382</v>
      </c>
      <c r="C301" s="259"/>
      <c r="D301" s="259"/>
    </row>
    <row r="302" spans="1:7" x14ac:dyDescent="0.3">
      <c r="B302" s="135" t="s">
        <v>3195</v>
      </c>
      <c r="C302" s="255"/>
      <c r="D302" s="255"/>
    </row>
    <row r="303" spans="1:7" x14ac:dyDescent="0.3">
      <c r="A303" s="55"/>
      <c r="B303" s="55"/>
      <c r="C303" s="526" t="s">
        <v>3196</v>
      </c>
      <c r="D303" s="527"/>
      <c r="E303" s="526" t="s">
        <v>3196</v>
      </c>
      <c r="F303" s="527"/>
      <c r="G303" s="31"/>
    </row>
    <row r="304" spans="1:7" x14ac:dyDescent="0.3">
      <c r="A304" s="54" t="s">
        <v>3197</v>
      </c>
      <c r="B304" s="54" t="s">
        <v>3198</v>
      </c>
      <c r="C304" s="54" t="s">
        <v>3199</v>
      </c>
      <c r="D304" s="54" t="s">
        <v>3200</v>
      </c>
      <c r="E304" s="54" t="s">
        <v>3199</v>
      </c>
      <c r="F304" s="54" t="s">
        <v>3200</v>
      </c>
      <c r="G304" s="54"/>
    </row>
    <row r="305" spans="1:7" x14ac:dyDescent="0.3">
      <c r="A305" s="55"/>
      <c r="B305" s="252"/>
      <c r="C305" s="252"/>
      <c r="D305" s="252"/>
      <c r="E305" s="55"/>
      <c r="F305" s="55"/>
      <c r="G305" s="55"/>
    </row>
    <row r="306" spans="1:7" x14ac:dyDescent="0.3">
      <c r="A306" s="54" t="s">
        <v>3201</v>
      </c>
      <c r="B306" s="55" t="s">
        <v>3202</v>
      </c>
      <c r="C306" s="253" t="s">
        <v>3203</v>
      </c>
      <c r="D306" s="55"/>
      <c r="E306" s="253" t="s">
        <v>3203</v>
      </c>
      <c r="F306" s="54"/>
      <c r="G306" s="55"/>
    </row>
    <row r="307" spans="1:7" x14ac:dyDescent="0.3">
      <c r="A307" s="54" t="s">
        <v>3205</v>
      </c>
      <c r="B307" s="55" t="s">
        <v>3206</v>
      </c>
      <c r="C307" s="253" t="s">
        <v>3203</v>
      </c>
      <c r="D307" s="55"/>
      <c r="E307" s="253" t="s">
        <v>3203</v>
      </c>
      <c r="F307" s="54"/>
      <c r="G307" s="55"/>
    </row>
    <row r="308" spans="1:7" x14ac:dyDescent="0.3">
      <c r="A308" s="54" t="s">
        <v>3208</v>
      </c>
      <c r="B308" s="55" t="s">
        <v>3209</v>
      </c>
      <c r="C308" s="253" t="s">
        <v>3203</v>
      </c>
      <c r="D308" s="55"/>
      <c r="E308" s="253" t="s">
        <v>3203</v>
      </c>
      <c r="F308" s="54"/>
      <c r="G308" s="55"/>
    </row>
    <row r="309" spans="1:7" x14ac:dyDescent="0.3">
      <c r="A309" s="54" t="s">
        <v>3211</v>
      </c>
      <c r="B309" s="55" t="s">
        <v>3212</v>
      </c>
      <c r="C309" s="253" t="s">
        <v>3203</v>
      </c>
      <c r="D309" s="55"/>
      <c r="E309" s="253" t="s">
        <v>3203</v>
      </c>
      <c r="F309" s="54"/>
      <c r="G309" s="55"/>
    </row>
    <row r="310" spans="1:7" x14ac:dyDescent="0.3">
      <c r="A310" s="54" t="s">
        <v>3214</v>
      </c>
      <c r="B310" s="55" t="s">
        <v>3215</v>
      </c>
      <c r="C310" s="253" t="s">
        <v>3203</v>
      </c>
      <c r="D310" s="55"/>
      <c r="E310" s="253" t="s">
        <v>3203</v>
      </c>
      <c r="F310" s="54"/>
      <c r="G310" s="55"/>
    </row>
    <row r="312" spans="1:7" x14ac:dyDescent="0.3">
      <c r="B312" s="135" t="s">
        <v>3216</v>
      </c>
      <c r="C312" s="255"/>
      <c r="D312" s="255"/>
    </row>
    <row r="313" spans="1:7" x14ac:dyDescent="0.3">
      <c r="A313" s="55"/>
      <c r="B313" s="55"/>
      <c r="C313" s="526" t="s">
        <v>3196</v>
      </c>
      <c r="D313" s="527"/>
      <c r="E313" s="526" t="s">
        <v>3196</v>
      </c>
      <c r="F313" s="527"/>
      <c r="G313" s="55"/>
    </row>
    <row r="314" spans="1:7" x14ac:dyDescent="0.3">
      <c r="A314" s="55" t="s">
        <v>3217</v>
      </c>
      <c r="B314" s="54" t="s">
        <v>3198</v>
      </c>
      <c r="C314" s="55" t="s">
        <v>3218</v>
      </c>
      <c r="D314" s="55"/>
      <c r="E314" s="55" t="s">
        <v>3218</v>
      </c>
      <c r="F314" s="55"/>
      <c r="G314" s="55"/>
    </row>
    <row r="315" spans="1:7" x14ac:dyDescent="0.3">
      <c r="A315" s="55"/>
      <c r="B315" s="54"/>
      <c r="C315" s="54"/>
      <c r="D315" s="54"/>
      <c r="E315" s="55"/>
      <c r="F315" s="55"/>
      <c r="G315" s="55"/>
    </row>
    <row r="316" spans="1:7" x14ac:dyDescent="0.3">
      <c r="A316" s="54" t="s">
        <v>3220</v>
      </c>
      <c r="B316" s="55" t="s">
        <v>3221</v>
      </c>
      <c r="C316" s="253" t="s">
        <v>3203</v>
      </c>
      <c r="D316" s="55"/>
      <c r="E316" s="253" t="s">
        <v>3203</v>
      </c>
      <c r="F316" s="55"/>
      <c r="G316" s="55"/>
    </row>
    <row r="318" spans="1:7" x14ac:dyDescent="0.3">
      <c r="B318" s="135" t="s">
        <v>3223</v>
      </c>
      <c r="C318" s="255"/>
      <c r="D318" s="255"/>
    </row>
    <row r="319" spans="1:7" x14ac:dyDescent="0.3">
      <c r="A319" s="55"/>
      <c r="B319" s="55"/>
      <c r="C319" s="526" t="s">
        <v>3196</v>
      </c>
      <c r="D319" s="527"/>
      <c r="E319" s="526" t="s">
        <v>3196</v>
      </c>
      <c r="F319" s="527"/>
      <c r="G319" s="31"/>
    </row>
    <row r="320" spans="1:7" x14ac:dyDescent="0.3">
      <c r="A320" s="70" t="s">
        <v>3197</v>
      </c>
      <c r="B320" s="70" t="s">
        <v>3198</v>
      </c>
      <c r="C320" s="70" t="s">
        <v>3199</v>
      </c>
      <c r="D320" s="70" t="s">
        <v>3200</v>
      </c>
      <c r="E320" s="70" t="s">
        <v>3199</v>
      </c>
      <c r="F320" s="70" t="s">
        <v>3200</v>
      </c>
      <c r="G320" s="70"/>
    </row>
    <row r="321" spans="1:7" x14ac:dyDescent="0.3">
      <c r="A321" s="70"/>
      <c r="B321" s="55"/>
      <c r="C321" s="55"/>
      <c r="D321" s="55"/>
      <c r="E321" s="70"/>
      <c r="F321" s="70"/>
      <c r="G321" s="70"/>
    </row>
    <row r="322" spans="1:7" x14ac:dyDescent="0.3">
      <c r="A322" s="70" t="s">
        <v>3208</v>
      </c>
      <c r="B322" s="55" t="s">
        <v>2854</v>
      </c>
      <c r="C322" s="253" t="s">
        <v>3203</v>
      </c>
      <c r="D322" s="55"/>
      <c r="E322" s="253" t="s">
        <v>3203</v>
      </c>
      <c r="F322" s="253" t="s">
        <v>3203</v>
      </c>
      <c r="G322" s="70"/>
    </row>
    <row r="323" spans="1:7" x14ac:dyDescent="0.3">
      <c r="A323" s="70" t="s">
        <v>3230</v>
      </c>
      <c r="B323" s="55" t="s">
        <v>2856</v>
      </c>
      <c r="C323" s="253" t="s">
        <v>3203</v>
      </c>
      <c r="D323" s="55"/>
      <c r="E323" s="253" t="s">
        <v>3203</v>
      </c>
      <c r="F323" s="253" t="s">
        <v>3203</v>
      </c>
      <c r="G323" s="70"/>
    </row>
    <row r="324" spans="1:7" x14ac:dyDescent="0.3">
      <c r="A324" s="70" t="s">
        <v>3211</v>
      </c>
      <c r="B324" s="55" t="s">
        <v>3383</v>
      </c>
      <c r="C324" s="253" t="s">
        <v>3203</v>
      </c>
      <c r="D324" s="55"/>
      <c r="E324" s="253" t="s">
        <v>3203</v>
      </c>
      <c r="F324" s="70"/>
      <c r="G324" s="70"/>
    </row>
    <row r="325" spans="1:7" x14ac:dyDescent="0.3">
      <c r="A325" s="70" t="s">
        <v>3214</v>
      </c>
      <c r="B325" s="55" t="s">
        <v>3384</v>
      </c>
      <c r="C325" s="253" t="s">
        <v>3203</v>
      </c>
      <c r="D325" s="55"/>
      <c r="E325" s="253" t="s">
        <v>3203</v>
      </c>
      <c r="F325" s="70"/>
      <c r="G325" s="70"/>
    </row>
    <row r="326" spans="1:7" x14ac:dyDescent="0.3">
      <c r="A326" s="70" t="s">
        <v>3319</v>
      </c>
      <c r="B326" s="55" t="s">
        <v>3385</v>
      </c>
      <c r="C326" s="253" t="s">
        <v>3203</v>
      </c>
      <c r="D326" s="55"/>
      <c r="E326" s="253" t="s">
        <v>3203</v>
      </c>
      <c r="F326" s="70"/>
      <c r="G326" s="55"/>
    </row>
    <row r="327" spans="1:7" x14ac:dyDescent="0.3">
      <c r="A327" s="70" t="s">
        <v>3356</v>
      </c>
      <c r="B327" s="55" t="s">
        <v>2911</v>
      </c>
      <c r="C327" s="253" t="s">
        <v>3203</v>
      </c>
      <c r="D327" s="55"/>
      <c r="E327" s="253" t="s">
        <v>3203</v>
      </c>
      <c r="F327" s="70"/>
      <c r="G327" s="55"/>
    </row>
    <row r="328" spans="1:7" x14ac:dyDescent="0.3">
      <c r="A328" s="70" t="s">
        <v>3291</v>
      </c>
      <c r="B328" s="55" t="s">
        <v>2905</v>
      </c>
      <c r="C328" s="253" t="s">
        <v>3203</v>
      </c>
      <c r="D328" s="55"/>
      <c r="E328" s="253" t="s">
        <v>3203</v>
      </c>
      <c r="F328" s="70"/>
      <c r="G328" s="55"/>
    </row>
    <row r="329" spans="1:7" x14ac:dyDescent="0.3">
      <c r="A329" s="70" t="s">
        <v>3359</v>
      </c>
      <c r="B329" s="55" t="s">
        <v>857</v>
      </c>
      <c r="C329" s="253" t="s">
        <v>3203</v>
      </c>
      <c r="D329" s="55"/>
      <c r="E329" s="253" t="s">
        <v>3203</v>
      </c>
      <c r="F329" s="70"/>
      <c r="G329" s="55"/>
    </row>
    <row r="330" spans="1:7" x14ac:dyDescent="0.3">
      <c r="A330" s="70" t="s">
        <v>3361</v>
      </c>
      <c r="B330" s="55" t="s">
        <v>3386</v>
      </c>
      <c r="C330" s="253" t="s">
        <v>3203</v>
      </c>
      <c r="D330" s="55"/>
      <c r="E330" s="253" t="s">
        <v>3203</v>
      </c>
      <c r="F330" s="253" t="s">
        <v>3203</v>
      </c>
      <c r="G330" s="55"/>
    </row>
    <row r="331" spans="1:7" x14ac:dyDescent="0.3">
      <c r="A331" s="70" t="s">
        <v>3363</v>
      </c>
      <c r="B331" s="55" t="s">
        <v>2428</v>
      </c>
      <c r="C331" s="253" t="s">
        <v>3203</v>
      </c>
      <c r="D331" s="55"/>
      <c r="E331" s="253" t="s">
        <v>3203</v>
      </c>
      <c r="F331" s="70"/>
      <c r="G331" s="55"/>
    </row>
    <row r="332" spans="1:7" x14ac:dyDescent="0.3">
      <c r="A332" s="70" t="s">
        <v>3220</v>
      </c>
      <c r="B332" s="55" t="s">
        <v>3387</v>
      </c>
      <c r="C332" s="253" t="s">
        <v>3203</v>
      </c>
      <c r="D332" s="55"/>
      <c r="E332" s="253" t="s">
        <v>3203</v>
      </c>
      <c r="F332" s="55"/>
      <c r="G332" s="55"/>
    </row>
    <row r="333" spans="1:7" x14ac:dyDescent="0.3">
      <c r="A333" s="70" t="s">
        <v>3388</v>
      </c>
      <c r="B333" s="55" t="s">
        <v>3389</v>
      </c>
      <c r="C333" s="253" t="s">
        <v>3203</v>
      </c>
      <c r="D333" s="55"/>
      <c r="E333" s="253" t="s">
        <v>3203</v>
      </c>
      <c r="F333" s="55"/>
      <c r="G333" s="55"/>
    </row>
    <row r="334" spans="1:7" x14ac:dyDescent="0.3">
      <c r="A334" s="70" t="s">
        <v>3298</v>
      </c>
      <c r="B334" s="55" t="s">
        <v>3390</v>
      </c>
      <c r="C334" s="253" t="s">
        <v>3203</v>
      </c>
      <c r="D334" s="55"/>
      <c r="E334" s="55"/>
      <c r="F334" s="55"/>
      <c r="G334" s="55"/>
    </row>
    <row r="335" spans="1:7" x14ac:dyDescent="0.3">
      <c r="A335" s="70" t="s">
        <v>3391</v>
      </c>
      <c r="B335" s="55" t="s">
        <v>3392</v>
      </c>
      <c r="C335" s="253" t="s">
        <v>3203</v>
      </c>
      <c r="D335" s="55"/>
      <c r="E335" s="55"/>
      <c r="F335" s="55"/>
      <c r="G335" s="55"/>
    </row>
    <row r="337" spans="1:7" x14ac:dyDescent="0.3">
      <c r="B337" s="135" t="s">
        <v>3240</v>
      </c>
      <c r="C337" s="255"/>
      <c r="D337" s="255"/>
    </row>
    <row r="338" spans="1:7" x14ac:dyDescent="0.3">
      <c r="A338" s="55"/>
      <c r="B338" s="55"/>
      <c r="C338" s="526" t="s">
        <v>3196</v>
      </c>
      <c r="D338" s="527"/>
      <c r="E338" s="526" t="s">
        <v>3196</v>
      </c>
      <c r="F338" s="527"/>
      <c r="G338" s="55"/>
    </row>
    <row r="339" spans="1:7" x14ac:dyDescent="0.3">
      <c r="A339" s="55" t="s">
        <v>3217</v>
      </c>
      <c r="B339" s="54" t="s">
        <v>3198</v>
      </c>
      <c r="C339" s="55" t="s">
        <v>3218</v>
      </c>
      <c r="D339" s="55"/>
      <c r="E339" s="55" t="s">
        <v>3218</v>
      </c>
      <c r="F339" s="55"/>
      <c r="G339" s="55"/>
    </row>
    <row r="340" spans="1:7" x14ac:dyDescent="0.3">
      <c r="A340" s="55"/>
      <c r="B340" s="54"/>
      <c r="C340" s="54"/>
      <c r="D340" s="54"/>
      <c r="E340" s="55"/>
      <c r="F340" s="55"/>
      <c r="G340" s="55"/>
    </row>
    <row r="341" spans="1:7" x14ac:dyDescent="0.3">
      <c r="A341" s="54" t="s">
        <v>3233</v>
      </c>
      <c r="B341" s="55" t="s">
        <v>3242</v>
      </c>
      <c r="C341" s="253" t="s">
        <v>3203</v>
      </c>
      <c r="D341" s="55"/>
      <c r="E341" s="253" t="s">
        <v>3203</v>
      </c>
      <c r="F341" s="55"/>
      <c r="G341" s="55"/>
    </row>
    <row r="342" spans="1:7" x14ac:dyDescent="0.3">
      <c r="A342" s="54" t="s">
        <v>3220</v>
      </c>
      <c r="B342" s="55" t="s">
        <v>3221</v>
      </c>
      <c r="C342" s="253" t="s">
        <v>3203</v>
      </c>
      <c r="D342" s="55"/>
      <c r="E342" s="253" t="s">
        <v>3203</v>
      </c>
      <c r="F342" s="55"/>
      <c r="G342" s="55"/>
    </row>
    <row r="343" spans="1:7" x14ac:dyDescent="0.3">
      <c r="A343" s="54" t="s">
        <v>3298</v>
      </c>
      <c r="B343" s="55" t="s">
        <v>3299</v>
      </c>
      <c r="C343" s="253" t="s">
        <v>3203</v>
      </c>
      <c r="D343" s="55"/>
      <c r="E343" s="253" t="s">
        <v>3203</v>
      </c>
      <c r="F343" s="55"/>
      <c r="G343" s="55"/>
    </row>
    <row r="345" spans="1:7" x14ac:dyDescent="0.3">
      <c r="B345" s="251" t="s">
        <v>3393</v>
      </c>
      <c r="C345" s="259"/>
      <c r="D345" s="259"/>
    </row>
    <row r="346" spans="1:7" x14ac:dyDescent="0.3">
      <c r="B346" s="135" t="s">
        <v>3195</v>
      </c>
      <c r="C346" s="255"/>
      <c r="D346" s="255"/>
    </row>
    <row r="347" spans="1:7" x14ac:dyDescent="0.3">
      <c r="A347" s="55"/>
      <c r="B347" s="55"/>
      <c r="C347" s="260"/>
      <c r="D347" s="260"/>
      <c r="E347" s="526" t="s">
        <v>3196</v>
      </c>
      <c r="F347" s="527"/>
      <c r="G347" s="31"/>
    </row>
    <row r="348" spans="1:7" x14ac:dyDescent="0.3">
      <c r="A348" s="54" t="s">
        <v>3197</v>
      </c>
      <c r="B348" s="54" t="s">
        <v>3198</v>
      </c>
      <c r="C348" s="54"/>
      <c r="D348" s="54"/>
      <c r="E348" s="54" t="s">
        <v>3199</v>
      </c>
      <c r="F348" s="54" t="s">
        <v>3200</v>
      </c>
      <c r="G348" s="54"/>
    </row>
    <row r="349" spans="1:7" x14ac:dyDescent="0.3">
      <c r="A349" s="55"/>
      <c r="B349" s="252"/>
      <c r="C349" s="252"/>
      <c r="D349" s="252"/>
      <c r="E349" s="55"/>
      <c r="F349" s="55"/>
      <c r="G349" s="55"/>
    </row>
    <row r="350" spans="1:7" x14ac:dyDescent="0.3">
      <c r="A350" s="54" t="s">
        <v>3201</v>
      </c>
      <c r="B350" s="55" t="s">
        <v>3202</v>
      </c>
      <c r="C350" s="253" t="s">
        <v>3203</v>
      </c>
      <c r="D350" s="55"/>
      <c r="E350" s="253" t="s">
        <v>3203</v>
      </c>
      <c r="F350" s="54"/>
      <c r="G350" s="55"/>
    </row>
    <row r="351" spans="1:7" x14ac:dyDescent="0.3">
      <c r="A351" s="54" t="s">
        <v>3205</v>
      </c>
      <c r="B351" s="55" t="s">
        <v>3206</v>
      </c>
      <c r="C351" s="253" t="s">
        <v>3203</v>
      </c>
      <c r="D351" s="55"/>
      <c r="E351" s="253" t="s">
        <v>3203</v>
      </c>
      <c r="F351" s="54"/>
      <c r="G351" s="55"/>
    </row>
    <row r="352" spans="1:7" x14ac:dyDescent="0.3">
      <c r="A352" s="54" t="s">
        <v>3208</v>
      </c>
      <c r="B352" s="55" t="s">
        <v>3209</v>
      </c>
      <c r="C352" s="253" t="s">
        <v>3203</v>
      </c>
      <c r="D352" s="55"/>
      <c r="E352" s="253" t="s">
        <v>3203</v>
      </c>
      <c r="F352" s="54"/>
      <c r="G352" s="55"/>
    </row>
    <row r="353" spans="1:7" x14ac:dyDescent="0.3">
      <c r="A353" s="54" t="s">
        <v>3211</v>
      </c>
      <c r="B353" s="55" t="s">
        <v>3212</v>
      </c>
      <c r="C353" s="253" t="s">
        <v>3203</v>
      </c>
      <c r="D353" s="55"/>
      <c r="E353" s="253" t="s">
        <v>3203</v>
      </c>
      <c r="F353" s="54"/>
      <c r="G353" s="55"/>
    </row>
    <row r="354" spans="1:7" x14ac:dyDescent="0.3">
      <c r="A354" s="54" t="s">
        <v>3214</v>
      </c>
      <c r="B354" s="55" t="s">
        <v>3215</v>
      </c>
      <c r="C354" s="253" t="s">
        <v>3203</v>
      </c>
      <c r="D354" s="55"/>
      <c r="E354" s="253" t="s">
        <v>3203</v>
      </c>
      <c r="F354" s="54"/>
      <c r="G354" s="55"/>
    </row>
    <row r="356" spans="1:7" x14ac:dyDescent="0.3">
      <c r="B356" s="135" t="s">
        <v>3216</v>
      </c>
      <c r="C356" s="255"/>
      <c r="D356" s="255"/>
    </row>
    <row r="357" spans="1:7" x14ac:dyDescent="0.3">
      <c r="A357" s="55"/>
      <c r="B357" s="55"/>
      <c r="C357" s="260"/>
      <c r="D357" s="260"/>
      <c r="E357" s="526" t="s">
        <v>3196</v>
      </c>
      <c r="F357" s="527"/>
      <c r="G357" s="55"/>
    </row>
    <row r="358" spans="1:7" x14ac:dyDescent="0.3">
      <c r="A358" s="55" t="s">
        <v>3217</v>
      </c>
      <c r="B358" s="54" t="s">
        <v>3198</v>
      </c>
      <c r="C358" s="54"/>
      <c r="D358" s="54"/>
      <c r="E358" s="55" t="s">
        <v>3218</v>
      </c>
      <c r="F358" s="55"/>
      <c r="G358" s="55"/>
    </row>
    <row r="359" spans="1:7" x14ac:dyDescent="0.3">
      <c r="A359" s="55"/>
      <c r="B359" s="54"/>
      <c r="C359" s="54"/>
      <c r="D359" s="54"/>
      <c r="E359" s="55"/>
      <c r="F359" s="55"/>
      <c r="G359" s="55"/>
    </row>
    <row r="360" spans="1:7" x14ac:dyDescent="0.3">
      <c r="A360" s="54" t="s">
        <v>3220</v>
      </c>
      <c r="B360" s="55" t="s">
        <v>3221</v>
      </c>
      <c r="C360" s="253" t="s">
        <v>3203</v>
      </c>
      <c r="D360" s="55"/>
      <c r="E360" s="253" t="s">
        <v>3203</v>
      </c>
      <c r="F360" s="55"/>
      <c r="G360" s="55"/>
    </row>
    <row r="362" spans="1:7" x14ac:dyDescent="0.3">
      <c r="B362" s="135" t="s">
        <v>3223</v>
      </c>
      <c r="C362" s="255"/>
      <c r="D362" s="255"/>
    </row>
    <row r="363" spans="1:7" x14ac:dyDescent="0.3">
      <c r="A363" s="55"/>
      <c r="B363" s="55"/>
      <c r="C363" s="260"/>
      <c r="D363" s="260"/>
      <c r="E363" s="526" t="s">
        <v>3196</v>
      </c>
      <c r="F363" s="527"/>
      <c r="G363" s="31"/>
    </row>
    <row r="364" spans="1:7" x14ac:dyDescent="0.3">
      <c r="A364" s="70" t="s">
        <v>3197</v>
      </c>
      <c r="B364" s="70" t="s">
        <v>3198</v>
      </c>
      <c r="C364" s="70"/>
      <c r="D364" s="70"/>
      <c r="E364" s="70" t="s">
        <v>3199</v>
      </c>
      <c r="F364" s="70" t="s">
        <v>3200</v>
      </c>
      <c r="G364" s="70"/>
    </row>
    <row r="365" spans="1:7" x14ac:dyDescent="0.3">
      <c r="A365" s="70"/>
      <c r="B365" s="55"/>
      <c r="C365" s="55"/>
      <c r="D365" s="55"/>
      <c r="E365" s="70"/>
      <c r="F365" s="70"/>
      <c r="G365" s="70"/>
    </row>
    <row r="366" spans="1:7" x14ac:dyDescent="0.3">
      <c r="A366" s="70" t="s">
        <v>3201</v>
      </c>
      <c r="B366" s="55" t="s">
        <v>3394</v>
      </c>
      <c r="C366" s="253" t="s">
        <v>3203</v>
      </c>
      <c r="D366" s="55"/>
      <c r="E366" s="253" t="s">
        <v>3203</v>
      </c>
      <c r="F366" s="70"/>
      <c r="G366" s="70"/>
    </row>
    <row r="367" spans="1:7" x14ac:dyDescent="0.3">
      <c r="A367" s="70" t="s">
        <v>3205</v>
      </c>
      <c r="B367" s="55" t="s">
        <v>3395</v>
      </c>
      <c r="C367" s="253" t="s">
        <v>3203</v>
      </c>
      <c r="D367" s="55"/>
      <c r="E367" s="70" t="s">
        <v>3396</v>
      </c>
      <c r="F367" s="70"/>
      <c r="G367" s="70"/>
    </row>
    <row r="368" spans="1:7" x14ac:dyDescent="0.3">
      <c r="A368" s="70" t="s">
        <v>3208</v>
      </c>
      <c r="B368" s="55" t="s">
        <v>3397</v>
      </c>
      <c r="C368" s="253" t="s">
        <v>3203</v>
      </c>
      <c r="D368" s="55"/>
      <c r="E368" s="70" t="s">
        <v>3396</v>
      </c>
      <c r="F368" s="70" t="s">
        <v>3398</v>
      </c>
      <c r="G368" s="70"/>
    </row>
    <row r="369" spans="1:7" x14ac:dyDescent="0.3">
      <c r="A369" s="70" t="s">
        <v>3230</v>
      </c>
      <c r="B369" s="55" t="s">
        <v>751</v>
      </c>
      <c r="C369" s="253" t="s">
        <v>3203</v>
      </c>
      <c r="D369" s="55"/>
      <c r="E369" s="253" t="s">
        <v>3203</v>
      </c>
      <c r="F369" s="70" t="s">
        <v>3399</v>
      </c>
      <c r="G369" s="70"/>
    </row>
    <row r="370" spans="1:7" x14ac:dyDescent="0.3">
      <c r="A370" s="70" t="s">
        <v>3233</v>
      </c>
      <c r="B370" s="55" t="s">
        <v>3400</v>
      </c>
      <c r="C370" s="253" t="s">
        <v>3203</v>
      </c>
      <c r="D370" s="55"/>
      <c r="E370" s="253" t="s">
        <v>3203</v>
      </c>
      <c r="F370" s="70"/>
      <c r="G370" s="70"/>
    </row>
    <row r="371" spans="1:7" x14ac:dyDescent="0.3">
      <c r="A371" s="70" t="s">
        <v>3211</v>
      </c>
      <c r="B371" s="55" t="s">
        <v>3401</v>
      </c>
      <c r="C371" s="253" t="s">
        <v>3203</v>
      </c>
      <c r="D371" s="55"/>
      <c r="E371" s="253" t="s">
        <v>3203</v>
      </c>
      <c r="F371" s="70"/>
      <c r="G371" s="70"/>
    </row>
    <row r="372" spans="1:7" x14ac:dyDescent="0.3">
      <c r="A372" s="70" t="s">
        <v>3214</v>
      </c>
      <c r="B372" s="55" t="s">
        <v>3402</v>
      </c>
      <c r="C372" s="253" t="s">
        <v>3203</v>
      </c>
      <c r="D372" s="55"/>
      <c r="E372" s="253" t="s">
        <v>3203</v>
      </c>
      <c r="F372" s="70"/>
      <c r="G372" s="55"/>
    </row>
    <row r="373" spans="1:7" x14ac:dyDescent="0.3">
      <c r="A373" s="70" t="s">
        <v>3319</v>
      </c>
      <c r="B373" s="55" t="s">
        <v>3403</v>
      </c>
      <c r="C373" s="253" t="s">
        <v>3203</v>
      </c>
      <c r="D373" s="55"/>
      <c r="E373" s="253" t="s">
        <v>3203</v>
      </c>
      <c r="F373" s="70"/>
      <c r="G373" s="55"/>
    </row>
    <row r="374" spans="1:7" x14ac:dyDescent="0.3">
      <c r="A374" s="70" t="s">
        <v>3356</v>
      </c>
      <c r="B374" s="55" t="s">
        <v>3404</v>
      </c>
      <c r="C374" s="253" t="s">
        <v>3203</v>
      </c>
      <c r="D374" s="55"/>
      <c r="E374" s="253" t="s">
        <v>3203</v>
      </c>
      <c r="F374" s="70"/>
      <c r="G374" s="55"/>
    </row>
    <row r="375" spans="1:7" x14ac:dyDescent="0.3">
      <c r="A375" s="70" t="s">
        <v>3291</v>
      </c>
      <c r="B375" s="55" t="s">
        <v>3405</v>
      </c>
      <c r="C375" s="253" t="s">
        <v>3203</v>
      </c>
      <c r="D375" s="55"/>
      <c r="E375" s="253" t="s">
        <v>3203</v>
      </c>
      <c r="F375" s="70"/>
      <c r="G375" s="55"/>
    </row>
    <row r="376" spans="1:7" x14ac:dyDescent="0.3">
      <c r="A376" s="70" t="s">
        <v>3359</v>
      </c>
      <c r="B376" s="55" t="s">
        <v>416</v>
      </c>
      <c r="C376" s="253" t="s">
        <v>3203</v>
      </c>
      <c r="D376" s="55"/>
      <c r="E376" s="253" t="s">
        <v>3203</v>
      </c>
      <c r="F376" s="70"/>
      <c r="G376" s="55"/>
    </row>
    <row r="377" spans="1:7" x14ac:dyDescent="0.3">
      <c r="A377" s="70" t="s">
        <v>3253</v>
      </c>
      <c r="B377" s="55" t="s">
        <v>3403</v>
      </c>
      <c r="C377" s="253" t="s">
        <v>3203</v>
      </c>
      <c r="D377" s="55"/>
      <c r="E377" s="253" t="s">
        <v>3203</v>
      </c>
      <c r="F377" s="70"/>
      <c r="G377" s="55"/>
    </row>
    <row r="378" spans="1:7" x14ac:dyDescent="0.3">
      <c r="A378" s="70" t="s">
        <v>3255</v>
      </c>
      <c r="B378" s="55" t="s">
        <v>3404</v>
      </c>
      <c r="C378" s="253" t="s">
        <v>3203</v>
      </c>
      <c r="D378" s="55"/>
      <c r="E378" s="253" t="s">
        <v>3203</v>
      </c>
      <c r="F378" s="70"/>
      <c r="G378" s="55"/>
    </row>
    <row r="379" spans="1:7" x14ac:dyDescent="0.3">
      <c r="A379" s="70" t="s">
        <v>3257</v>
      </c>
      <c r="B379" s="55" t="s">
        <v>3405</v>
      </c>
      <c r="C379" s="253" t="s">
        <v>3203</v>
      </c>
      <c r="D379" s="55"/>
      <c r="E379" s="253" t="s">
        <v>3203</v>
      </c>
      <c r="F379" s="55"/>
      <c r="G379" s="55"/>
    </row>
    <row r="380" spans="1:7" x14ac:dyDescent="0.3">
      <c r="A380" s="70" t="s">
        <v>3259</v>
      </c>
      <c r="B380" s="55" t="s">
        <v>416</v>
      </c>
      <c r="C380" s="253" t="s">
        <v>3203</v>
      </c>
      <c r="D380" s="55"/>
      <c r="E380" s="253" t="s">
        <v>3203</v>
      </c>
      <c r="F380" s="55"/>
      <c r="G380" s="55"/>
    </row>
    <row r="381" spans="1:7" x14ac:dyDescent="0.3">
      <c r="A381" s="70" t="s">
        <v>3261</v>
      </c>
      <c r="B381" s="55" t="s">
        <v>3406</v>
      </c>
      <c r="C381" s="253" t="s">
        <v>3203</v>
      </c>
      <c r="D381" s="55"/>
      <c r="E381" s="253" t="s">
        <v>3203</v>
      </c>
      <c r="F381" s="55"/>
      <c r="G381" s="55"/>
    </row>
    <row r="382" spans="1:7" x14ac:dyDescent="0.3">
      <c r="A382" s="70" t="s">
        <v>3263</v>
      </c>
      <c r="B382" s="55" t="s">
        <v>3407</v>
      </c>
      <c r="C382" s="253" t="s">
        <v>3203</v>
      </c>
      <c r="D382" s="55"/>
      <c r="E382" s="253" t="s">
        <v>3203</v>
      </c>
      <c r="F382" s="55"/>
      <c r="G382" s="55"/>
    </row>
    <row r="383" spans="1:7" x14ac:dyDescent="0.3">
      <c r="A383" s="70" t="s">
        <v>3265</v>
      </c>
      <c r="B383" s="55" t="s">
        <v>3408</v>
      </c>
      <c r="C383" s="253" t="s">
        <v>3203</v>
      </c>
      <c r="D383" s="55"/>
      <c r="E383" s="253" t="s">
        <v>3203</v>
      </c>
      <c r="F383" s="55"/>
      <c r="G383" s="55"/>
    </row>
    <row r="384" spans="1:7" x14ac:dyDescent="0.3">
      <c r="A384" s="70" t="s">
        <v>3267</v>
      </c>
      <c r="B384" s="55" t="s">
        <v>3409</v>
      </c>
      <c r="C384" s="253" t="s">
        <v>3203</v>
      </c>
      <c r="D384" s="55"/>
      <c r="E384" s="253" t="s">
        <v>3203</v>
      </c>
      <c r="F384" s="55"/>
      <c r="G384" s="55"/>
    </row>
    <row r="385" spans="1:7" x14ac:dyDescent="0.3">
      <c r="A385" s="70" t="s">
        <v>3269</v>
      </c>
      <c r="B385" s="55" t="s">
        <v>3410</v>
      </c>
      <c r="C385" s="253" t="s">
        <v>3203</v>
      </c>
      <c r="D385" s="55"/>
      <c r="E385" s="253" t="s">
        <v>3203</v>
      </c>
      <c r="F385" s="55"/>
      <c r="G385" s="55"/>
    </row>
    <row r="386" spans="1:7" x14ac:dyDescent="0.3">
      <c r="A386" s="70" t="s">
        <v>3271</v>
      </c>
      <c r="B386" s="55" t="s">
        <v>416</v>
      </c>
      <c r="C386" s="253" t="s">
        <v>3203</v>
      </c>
      <c r="D386" s="55"/>
      <c r="E386" s="253" t="s">
        <v>3203</v>
      </c>
      <c r="F386" s="55"/>
      <c r="G386" s="55"/>
    </row>
    <row r="387" spans="1:7" x14ac:dyDescent="0.3">
      <c r="A387" s="70" t="s">
        <v>3273</v>
      </c>
      <c r="B387" s="55" t="s">
        <v>3411</v>
      </c>
      <c r="C387" s="253" t="s">
        <v>3203</v>
      </c>
      <c r="D387" s="55"/>
      <c r="E387" s="253" t="s">
        <v>3203</v>
      </c>
      <c r="F387" s="55"/>
      <c r="G387" s="55"/>
    </row>
    <row r="388" spans="1:7" x14ac:dyDescent="0.3">
      <c r="A388" s="70" t="s">
        <v>3275</v>
      </c>
      <c r="B388" s="55" t="s">
        <v>3412</v>
      </c>
      <c r="C388" s="253" t="s">
        <v>3203</v>
      </c>
      <c r="D388" s="55"/>
      <c r="E388" s="253" t="s">
        <v>3203</v>
      </c>
      <c r="F388" s="55"/>
      <c r="G388" s="55"/>
    </row>
    <row r="389" spans="1:7" x14ac:dyDescent="0.3">
      <c r="A389" s="70" t="s">
        <v>3277</v>
      </c>
      <c r="B389" s="55" t="s">
        <v>3413</v>
      </c>
      <c r="C389" s="253" t="s">
        <v>3203</v>
      </c>
      <c r="D389" s="55"/>
      <c r="E389" s="253" t="s">
        <v>3203</v>
      </c>
      <c r="F389" s="55"/>
      <c r="G389" s="55"/>
    </row>
    <row r="390" spans="1:7" x14ac:dyDescent="0.3">
      <c r="A390" s="70" t="s">
        <v>3414</v>
      </c>
      <c r="B390" s="55" t="s">
        <v>3415</v>
      </c>
      <c r="C390" s="253" t="s">
        <v>3203</v>
      </c>
      <c r="D390" s="55"/>
      <c r="E390" s="253" t="s">
        <v>3203</v>
      </c>
      <c r="F390" s="253" t="s">
        <v>3203</v>
      </c>
      <c r="G390" s="55"/>
    </row>
    <row r="391" spans="1:7" x14ac:dyDescent="0.3">
      <c r="A391" s="70" t="s">
        <v>3416</v>
      </c>
      <c r="B391" s="55" t="s">
        <v>3417</v>
      </c>
      <c r="C391" s="253" t="s">
        <v>3203</v>
      </c>
      <c r="D391" s="55"/>
      <c r="E391" s="253" t="s">
        <v>3203</v>
      </c>
      <c r="F391" s="253" t="s">
        <v>3203</v>
      </c>
      <c r="G391" s="55"/>
    </row>
    <row r="392" spans="1:7" x14ac:dyDescent="0.3">
      <c r="A392" s="70" t="s">
        <v>3418</v>
      </c>
      <c r="B392" s="55" t="s">
        <v>751</v>
      </c>
      <c r="C392" s="253" t="s">
        <v>3203</v>
      </c>
      <c r="D392" s="55"/>
      <c r="E392" s="253" t="s">
        <v>3203</v>
      </c>
      <c r="F392" s="253" t="s">
        <v>3203</v>
      </c>
      <c r="G392" s="55"/>
    </row>
    <row r="393" spans="1:7" x14ac:dyDescent="0.3">
      <c r="A393" s="70" t="s">
        <v>3419</v>
      </c>
      <c r="B393" s="55" t="s">
        <v>3420</v>
      </c>
      <c r="C393" s="253" t="s">
        <v>3203</v>
      </c>
      <c r="D393" s="55"/>
      <c r="E393" s="253" t="s">
        <v>3203</v>
      </c>
      <c r="F393" s="253" t="s">
        <v>3203</v>
      </c>
      <c r="G393" s="55"/>
    </row>
    <row r="394" spans="1:7" x14ac:dyDescent="0.3">
      <c r="A394" s="70" t="s">
        <v>3421</v>
      </c>
      <c r="B394" s="55" t="s">
        <v>3422</v>
      </c>
      <c r="C394" s="253" t="s">
        <v>3203</v>
      </c>
      <c r="D394" s="55"/>
      <c r="E394" s="70" t="s">
        <v>3396</v>
      </c>
      <c r="F394" s="70" t="s">
        <v>3396</v>
      </c>
      <c r="G394" s="55"/>
    </row>
    <row r="395" spans="1:7" x14ac:dyDescent="0.3">
      <c r="A395" s="70" t="s">
        <v>3423</v>
      </c>
      <c r="B395" s="55" t="s">
        <v>3424</v>
      </c>
      <c r="C395" s="253" t="s">
        <v>3203</v>
      </c>
      <c r="D395" s="55"/>
      <c r="E395" s="253" t="s">
        <v>3203</v>
      </c>
      <c r="F395" s="253" t="s">
        <v>3203</v>
      </c>
      <c r="G395" s="55"/>
    </row>
    <row r="396" spans="1:7" x14ac:dyDescent="0.3">
      <c r="A396" s="70" t="s">
        <v>3425</v>
      </c>
      <c r="B396" s="55" t="s">
        <v>3426</v>
      </c>
      <c r="C396" s="253" t="s">
        <v>3203</v>
      </c>
      <c r="D396" s="55"/>
      <c r="E396" s="253" t="s">
        <v>3203</v>
      </c>
      <c r="F396" s="253" t="s">
        <v>3203</v>
      </c>
      <c r="G396" s="55"/>
    </row>
    <row r="397" spans="1:7" x14ac:dyDescent="0.3">
      <c r="A397" s="70" t="s">
        <v>3427</v>
      </c>
      <c r="B397" s="55" t="s">
        <v>3428</v>
      </c>
      <c r="C397" s="253" t="s">
        <v>3203</v>
      </c>
      <c r="D397" s="55"/>
      <c r="E397" s="253" t="s">
        <v>3203</v>
      </c>
      <c r="F397" s="253" t="s">
        <v>3203</v>
      </c>
      <c r="G397" s="55"/>
    </row>
    <row r="398" spans="1:7" x14ac:dyDescent="0.3">
      <c r="A398" s="70" t="s">
        <v>3429</v>
      </c>
      <c r="B398" s="55" t="s">
        <v>3430</v>
      </c>
      <c r="C398" s="253" t="s">
        <v>3203</v>
      </c>
      <c r="D398" s="55"/>
      <c r="E398" s="253" t="s">
        <v>3203</v>
      </c>
      <c r="F398" s="253" t="s">
        <v>3203</v>
      </c>
      <c r="G398" s="55"/>
    </row>
    <row r="399" spans="1:7" x14ac:dyDescent="0.3">
      <c r="A399" s="70" t="s">
        <v>3431</v>
      </c>
      <c r="B399" s="55" t="s">
        <v>3432</v>
      </c>
      <c r="C399" s="253" t="s">
        <v>3203</v>
      </c>
      <c r="D399" s="55"/>
      <c r="E399" s="70" t="s">
        <v>3396</v>
      </c>
      <c r="F399" s="70" t="s">
        <v>3398</v>
      </c>
      <c r="G399" s="55"/>
    </row>
    <row r="400" spans="1:7" x14ac:dyDescent="0.3">
      <c r="A400" s="70" t="s">
        <v>3433</v>
      </c>
      <c r="B400" s="55" t="s">
        <v>3434</v>
      </c>
      <c r="C400" s="253" t="s">
        <v>3203</v>
      </c>
      <c r="D400" s="55"/>
      <c r="E400" s="253" t="s">
        <v>3203</v>
      </c>
      <c r="F400" s="253" t="s">
        <v>3203</v>
      </c>
      <c r="G400" s="55"/>
    </row>
    <row r="401" spans="1:7" x14ac:dyDescent="0.3">
      <c r="A401" s="70" t="s">
        <v>3435</v>
      </c>
      <c r="B401" s="55" t="s">
        <v>3436</v>
      </c>
      <c r="C401" s="253" t="s">
        <v>3203</v>
      </c>
      <c r="D401" s="55"/>
      <c r="E401" s="253" t="s">
        <v>3203</v>
      </c>
      <c r="F401" s="253" t="s">
        <v>3203</v>
      </c>
      <c r="G401" s="55"/>
    </row>
    <row r="402" spans="1:7" x14ac:dyDescent="0.3">
      <c r="A402" s="70" t="s">
        <v>3437</v>
      </c>
      <c r="B402" s="55" t="s">
        <v>3438</v>
      </c>
      <c r="C402" s="253" t="s">
        <v>3203</v>
      </c>
      <c r="D402" s="55"/>
      <c r="E402" s="253" t="s">
        <v>3203</v>
      </c>
      <c r="F402" s="253" t="s">
        <v>3203</v>
      </c>
      <c r="G402" s="55"/>
    </row>
    <row r="403" spans="1:7" x14ac:dyDescent="0.3">
      <c r="A403" s="70" t="s">
        <v>3439</v>
      </c>
      <c r="B403" s="55" t="s">
        <v>3440</v>
      </c>
      <c r="C403" s="253" t="s">
        <v>3203</v>
      </c>
      <c r="D403" s="55"/>
      <c r="E403" s="253" t="s">
        <v>3203</v>
      </c>
      <c r="F403" s="253" t="s">
        <v>3203</v>
      </c>
      <c r="G403" s="55"/>
    </row>
    <row r="404" spans="1:7" x14ac:dyDescent="0.3">
      <c r="A404" s="70" t="s">
        <v>3441</v>
      </c>
      <c r="B404" s="55" t="s">
        <v>3442</v>
      </c>
      <c r="C404" s="253" t="s">
        <v>3203</v>
      </c>
      <c r="D404" s="55"/>
      <c r="E404" s="253" t="s">
        <v>3203</v>
      </c>
      <c r="F404" s="253" t="s">
        <v>3203</v>
      </c>
      <c r="G404" s="55"/>
    </row>
    <row r="405" spans="1:7" x14ac:dyDescent="0.3">
      <c r="A405" s="70" t="s">
        <v>3443</v>
      </c>
      <c r="B405" s="55" t="s">
        <v>3444</v>
      </c>
      <c r="C405" s="253" t="s">
        <v>3203</v>
      </c>
      <c r="D405" s="55"/>
      <c r="E405" s="253" t="s">
        <v>3203</v>
      </c>
      <c r="F405" s="253" t="s">
        <v>3203</v>
      </c>
      <c r="G405" s="55"/>
    </row>
    <row r="406" spans="1:7" x14ac:dyDescent="0.3">
      <c r="A406" s="70" t="s">
        <v>3445</v>
      </c>
      <c r="B406" s="55" t="s">
        <v>3446</v>
      </c>
      <c r="C406" s="253" t="s">
        <v>3203</v>
      </c>
      <c r="D406" s="55"/>
      <c r="E406" s="253" t="s">
        <v>3203</v>
      </c>
      <c r="F406" s="253" t="s">
        <v>3203</v>
      </c>
      <c r="G406" s="55"/>
    </row>
    <row r="407" spans="1:7" x14ac:dyDescent="0.3">
      <c r="A407" s="70" t="s">
        <v>3447</v>
      </c>
      <c r="B407" s="55" t="s">
        <v>3448</v>
      </c>
      <c r="C407" s="253" t="s">
        <v>3203</v>
      </c>
      <c r="D407" s="55"/>
      <c r="E407" s="70" t="s">
        <v>3396</v>
      </c>
      <c r="F407" s="70" t="s">
        <v>3396</v>
      </c>
      <c r="G407" s="55"/>
    </row>
    <row r="408" spans="1:7" x14ac:dyDescent="0.3">
      <c r="A408" s="70" t="s">
        <v>3449</v>
      </c>
      <c r="B408" s="55" t="s">
        <v>3450</v>
      </c>
      <c r="C408" s="253" t="s">
        <v>3203</v>
      </c>
      <c r="D408" s="55"/>
      <c r="E408" s="253" t="s">
        <v>3203</v>
      </c>
      <c r="F408" s="253" t="s">
        <v>3203</v>
      </c>
      <c r="G408" s="55"/>
    </row>
    <row r="409" spans="1:7" x14ac:dyDescent="0.3">
      <c r="A409" s="70" t="s">
        <v>3451</v>
      </c>
      <c r="B409" s="55" t="s">
        <v>3452</v>
      </c>
      <c r="C409" s="253" t="s">
        <v>3203</v>
      </c>
      <c r="D409" s="55"/>
      <c r="E409" s="253" t="s">
        <v>3203</v>
      </c>
      <c r="F409" s="253" t="s">
        <v>3203</v>
      </c>
      <c r="G409" s="55"/>
    </row>
    <row r="410" spans="1:7" x14ac:dyDescent="0.3">
      <c r="A410" s="70" t="s">
        <v>3453</v>
      </c>
      <c r="B410" s="55" t="s">
        <v>3454</v>
      </c>
      <c r="C410" s="253" t="s">
        <v>3203</v>
      </c>
      <c r="D410" s="55"/>
      <c r="E410" s="253" t="s">
        <v>3203</v>
      </c>
      <c r="F410" s="253" t="s">
        <v>3203</v>
      </c>
      <c r="G410" s="55"/>
    </row>
    <row r="411" spans="1:7" x14ac:dyDescent="0.3">
      <c r="A411" s="70" t="s">
        <v>3455</v>
      </c>
      <c r="B411" s="55" t="s">
        <v>3456</v>
      </c>
      <c r="C411" s="253" t="s">
        <v>3203</v>
      </c>
      <c r="D411" s="55"/>
      <c r="E411" s="253" t="s">
        <v>3203</v>
      </c>
      <c r="F411" s="253" t="s">
        <v>3203</v>
      </c>
      <c r="G411" s="55"/>
    </row>
    <row r="413" spans="1:7" x14ac:dyDescent="0.3">
      <c r="B413" s="135" t="s">
        <v>3240</v>
      </c>
      <c r="C413" s="255"/>
      <c r="D413" s="255"/>
    </row>
    <row r="414" spans="1:7" x14ac:dyDescent="0.3">
      <c r="A414" s="55"/>
      <c r="B414" s="55"/>
      <c r="C414" s="526" t="s">
        <v>3196</v>
      </c>
      <c r="D414" s="527"/>
      <c r="E414" s="526" t="s">
        <v>3196</v>
      </c>
      <c r="F414" s="527"/>
      <c r="G414" s="55"/>
    </row>
    <row r="415" spans="1:7" x14ac:dyDescent="0.3">
      <c r="A415" s="55" t="s">
        <v>3217</v>
      </c>
      <c r="B415" s="54" t="s">
        <v>3198</v>
      </c>
      <c r="C415" s="55" t="s">
        <v>3218</v>
      </c>
      <c r="D415" s="55"/>
      <c r="E415" s="55" t="s">
        <v>3218</v>
      </c>
      <c r="F415" s="55"/>
      <c r="G415" s="55"/>
    </row>
    <row r="416" spans="1:7" x14ac:dyDescent="0.3">
      <c r="A416" s="55"/>
      <c r="B416" s="54"/>
      <c r="C416" s="54"/>
      <c r="D416" s="54"/>
      <c r="E416" s="55"/>
      <c r="F416" s="55"/>
      <c r="G416" s="55"/>
    </row>
    <row r="417" spans="1:7" x14ac:dyDescent="0.3">
      <c r="A417" s="54" t="s">
        <v>3220</v>
      </c>
      <c r="B417" s="55" t="s">
        <v>3221</v>
      </c>
      <c r="C417" s="253" t="s">
        <v>3203</v>
      </c>
      <c r="D417" s="55"/>
      <c r="E417" s="253" t="s">
        <v>3203</v>
      </c>
      <c r="F417" s="55"/>
      <c r="G417" s="55"/>
    </row>
    <row r="418" spans="1:7" x14ac:dyDescent="0.3">
      <c r="A418" s="54" t="s">
        <v>3298</v>
      </c>
      <c r="B418" s="55" t="s">
        <v>3299</v>
      </c>
      <c r="C418" s="253" t="s">
        <v>3203</v>
      </c>
      <c r="D418" s="55"/>
      <c r="E418" s="253" t="s">
        <v>3203</v>
      </c>
      <c r="F418" s="55"/>
      <c r="G418" s="55"/>
    </row>
    <row r="420" spans="1:7" x14ac:dyDescent="0.3">
      <c r="B420" s="251" t="s">
        <v>3457</v>
      </c>
      <c r="C420" s="259"/>
      <c r="D420" s="259"/>
      <c r="E420" s="259" t="s">
        <v>3458</v>
      </c>
      <c r="F420" s="259"/>
    </row>
    <row r="421" spans="1:7" x14ac:dyDescent="0.3">
      <c r="B421" s="135" t="s">
        <v>3195</v>
      </c>
      <c r="C421" s="255"/>
      <c r="D421" s="255"/>
    </row>
    <row r="422" spans="1:7" x14ac:dyDescent="0.3">
      <c r="A422" s="55"/>
      <c r="B422" s="55"/>
      <c r="C422" s="526" t="s">
        <v>3196</v>
      </c>
      <c r="D422" s="527"/>
      <c r="E422" s="526" t="s">
        <v>3196</v>
      </c>
      <c r="F422" s="527"/>
      <c r="G422" s="31"/>
    </row>
    <row r="423" spans="1:7" x14ac:dyDescent="0.3">
      <c r="A423" s="54" t="s">
        <v>3197</v>
      </c>
      <c r="B423" s="54" t="s">
        <v>3198</v>
      </c>
      <c r="C423" s="54" t="s">
        <v>3199</v>
      </c>
      <c r="D423" s="54" t="s">
        <v>3200</v>
      </c>
      <c r="E423" s="54" t="s">
        <v>3199</v>
      </c>
      <c r="F423" s="54" t="s">
        <v>3200</v>
      </c>
      <c r="G423" s="54"/>
    </row>
    <row r="424" spans="1:7" x14ac:dyDescent="0.3">
      <c r="A424" s="55"/>
      <c r="B424" s="252"/>
      <c r="C424" s="252"/>
      <c r="D424" s="252"/>
      <c r="E424" s="55"/>
      <c r="F424" s="55"/>
      <c r="G424" s="55"/>
    </row>
    <row r="425" spans="1:7" x14ac:dyDescent="0.3">
      <c r="A425" s="54" t="s">
        <v>3201</v>
      </c>
      <c r="B425" s="55" t="s">
        <v>3202</v>
      </c>
      <c r="C425" s="253" t="s">
        <v>3203</v>
      </c>
      <c r="D425" s="55"/>
      <c r="E425" s="254" t="s">
        <v>3213</v>
      </c>
      <c r="F425" s="54"/>
      <c r="G425" s="55"/>
    </row>
    <row r="426" spans="1:7" x14ac:dyDescent="0.3">
      <c r="A426" s="54" t="s">
        <v>3205</v>
      </c>
      <c r="B426" s="55" t="s">
        <v>3206</v>
      </c>
      <c r="C426" s="253" t="s">
        <v>3203</v>
      </c>
      <c r="D426" s="55"/>
      <c r="E426" s="254" t="s">
        <v>3213</v>
      </c>
      <c r="F426" s="54"/>
      <c r="G426" s="55"/>
    </row>
    <row r="427" spans="1:7" x14ac:dyDescent="0.3">
      <c r="A427" s="54" t="s">
        <v>3208</v>
      </c>
      <c r="B427" s="55" t="s">
        <v>3209</v>
      </c>
      <c r="C427" s="253" t="s">
        <v>3203</v>
      </c>
      <c r="D427" s="55"/>
      <c r="E427" s="254" t="s">
        <v>3213</v>
      </c>
      <c r="F427" s="54"/>
      <c r="G427" s="55"/>
    </row>
    <row r="428" spans="1:7" x14ac:dyDescent="0.3">
      <c r="A428" s="54" t="s">
        <v>3211</v>
      </c>
      <c r="B428" s="55" t="s">
        <v>3212</v>
      </c>
      <c r="C428" s="253" t="s">
        <v>3203</v>
      </c>
      <c r="D428" s="55"/>
      <c r="E428" s="254" t="s">
        <v>3213</v>
      </c>
      <c r="F428" s="54"/>
      <c r="G428" s="55"/>
    </row>
    <row r="429" spans="1:7" x14ac:dyDescent="0.3">
      <c r="A429" s="54" t="s">
        <v>3214</v>
      </c>
      <c r="B429" s="55" t="s">
        <v>3215</v>
      </c>
      <c r="C429" s="253" t="s">
        <v>3203</v>
      </c>
      <c r="D429" s="55"/>
      <c r="E429" s="254" t="s">
        <v>3213</v>
      </c>
      <c r="F429" s="54"/>
      <c r="G429" s="55"/>
    </row>
    <row r="431" spans="1:7" x14ac:dyDescent="0.3">
      <c r="B431" s="135" t="s">
        <v>3216</v>
      </c>
      <c r="C431" s="255"/>
      <c r="D431" s="255"/>
    </row>
    <row r="432" spans="1:7" x14ac:dyDescent="0.3">
      <c r="A432" s="55"/>
      <c r="B432" s="55"/>
      <c r="C432" s="526" t="s">
        <v>3196</v>
      </c>
      <c r="D432" s="527"/>
      <c r="E432" s="526" t="s">
        <v>3196</v>
      </c>
      <c r="F432" s="527"/>
      <c r="G432" s="55"/>
    </row>
    <row r="433" spans="1:7" x14ac:dyDescent="0.3">
      <c r="A433" s="55" t="s">
        <v>3217</v>
      </c>
      <c r="B433" s="54" t="s">
        <v>3198</v>
      </c>
      <c r="C433" s="55" t="s">
        <v>3218</v>
      </c>
      <c r="D433" s="55"/>
      <c r="E433" s="55" t="s">
        <v>3218</v>
      </c>
      <c r="F433" s="55"/>
      <c r="G433" s="55"/>
    </row>
    <row r="434" spans="1:7" x14ac:dyDescent="0.3">
      <c r="A434" s="55"/>
      <c r="B434" s="54"/>
      <c r="C434" s="54"/>
      <c r="D434" s="54"/>
      <c r="E434" s="55"/>
      <c r="F434" s="55"/>
      <c r="G434" s="55"/>
    </row>
    <row r="435" spans="1:7" x14ac:dyDescent="0.3">
      <c r="A435" s="54" t="s">
        <v>3201</v>
      </c>
      <c r="B435" s="55" t="s">
        <v>3219</v>
      </c>
      <c r="C435" s="253" t="s">
        <v>3203</v>
      </c>
      <c r="D435" s="55"/>
      <c r="E435" s="254" t="s">
        <v>3213</v>
      </c>
      <c r="F435" s="55"/>
      <c r="G435" s="55"/>
    </row>
    <row r="436" spans="1:7" x14ac:dyDescent="0.3">
      <c r="A436" s="54" t="s">
        <v>3220</v>
      </c>
      <c r="B436" s="55" t="s">
        <v>3221</v>
      </c>
      <c r="C436" s="253" t="s">
        <v>3203</v>
      </c>
      <c r="D436" s="55"/>
      <c r="E436" s="254" t="s">
        <v>3213</v>
      </c>
      <c r="F436" s="55"/>
      <c r="G436" s="55"/>
    </row>
    <row r="439" spans="1:7" x14ac:dyDescent="0.3">
      <c r="B439" s="135" t="s">
        <v>3223</v>
      </c>
      <c r="C439" s="255"/>
      <c r="D439" s="255"/>
    </row>
    <row r="440" spans="1:7" x14ac:dyDescent="0.3">
      <c r="A440" s="55"/>
      <c r="B440" s="55"/>
      <c r="C440" s="526" t="s">
        <v>3196</v>
      </c>
      <c r="D440" s="527"/>
      <c r="E440" s="526" t="s">
        <v>3196</v>
      </c>
      <c r="F440" s="527"/>
      <c r="G440" s="31"/>
    </row>
    <row r="441" spans="1:7" x14ac:dyDescent="0.3">
      <c r="A441" s="70" t="s">
        <v>3197</v>
      </c>
      <c r="B441" s="70" t="s">
        <v>3198</v>
      </c>
      <c r="C441" s="70" t="s">
        <v>3199</v>
      </c>
      <c r="D441" s="70" t="s">
        <v>3200</v>
      </c>
      <c r="E441" s="70" t="s">
        <v>3199</v>
      </c>
      <c r="F441" s="70" t="s">
        <v>3200</v>
      </c>
      <c r="G441" s="70"/>
    </row>
    <row r="442" spans="1:7" x14ac:dyDescent="0.3">
      <c r="A442" s="70"/>
      <c r="B442" s="55"/>
      <c r="C442" s="55"/>
      <c r="D442" s="55"/>
      <c r="E442" s="70"/>
      <c r="F442" s="70"/>
      <c r="G442" s="70"/>
    </row>
    <row r="443" spans="1:7" x14ac:dyDescent="0.3">
      <c r="A443" s="70" t="s">
        <v>3201</v>
      </c>
      <c r="B443" s="55" t="s">
        <v>3459</v>
      </c>
      <c r="C443" s="253" t="s">
        <v>3203</v>
      </c>
      <c r="D443" s="55"/>
      <c r="E443" s="254" t="s">
        <v>3213</v>
      </c>
      <c r="F443" s="70"/>
      <c r="G443" s="70"/>
    </row>
    <row r="444" spans="1:7" x14ac:dyDescent="0.3">
      <c r="A444" s="70" t="s">
        <v>3205</v>
      </c>
      <c r="B444" s="55" t="s">
        <v>3460</v>
      </c>
      <c r="C444" s="253" t="s">
        <v>3203</v>
      </c>
      <c r="D444" s="55"/>
      <c r="E444" s="254" t="s">
        <v>3213</v>
      </c>
      <c r="F444" s="70"/>
      <c r="G444" s="70"/>
    </row>
    <row r="446" spans="1:7" x14ac:dyDescent="0.3">
      <c r="B446" s="135" t="s">
        <v>3240</v>
      </c>
      <c r="C446" s="255"/>
      <c r="D446" s="255"/>
    </row>
    <row r="447" spans="1:7" x14ac:dyDescent="0.3">
      <c r="A447" s="55"/>
      <c r="B447" s="55"/>
      <c r="C447" s="526" t="s">
        <v>3196</v>
      </c>
      <c r="D447" s="527"/>
      <c r="E447" s="526" t="s">
        <v>3196</v>
      </c>
      <c r="F447" s="527"/>
      <c r="G447" s="55"/>
    </row>
    <row r="448" spans="1:7" x14ac:dyDescent="0.3">
      <c r="A448" s="55" t="s">
        <v>3217</v>
      </c>
      <c r="B448" s="54" t="s">
        <v>3198</v>
      </c>
      <c r="C448" s="55" t="s">
        <v>3218</v>
      </c>
      <c r="D448" s="55"/>
      <c r="E448" s="55" t="s">
        <v>3218</v>
      </c>
      <c r="F448" s="55"/>
      <c r="G448" s="55"/>
    </row>
    <row r="449" spans="1:7" x14ac:dyDescent="0.3">
      <c r="A449" s="55"/>
      <c r="B449" s="54"/>
      <c r="C449" s="54"/>
      <c r="D449" s="54"/>
      <c r="E449" s="55"/>
      <c r="F449" s="55"/>
      <c r="G449" s="55"/>
    </row>
    <row r="450" spans="1:7" x14ac:dyDescent="0.3">
      <c r="A450" s="54" t="s">
        <v>3220</v>
      </c>
      <c r="B450" s="55" t="s">
        <v>3221</v>
      </c>
      <c r="C450" s="253" t="s">
        <v>3203</v>
      </c>
      <c r="D450" s="55"/>
      <c r="E450" s="254" t="s">
        <v>3213</v>
      </c>
      <c r="F450" s="55"/>
      <c r="G450" s="55"/>
    </row>
    <row r="451" spans="1:7" x14ac:dyDescent="0.3">
      <c r="A451" s="54" t="s">
        <v>3298</v>
      </c>
      <c r="B451" s="55" t="s">
        <v>3299</v>
      </c>
      <c r="C451" s="253" t="s">
        <v>3203</v>
      </c>
      <c r="D451" s="55"/>
      <c r="E451" s="254" t="s">
        <v>3213</v>
      </c>
      <c r="F451" s="55"/>
      <c r="G451" s="55"/>
    </row>
    <row r="453" spans="1:7" x14ac:dyDescent="0.3">
      <c r="B453" s="251" t="s">
        <v>202</v>
      </c>
      <c r="C453" s="259"/>
      <c r="D453" s="259"/>
      <c r="E453" s="258" t="s">
        <v>3461</v>
      </c>
      <c r="F453" s="258"/>
    </row>
    <row r="454" spans="1:7" x14ac:dyDescent="0.3">
      <c r="B454" s="135" t="s">
        <v>3195</v>
      </c>
      <c r="C454" s="255"/>
      <c r="D454" s="255"/>
    </row>
    <row r="455" spans="1:7" x14ac:dyDescent="0.3">
      <c r="A455" s="55"/>
      <c r="B455" s="55"/>
      <c r="C455" s="526" t="s">
        <v>3196</v>
      </c>
      <c r="D455" s="527"/>
      <c r="E455" s="526" t="s">
        <v>3196</v>
      </c>
      <c r="F455" s="527"/>
      <c r="G455" s="31"/>
    </row>
    <row r="456" spans="1:7" x14ac:dyDescent="0.3">
      <c r="A456" s="54" t="s">
        <v>3197</v>
      </c>
      <c r="B456" s="54" t="s">
        <v>3198</v>
      </c>
      <c r="C456" s="54" t="s">
        <v>3199</v>
      </c>
      <c r="D456" s="54" t="s">
        <v>3200</v>
      </c>
      <c r="E456" s="54" t="s">
        <v>3199</v>
      </c>
      <c r="F456" s="54" t="s">
        <v>3200</v>
      </c>
      <c r="G456" s="54"/>
    </row>
    <row r="457" spans="1:7" x14ac:dyDescent="0.3">
      <c r="A457" s="55"/>
      <c r="B457" s="252"/>
      <c r="C457" s="252"/>
      <c r="D457" s="252"/>
      <c r="E457" s="55"/>
      <c r="F457" s="55"/>
      <c r="G457" s="55"/>
    </row>
    <row r="458" spans="1:7" x14ac:dyDescent="0.3">
      <c r="A458" s="54" t="s">
        <v>3201</v>
      </c>
      <c r="B458" s="55" t="s">
        <v>3202</v>
      </c>
      <c r="C458" s="253" t="s">
        <v>3203</v>
      </c>
      <c r="D458" s="55"/>
      <c r="E458" s="253" t="s">
        <v>3203</v>
      </c>
      <c r="F458" s="54"/>
      <c r="G458" s="55"/>
    </row>
    <row r="459" spans="1:7" x14ac:dyDescent="0.3">
      <c r="A459" s="54" t="s">
        <v>3205</v>
      </c>
      <c r="B459" s="55" t="s">
        <v>3206</v>
      </c>
      <c r="C459" s="253" t="s">
        <v>3203</v>
      </c>
      <c r="D459" s="55"/>
      <c r="E459" s="253" t="s">
        <v>3203</v>
      </c>
      <c r="F459" s="54"/>
      <c r="G459" s="55"/>
    </row>
    <row r="460" spans="1:7" x14ac:dyDescent="0.3">
      <c r="A460" s="54" t="s">
        <v>3208</v>
      </c>
      <c r="B460" s="55" t="s">
        <v>3209</v>
      </c>
      <c r="C460" s="253" t="s">
        <v>3203</v>
      </c>
      <c r="D460" s="55"/>
      <c r="E460" s="253" t="s">
        <v>3203</v>
      </c>
      <c r="F460" s="54"/>
      <c r="G460" s="55"/>
    </row>
    <row r="461" spans="1:7" x14ac:dyDescent="0.3">
      <c r="A461" s="54" t="s">
        <v>3211</v>
      </c>
      <c r="B461" s="55" t="s">
        <v>3212</v>
      </c>
      <c r="C461" s="253" t="s">
        <v>3203</v>
      </c>
      <c r="D461" s="55"/>
      <c r="E461" s="253" t="s">
        <v>3203</v>
      </c>
      <c r="F461" s="54"/>
      <c r="G461" s="55"/>
    </row>
    <row r="462" spans="1:7" x14ac:dyDescent="0.3">
      <c r="A462" s="54" t="s">
        <v>3214</v>
      </c>
      <c r="B462" s="55" t="s">
        <v>3215</v>
      </c>
      <c r="C462" s="253" t="s">
        <v>3203</v>
      </c>
      <c r="D462" s="55"/>
      <c r="E462" s="253" t="s">
        <v>3203</v>
      </c>
      <c r="F462" s="54"/>
      <c r="G462" s="55"/>
    </row>
    <row r="464" spans="1:7" x14ac:dyDescent="0.3">
      <c r="B464" s="135" t="s">
        <v>3216</v>
      </c>
      <c r="C464" s="255"/>
      <c r="D464" s="255"/>
    </row>
    <row r="465" spans="1:7" x14ac:dyDescent="0.3">
      <c r="A465" s="55"/>
      <c r="B465" s="55"/>
      <c r="C465" s="526" t="s">
        <v>3196</v>
      </c>
      <c r="D465" s="527"/>
      <c r="E465" s="526" t="s">
        <v>3196</v>
      </c>
      <c r="F465" s="527"/>
      <c r="G465" s="55"/>
    </row>
    <row r="466" spans="1:7" x14ac:dyDescent="0.3">
      <c r="A466" s="55" t="s">
        <v>3217</v>
      </c>
      <c r="B466" s="54" t="s">
        <v>3198</v>
      </c>
      <c r="C466" s="55" t="s">
        <v>3218</v>
      </c>
      <c r="D466" s="55"/>
      <c r="E466" s="55" t="s">
        <v>3218</v>
      </c>
      <c r="F466" s="55"/>
      <c r="G466" s="55"/>
    </row>
    <row r="467" spans="1:7" x14ac:dyDescent="0.3">
      <c r="A467" s="55"/>
      <c r="B467" s="54"/>
      <c r="C467" s="54"/>
      <c r="D467" s="54"/>
      <c r="E467" s="55"/>
      <c r="F467" s="55"/>
      <c r="G467" s="55"/>
    </row>
    <row r="468" spans="1:7" x14ac:dyDescent="0.3">
      <c r="A468" s="54" t="s">
        <v>3201</v>
      </c>
      <c r="B468" s="55" t="s">
        <v>3219</v>
      </c>
      <c r="C468" s="253" t="s">
        <v>3203</v>
      </c>
      <c r="D468" s="55"/>
      <c r="E468" s="253" t="s">
        <v>3203</v>
      </c>
      <c r="F468" s="55"/>
      <c r="G468" s="55"/>
    </row>
    <row r="469" spans="1:7" x14ac:dyDescent="0.3">
      <c r="A469" s="54" t="s">
        <v>3220</v>
      </c>
      <c r="B469" s="55" t="s">
        <v>3221</v>
      </c>
      <c r="C469" s="253" t="s">
        <v>3203</v>
      </c>
      <c r="D469" s="55"/>
      <c r="E469" s="253" t="s">
        <v>3203</v>
      </c>
      <c r="F469" s="55"/>
      <c r="G469" s="55"/>
    </row>
    <row r="471" spans="1:7" x14ac:dyDescent="0.3">
      <c r="B471" s="135" t="s">
        <v>3223</v>
      </c>
      <c r="C471" s="255"/>
      <c r="D471" s="255"/>
    </row>
    <row r="472" spans="1:7" x14ac:dyDescent="0.3">
      <c r="A472" s="55"/>
      <c r="B472" s="55"/>
      <c r="C472" s="526" t="s">
        <v>3196</v>
      </c>
      <c r="D472" s="527"/>
      <c r="E472" s="526" t="s">
        <v>3196</v>
      </c>
      <c r="F472" s="527"/>
      <c r="G472" s="31" t="s">
        <v>3462</v>
      </c>
    </row>
    <row r="473" spans="1:7" x14ac:dyDescent="0.3">
      <c r="A473" s="70" t="s">
        <v>3197</v>
      </c>
      <c r="B473" s="70" t="s">
        <v>3198</v>
      </c>
      <c r="C473" s="70" t="s">
        <v>3199</v>
      </c>
      <c r="D473" s="70" t="s">
        <v>3200</v>
      </c>
      <c r="E473" s="70" t="s">
        <v>3199</v>
      </c>
      <c r="F473" s="70" t="s">
        <v>3200</v>
      </c>
      <c r="G473" s="70"/>
    </row>
    <row r="474" spans="1:7" x14ac:dyDescent="0.3">
      <c r="A474" s="70"/>
      <c r="B474" s="55"/>
      <c r="C474" s="55"/>
      <c r="D474" s="55"/>
      <c r="E474" s="70"/>
      <c r="F474" s="70"/>
      <c r="G474" s="55"/>
    </row>
    <row r="475" spans="1:7" x14ac:dyDescent="0.3">
      <c r="A475" s="70" t="s">
        <v>3201</v>
      </c>
      <c r="B475" s="55" t="s">
        <v>3463</v>
      </c>
      <c r="C475" s="253" t="s">
        <v>3203</v>
      </c>
      <c r="D475" s="55"/>
      <c r="E475" s="253" t="s">
        <v>3203</v>
      </c>
      <c r="F475" s="253" t="s">
        <v>3203</v>
      </c>
      <c r="G475" s="70">
        <v>455</v>
      </c>
    </row>
    <row r="476" spans="1:7" x14ac:dyDescent="0.3">
      <c r="A476" s="70" t="s">
        <v>3205</v>
      </c>
      <c r="B476" s="55" t="s">
        <v>3464</v>
      </c>
      <c r="C476" s="253" t="s">
        <v>3203</v>
      </c>
      <c r="D476" s="55"/>
      <c r="E476" s="253" t="s">
        <v>3203</v>
      </c>
      <c r="F476" s="253" t="s">
        <v>3203</v>
      </c>
      <c r="G476" s="70">
        <v>456</v>
      </c>
    </row>
    <row r="477" spans="1:7" x14ac:dyDescent="0.3">
      <c r="A477" s="70" t="s">
        <v>3208</v>
      </c>
      <c r="B477" s="55" t="s">
        <v>3465</v>
      </c>
      <c r="C477" s="253" t="s">
        <v>3203</v>
      </c>
      <c r="D477" s="55"/>
      <c r="E477" s="253" t="s">
        <v>3203</v>
      </c>
      <c r="F477" s="253" t="s">
        <v>3203</v>
      </c>
      <c r="G477" s="70">
        <v>457</v>
      </c>
    </row>
    <row r="478" spans="1:7" x14ac:dyDescent="0.3">
      <c r="A478" s="70" t="s">
        <v>3230</v>
      </c>
      <c r="B478" s="55" t="s">
        <v>3466</v>
      </c>
      <c r="C478" s="253" t="s">
        <v>3203</v>
      </c>
      <c r="D478" s="55"/>
      <c r="E478" s="253" t="s">
        <v>3203</v>
      </c>
      <c r="F478" s="253" t="s">
        <v>3203</v>
      </c>
      <c r="G478" s="70">
        <v>458</v>
      </c>
    </row>
    <row r="480" spans="1:7" x14ac:dyDescent="0.3">
      <c r="B480" s="135" t="s">
        <v>3240</v>
      </c>
      <c r="C480" s="255"/>
      <c r="D480" s="255"/>
    </row>
    <row r="481" spans="1:7" x14ac:dyDescent="0.3">
      <c r="A481" s="55"/>
      <c r="B481" s="55"/>
      <c r="C481" s="526" t="s">
        <v>3196</v>
      </c>
      <c r="D481" s="527"/>
      <c r="E481" s="526" t="s">
        <v>3196</v>
      </c>
      <c r="F481" s="527"/>
      <c r="G481" s="55"/>
    </row>
    <row r="482" spans="1:7" x14ac:dyDescent="0.3">
      <c r="A482" s="55" t="s">
        <v>3217</v>
      </c>
      <c r="B482" s="54" t="s">
        <v>3198</v>
      </c>
      <c r="C482" s="55" t="s">
        <v>3218</v>
      </c>
      <c r="D482" s="55"/>
      <c r="E482" s="55" t="s">
        <v>3218</v>
      </c>
      <c r="F482" s="55"/>
      <c r="G482" s="55"/>
    </row>
    <row r="483" spans="1:7" x14ac:dyDescent="0.3">
      <c r="A483" s="55"/>
      <c r="B483" s="54"/>
      <c r="C483" s="54"/>
      <c r="D483" s="54"/>
      <c r="E483" s="55"/>
      <c r="F483" s="55"/>
      <c r="G483" s="55"/>
    </row>
    <row r="484" spans="1:7" x14ac:dyDescent="0.3">
      <c r="A484" s="54" t="s">
        <v>3220</v>
      </c>
      <c r="B484" s="55" t="s">
        <v>3221</v>
      </c>
      <c r="C484" s="253" t="s">
        <v>3203</v>
      </c>
      <c r="D484" s="55"/>
      <c r="E484" s="254" t="s">
        <v>3213</v>
      </c>
      <c r="F484" s="55"/>
      <c r="G484" s="55"/>
    </row>
    <row r="485" spans="1:7" x14ac:dyDescent="0.3">
      <c r="A485" s="54" t="s">
        <v>3298</v>
      </c>
      <c r="B485" s="55" t="s">
        <v>3299</v>
      </c>
      <c r="C485" s="253" t="s">
        <v>3203</v>
      </c>
      <c r="D485" s="55"/>
      <c r="E485" s="254" t="s">
        <v>3213</v>
      </c>
      <c r="F485" s="55"/>
      <c r="G485" s="55"/>
    </row>
    <row r="487" spans="1:7" hidden="1" x14ac:dyDescent="0.3">
      <c r="B487" s="251" t="s">
        <v>3467</v>
      </c>
      <c r="C487" s="259"/>
      <c r="D487" s="259"/>
    </row>
    <row r="488" spans="1:7" hidden="1" x14ac:dyDescent="0.3">
      <c r="B488" s="135" t="s">
        <v>3195</v>
      </c>
      <c r="C488" s="255"/>
      <c r="D488" s="255"/>
    </row>
    <row r="489" spans="1:7" hidden="1" x14ac:dyDescent="0.3">
      <c r="A489" s="55"/>
      <c r="B489" s="55"/>
      <c r="C489" s="526" t="s">
        <v>3196</v>
      </c>
      <c r="D489" s="527"/>
      <c r="E489" s="526" t="s">
        <v>3196</v>
      </c>
      <c r="F489" s="527"/>
      <c r="G489" s="31"/>
    </row>
    <row r="490" spans="1:7" hidden="1" x14ac:dyDescent="0.3">
      <c r="A490" s="70" t="s">
        <v>3197</v>
      </c>
      <c r="B490" s="55" t="s">
        <v>3198</v>
      </c>
      <c r="C490" s="70" t="s">
        <v>3199</v>
      </c>
      <c r="D490" s="70" t="s">
        <v>3200</v>
      </c>
      <c r="E490" s="70" t="s">
        <v>3199</v>
      </c>
      <c r="F490" s="70" t="s">
        <v>3200</v>
      </c>
      <c r="G490" s="55"/>
    </row>
    <row r="491" spans="1:7" hidden="1" x14ac:dyDescent="0.3">
      <c r="A491" s="70"/>
      <c r="B491" s="252"/>
      <c r="C491" s="252"/>
      <c r="D491" s="252"/>
      <c r="E491" s="70"/>
      <c r="F491" s="70"/>
      <c r="G491" s="55"/>
    </row>
    <row r="492" spans="1:7" hidden="1" x14ac:dyDescent="0.3">
      <c r="A492" s="70" t="s">
        <v>3201</v>
      </c>
      <c r="B492" s="55" t="s">
        <v>3202</v>
      </c>
      <c r="C492" s="253" t="s">
        <v>3203</v>
      </c>
      <c r="D492" s="55"/>
      <c r="E492" s="254" t="s">
        <v>3213</v>
      </c>
      <c r="F492" s="70"/>
      <c r="G492" s="55"/>
    </row>
    <row r="493" spans="1:7" hidden="1" x14ac:dyDescent="0.3">
      <c r="A493" s="70" t="s">
        <v>3205</v>
      </c>
      <c r="B493" s="55" t="s">
        <v>3206</v>
      </c>
      <c r="C493" s="253" t="s">
        <v>3203</v>
      </c>
      <c r="D493" s="55"/>
      <c r="E493" s="254" t="s">
        <v>3213</v>
      </c>
      <c r="F493" s="70"/>
      <c r="G493" s="55"/>
    </row>
    <row r="494" spans="1:7" hidden="1" x14ac:dyDescent="0.3">
      <c r="A494" s="70" t="s">
        <v>3208</v>
      </c>
      <c r="B494" s="55" t="s">
        <v>3209</v>
      </c>
      <c r="C494" s="253" t="s">
        <v>3203</v>
      </c>
      <c r="D494" s="55"/>
      <c r="E494" s="254" t="s">
        <v>3213</v>
      </c>
      <c r="F494" s="70"/>
      <c r="G494" s="55"/>
    </row>
    <row r="495" spans="1:7" hidden="1" x14ac:dyDescent="0.3">
      <c r="A495" s="70" t="s">
        <v>3230</v>
      </c>
      <c r="B495" s="55" t="s">
        <v>3244</v>
      </c>
      <c r="C495" s="253" t="s">
        <v>3203</v>
      </c>
      <c r="D495" s="55"/>
      <c r="E495" s="254" t="s">
        <v>3213</v>
      </c>
      <c r="F495" s="70"/>
      <c r="G495" s="55"/>
    </row>
    <row r="496" spans="1:7" hidden="1" x14ac:dyDescent="0.3">
      <c r="A496" s="70" t="s">
        <v>3233</v>
      </c>
      <c r="B496" s="55" t="s">
        <v>3245</v>
      </c>
      <c r="C496" s="253" t="s">
        <v>3203</v>
      </c>
      <c r="D496" s="55"/>
      <c r="E496" s="254" t="s">
        <v>3213</v>
      </c>
      <c r="F496" s="70"/>
      <c r="G496" s="55"/>
    </row>
    <row r="497" spans="1:8" hidden="1" x14ac:dyDescent="0.3">
      <c r="A497" s="70" t="s">
        <v>3211</v>
      </c>
      <c r="B497" s="55" t="s">
        <v>3246</v>
      </c>
      <c r="C497" s="253" t="s">
        <v>3203</v>
      </c>
      <c r="D497" s="55"/>
      <c r="E497" s="254" t="s">
        <v>3213</v>
      </c>
      <c r="F497" s="70"/>
      <c r="G497" s="55"/>
    </row>
    <row r="498" spans="1:8" hidden="1" x14ac:dyDescent="0.3">
      <c r="A498" s="70" t="s">
        <v>3214</v>
      </c>
      <c r="B498" s="55" t="s">
        <v>3215</v>
      </c>
      <c r="C498" s="253" t="s">
        <v>3203</v>
      </c>
      <c r="D498" s="55"/>
      <c r="E498" s="254" t="s">
        <v>3213</v>
      </c>
      <c r="F498" s="70"/>
      <c r="G498" s="55"/>
    </row>
    <row r="499" spans="1:8" hidden="1" x14ac:dyDescent="0.3"/>
    <row r="500" spans="1:8" hidden="1" x14ac:dyDescent="0.3">
      <c r="B500" s="135" t="s">
        <v>3216</v>
      </c>
      <c r="C500" s="255"/>
      <c r="D500" s="255"/>
    </row>
    <row r="501" spans="1:8" hidden="1" x14ac:dyDescent="0.3">
      <c r="A501" s="55"/>
      <c r="B501" s="55"/>
      <c r="C501" s="526" t="s">
        <v>3196</v>
      </c>
      <c r="D501" s="527"/>
      <c r="E501" s="526" t="s">
        <v>3196</v>
      </c>
      <c r="F501" s="527"/>
      <c r="G501" s="55"/>
    </row>
    <row r="502" spans="1:8" hidden="1" x14ac:dyDescent="0.3">
      <c r="A502" s="55" t="s">
        <v>3217</v>
      </c>
      <c r="B502" s="54" t="s">
        <v>3198</v>
      </c>
      <c r="C502" s="55" t="s">
        <v>3218</v>
      </c>
      <c r="D502" s="55"/>
      <c r="E502" s="55" t="s">
        <v>3218</v>
      </c>
      <c r="F502" s="55"/>
      <c r="G502" s="55"/>
    </row>
    <row r="503" spans="1:8" hidden="1" x14ac:dyDescent="0.3">
      <c r="A503" s="55"/>
      <c r="B503" s="54"/>
      <c r="C503" s="54"/>
      <c r="D503" s="54"/>
      <c r="E503" s="55"/>
      <c r="F503" s="55"/>
      <c r="G503" s="55"/>
    </row>
    <row r="504" spans="1:8" hidden="1" x14ac:dyDescent="0.3">
      <c r="A504" s="54" t="s">
        <v>3201</v>
      </c>
      <c r="B504" s="55" t="s">
        <v>3219</v>
      </c>
      <c r="C504" s="253" t="s">
        <v>3203</v>
      </c>
      <c r="D504" s="55"/>
      <c r="E504" s="254" t="s">
        <v>3213</v>
      </c>
      <c r="F504" s="55"/>
      <c r="G504" s="55"/>
    </row>
    <row r="505" spans="1:8" hidden="1" x14ac:dyDescent="0.3">
      <c r="A505" s="54" t="s">
        <v>3220</v>
      </c>
      <c r="B505" s="55" t="s">
        <v>3221</v>
      </c>
      <c r="C505" s="253" t="s">
        <v>3203</v>
      </c>
      <c r="D505" s="55"/>
      <c r="E505" s="254" t="s">
        <v>3213</v>
      </c>
      <c r="F505" s="55"/>
      <c r="G505" s="55"/>
    </row>
    <row r="506" spans="1:8" hidden="1" x14ac:dyDescent="0.3"/>
    <row r="507" spans="1:8" hidden="1" x14ac:dyDescent="0.3">
      <c r="B507" s="135" t="s">
        <v>3223</v>
      </c>
      <c r="C507" s="255"/>
      <c r="D507" s="255"/>
    </row>
    <row r="508" spans="1:8" hidden="1" x14ac:dyDescent="0.3">
      <c r="A508" s="55"/>
      <c r="B508" s="55"/>
      <c r="C508" s="526" t="s">
        <v>3196</v>
      </c>
      <c r="D508" s="527"/>
      <c r="E508" s="526" t="s">
        <v>3196</v>
      </c>
      <c r="F508" s="527"/>
      <c r="G508" s="31"/>
      <c r="H508" s="262"/>
    </row>
    <row r="509" spans="1:8" hidden="1" x14ac:dyDescent="0.3">
      <c r="A509" s="70" t="s">
        <v>3197</v>
      </c>
      <c r="B509" s="70" t="s">
        <v>3198</v>
      </c>
      <c r="C509" s="70" t="s">
        <v>3199</v>
      </c>
      <c r="D509" s="70" t="s">
        <v>3200</v>
      </c>
      <c r="E509" s="70" t="s">
        <v>3199</v>
      </c>
      <c r="F509" s="70" t="s">
        <v>3200</v>
      </c>
      <c r="G509" s="70"/>
      <c r="H509" s="263" t="s">
        <v>3468</v>
      </c>
    </row>
    <row r="510" spans="1:8" hidden="1" x14ac:dyDescent="0.3">
      <c r="A510" s="70"/>
      <c r="B510" s="55"/>
      <c r="C510" s="55"/>
      <c r="D510" s="55"/>
      <c r="E510" s="70"/>
      <c r="F510" s="70"/>
      <c r="G510" s="70"/>
      <c r="H510" s="260"/>
    </row>
    <row r="511" spans="1:8" hidden="1" x14ac:dyDescent="0.3">
      <c r="A511" s="70" t="s">
        <v>3201</v>
      </c>
      <c r="B511" s="55" t="s">
        <v>3469</v>
      </c>
      <c r="C511" s="253" t="s">
        <v>3203</v>
      </c>
      <c r="D511" s="55"/>
      <c r="E511" s="254" t="s">
        <v>3213</v>
      </c>
      <c r="F511" s="70"/>
      <c r="G511" s="70"/>
      <c r="H511" s="264"/>
    </row>
    <row r="512" spans="1:8" hidden="1" x14ac:dyDescent="0.3">
      <c r="A512" s="70" t="s">
        <v>3205</v>
      </c>
      <c r="B512" s="55" t="s">
        <v>3470</v>
      </c>
      <c r="C512" s="253" t="s">
        <v>3203</v>
      </c>
      <c r="D512" s="55"/>
      <c r="E512" s="254" t="s">
        <v>3213</v>
      </c>
      <c r="F512" s="70"/>
      <c r="G512" s="70"/>
      <c r="H512" s="263"/>
    </row>
    <row r="513" spans="1:8" hidden="1" x14ac:dyDescent="0.3">
      <c r="A513" s="70" t="s">
        <v>3208</v>
      </c>
      <c r="B513" s="55" t="s">
        <v>3471</v>
      </c>
      <c r="C513" s="253" t="s">
        <v>3203</v>
      </c>
      <c r="D513" s="55"/>
      <c r="E513" s="254" t="s">
        <v>3213</v>
      </c>
      <c r="F513" s="70"/>
      <c r="G513" s="70"/>
      <c r="H513" s="263"/>
    </row>
    <row r="514" spans="1:8" hidden="1" x14ac:dyDescent="0.3">
      <c r="A514" s="70" t="s">
        <v>3230</v>
      </c>
      <c r="B514" s="55" t="s">
        <v>3472</v>
      </c>
      <c r="C514" s="253" t="s">
        <v>3203</v>
      </c>
      <c r="D514" s="55"/>
      <c r="E514" s="254" t="s">
        <v>3213</v>
      </c>
      <c r="F514" s="70"/>
      <c r="G514" s="70"/>
      <c r="H514" s="263"/>
    </row>
    <row r="515" spans="1:8" hidden="1" x14ac:dyDescent="0.3">
      <c r="A515" s="70" t="s">
        <v>3233</v>
      </c>
      <c r="B515" s="55" t="s">
        <v>3473</v>
      </c>
      <c r="C515" s="253" t="s">
        <v>3203</v>
      </c>
      <c r="D515" s="55"/>
      <c r="E515" s="254" t="s">
        <v>3213</v>
      </c>
      <c r="F515" s="70"/>
      <c r="G515" s="70"/>
      <c r="H515" s="263"/>
    </row>
    <row r="516" spans="1:8" hidden="1" x14ac:dyDescent="0.3">
      <c r="A516" s="70" t="s">
        <v>3211</v>
      </c>
      <c r="B516" s="55" t="s">
        <v>3474</v>
      </c>
      <c r="C516" s="253" t="s">
        <v>3203</v>
      </c>
      <c r="D516" s="55"/>
      <c r="E516" s="254" t="s">
        <v>3213</v>
      </c>
      <c r="F516" s="70"/>
      <c r="G516" s="70"/>
      <c r="H516" s="264"/>
    </row>
    <row r="517" spans="1:8" hidden="1" x14ac:dyDescent="0.3">
      <c r="A517" s="70" t="s">
        <v>3214</v>
      </c>
      <c r="B517" s="55" t="s">
        <v>3475</v>
      </c>
      <c r="C517" s="253" t="s">
        <v>3203</v>
      </c>
      <c r="D517" s="55"/>
      <c r="E517" s="254" t="s">
        <v>3213</v>
      </c>
      <c r="F517" s="70"/>
      <c r="G517" s="55"/>
      <c r="H517" s="264"/>
    </row>
    <row r="518" spans="1:8" hidden="1" x14ac:dyDescent="0.3"/>
    <row r="519" spans="1:8" hidden="1" x14ac:dyDescent="0.3">
      <c r="B519" s="135" t="s">
        <v>3240</v>
      </c>
      <c r="C519" s="255"/>
      <c r="D519" s="255"/>
    </row>
    <row r="520" spans="1:8" hidden="1" x14ac:dyDescent="0.3">
      <c r="A520" s="55"/>
      <c r="B520" s="55"/>
      <c r="C520" s="526" t="s">
        <v>3196</v>
      </c>
      <c r="D520" s="527"/>
      <c r="E520" s="526" t="s">
        <v>3196</v>
      </c>
      <c r="F520" s="527"/>
      <c r="G520" s="55"/>
    </row>
    <row r="521" spans="1:8" hidden="1" x14ac:dyDescent="0.3">
      <c r="A521" s="55" t="s">
        <v>3217</v>
      </c>
      <c r="B521" s="54" t="s">
        <v>3198</v>
      </c>
      <c r="C521" s="55" t="s">
        <v>3218</v>
      </c>
      <c r="D521" s="55"/>
      <c r="E521" s="55" t="s">
        <v>3218</v>
      </c>
      <c r="F521" s="55"/>
      <c r="G521" s="55"/>
    </row>
    <row r="522" spans="1:8" hidden="1" x14ac:dyDescent="0.3">
      <c r="A522" s="55"/>
      <c r="B522" s="54"/>
      <c r="C522" s="54"/>
      <c r="D522" s="54"/>
      <c r="E522" s="55"/>
      <c r="F522" s="55"/>
      <c r="G522" s="55"/>
    </row>
    <row r="523" spans="1:8" hidden="1" x14ac:dyDescent="0.3">
      <c r="A523" s="54" t="s">
        <v>3201</v>
      </c>
      <c r="B523" s="55" t="s">
        <v>3219</v>
      </c>
      <c r="C523" s="253" t="s">
        <v>3203</v>
      </c>
      <c r="D523" s="55"/>
      <c r="E523" s="254" t="s">
        <v>3213</v>
      </c>
      <c r="F523" s="55"/>
      <c r="G523" s="55"/>
    </row>
    <row r="524" spans="1:8" hidden="1" x14ac:dyDescent="0.3">
      <c r="A524" s="54" t="s">
        <v>3220</v>
      </c>
      <c r="B524" s="55" t="s">
        <v>3221</v>
      </c>
      <c r="C524" s="253" t="s">
        <v>3203</v>
      </c>
      <c r="D524" s="55"/>
      <c r="E524" s="254" t="s">
        <v>3213</v>
      </c>
      <c r="F524" s="55"/>
      <c r="G524" s="55"/>
    </row>
    <row r="525" spans="1:8" hidden="1" x14ac:dyDescent="0.3">
      <c r="A525" s="54" t="s">
        <v>3298</v>
      </c>
      <c r="B525" s="55" t="s">
        <v>3299</v>
      </c>
      <c r="C525" s="253" t="s">
        <v>3203</v>
      </c>
      <c r="D525" s="55"/>
      <c r="E525" s="254" t="s">
        <v>3213</v>
      </c>
      <c r="F525" s="55"/>
      <c r="G525" s="55"/>
    </row>
    <row r="526" spans="1:8" hidden="1" x14ac:dyDescent="0.3"/>
    <row r="527" spans="1:8" hidden="1" x14ac:dyDescent="0.3">
      <c r="B527" s="251" t="s">
        <v>3476</v>
      </c>
      <c r="C527" s="259"/>
      <c r="D527" s="259"/>
    </row>
    <row r="528" spans="1:8" hidden="1" x14ac:dyDescent="0.3">
      <c r="B528" s="135" t="s">
        <v>3195</v>
      </c>
      <c r="C528" s="255"/>
      <c r="D528" s="255"/>
    </row>
    <row r="529" spans="1:7" hidden="1" x14ac:dyDescent="0.3">
      <c r="A529" s="55"/>
      <c r="B529" s="55"/>
      <c r="C529" s="526" t="s">
        <v>3196</v>
      </c>
      <c r="D529" s="527"/>
      <c r="E529" s="526" t="s">
        <v>3196</v>
      </c>
      <c r="F529" s="527"/>
      <c r="G529" s="31"/>
    </row>
    <row r="530" spans="1:7" hidden="1" x14ac:dyDescent="0.3">
      <c r="A530" s="70" t="s">
        <v>3197</v>
      </c>
      <c r="B530" s="55" t="s">
        <v>3198</v>
      </c>
      <c r="C530" s="70" t="s">
        <v>3199</v>
      </c>
      <c r="D530" s="70" t="s">
        <v>3200</v>
      </c>
      <c r="E530" s="70" t="s">
        <v>3199</v>
      </c>
      <c r="F530" s="70" t="s">
        <v>3200</v>
      </c>
      <c r="G530" s="55"/>
    </row>
    <row r="531" spans="1:7" hidden="1" x14ac:dyDescent="0.3">
      <c r="A531" s="70"/>
      <c r="B531" s="252"/>
      <c r="C531" s="252"/>
      <c r="D531" s="252"/>
      <c r="E531" s="70"/>
      <c r="F531" s="70"/>
      <c r="G531" s="55"/>
    </row>
    <row r="532" spans="1:7" hidden="1" x14ac:dyDescent="0.3">
      <c r="A532" s="70" t="s">
        <v>3201</v>
      </c>
      <c r="B532" s="55" t="s">
        <v>3202</v>
      </c>
      <c r="C532" s="253" t="s">
        <v>3203</v>
      </c>
      <c r="D532" s="55"/>
      <c r="E532" s="254" t="s">
        <v>3213</v>
      </c>
      <c r="F532" s="70"/>
      <c r="G532" s="55"/>
    </row>
    <row r="533" spans="1:7" hidden="1" x14ac:dyDescent="0.3">
      <c r="A533" s="70" t="s">
        <v>3205</v>
      </c>
      <c r="B533" s="55" t="s">
        <v>3206</v>
      </c>
      <c r="C533" s="253" t="s">
        <v>3203</v>
      </c>
      <c r="D533" s="55"/>
      <c r="E533" s="254" t="s">
        <v>3213</v>
      </c>
      <c r="F533" s="70"/>
      <c r="G533" s="55"/>
    </row>
    <row r="534" spans="1:7" hidden="1" x14ac:dyDescent="0.3">
      <c r="A534" s="70" t="s">
        <v>3208</v>
      </c>
      <c r="B534" s="55" t="s">
        <v>3209</v>
      </c>
      <c r="C534" s="253" t="s">
        <v>3203</v>
      </c>
      <c r="D534" s="55"/>
      <c r="E534" s="254" t="s">
        <v>3213</v>
      </c>
      <c r="F534" s="70"/>
      <c r="G534" s="55"/>
    </row>
    <row r="535" spans="1:7" hidden="1" x14ac:dyDescent="0.3">
      <c r="A535" s="70" t="s">
        <v>3230</v>
      </c>
      <c r="B535" s="55" t="s">
        <v>3244</v>
      </c>
      <c r="C535" s="253" t="s">
        <v>3203</v>
      </c>
      <c r="D535" s="55"/>
      <c r="E535" s="254" t="s">
        <v>3213</v>
      </c>
      <c r="F535" s="70"/>
      <c r="G535" s="55"/>
    </row>
    <row r="536" spans="1:7" hidden="1" x14ac:dyDescent="0.3">
      <c r="A536" s="70" t="s">
        <v>3233</v>
      </c>
      <c r="B536" s="55" t="s">
        <v>3245</v>
      </c>
      <c r="C536" s="253" t="s">
        <v>3203</v>
      </c>
      <c r="D536" s="55"/>
      <c r="E536" s="254" t="s">
        <v>3213</v>
      </c>
      <c r="F536" s="70"/>
      <c r="G536" s="55"/>
    </row>
    <row r="537" spans="1:7" hidden="1" x14ac:dyDescent="0.3">
      <c r="A537" s="70" t="s">
        <v>3211</v>
      </c>
      <c r="B537" s="55" t="s">
        <v>3246</v>
      </c>
      <c r="C537" s="253" t="s">
        <v>3203</v>
      </c>
      <c r="D537" s="55"/>
      <c r="E537" s="254" t="s">
        <v>3213</v>
      </c>
      <c r="F537" s="70"/>
      <c r="G537" s="55"/>
    </row>
    <row r="538" spans="1:7" hidden="1" x14ac:dyDescent="0.3">
      <c r="A538" s="70" t="s">
        <v>3214</v>
      </c>
      <c r="B538" s="55" t="s">
        <v>3215</v>
      </c>
      <c r="C538" s="253" t="s">
        <v>3203</v>
      </c>
      <c r="D538" s="55"/>
      <c r="E538" s="254" t="s">
        <v>3213</v>
      </c>
      <c r="F538" s="70"/>
      <c r="G538" s="55"/>
    </row>
    <row r="539" spans="1:7" hidden="1" x14ac:dyDescent="0.3"/>
    <row r="540" spans="1:7" hidden="1" x14ac:dyDescent="0.3">
      <c r="B540" s="135" t="s">
        <v>3216</v>
      </c>
      <c r="C540" s="255"/>
      <c r="D540" s="255"/>
    </row>
    <row r="541" spans="1:7" hidden="1" x14ac:dyDescent="0.3">
      <c r="A541" s="55"/>
      <c r="B541" s="55"/>
      <c r="C541" s="526" t="s">
        <v>3196</v>
      </c>
      <c r="D541" s="527"/>
      <c r="E541" s="526" t="s">
        <v>3196</v>
      </c>
      <c r="F541" s="527"/>
      <c r="G541" s="55"/>
    </row>
    <row r="542" spans="1:7" hidden="1" x14ac:dyDescent="0.3">
      <c r="A542" s="55" t="s">
        <v>3217</v>
      </c>
      <c r="B542" s="54" t="s">
        <v>3198</v>
      </c>
      <c r="C542" s="55" t="s">
        <v>3218</v>
      </c>
      <c r="D542" s="55"/>
      <c r="E542" s="55" t="s">
        <v>3218</v>
      </c>
      <c r="F542" s="55"/>
      <c r="G542" s="55"/>
    </row>
    <row r="543" spans="1:7" hidden="1" x14ac:dyDescent="0.3">
      <c r="A543" s="55"/>
      <c r="B543" s="54"/>
      <c r="C543" s="54"/>
      <c r="D543" s="54"/>
      <c r="E543" s="55"/>
      <c r="F543" s="55"/>
      <c r="G543" s="55"/>
    </row>
    <row r="544" spans="1:7" hidden="1" x14ac:dyDescent="0.3">
      <c r="A544" s="54" t="s">
        <v>3201</v>
      </c>
      <c r="B544" s="55" t="s">
        <v>3219</v>
      </c>
      <c r="C544" s="253" t="s">
        <v>3203</v>
      </c>
      <c r="D544" s="55"/>
      <c r="E544" s="254" t="s">
        <v>3213</v>
      </c>
      <c r="F544" s="55"/>
      <c r="G544" s="55"/>
    </row>
    <row r="545" spans="1:8" hidden="1" x14ac:dyDescent="0.3">
      <c r="A545" s="54" t="s">
        <v>3220</v>
      </c>
      <c r="B545" s="55" t="s">
        <v>3221</v>
      </c>
      <c r="C545" s="253" t="s">
        <v>3203</v>
      </c>
      <c r="D545" s="55"/>
      <c r="E545" s="254" t="s">
        <v>3213</v>
      </c>
      <c r="F545" s="55"/>
      <c r="G545" s="55"/>
    </row>
    <row r="546" spans="1:8" hidden="1" x14ac:dyDescent="0.3"/>
    <row r="547" spans="1:8" hidden="1" x14ac:dyDescent="0.3">
      <c r="B547" s="135" t="s">
        <v>3223</v>
      </c>
      <c r="C547" s="255"/>
      <c r="D547" s="255"/>
    </row>
    <row r="548" spans="1:8" hidden="1" x14ac:dyDescent="0.3">
      <c r="A548" s="55"/>
      <c r="B548" s="55"/>
      <c r="C548" s="526" t="s">
        <v>3196</v>
      </c>
      <c r="D548" s="527"/>
      <c r="E548" s="526" t="s">
        <v>3196</v>
      </c>
      <c r="F548" s="527"/>
      <c r="G548" s="31"/>
      <c r="H548" s="262"/>
    </row>
    <row r="549" spans="1:8" hidden="1" x14ac:dyDescent="0.3">
      <c r="A549" s="70" t="s">
        <v>3197</v>
      </c>
      <c r="B549" s="70" t="s">
        <v>3198</v>
      </c>
      <c r="C549" s="70" t="s">
        <v>3199</v>
      </c>
      <c r="D549" s="70" t="s">
        <v>3200</v>
      </c>
      <c r="E549" s="70" t="s">
        <v>3199</v>
      </c>
      <c r="F549" s="70" t="s">
        <v>3200</v>
      </c>
      <c r="G549" s="70"/>
      <c r="H549" s="263" t="s">
        <v>3468</v>
      </c>
    </row>
    <row r="550" spans="1:8" hidden="1" x14ac:dyDescent="0.3">
      <c r="A550" s="70"/>
      <c r="B550" s="55"/>
      <c r="C550" s="55"/>
      <c r="D550" s="55"/>
      <c r="E550" s="70"/>
      <c r="F550" s="70"/>
      <c r="G550" s="70"/>
      <c r="H550" s="260"/>
    </row>
    <row r="551" spans="1:8" hidden="1" x14ac:dyDescent="0.3">
      <c r="A551" s="70" t="s">
        <v>3201</v>
      </c>
      <c r="B551" s="55" t="s">
        <v>3477</v>
      </c>
      <c r="C551" s="253" t="s">
        <v>3203</v>
      </c>
      <c r="D551" s="55"/>
      <c r="E551" s="254" t="s">
        <v>3213</v>
      </c>
      <c r="F551" s="70"/>
      <c r="G551" s="70"/>
      <c r="H551" s="264"/>
    </row>
    <row r="552" spans="1:8" hidden="1" x14ac:dyDescent="0.3">
      <c r="A552" s="70" t="s">
        <v>3205</v>
      </c>
      <c r="B552" s="55" t="s">
        <v>3470</v>
      </c>
      <c r="C552" s="253" t="s">
        <v>3203</v>
      </c>
      <c r="D552" s="55"/>
      <c r="E552" s="254" t="s">
        <v>3213</v>
      </c>
      <c r="F552" s="70"/>
      <c r="G552" s="70"/>
      <c r="H552" s="263"/>
    </row>
    <row r="553" spans="1:8" hidden="1" x14ac:dyDescent="0.3"/>
    <row r="554" spans="1:8" hidden="1" x14ac:dyDescent="0.3">
      <c r="B554" s="135" t="s">
        <v>3240</v>
      </c>
      <c r="C554" s="255"/>
      <c r="D554" s="255"/>
    </row>
    <row r="555" spans="1:8" hidden="1" x14ac:dyDescent="0.3">
      <c r="A555" s="55"/>
      <c r="B555" s="55"/>
      <c r="C555" s="526" t="s">
        <v>3196</v>
      </c>
      <c r="D555" s="527"/>
      <c r="E555" s="526" t="s">
        <v>3196</v>
      </c>
      <c r="F555" s="527"/>
      <c r="G555" s="55"/>
    </row>
    <row r="556" spans="1:8" hidden="1" x14ac:dyDescent="0.3">
      <c r="A556" s="55" t="s">
        <v>3217</v>
      </c>
      <c r="B556" s="54" t="s">
        <v>3198</v>
      </c>
      <c r="C556" s="55" t="s">
        <v>3218</v>
      </c>
      <c r="D556" s="55"/>
      <c r="E556" s="55" t="s">
        <v>3218</v>
      </c>
      <c r="F556" s="55"/>
      <c r="G556" s="55"/>
    </row>
    <row r="557" spans="1:8" hidden="1" x14ac:dyDescent="0.3">
      <c r="A557" s="55"/>
      <c r="B557" s="54"/>
      <c r="C557" s="54"/>
      <c r="D557" s="54"/>
      <c r="E557" s="55"/>
      <c r="F557" s="55"/>
      <c r="G557" s="55"/>
    </row>
    <row r="558" spans="1:8" hidden="1" x14ac:dyDescent="0.3">
      <c r="A558" s="54" t="s">
        <v>3201</v>
      </c>
      <c r="B558" s="55" t="s">
        <v>3219</v>
      </c>
      <c r="C558" s="253" t="s">
        <v>3203</v>
      </c>
      <c r="D558" s="55"/>
      <c r="E558" s="254" t="s">
        <v>3213</v>
      </c>
      <c r="F558" s="55"/>
      <c r="G558" s="55"/>
    </row>
    <row r="559" spans="1:8" hidden="1" x14ac:dyDescent="0.3">
      <c r="A559" s="54" t="s">
        <v>3220</v>
      </c>
      <c r="B559" s="55" t="s">
        <v>3221</v>
      </c>
      <c r="C559" s="253" t="s">
        <v>3203</v>
      </c>
      <c r="D559" s="55"/>
      <c r="E559" s="254" t="s">
        <v>3213</v>
      </c>
      <c r="F559" s="55"/>
      <c r="G559" s="55"/>
    </row>
    <row r="560" spans="1:8" hidden="1" x14ac:dyDescent="0.3">
      <c r="A560" s="54" t="s">
        <v>3380</v>
      </c>
      <c r="B560" s="55" t="s">
        <v>3381</v>
      </c>
      <c r="C560" s="253" t="s">
        <v>3203</v>
      </c>
      <c r="D560" s="55"/>
      <c r="E560" s="254" t="s">
        <v>3213</v>
      </c>
      <c r="F560" s="55"/>
      <c r="G560" s="55"/>
    </row>
    <row r="561" spans="1:7" hidden="1" x14ac:dyDescent="0.3"/>
    <row r="562" spans="1:7" hidden="1" x14ac:dyDescent="0.3">
      <c r="B562" s="251" t="s">
        <v>3478</v>
      </c>
      <c r="C562" s="259"/>
      <c r="D562" s="259"/>
    </row>
    <row r="563" spans="1:7" hidden="1" x14ac:dyDescent="0.3">
      <c r="B563" s="135" t="s">
        <v>3195</v>
      </c>
      <c r="C563" s="255"/>
      <c r="D563" s="255"/>
    </row>
    <row r="564" spans="1:7" hidden="1" x14ac:dyDescent="0.3">
      <c r="A564" s="55"/>
      <c r="B564" s="55"/>
      <c r="C564" s="526" t="s">
        <v>3196</v>
      </c>
      <c r="D564" s="527"/>
      <c r="E564" s="526" t="s">
        <v>3196</v>
      </c>
      <c r="F564" s="527"/>
      <c r="G564" s="31"/>
    </row>
    <row r="565" spans="1:7" hidden="1" x14ac:dyDescent="0.3">
      <c r="A565" s="70" t="s">
        <v>3197</v>
      </c>
      <c r="B565" s="55" t="s">
        <v>3198</v>
      </c>
      <c r="C565" s="70" t="s">
        <v>3199</v>
      </c>
      <c r="D565" s="70" t="s">
        <v>3200</v>
      </c>
      <c r="E565" s="70" t="s">
        <v>3199</v>
      </c>
      <c r="F565" s="70" t="s">
        <v>3200</v>
      </c>
      <c r="G565" s="55"/>
    </row>
    <row r="566" spans="1:7" hidden="1" x14ac:dyDescent="0.3">
      <c r="A566" s="70"/>
      <c r="B566" s="252"/>
      <c r="C566" s="252"/>
      <c r="D566" s="252"/>
      <c r="E566" s="70"/>
      <c r="F566" s="70"/>
      <c r="G566" s="55"/>
    </row>
    <row r="567" spans="1:7" hidden="1" x14ac:dyDescent="0.3">
      <c r="A567" s="70" t="s">
        <v>3201</v>
      </c>
      <c r="B567" s="55" t="s">
        <v>3202</v>
      </c>
      <c r="C567" s="253" t="s">
        <v>3203</v>
      </c>
      <c r="D567" s="55"/>
      <c r="E567" s="254" t="s">
        <v>3213</v>
      </c>
      <c r="F567" s="70"/>
      <c r="G567" s="55"/>
    </row>
    <row r="568" spans="1:7" hidden="1" x14ac:dyDescent="0.3">
      <c r="A568" s="70" t="s">
        <v>3205</v>
      </c>
      <c r="B568" s="55" t="s">
        <v>3206</v>
      </c>
      <c r="C568" s="253" t="s">
        <v>3203</v>
      </c>
      <c r="D568" s="55"/>
      <c r="E568" s="254" t="s">
        <v>3213</v>
      </c>
      <c r="F568" s="70"/>
      <c r="G568" s="55"/>
    </row>
    <row r="569" spans="1:7" hidden="1" x14ac:dyDescent="0.3">
      <c r="A569" s="70" t="s">
        <v>3208</v>
      </c>
      <c r="B569" s="55" t="s">
        <v>3209</v>
      </c>
      <c r="C569" s="253" t="s">
        <v>3203</v>
      </c>
      <c r="D569" s="55"/>
      <c r="E569" s="254" t="s">
        <v>3213</v>
      </c>
      <c r="F569" s="70"/>
      <c r="G569" s="55"/>
    </row>
    <row r="570" spans="1:7" hidden="1" x14ac:dyDescent="0.3">
      <c r="A570" s="70" t="s">
        <v>3230</v>
      </c>
      <c r="B570" s="55" t="s">
        <v>3244</v>
      </c>
      <c r="C570" s="253" t="s">
        <v>3203</v>
      </c>
      <c r="D570" s="55"/>
      <c r="E570" s="254" t="s">
        <v>3213</v>
      </c>
      <c r="F570" s="70"/>
      <c r="G570" s="55"/>
    </row>
    <row r="571" spans="1:7" hidden="1" x14ac:dyDescent="0.3">
      <c r="A571" s="70" t="s">
        <v>3233</v>
      </c>
      <c r="B571" s="55" t="s">
        <v>3245</v>
      </c>
      <c r="C571" s="253" t="s">
        <v>3203</v>
      </c>
      <c r="D571" s="55"/>
      <c r="E571" s="254" t="s">
        <v>3213</v>
      </c>
      <c r="F571" s="70"/>
      <c r="G571" s="55"/>
    </row>
    <row r="572" spans="1:7" hidden="1" x14ac:dyDescent="0.3">
      <c r="A572" s="70" t="s">
        <v>3211</v>
      </c>
      <c r="B572" s="55" t="s">
        <v>3246</v>
      </c>
      <c r="C572" s="253" t="s">
        <v>3203</v>
      </c>
      <c r="D572" s="55"/>
      <c r="E572" s="254" t="s">
        <v>3213</v>
      </c>
      <c r="F572" s="70"/>
      <c r="G572" s="55"/>
    </row>
    <row r="573" spans="1:7" hidden="1" x14ac:dyDescent="0.3">
      <c r="A573" s="70" t="s">
        <v>3214</v>
      </c>
      <c r="B573" s="55" t="s">
        <v>3215</v>
      </c>
      <c r="C573" s="253" t="s">
        <v>3203</v>
      </c>
      <c r="D573" s="55"/>
      <c r="E573" s="254" t="s">
        <v>3213</v>
      </c>
      <c r="F573" s="70"/>
      <c r="G573" s="55"/>
    </row>
    <row r="574" spans="1:7" hidden="1" x14ac:dyDescent="0.3"/>
    <row r="575" spans="1:7" hidden="1" x14ac:dyDescent="0.3">
      <c r="B575" s="135" t="s">
        <v>3216</v>
      </c>
      <c r="C575" s="255"/>
      <c r="D575" s="255"/>
    </row>
    <row r="576" spans="1:7" hidden="1" x14ac:dyDescent="0.3">
      <c r="A576" s="55"/>
      <c r="B576" s="55"/>
      <c r="C576" s="526" t="s">
        <v>3196</v>
      </c>
      <c r="D576" s="527"/>
      <c r="E576" s="526" t="s">
        <v>3196</v>
      </c>
      <c r="F576" s="527"/>
      <c r="G576" s="55"/>
    </row>
    <row r="577" spans="1:7" hidden="1" x14ac:dyDescent="0.3">
      <c r="A577" s="55" t="s">
        <v>3217</v>
      </c>
      <c r="B577" s="54" t="s">
        <v>3198</v>
      </c>
      <c r="C577" s="55" t="s">
        <v>3218</v>
      </c>
      <c r="D577" s="55"/>
      <c r="E577" s="55" t="s">
        <v>3218</v>
      </c>
      <c r="F577" s="55"/>
      <c r="G577" s="55"/>
    </row>
    <row r="578" spans="1:7" hidden="1" x14ac:dyDescent="0.3">
      <c r="A578" s="55"/>
      <c r="B578" s="54"/>
      <c r="C578" s="54"/>
      <c r="D578" s="54"/>
      <c r="E578" s="55"/>
      <c r="F578" s="55"/>
      <c r="G578" s="55"/>
    </row>
    <row r="579" spans="1:7" hidden="1" x14ac:dyDescent="0.3">
      <c r="A579" s="54" t="s">
        <v>3201</v>
      </c>
      <c r="B579" s="55" t="s">
        <v>3219</v>
      </c>
      <c r="C579" s="253" t="s">
        <v>3203</v>
      </c>
      <c r="D579" s="55"/>
      <c r="E579" s="254" t="s">
        <v>3213</v>
      </c>
      <c r="F579" s="55"/>
      <c r="G579" s="55"/>
    </row>
    <row r="580" spans="1:7" hidden="1" x14ac:dyDescent="0.3">
      <c r="A580" s="54" t="s">
        <v>3220</v>
      </c>
      <c r="B580" s="55" t="s">
        <v>3221</v>
      </c>
      <c r="C580" s="253" t="s">
        <v>3203</v>
      </c>
      <c r="D580" s="55"/>
      <c r="E580" s="254" t="s">
        <v>3213</v>
      </c>
      <c r="F580" s="55"/>
      <c r="G580" s="55"/>
    </row>
    <row r="581" spans="1:7" hidden="1" x14ac:dyDescent="0.3"/>
    <row r="582" spans="1:7" hidden="1" x14ac:dyDescent="0.3">
      <c r="B582" s="135" t="s">
        <v>3223</v>
      </c>
      <c r="C582" s="255"/>
      <c r="D582" s="255"/>
    </row>
    <row r="583" spans="1:7" hidden="1" x14ac:dyDescent="0.3">
      <c r="A583" s="55"/>
      <c r="B583" s="55"/>
      <c r="C583" s="526" t="s">
        <v>3196</v>
      </c>
      <c r="D583" s="527"/>
      <c r="E583" s="526" t="s">
        <v>3196</v>
      </c>
      <c r="F583" s="527"/>
      <c r="G583" s="31"/>
    </row>
    <row r="584" spans="1:7" hidden="1" x14ac:dyDescent="0.3">
      <c r="A584" s="70" t="s">
        <v>3197</v>
      </c>
      <c r="B584" s="70" t="s">
        <v>3198</v>
      </c>
      <c r="C584" s="70" t="s">
        <v>3199</v>
      </c>
      <c r="D584" s="70" t="s">
        <v>3200</v>
      </c>
      <c r="E584" s="70" t="s">
        <v>3199</v>
      </c>
      <c r="F584" s="70" t="s">
        <v>3200</v>
      </c>
      <c r="G584" s="70"/>
    </row>
    <row r="585" spans="1:7" hidden="1" x14ac:dyDescent="0.3">
      <c r="A585" s="70"/>
      <c r="B585" s="55"/>
      <c r="C585" s="55"/>
      <c r="D585" s="55"/>
      <c r="E585" s="70"/>
      <c r="F585" s="70"/>
      <c r="G585" s="70"/>
    </row>
    <row r="586" spans="1:7" hidden="1" x14ac:dyDescent="0.3">
      <c r="A586" s="70" t="s">
        <v>3201</v>
      </c>
      <c r="B586" s="55" t="s">
        <v>3479</v>
      </c>
      <c r="C586" s="253" t="s">
        <v>3203</v>
      </c>
      <c r="D586" s="55"/>
      <c r="E586" s="254" t="s">
        <v>3213</v>
      </c>
      <c r="F586" s="70"/>
      <c r="G586" s="70"/>
    </row>
    <row r="587" spans="1:7" hidden="1" x14ac:dyDescent="0.3">
      <c r="A587" s="70" t="s">
        <v>3205</v>
      </c>
      <c r="B587" s="55" t="s">
        <v>3480</v>
      </c>
      <c r="C587" s="253" t="s">
        <v>3203</v>
      </c>
      <c r="D587" s="55"/>
      <c r="E587" s="254" t="s">
        <v>3213</v>
      </c>
      <c r="F587" s="70"/>
      <c r="G587" s="70"/>
    </row>
    <row r="588" spans="1:7" hidden="1" x14ac:dyDescent="0.3">
      <c r="A588" s="70" t="s">
        <v>3208</v>
      </c>
      <c r="B588" s="55" t="s">
        <v>3481</v>
      </c>
      <c r="C588" s="253" t="s">
        <v>3203</v>
      </c>
      <c r="D588" s="55"/>
      <c r="E588" s="254" t="s">
        <v>3213</v>
      </c>
      <c r="F588" s="70"/>
      <c r="G588" s="70"/>
    </row>
    <row r="589" spans="1:7" hidden="1" x14ac:dyDescent="0.3">
      <c r="A589" s="70" t="s">
        <v>3230</v>
      </c>
      <c r="B589" s="55" t="s">
        <v>3482</v>
      </c>
      <c r="C589" s="253" t="s">
        <v>3203</v>
      </c>
      <c r="D589" s="55"/>
      <c r="E589" s="254" t="s">
        <v>3213</v>
      </c>
      <c r="F589" s="70"/>
      <c r="G589" s="70"/>
    </row>
    <row r="590" spans="1:7" hidden="1" x14ac:dyDescent="0.3">
      <c r="A590" s="70" t="s">
        <v>3233</v>
      </c>
      <c r="B590" s="55" t="s">
        <v>3483</v>
      </c>
      <c r="C590" s="253" t="s">
        <v>3203</v>
      </c>
      <c r="D590" s="55"/>
      <c r="E590" s="254" t="s">
        <v>3213</v>
      </c>
      <c r="F590" s="70"/>
      <c r="G590" s="70"/>
    </row>
    <row r="591" spans="1:7" hidden="1" x14ac:dyDescent="0.3">
      <c r="A591" s="70" t="s">
        <v>3211</v>
      </c>
      <c r="B591" s="55" t="s">
        <v>3484</v>
      </c>
      <c r="C591" s="253" t="s">
        <v>3203</v>
      </c>
      <c r="D591" s="55"/>
      <c r="E591" s="254" t="s">
        <v>3213</v>
      </c>
      <c r="F591" s="70"/>
      <c r="G591" s="70"/>
    </row>
    <row r="592" spans="1:7" hidden="1" x14ac:dyDescent="0.3">
      <c r="A592" s="70" t="s">
        <v>3214</v>
      </c>
      <c r="B592" s="55" t="s">
        <v>3485</v>
      </c>
      <c r="C592" s="253" t="s">
        <v>3203</v>
      </c>
      <c r="D592" s="55"/>
      <c r="E592" s="254" t="s">
        <v>3213</v>
      </c>
      <c r="F592" s="70"/>
      <c r="G592" s="55"/>
    </row>
    <row r="593" spans="1:7" hidden="1" x14ac:dyDescent="0.3">
      <c r="A593" s="70" t="s">
        <v>3319</v>
      </c>
      <c r="B593" s="55" t="s">
        <v>3486</v>
      </c>
      <c r="C593" s="253" t="s">
        <v>3203</v>
      </c>
      <c r="D593" s="55"/>
      <c r="E593" s="254" t="s">
        <v>3213</v>
      </c>
      <c r="F593" s="70"/>
      <c r="G593" s="55"/>
    </row>
    <row r="594" spans="1:7" hidden="1" x14ac:dyDescent="0.3"/>
    <row r="595" spans="1:7" hidden="1" x14ac:dyDescent="0.3">
      <c r="B595" s="135" t="s">
        <v>3240</v>
      </c>
      <c r="C595" s="255"/>
      <c r="D595" s="255"/>
    </row>
    <row r="596" spans="1:7" hidden="1" x14ac:dyDescent="0.3">
      <c r="A596" s="55"/>
      <c r="B596" s="55"/>
      <c r="C596" s="526" t="s">
        <v>3196</v>
      </c>
      <c r="D596" s="527"/>
      <c r="E596" s="526" t="s">
        <v>3196</v>
      </c>
      <c r="F596" s="527"/>
      <c r="G596" s="55"/>
    </row>
    <row r="597" spans="1:7" hidden="1" x14ac:dyDescent="0.3">
      <c r="A597" s="55" t="s">
        <v>3217</v>
      </c>
      <c r="B597" s="54" t="s">
        <v>3198</v>
      </c>
      <c r="C597" s="55" t="s">
        <v>3218</v>
      </c>
      <c r="D597" s="55"/>
      <c r="E597" s="55" t="s">
        <v>3218</v>
      </c>
      <c r="F597" s="55"/>
      <c r="G597" s="55"/>
    </row>
    <row r="598" spans="1:7" hidden="1" x14ac:dyDescent="0.3">
      <c r="A598" s="55"/>
      <c r="B598" s="54"/>
      <c r="C598" s="54"/>
      <c r="D598" s="54"/>
      <c r="E598" s="55"/>
      <c r="F598" s="55"/>
      <c r="G598" s="55"/>
    </row>
    <row r="599" spans="1:7" hidden="1" x14ac:dyDescent="0.3">
      <c r="A599" s="54" t="s">
        <v>3201</v>
      </c>
      <c r="B599" s="55" t="s">
        <v>3219</v>
      </c>
      <c r="C599" s="253" t="s">
        <v>3203</v>
      </c>
      <c r="D599" s="55"/>
      <c r="E599" s="254" t="s">
        <v>3213</v>
      </c>
      <c r="F599" s="55"/>
      <c r="G599" s="55"/>
    </row>
    <row r="600" spans="1:7" hidden="1" x14ac:dyDescent="0.3"/>
    <row r="601" spans="1:7" hidden="1" x14ac:dyDescent="0.3">
      <c r="B601" s="251" t="s">
        <v>3487</v>
      </c>
      <c r="C601" s="259"/>
      <c r="D601" s="259"/>
    </row>
    <row r="602" spans="1:7" hidden="1" x14ac:dyDescent="0.3">
      <c r="B602" s="135" t="s">
        <v>3195</v>
      </c>
      <c r="C602" s="255"/>
      <c r="D602" s="255"/>
    </row>
    <row r="603" spans="1:7" hidden="1" x14ac:dyDescent="0.3">
      <c r="A603" s="55"/>
      <c r="B603" s="55"/>
      <c r="C603" s="526" t="s">
        <v>3196</v>
      </c>
      <c r="D603" s="527"/>
      <c r="E603" s="526" t="s">
        <v>3196</v>
      </c>
      <c r="F603" s="527"/>
      <c r="G603" s="31"/>
    </row>
    <row r="604" spans="1:7" hidden="1" x14ac:dyDescent="0.3">
      <c r="A604" s="70" t="s">
        <v>3197</v>
      </c>
      <c r="B604" s="55" t="s">
        <v>3198</v>
      </c>
      <c r="C604" s="70" t="s">
        <v>3199</v>
      </c>
      <c r="D604" s="70" t="s">
        <v>3200</v>
      </c>
      <c r="E604" s="70" t="s">
        <v>3199</v>
      </c>
      <c r="F604" s="70" t="s">
        <v>3200</v>
      </c>
      <c r="G604" s="55"/>
    </row>
    <row r="605" spans="1:7" hidden="1" x14ac:dyDescent="0.3">
      <c r="A605" s="70"/>
      <c r="B605" s="252"/>
      <c r="C605" s="252"/>
      <c r="D605" s="252"/>
      <c r="E605" s="70"/>
      <c r="F605" s="70"/>
      <c r="G605" s="55"/>
    </row>
    <row r="606" spans="1:7" hidden="1" x14ac:dyDescent="0.3">
      <c r="A606" s="70" t="s">
        <v>3201</v>
      </c>
      <c r="B606" s="55" t="s">
        <v>3202</v>
      </c>
      <c r="C606" s="253" t="s">
        <v>3203</v>
      </c>
      <c r="D606" s="55"/>
      <c r="E606" s="254" t="s">
        <v>3213</v>
      </c>
      <c r="F606" s="70"/>
      <c r="G606" s="55"/>
    </row>
    <row r="607" spans="1:7" hidden="1" x14ac:dyDescent="0.3">
      <c r="A607" s="70" t="s">
        <v>3205</v>
      </c>
      <c r="B607" s="55" t="s">
        <v>3206</v>
      </c>
      <c r="C607" s="253" t="s">
        <v>3203</v>
      </c>
      <c r="D607" s="55"/>
      <c r="E607" s="254" t="s">
        <v>3213</v>
      </c>
      <c r="F607" s="70"/>
      <c r="G607" s="55"/>
    </row>
    <row r="608" spans="1:7" hidden="1" x14ac:dyDescent="0.3">
      <c r="A608" s="70" t="s">
        <v>3208</v>
      </c>
      <c r="B608" s="55" t="s">
        <v>3209</v>
      </c>
      <c r="C608" s="253" t="s">
        <v>3203</v>
      </c>
      <c r="D608" s="55"/>
      <c r="E608" s="254" t="s">
        <v>3213</v>
      </c>
      <c r="F608" s="70"/>
      <c r="G608" s="55"/>
    </row>
    <row r="609" spans="1:7" hidden="1" x14ac:dyDescent="0.3">
      <c r="A609" s="70" t="s">
        <v>3230</v>
      </c>
      <c r="B609" s="55" t="s">
        <v>3244</v>
      </c>
      <c r="C609" s="253" t="s">
        <v>3203</v>
      </c>
      <c r="D609" s="55"/>
      <c r="E609" s="254" t="s">
        <v>3213</v>
      </c>
      <c r="F609" s="70"/>
      <c r="G609" s="55"/>
    </row>
    <row r="610" spans="1:7" hidden="1" x14ac:dyDescent="0.3">
      <c r="A610" s="70" t="s">
        <v>3233</v>
      </c>
      <c r="B610" s="55" t="s">
        <v>3245</v>
      </c>
      <c r="C610" s="253" t="s">
        <v>3203</v>
      </c>
      <c r="D610" s="55"/>
      <c r="E610" s="254" t="s">
        <v>3213</v>
      </c>
      <c r="F610" s="70"/>
      <c r="G610" s="55"/>
    </row>
    <row r="611" spans="1:7" hidden="1" x14ac:dyDescent="0.3">
      <c r="A611" s="70" t="s">
        <v>3211</v>
      </c>
      <c r="B611" s="55" t="s">
        <v>3246</v>
      </c>
      <c r="C611" s="253" t="s">
        <v>3203</v>
      </c>
      <c r="D611" s="55"/>
      <c r="E611" s="254" t="s">
        <v>3213</v>
      </c>
      <c r="F611" s="70"/>
      <c r="G611" s="55"/>
    </row>
    <row r="612" spans="1:7" hidden="1" x14ac:dyDescent="0.3">
      <c r="A612" s="70" t="s">
        <v>3214</v>
      </c>
      <c r="B612" s="55" t="s">
        <v>3215</v>
      </c>
      <c r="C612" s="253" t="s">
        <v>3203</v>
      </c>
      <c r="D612" s="55"/>
      <c r="E612" s="254" t="s">
        <v>3213</v>
      </c>
      <c r="F612" s="70"/>
      <c r="G612" s="55"/>
    </row>
    <row r="613" spans="1:7" hidden="1" x14ac:dyDescent="0.3"/>
    <row r="614" spans="1:7" hidden="1" x14ac:dyDescent="0.3">
      <c r="B614" s="135" t="s">
        <v>3216</v>
      </c>
      <c r="C614" s="255"/>
      <c r="D614" s="255"/>
    </row>
    <row r="615" spans="1:7" hidden="1" x14ac:dyDescent="0.3">
      <c r="A615" s="55"/>
      <c r="B615" s="55"/>
      <c r="C615" s="526" t="s">
        <v>3196</v>
      </c>
      <c r="D615" s="527"/>
      <c r="E615" s="526" t="s">
        <v>3196</v>
      </c>
      <c r="F615" s="527"/>
      <c r="G615" s="55"/>
    </row>
    <row r="616" spans="1:7" hidden="1" x14ac:dyDescent="0.3">
      <c r="A616" s="55" t="s">
        <v>3217</v>
      </c>
      <c r="B616" s="54" t="s">
        <v>3198</v>
      </c>
      <c r="C616" s="55" t="s">
        <v>3218</v>
      </c>
      <c r="D616" s="55"/>
      <c r="E616" s="55" t="s">
        <v>3218</v>
      </c>
      <c r="F616" s="55"/>
      <c r="G616" s="55"/>
    </row>
    <row r="617" spans="1:7" hidden="1" x14ac:dyDescent="0.3">
      <c r="A617" s="55"/>
      <c r="B617" s="54"/>
      <c r="C617" s="54"/>
      <c r="D617" s="54"/>
      <c r="E617" s="55"/>
      <c r="F617" s="55"/>
      <c r="G617" s="55"/>
    </row>
    <row r="618" spans="1:7" hidden="1" x14ac:dyDescent="0.3">
      <c r="A618" s="54" t="s">
        <v>3201</v>
      </c>
      <c r="B618" s="55" t="s">
        <v>3219</v>
      </c>
      <c r="C618" s="253" t="s">
        <v>3203</v>
      </c>
      <c r="D618" s="55"/>
      <c r="E618" s="254" t="s">
        <v>3213</v>
      </c>
      <c r="F618" s="55"/>
      <c r="G618" s="55"/>
    </row>
    <row r="619" spans="1:7" hidden="1" x14ac:dyDescent="0.3">
      <c r="A619" s="54" t="s">
        <v>3220</v>
      </c>
      <c r="B619" s="55" t="s">
        <v>3221</v>
      </c>
      <c r="C619" s="253" t="s">
        <v>3203</v>
      </c>
      <c r="D619" s="55"/>
      <c r="E619" s="254" t="s">
        <v>3213</v>
      </c>
      <c r="F619" s="55"/>
      <c r="G619" s="55"/>
    </row>
    <row r="620" spans="1:7" hidden="1" x14ac:dyDescent="0.3"/>
    <row r="621" spans="1:7" hidden="1" x14ac:dyDescent="0.3">
      <c r="B621" s="135" t="s">
        <v>3223</v>
      </c>
      <c r="C621" s="255"/>
      <c r="D621" s="255"/>
    </row>
    <row r="622" spans="1:7" hidden="1" x14ac:dyDescent="0.3">
      <c r="A622" s="55"/>
      <c r="B622" s="55"/>
      <c r="C622" s="526" t="s">
        <v>3196</v>
      </c>
      <c r="D622" s="527"/>
      <c r="E622" s="526" t="s">
        <v>3196</v>
      </c>
      <c r="F622" s="527"/>
      <c r="G622" s="31"/>
    </row>
    <row r="623" spans="1:7" hidden="1" x14ac:dyDescent="0.3">
      <c r="A623" s="70" t="s">
        <v>3197</v>
      </c>
      <c r="B623" s="70" t="s">
        <v>3198</v>
      </c>
      <c r="C623" s="70" t="s">
        <v>3199</v>
      </c>
      <c r="D623" s="70" t="s">
        <v>3200</v>
      </c>
      <c r="E623" s="70" t="s">
        <v>3199</v>
      </c>
      <c r="F623" s="70" t="s">
        <v>3200</v>
      </c>
      <c r="G623" s="70"/>
    </row>
    <row r="624" spans="1:7" hidden="1" x14ac:dyDescent="0.3">
      <c r="A624" s="70"/>
      <c r="B624" s="55"/>
      <c r="C624" s="55"/>
      <c r="D624" s="55"/>
      <c r="E624" s="70"/>
      <c r="F624" s="70"/>
      <c r="G624" s="70"/>
    </row>
    <row r="625" spans="1:7" hidden="1" x14ac:dyDescent="0.3">
      <c r="A625" s="70" t="s">
        <v>3201</v>
      </c>
      <c r="B625" s="55" t="s">
        <v>3488</v>
      </c>
      <c r="C625" s="253" t="s">
        <v>3203</v>
      </c>
      <c r="D625" s="55"/>
      <c r="E625" s="254" t="s">
        <v>3213</v>
      </c>
      <c r="F625" s="70"/>
      <c r="G625" s="70"/>
    </row>
    <row r="626" spans="1:7" hidden="1" x14ac:dyDescent="0.3">
      <c r="A626" s="70" t="s">
        <v>3205</v>
      </c>
      <c r="B626" s="55" t="s">
        <v>3489</v>
      </c>
      <c r="C626" s="253" t="s">
        <v>3203</v>
      </c>
      <c r="D626" s="55"/>
      <c r="E626" s="254" t="s">
        <v>3213</v>
      </c>
      <c r="F626" s="70"/>
      <c r="G626" s="70"/>
    </row>
    <row r="627" spans="1:7" hidden="1" x14ac:dyDescent="0.3"/>
    <row r="628" spans="1:7" hidden="1" x14ac:dyDescent="0.3">
      <c r="B628" s="135" t="s">
        <v>3240</v>
      </c>
      <c r="C628" s="255"/>
      <c r="D628" s="255"/>
    </row>
    <row r="629" spans="1:7" hidden="1" x14ac:dyDescent="0.3">
      <c r="A629" s="55"/>
      <c r="B629" s="55"/>
      <c r="C629" s="526" t="s">
        <v>3196</v>
      </c>
      <c r="D629" s="527"/>
      <c r="E629" s="526" t="s">
        <v>3196</v>
      </c>
      <c r="F629" s="527"/>
      <c r="G629" s="55"/>
    </row>
    <row r="630" spans="1:7" hidden="1" x14ac:dyDescent="0.3">
      <c r="A630" s="55" t="s">
        <v>3217</v>
      </c>
      <c r="B630" s="54" t="s">
        <v>3198</v>
      </c>
      <c r="C630" s="55" t="s">
        <v>3218</v>
      </c>
      <c r="D630" s="55"/>
      <c r="E630" s="55" t="s">
        <v>3218</v>
      </c>
      <c r="F630" s="55"/>
      <c r="G630" s="55"/>
    </row>
    <row r="631" spans="1:7" hidden="1" x14ac:dyDescent="0.3">
      <c r="A631" s="55"/>
      <c r="B631" s="54"/>
      <c r="C631" s="54"/>
      <c r="D631" s="54"/>
      <c r="E631" s="55"/>
      <c r="F631" s="55"/>
      <c r="G631" s="55"/>
    </row>
    <row r="632" spans="1:7" hidden="1" x14ac:dyDescent="0.3">
      <c r="A632" s="54" t="s">
        <v>3319</v>
      </c>
      <c r="B632" s="55" t="s">
        <v>3490</v>
      </c>
      <c r="C632" s="253" t="s">
        <v>3203</v>
      </c>
      <c r="D632" s="55"/>
      <c r="E632" s="254" t="s">
        <v>3213</v>
      </c>
      <c r="F632" s="55"/>
      <c r="G632" s="55"/>
    </row>
    <row r="633" spans="1:7" hidden="1" x14ac:dyDescent="0.3">
      <c r="A633" s="54" t="s">
        <v>3356</v>
      </c>
      <c r="B633" s="55" t="s">
        <v>3491</v>
      </c>
      <c r="C633" s="253" t="s">
        <v>3203</v>
      </c>
      <c r="D633" s="55"/>
      <c r="E633" s="254" t="s">
        <v>3213</v>
      </c>
      <c r="F633" s="55"/>
      <c r="G633" s="55"/>
    </row>
    <row r="634" spans="1:7" hidden="1" x14ac:dyDescent="0.3">
      <c r="A634" s="54" t="s">
        <v>3492</v>
      </c>
      <c r="B634" s="55" t="s">
        <v>3493</v>
      </c>
      <c r="C634" s="253" t="s">
        <v>3203</v>
      </c>
      <c r="D634" s="55"/>
      <c r="E634" s="254" t="s">
        <v>3213</v>
      </c>
      <c r="F634" s="55"/>
      <c r="G634" s="55"/>
    </row>
    <row r="637" spans="1:7" x14ac:dyDescent="0.3">
      <c r="B637" s="251" t="s">
        <v>220</v>
      </c>
      <c r="C637" s="259"/>
      <c r="D637" s="259"/>
    </row>
    <row r="638" spans="1:7" x14ac:dyDescent="0.3">
      <c r="B638" s="135" t="s">
        <v>3195</v>
      </c>
      <c r="C638" s="255"/>
      <c r="D638" s="255"/>
    </row>
    <row r="639" spans="1:7" x14ac:dyDescent="0.3">
      <c r="A639" s="55"/>
      <c r="B639" s="55"/>
      <c r="C639" s="527" t="s">
        <v>3196</v>
      </c>
      <c r="D639" s="527"/>
      <c r="E639" s="527" t="s">
        <v>3196</v>
      </c>
      <c r="F639" s="527"/>
      <c r="G639" s="31"/>
    </row>
    <row r="640" spans="1:7" x14ac:dyDescent="0.3">
      <c r="A640" s="54" t="s">
        <v>3197</v>
      </c>
      <c r="B640" s="54" t="s">
        <v>3198</v>
      </c>
      <c r="C640" s="54" t="s">
        <v>3199</v>
      </c>
      <c r="D640" s="54" t="s">
        <v>3200</v>
      </c>
      <c r="E640" s="54" t="s">
        <v>3199</v>
      </c>
      <c r="F640" s="54" t="s">
        <v>3200</v>
      </c>
      <c r="G640" s="54"/>
    </row>
    <row r="641" spans="1:7" x14ac:dyDescent="0.3">
      <c r="A641" s="55"/>
      <c r="B641" s="252"/>
      <c r="C641" s="252"/>
      <c r="D641" s="252"/>
      <c r="E641" s="55"/>
      <c r="F641" s="55"/>
      <c r="G641" s="55"/>
    </row>
    <row r="642" spans="1:7" x14ac:dyDescent="0.3">
      <c r="A642" s="54" t="s">
        <v>3201</v>
      </c>
      <c r="B642" s="55" t="s">
        <v>3202</v>
      </c>
      <c r="C642" s="253" t="s">
        <v>3203</v>
      </c>
      <c r="D642" s="55"/>
      <c r="E642" s="253" t="s">
        <v>3203</v>
      </c>
      <c r="F642" s="54" t="s">
        <v>3396</v>
      </c>
      <c r="G642" s="55"/>
    </row>
    <row r="643" spans="1:7" x14ac:dyDescent="0.3">
      <c r="A643" s="54" t="s">
        <v>3205</v>
      </c>
      <c r="B643" s="55" t="s">
        <v>3206</v>
      </c>
      <c r="C643" s="253" t="s">
        <v>3203</v>
      </c>
      <c r="D643" s="55"/>
      <c r="E643" s="253" t="s">
        <v>3203</v>
      </c>
      <c r="F643" s="54" t="s">
        <v>3396</v>
      </c>
      <c r="G643" s="55"/>
    </row>
    <row r="644" spans="1:7" x14ac:dyDescent="0.3">
      <c r="A644" s="54" t="s">
        <v>3208</v>
      </c>
      <c r="B644" s="55" t="s">
        <v>3209</v>
      </c>
      <c r="C644" s="253" t="s">
        <v>3203</v>
      </c>
      <c r="D644" s="55"/>
      <c r="E644" s="253" t="s">
        <v>3203</v>
      </c>
      <c r="F644" s="54" t="s">
        <v>3396</v>
      </c>
      <c r="G644" s="55"/>
    </row>
    <row r="645" spans="1:7" x14ac:dyDescent="0.3">
      <c r="A645" s="56"/>
      <c r="B645" s="55"/>
      <c r="C645" s="409"/>
      <c r="E645" s="409"/>
      <c r="F645" s="56"/>
    </row>
    <row r="646" spans="1:7" x14ac:dyDescent="0.3">
      <c r="B646" s="135" t="s">
        <v>3216</v>
      </c>
      <c r="C646" s="255"/>
      <c r="D646" s="255"/>
    </row>
    <row r="647" spans="1:7" x14ac:dyDescent="0.3">
      <c r="A647" s="55"/>
      <c r="B647" s="55"/>
      <c r="C647" s="526" t="s">
        <v>3196</v>
      </c>
      <c r="D647" s="527"/>
      <c r="E647" s="526" t="s">
        <v>3196</v>
      </c>
      <c r="F647" s="527"/>
      <c r="G647" s="55"/>
    </row>
    <row r="648" spans="1:7" x14ac:dyDescent="0.3">
      <c r="A648" s="55" t="s">
        <v>3217</v>
      </c>
      <c r="B648" s="54" t="s">
        <v>3198</v>
      </c>
      <c r="C648" s="55" t="s">
        <v>3218</v>
      </c>
      <c r="D648" s="55"/>
      <c r="E648" s="55" t="s">
        <v>3218</v>
      </c>
      <c r="F648" s="55"/>
      <c r="G648" s="55"/>
    </row>
    <row r="649" spans="1:7" x14ac:dyDescent="0.3">
      <c r="A649" s="55"/>
      <c r="B649" s="54"/>
      <c r="C649" s="54"/>
      <c r="D649" s="54"/>
      <c r="E649" s="55"/>
      <c r="F649" s="55"/>
      <c r="G649" s="55"/>
    </row>
    <row r="650" spans="1:7" x14ac:dyDescent="0.3">
      <c r="A650" s="54" t="s">
        <v>3201</v>
      </c>
      <c r="B650" s="55" t="s">
        <v>3219</v>
      </c>
      <c r="C650" s="253" t="s">
        <v>3203</v>
      </c>
      <c r="D650" s="55"/>
      <c r="E650" s="253" t="s">
        <v>3203</v>
      </c>
      <c r="F650" s="55"/>
      <c r="G650" s="55"/>
    </row>
    <row r="651" spans="1:7" x14ac:dyDescent="0.3">
      <c r="A651" s="54" t="s">
        <v>3220</v>
      </c>
      <c r="B651" s="55" t="s">
        <v>3221</v>
      </c>
      <c r="C651" s="253" t="s">
        <v>3203</v>
      </c>
      <c r="D651" s="55"/>
      <c r="E651" s="253" t="s">
        <v>3203</v>
      </c>
      <c r="F651" s="55"/>
      <c r="G651" s="55"/>
    </row>
    <row r="653" spans="1:7" x14ac:dyDescent="0.3">
      <c r="B653" s="135" t="s">
        <v>3223</v>
      </c>
      <c r="C653" s="255"/>
      <c r="D653" s="255"/>
    </row>
    <row r="654" spans="1:7" x14ac:dyDescent="0.3">
      <c r="A654" s="55"/>
      <c r="B654" s="55"/>
      <c r="C654" s="527" t="s">
        <v>3196</v>
      </c>
      <c r="D654" s="527"/>
      <c r="E654" s="527" t="s">
        <v>3196</v>
      </c>
      <c r="F654" s="527"/>
      <c r="G654" s="31"/>
    </row>
    <row r="655" spans="1:7" x14ac:dyDescent="0.3">
      <c r="A655" s="70" t="s">
        <v>3197</v>
      </c>
      <c r="B655" s="70" t="s">
        <v>3198</v>
      </c>
      <c r="C655" s="70" t="s">
        <v>3199</v>
      </c>
      <c r="D655" s="70" t="s">
        <v>3200</v>
      </c>
      <c r="E655" s="70" t="s">
        <v>3199</v>
      </c>
      <c r="F655" s="70" t="s">
        <v>3200</v>
      </c>
      <c r="G655" s="70"/>
    </row>
    <row r="656" spans="1:7" x14ac:dyDescent="0.3">
      <c r="A656" s="70"/>
      <c r="B656" s="55"/>
      <c r="C656" s="253" t="s">
        <v>3203</v>
      </c>
      <c r="D656" s="55"/>
      <c r="E656" s="70"/>
      <c r="F656" s="70"/>
      <c r="G656" s="70"/>
    </row>
    <row r="657" spans="1:7" x14ac:dyDescent="0.3">
      <c r="A657" s="70" t="s">
        <v>3201</v>
      </c>
      <c r="B657" t="s">
        <v>3494</v>
      </c>
      <c r="C657" s="253" t="s">
        <v>3203</v>
      </c>
      <c r="E657" s="253" t="s">
        <v>3203</v>
      </c>
      <c r="F657" s="253" t="s">
        <v>3203</v>
      </c>
      <c r="G657" s="70"/>
    </row>
    <row r="658" spans="1:7" x14ac:dyDescent="0.3">
      <c r="A658" s="70" t="s">
        <v>3205</v>
      </c>
      <c r="B658" s="55" t="s">
        <v>3495</v>
      </c>
      <c r="C658" s="253" t="s">
        <v>3203</v>
      </c>
      <c r="D658" s="55"/>
      <c r="E658" s="253" t="s">
        <v>3203</v>
      </c>
      <c r="F658" s="253" t="s">
        <v>3203</v>
      </c>
      <c r="G658" s="70"/>
    </row>
    <row r="659" spans="1:7" x14ac:dyDescent="0.3">
      <c r="A659" s="70" t="s">
        <v>3208</v>
      </c>
      <c r="B659" s="55" t="s">
        <v>3496</v>
      </c>
      <c r="C659" s="253" t="s">
        <v>3203</v>
      </c>
      <c r="D659" s="55"/>
      <c r="E659" s="253" t="s">
        <v>3203</v>
      </c>
      <c r="F659" s="253" t="s">
        <v>3203</v>
      </c>
      <c r="G659" s="70"/>
    </row>
    <row r="660" spans="1:7" x14ac:dyDescent="0.3">
      <c r="A660" s="70" t="s">
        <v>3230</v>
      </c>
      <c r="B660" s="55" t="s">
        <v>3497</v>
      </c>
      <c r="C660" s="253" t="s">
        <v>3203</v>
      </c>
      <c r="D660" s="55"/>
      <c r="E660" s="253" t="s">
        <v>3203</v>
      </c>
      <c r="F660" s="254" t="s">
        <v>3213</v>
      </c>
      <c r="G660" s="70"/>
    </row>
    <row r="661" spans="1:7" x14ac:dyDescent="0.3">
      <c r="A661" s="70" t="s">
        <v>3233</v>
      </c>
      <c r="B661" s="55" t="s">
        <v>3498</v>
      </c>
      <c r="C661" s="253" t="s">
        <v>3203</v>
      </c>
      <c r="D661" s="55"/>
      <c r="E661" s="253" t="s">
        <v>3203</v>
      </c>
      <c r="F661" s="254" t="s">
        <v>3213</v>
      </c>
      <c r="G661" s="70"/>
    </row>
    <row r="663" spans="1:7" x14ac:dyDescent="0.3">
      <c r="B663" s="135" t="s">
        <v>3499</v>
      </c>
      <c r="C663" s="255"/>
      <c r="D663" s="255"/>
    </row>
    <row r="664" spans="1:7" x14ac:dyDescent="0.3">
      <c r="B664" s="55"/>
    </row>
    <row r="665" spans="1:7" x14ac:dyDescent="0.3">
      <c r="A665" s="55"/>
      <c r="B665" s="55"/>
      <c r="C665" s="527" t="s">
        <v>3196</v>
      </c>
      <c r="D665" s="527"/>
      <c r="E665" s="527" t="s">
        <v>3196</v>
      </c>
      <c r="F665" s="527"/>
      <c r="G665" s="55"/>
    </row>
    <row r="666" spans="1:7" x14ac:dyDescent="0.3">
      <c r="A666" s="55" t="s">
        <v>3217</v>
      </c>
      <c r="B666" s="54" t="s">
        <v>3198</v>
      </c>
      <c r="C666" s="70" t="s">
        <v>3500</v>
      </c>
      <c r="D666" s="70" t="s">
        <v>3501</v>
      </c>
      <c r="E666" s="70" t="s">
        <v>3500</v>
      </c>
      <c r="F666" s="70" t="s">
        <v>3501</v>
      </c>
      <c r="G666" s="55"/>
    </row>
    <row r="667" spans="1:7" x14ac:dyDescent="0.3">
      <c r="A667" s="55"/>
      <c r="B667" s="54"/>
      <c r="C667" s="54"/>
      <c r="D667" s="54"/>
      <c r="E667" s="55"/>
      <c r="F667" s="55"/>
      <c r="G667" s="55"/>
    </row>
    <row r="668" spans="1:7" x14ac:dyDescent="0.3">
      <c r="A668" s="54" t="s">
        <v>3201</v>
      </c>
      <c r="B668" s="55" t="s">
        <v>3219</v>
      </c>
      <c r="C668" s="253" t="s">
        <v>3203</v>
      </c>
      <c r="D668" s="253" t="s">
        <v>3203</v>
      </c>
      <c r="E668" s="253" t="s">
        <v>3203</v>
      </c>
      <c r="F668" s="253" t="s">
        <v>3203</v>
      </c>
      <c r="G668" s="55"/>
    </row>
    <row r="669" spans="1:7" x14ac:dyDescent="0.3">
      <c r="A669" s="54" t="s">
        <v>3220</v>
      </c>
      <c r="B669" s="55" t="s">
        <v>3221</v>
      </c>
      <c r="C669" s="253" t="s">
        <v>3203</v>
      </c>
      <c r="D669" s="253" t="s">
        <v>3203</v>
      </c>
      <c r="E669" s="253" t="s">
        <v>3203</v>
      </c>
      <c r="F669" s="253" t="s">
        <v>3203</v>
      </c>
      <c r="G669" s="55"/>
    </row>
    <row r="670" spans="1:7" x14ac:dyDescent="0.3">
      <c r="A670" s="54" t="s">
        <v>3298</v>
      </c>
      <c r="B670" s="55" t="s">
        <v>3299</v>
      </c>
      <c r="C670" s="253"/>
      <c r="D670" s="55"/>
      <c r="E670" s="254" t="s">
        <v>3213</v>
      </c>
      <c r="F670" s="253" t="s">
        <v>3203</v>
      </c>
      <c r="G670" s="55"/>
    </row>
    <row r="672" spans="1:7" x14ac:dyDescent="0.3">
      <c r="B672" s="251" t="s">
        <v>224</v>
      </c>
      <c r="C672" s="259"/>
      <c r="D672" s="259"/>
    </row>
    <row r="673" spans="1:7" x14ac:dyDescent="0.3">
      <c r="B673" s="135" t="s">
        <v>3195</v>
      </c>
      <c r="C673" s="255"/>
      <c r="D673" s="255"/>
    </row>
    <row r="674" spans="1:7" x14ac:dyDescent="0.3">
      <c r="A674" s="55"/>
      <c r="B674" s="55"/>
      <c r="C674" s="527" t="s">
        <v>3196</v>
      </c>
      <c r="D674" s="527"/>
      <c r="E674" s="527" t="s">
        <v>3196</v>
      </c>
      <c r="F674" s="527"/>
      <c r="G674" s="31"/>
    </row>
    <row r="675" spans="1:7" x14ac:dyDescent="0.3">
      <c r="A675" s="54" t="s">
        <v>3197</v>
      </c>
      <c r="B675" s="54" t="s">
        <v>3198</v>
      </c>
      <c r="C675" s="54" t="s">
        <v>3199</v>
      </c>
      <c r="D675" s="54" t="s">
        <v>3200</v>
      </c>
      <c r="E675" s="54" t="s">
        <v>3199</v>
      </c>
      <c r="F675" s="54" t="s">
        <v>3200</v>
      </c>
      <c r="G675" s="54"/>
    </row>
    <row r="676" spans="1:7" x14ac:dyDescent="0.3">
      <c r="A676" s="55"/>
      <c r="B676" s="252"/>
      <c r="C676" s="252"/>
      <c r="D676" s="252"/>
      <c r="E676" s="55"/>
      <c r="F676" s="55"/>
      <c r="G676" s="55"/>
    </row>
    <row r="677" spans="1:7" x14ac:dyDescent="0.3">
      <c r="A677" s="54" t="s">
        <v>3201</v>
      </c>
      <c r="B677" s="55" t="s">
        <v>3202</v>
      </c>
      <c r="C677" s="253" t="s">
        <v>3203</v>
      </c>
      <c r="D677" s="55"/>
      <c r="E677" s="253" t="s">
        <v>3203</v>
      </c>
      <c r="F677" s="54" t="s">
        <v>3396</v>
      </c>
      <c r="G677" s="55"/>
    </row>
    <row r="678" spans="1:7" x14ac:dyDescent="0.3">
      <c r="A678" s="54" t="s">
        <v>3205</v>
      </c>
      <c r="B678" s="55" t="s">
        <v>3206</v>
      </c>
      <c r="C678" s="253" t="s">
        <v>3203</v>
      </c>
      <c r="D678" s="55"/>
      <c r="E678" s="253" t="s">
        <v>3203</v>
      </c>
      <c r="F678" s="54" t="s">
        <v>3396</v>
      </c>
      <c r="G678" s="55"/>
    </row>
    <row r="679" spans="1:7" x14ac:dyDescent="0.3">
      <c r="A679" s="54" t="s">
        <v>3208</v>
      </c>
      <c r="B679" s="55" t="s">
        <v>3209</v>
      </c>
      <c r="C679" s="253" t="s">
        <v>3203</v>
      </c>
      <c r="D679" s="55"/>
      <c r="E679" s="253" t="s">
        <v>3203</v>
      </c>
      <c r="F679" s="54" t="s">
        <v>3396</v>
      </c>
      <c r="G679" s="55"/>
    </row>
    <row r="680" spans="1:7" x14ac:dyDescent="0.3">
      <c r="A680" s="56"/>
      <c r="B680" s="55"/>
      <c r="C680" s="409"/>
      <c r="E680" s="409"/>
      <c r="F680" s="56"/>
    </row>
    <row r="681" spans="1:7" x14ac:dyDescent="0.3">
      <c r="B681" s="135" t="s">
        <v>3216</v>
      </c>
      <c r="C681" s="255"/>
      <c r="D681" s="255"/>
    </row>
    <row r="682" spans="1:7" x14ac:dyDescent="0.3">
      <c r="A682" s="55"/>
      <c r="B682" s="55"/>
      <c r="C682" s="526" t="s">
        <v>3196</v>
      </c>
      <c r="D682" s="527"/>
      <c r="E682" s="526" t="s">
        <v>3196</v>
      </c>
      <c r="F682" s="527"/>
      <c r="G682" s="55"/>
    </row>
    <row r="683" spans="1:7" x14ac:dyDescent="0.3">
      <c r="A683" s="55" t="s">
        <v>3217</v>
      </c>
      <c r="B683" s="54" t="s">
        <v>3198</v>
      </c>
      <c r="C683" s="55" t="s">
        <v>3218</v>
      </c>
      <c r="D683" s="55"/>
      <c r="E683" s="55" t="s">
        <v>3218</v>
      </c>
      <c r="F683" s="55"/>
      <c r="G683" s="55"/>
    </row>
    <row r="684" spans="1:7" x14ac:dyDescent="0.3">
      <c r="A684" s="55"/>
      <c r="B684" s="54"/>
      <c r="C684" s="54"/>
      <c r="D684" s="54"/>
      <c r="E684" s="55"/>
      <c r="F684" s="55"/>
      <c r="G684" s="55"/>
    </row>
    <row r="685" spans="1:7" x14ac:dyDescent="0.3">
      <c r="A685" s="54" t="s">
        <v>3201</v>
      </c>
      <c r="B685" s="55" t="s">
        <v>3219</v>
      </c>
      <c r="C685" s="253"/>
      <c r="D685" s="55"/>
      <c r="E685" s="253" t="s">
        <v>3203</v>
      </c>
      <c r="F685" s="55"/>
      <c r="G685" s="55"/>
    </row>
    <row r="686" spans="1:7" x14ac:dyDescent="0.3">
      <c r="A686" s="54" t="s">
        <v>3220</v>
      </c>
      <c r="B686" s="55" t="s">
        <v>3221</v>
      </c>
      <c r="C686" s="253"/>
      <c r="D686" s="55"/>
      <c r="E686" s="253" t="s">
        <v>3203</v>
      </c>
      <c r="F686" s="55"/>
      <c r="G686" s="55"/>
    </row>
    <row r="687" spans="1:7" x14ac:dyDescent="0.3">
      <c r="A687" s="54" t="s">
        <v>3852</v>
      </c>
      <c r="B687" s="55" t="s">
        <v>3853</v>
      </c>
      <c r="C687" s="253"/>
      <c r="D687" s="55"/>
      <c r="E687" s="253" t="s">
        <v>3203</v>
      </c>
      <c r="F687" s="55"/>
      <c r="G687" s="55"/>
    </row>
    <row r="689" spans="1:7" x14ac:dyDescent="0.3">
      <c r="B689" s="135" t="s">
        <v>3223</v>
      </c>
      <c r="C689" s="255"/>
      <c r="D689" s="255"/>
    </row>
    <row r="690" spans="1:7" x14ac:dyDescent="0.3">
      <c r="A690" s="55"/>
      <c r="B690" s="55"/>
      <c r="C690" s="260"/>
      <c r="D690" s="260"/>
      <c r="E690" s="527" t="s">
        <v>3196</v>
      </c>
      <c r="F690" s="527"/>
      <c r="G690" s="31"/>
    </row>
    <row r="691" spans="1:7" x14ac:dyDescent="0.3">
      <c r="A691" s="70" t="s">
        <v>3197</v>
      </c>
      <c r="B691" s="70" t="s">
        <v>3198</v>
      </c>
      <c r="C691" s="70"/>
      <c r="D691" s="70"/>
      <c r="E691" s="70" t="s">
        <v>3199</v>
      </c>
      <c r="F691" s="70" t="s">
        <v>3200</v>
      </c>
      <c r="G691" s="70"/>
    </row>
    <row r="692" spans="1:7" x14ac:dyDescent="0.3">
      <c r="A692" s="70"/>
      <c r="B692" s="55"/>
      <c r="C692" s="55"/>
      <c r="D692" s="55"/>
      <c r="E692" s="70"/>
      <c r="F692" s="70"/>
      <c r="G692" s="70"/>
    </row>
    <row r="693" spans="1:7" x14ac:dyDescent="0.3">
      <c r="A693" s="70" t="s">
        <v>3201</v>
      </c>
      <c r="B693" s="55" t="s">
        <v>3502</v>
      </c>
      <c r="C693" s="253" t="s">
        <v>3203</v>
      </c>
      <c r="D693" s="55"/>
      <c r="E693" s="253" t="s">
        <v>3203</v>
      </c>
      <c r="F693" s="54" t="s">
        <v>3396</v>
      </c>
      <c r="G693" s="70"/>
    </row>
    <row r="694" spans="1:7" x14ac:dyDescent="0.3">
      <c r="A694" s="70" t="s">
        <v>3205</v>
      </c>
      <c r="B694" s="55" t="s">
        <v>3503</v>
      </c>
      <c r="C694" s="253" t="s">
        <v>3203</v>
      </c>
      <c r="D694" s="55"/>
      <c r="E694" s="253" t="s">
        <v>3203</v>
      </c>
      <c r="F694" s="54" t="s">
        <v>3396</v>
      </c>
      <c r="G694" s="70"/>
    </row>
    <row r="695" spans="1:7" x14ac:dyDescent="0.3">
      <c r="A695" s="70" t="s">
        <v>3208</v>
      </c>
      <c r="B695" s="55" t="s">
        <v>3504</v>
      </c>
      <c r="C695" s="253" t="s">
        <v>3203</v>
      </c>
      <c r="D695" s="55"/>
      <c r="E695" s="253" t="s">
        <v>3203</v>
      </c>
      <c r="F695" s="54" t="s">
        <v>3396</v>
      </c>
      <c r="G695" s="70"/>
    </row>
    <row r="696" spans="1:7" x14ac:dyDescent="0.3">
      <c r="A696" s="70" t="s">
        <v>3230</v>
      </c>
      <c r="B696" s="55" t="s">
        <v>3505</v>
      </c>
      <c r="C696" s="253" t="s">
        <v>3203</v>
      </c>
      <c r="D696" s="55"/>
      <c r="E696" s="253" t="s">
        <v>3203</v>
      </c>
      <c r="F696" s="54" t="s">
        <v>3396</v>
      </c>
      <c r="G696" s="70"/>
    </row>
    <row r="697" spans="1:7" x14ac:dyDescent="0.3">
      <c r="A697" s="70" t="s">
        <v>3233</v>
      </c>
      <c r="B697" s="55" t="s">
        <v>3506</v>
      </c>
      <c r="C697" s="253" t="s">
        <v>3203</v>
      </c>
      <c r="D697" s="55"/>
      <c r="E697" s="253" t="s">
        <v>3203</v>
      </c>
      <c r="F697" s="54" t="s">
        <v>3396</v>
      </c>
      <c r="G697" s="70"/>
    </row>
    <row r="698" spans="1:7" x14ac:dyDescent="0.3">
      <c r="A698" s="70" t="s">
        <v>3211</v>
      </c>
      <c r="B698" s="55" t="s">
        <v>3507</v>
      </c>
      <c r="C698" s="253" t="s">
        <v>3203</v>
      </c>
      <c r="D698" s="55"/>
      <c r="E698" s="253" t="s">
        <v>3203</v>
      </c>
      <c r="F698" s="54" t="s">
        <v>3396</v>
      </c>
      <c r="G698" s="70"/>
    </row>
    <row r="699" spans="1:7" x14ac:dyDescent="0.3">
      <c r="A699" s="70" t="s">
        <v>3214</v>
      </c>
      <c r="B699" s="55" t="s">
        <v>3508</v>
      </c>
      <c r="C699" s="253" t="s">
        <v>3203</v>
      </c>
      <c r="D699" s="55"/>
      <c r="E699" s="253" t="s">
        <v>3203</v>
      </c>
      <c r="F699" s="54" t="s">
        <v>3396</v>
      </c>
      <c r="G699" s="55"/>
    </row>
    <row r="700" spans="1:7" x14ac:dyDescent="0.3">
      <c r="A700" s="70" t="s">
        <v>3319</v>
      </c>
      <c r="B700" s="55" t="s">
        <v>3509</v>
      </c>
      <c r="C700" s="253" t="s">
        <v>3203</v>
      </c>
      <c r="D700" s="55"/>
      <c r="E700" s="253" t="s">
        <v>3203</v>
      </c>
      <c r="F700" s="54" t="s">
        <v>3396</v>
      </c>
      <c r="G700" s="55"/>
    </row>
    <row r="701" spans="1:7" x14ac:dyDescent="0.3">
      <c r="A701" s="70" t="s">
        <v>3356</v>
      </c>
      <c r="B701" s="55" t="s">
        <v>3498</v>
      </c>
      <c r="C701" s="253" t="s">
        <v>3203</v>
      </c>
      <c r="D701" s="55"/>
      <c r="E701" s="253" t="s">
        <v>3203</v>
      </c>
      <c r="F701" s="54" t="s">
        <v>3396</v>
      </c>
      <c r="G701" s="55"/>
    </row>
    <row r="703" spans="1:7" x14ac:dyDescent="0.3">
      <c r="B703" s="135" t="s">
        <v>3499</v>
      </c>
      <c r="C703" s="255"/>
      <c r="D703" s="255"/>
    </row>
    <row r="704" spans="1:7" x14ac:dyDescent="0.3">
      <c r="B704" s="55"/>
    </row>
    <row r="705" spans="1:7" x14ac:dyDescent="0.3">
      <c r="A705" s="260"/>
      <c r="B705" s="55"/>
      <c r="C705" s="265"/>
      <c r="D705" s="265"/>
      <c r="E705" s="527" t="s">
        <v>3196</v>
      </c>
      <c r="F705" s="527"/>
      <c r="G705" s="55"/>
    </row>
    <row r="706" spans="1:7" x14ac:dyDescent="0.3">
      <c r="A706" s="55" t="s">
        <v>3217</v>
      </c>
      <c r="B706" s="54" t="s">
        <v>3198</v>
      </c>
      <c r="C706" s="54"/>
      <c r="D706" s="54"/>
      <c r="E706" s="70" t="s">
        <v>3500</v>
      </c>
      <c r="F706" s="70" t="s">
        <v>3501</v>
      </c>
      <c r="G706" s="55"/>
    </row>
    <row r="707" spans="1:7" x14ac:dyDescent="0.3">
      <c r="A707" s="55"/>
      <c r="B707" s="54"/>
      <c r="C707" s="54"/>
      <c r="D707" s="54"/>
      <c r="E707" s="55"/>
      <c r="F707" s="55"/>
      <c r="G707" s="55"/>
    </row>
    <row r="708" spans="1:7" x14ac:dyDescent="0.3">
      <c r="A708" s="54" t="s">
        <v>3201</v>
      </c>
      <c r="B708" s="55" t="s">
        <v>3219</v>
      </c>
      <c r="C708" s="253" t="s">
        <v>3203</v>
      </c>
      <c r="D708" s="55"/>
      <c r="E708" s="253" t="s">
        <v>3203</v>
      </c>
      <c r="F708" s="253" t="s">
        <v>3203</v>
      </c>
      <c r="G708" s="55"/>
    </row>
    <row r="709" spans="1:7" x14ac:dyDescent="0.3">
      <c r="A709" s="54" t="s">
        <v>3220</v>
      </c>
      <c r="B709" s="55" t="s">
        <v>3221</v>
      </c>
      <c r="C709" s="253" t="s">
        <v>3203</v>
      </c>
      <c r="D709" s="55"/>
      <c r="E709" s="253" t="s">
        <v>3203</v>
      </c>
      <c r="F709" s="253" t="s">
        <v>3203</v>
      </c>
      <c r="G709" s="55"/>
    </row>
    <row r="710" spans="1:7" x14ac:dyDescent="0.3">
      <c r="A710" s="54" t="s">
        <v>3298</v>
      </c>
      <c r="B710" s="55" t="s">
        <v>3510</v>
      </c>
      <c r="C710" s="253"/>
      <c r="D710" s="55"/>
      <c r="E710" s="253" t="s">
        <v>3203</v>
      </c>
      <c r="F710" s="70" t="s">
        <v>3396</v>
      </c>
      <c r="G710" s="55"/>
    </row>
  </sheetData>
  <mergeCells count="130">
    <mergeCell ref="C674:D674"/>
    <mergeCell ref="E674:F674"/>
    <mergeCell ref="E690:F690"/>
    <mergeCell ref="E705:F705"/>
    <mergeCell ref="C639:D639"/>
    <mergeCell ref="E639:F639"/>
    <mergeCell ref="C654:D654"/>
    <mergeCell ref="E654:F654"/>
    <mergeCell ref="C665:D665"/>
    <mergeCell ref="E665:F665"/>
    <mergeCell ref="C647:D647"/>
    <mergeCell ref="E647:F647"/>
    <mergeCell ref="C682:D682"/>
    <mergeCell ref="E682:F682"/>
    <mergeCell ref="C615:D615"/>
    <mergeCell ref="E615:F615"/>
    <mergeCell ref="C622:D622"/>
    <mergeCell ref="E622:F622"/>
    <mergeCell ref="C629:D629"/>
    <mergeCell ref="E629:F629"/>
    <mergeCell ref="C583:D583"/>
    <mergeCell ref="E583:F583"/>
    <mergeCell ref="C596:D596"/>
    <mergeCell ref="E596:F596"/>
    <mergeCell ref="C603:D603"/>
    <mergeCell ref="E603:F603"/>
    <mergeCell ref="C555:D555"/>
    <mergeCell ref="E555:F555"/>
    <mergeCell ref="C564:D564"/>
    <mergeCell ref="E564:F564"/>
    <mergeCell ref="C576:D576"/>
    <mergeCell ref="E576:F576"/>
    <mergeCell ref="C529:D529"/>
    <mergeCell ref="E529:F529"/>
    <mergeCell ref="C541:D541"/>
    <mergeCell ref="E541:F541"/>
    <mergeCell ref="C548:D548"/>
    <mergeCell ref="E548:F548"/>
    <mergeCell ref="C501:D501"/>
    <mergeCell ref="E501:F501"/>
    <mergeCell ref="C508:D508"/>
    <mergeCell ref="E508:F508"/>
    <mergeCell ref="C520:D520"/>
    <mergeCell ref="E520:F520"/>
    <mergeCell ref="C472:D472"/>
    <mergeCell ref="E472:F472"/>
    <mergeCell ref="C481:D481"/>
    <mergeCell ref="E481:F481"/>
    <mergeCell ref="C489:D489"/>
    <mergeCell ref="E489:F489"/>
    <mergeCell ref="C447:D447"/>
    <mergeCell ref="E447:F447"/>
    <mergeCell ref="C455:D455"/>
    <mergeCell ref="E455:F455"/>
    <mergeCell ref="C465:D465"/>
    <mergeCell ref="E465:F465"/>
    <mergeCell ref="C422:D422"/>
    <mergeCell ref="E422:F422"/>
    <mergeCell ref="C432:D432"/>
    <mergeCell ref="E432:F432"/>
    <mergeCell ref="C440:D440"/>
    <mergeCell ref="E440:F440"/>
    <mergeCell ref="C338:D338"/>
    <mergeCell ref="E338:F338"/>
    <mergeCell ref="E347:F347"/>
    <mergeCell ref="E357:F357"/>
    <mergeCell ref="E363:F363"/>
    <mergeCell ref="C414:D414"/>
    <mergeCell ref="E414:F414"/>
    <mergeCell ref="C303:D303"/>
    <mergeCell ref="E303:F303"/>
    <mergeCell ref="C313:D313"/>
    <mergeCell ref="E313:F313"/>
    <mergeCell ref="C319:D319"/>
    <mergeCell ref="E319:F319"/>
    <mergeCell ref="C270:D270"/>
    <mergeCell ref="E270:F270"/>
    <mergeCell ref="C277:D277"/>
    <mergeCell ref="E277:F277"/>
    <mergeCell ref="C293:D293"/>
    <mergeCell ref="E293:F293"/>
    <mergeCell ref="E225:F225"/>
    <mergeCell ref="C232:D232"/>
    <mergeCell ref="E232:F232"/>
    <mergeCell ref="C250:D250"/>
    <mergeCell ref="E250:F250"/>
    <mergeCell ref="C259:D259"/>
    <mergeCell ref="E259:F259"/>
    <mergeCell ref="C189:D189"/>
    <mergeCell ref="E189:F189"/>
    <mergeCell ref="C196:D196"/>
    <mergeCell ref="E196:F196"/>
    <mergeCell ref="E206:F206"/>
    <mergeCell ref="E214:F214"/>
    <mergeCell ref="C153:D153"/>
    <mergeCell ref="E153:F153"/>
    <mergeCell ref="C166:D166"/>
    <mergeCell ref="E166:F166"/>
    <mergeCell ref="C181:D181"/>
    <mergeCell ref="E181:F181"/>
    <mergeCell ref="C135:D135"/>
    <mergeCell ref="E135:F135"/>
    <mergeCell ref="C146:D146"/>
    <mergeCell ref="E146:F146"/>
    <mergeCell ref="C102:D102"/>
    <mergeCell ref="E102:F102"/>
    <mergeCell ref="C113:D113"/>
    <mergeCell ref="E113:F113"/>
    <mergeCell ref="C120:D120"/>
    <mergeCell ref="E120:F120"/>
    <mergeCell ref="C93:D93"/>
    <mergeCell ref="E93:F93"/>
    <mergeCell ref="C23:D23"/>
    <mergeCell ref="E23:F23"/>
    <mergeCell ref="C35:D35"/>
    <mergeCell ref="E35:F35"/>
    <mergeCell ref="C44:D44"/>
    <mergeCell ref="E44:F44"/>
    <mergeCell ref="C127:D127"/>
    <mergeCell ref="E127:F127"/>
    <mergeCell ref="C2:D2"/>
    <mergeCell ref="E2:F2"/>
    <mergeCell ref="C6:D6"/>
    <mergeCell ref="E6:F6"/>
    <mergeCell ref="C16:D16"/>
    <mergeCell ref="E16:F16"/>
    <mergeCell ref="C57:D57"/>
    <mergeCell ref="E57:F57"/>
    <mergeCell ref="C64:D64"/>
    <mergeCell ref="E64:F64"/>
  </mergeCells>
  <pageMargins left="0.7" right="0.7" top="0.75" bottom="0.75" header="0.3" footer="0.3"/>
  <pageSetup orientation="portrait" r:id="rId1"/>
  <headerFooter>
    <oddFooter>&amp;C_x000D_&amp;1#&amp;"Calibri"&amp;6&amp;K626469 General</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357BE-0C20-4FDA-8F95-CB5C1B488DF3}">
  <sheetPr codeName="Sheet21"/>
  <dimension ref="A1:X173"/>
  <sheetViews>
    <sheetView topLeftCell="A68" zoomScale="61" zoomScaleNormal="85" workbookViewId="0">
      <selection activeCell="B86" sqref="B86"/>
    </sheetView>
  </sheetViews>
  <sheetFormatPr defaultColWidth="8.77734375" defaultRowHeight="14.4" x14ac:dyDescent="0.3"/>
  <cols>
    <col min="1" max="1" width="28.21875" customWidth="1"/>
    <col min="2" max="2" width="37.21875" bestFit="1" customWidth="1"/>
    <col min="13" max="13" width="16.44140625" bestFit="1" customWidth="1"/>
    <col min="14" max="14" width="15.5546875" bestFit="1" customWidth="1"/>
    <col min="16" max="16" width="11.21875" customWidth="1"/>
    <col min="18" max="18" width="13" customWidth="1"/>
    <col min="19" max="19" width="17.21875" customWidth="1"/>
    <col min="20" max="20" width="40.77734375" style="56" customWidth="1"/>
    <col min="21" max="21" width="22.21875" customWidth="1"/>
    <col min="24" max="24" width="33.21875" bestFit="1" customWidth="1"/>
  </cols>
  <sheetData>
    <row r="1" spans="2:22" ht="15" thickBot="1" x14ac:dyDescent="0.35"/>
    <row r="2" spans="2:22" ht="65.400000000000006" thickBot="1" x14ac:dyDescent="0.35">
      <c r="B2" s="195" t="s">
        <v>303</v>
      </c>
      <c r="C2" s="65" t="s">
        <v>304</v>
      </c>
      <c r="D2" s="65" t="s">
        <v>305</v>
      </c>
      <c r="E2" s="65" t="s">
        <v>306</v>
      </c>
      <c r="F2" s="65" t="s">
        <v>307</v>
      </c>
      <c r="G2" s="65" t="s">
        <v>308</v>
      </c>
      <c r="H2" s="65" t="s">
        <v>309</v>
      </c>
      <c r="I2" s="65" t="s">
        <v>310</v>
      </c>
      <c r="J2" s="65" t="s">
        <v>311</v>
      </c>
      <c r="K2" s="65" t="s">
        <v>745</v>
      </c>
      <c r="L2" s="65" t="s">
        <v>312</v>
      </c>
      <c r="M2" s="65" t="s">
        <v>313</v>
      </c>
      <c r="N2" s="71" t="s">
        <v>314</v>
      </c>
      <c r="O2" s="71" t="s">
        <v>315</v>
      </c>
      <c r="P2" s="65" t="s">
        <v>316</v>
      </c>
      <c r="Q2" s="65" t="s">
        <v>317</v>
      </c>
      <c r="R2" s="266" t="s">
        <v>3511</v>
      </c>
      <c r="S2" s="266" t="s">
        <v>3512</v>
      </c>
      <c r="T2" s="66" t="s">
        <v>318</v>
      </c>
    </row>
    <row r="4" spans="2:22" ht="15.6" x14ac:dyDescent="0.3">
      <c r="B4" s="477" t="s">
        <v>3513</v>
      </c>
      <c r="C4" s="477"/>
      <c r="D4" s="477"/>
      <c r="E4" s="477"/>
      <c r="F4" s="477"/>
      <c r="G4" s="477"/>
      <c r="H4" s="477"/>
      <c r="I4" s="477"/>
      <c r="J4" s="477"/>
      <c r="K4" s="477"/>
      <c r="L4" s="477"/>
      <c r="M4" s="477"/>
      <c r="N4" s="477"/>
      <c r="O4" s="477"/>
      <c r="P4" s="477"/>
      <c r="Q4" s="477"/>
      <c r="R4" s="477"/>
      <c r="S4" s="477"/>
      <c r="T4" s="477"/>
    </row>
    <row r="5" spans="2:22" ht="62.4" x14ac:dyDescent="0.3">
      <c r="B5" s="267"/>
      <c r="C5" s="267"/>
      <c r="D5" s="268"/>
      <c r="E5" s="269"/>
      <c r="F5" s="269"/>
      <c r="G5" s="269"/>
      <c r="H5" s="269"/>
      <c r="I5" s="269"/>
      <c r="J5" s="269"/>
      <c r="K5" s="269"/>
      <c r="L5" s="269"/>
      <c r="M5" s="269"/>
      <c r="N5" s="269"/>
      <c r="O5" s="270"/>
      <c r="P5" s="270"/>
      <c r="Q5" s="270"/>
      <c r="R5" s="271" t="s">
        <v>3514</v>
      </c>
      <c r="S5" s="271" t="s">
        <v>3515</v>
      </c>
      <c r="T5" s="269"/>
      <c r="U5" s="340" t="s">
        <v>3516</v>
      </c>
    </row>
    <row r="6" spans="2:22" ht="15.6" x14ac:dyDescent="0.3">
      <c r="B6" s="529" t="s">
        <v>3517</v>
      </c>
      <c r="C6" s="530"/>
      <c r="D6" s="530"/>
      <c r="E6" s="530"/>
      <c r="F6" s="530"/>
      <c r="G6" s="530"/>
      <c r="H6" s="530"/>
      <c r="I6" s="530"/>
      <c r="J6" s="530"/>
      <c r="K6" s="530"/>
      <c r="L6" s="530"/>
      <c r="M6" s="530"/>
      <c r="N6" s="530"/>
      <c r="O6" s="530"/>
      <c r="P6" s="530"/>
      <c r="Q6" s="530"/>
      <c r="R6" s="530"/>
      <c r="S6" s="530"/>
      <c r="T6" s="531"/>
    </row>
    <row r="7" spans="2:22" ht="46.8" x14ac:dyDescent="0.3">
      <c r="B7" s="10" t="s">
        <v>3518</v>
      </c>
      <c r="C7" s="10" t="s">
        <v>321</v>
      </c>
      <c r="D7" s="10">
        <v>2</v>
      </c>
      <c r="E7" s="10">
        <f t="shared" ref="E7:E9" si="0">D7/2</f>
        <v>1</v>
      </c>
      <c r="F7" s="10">
        <v>0</v>
      </c>
      <c r="G7" s="10">
        <v>1</v>
      </c>
      <c r="H7" s="10">
        <v>1</v>
      </c>
      <c r="I7" s="10">
        <v>1</v>
      </c>
      <c r="J7" s="10" t="s">
        <v>418</v>
      </c>
      <c r="K7" s="10">
        <v>44876</v>
      </c>
      <c r="L7" s="10">
        <f t="shared" ref="L7:L30" si="1">K7-40000</f>
        <v>4876</v>
      </c>
      <c r="M7" s="10">
        <f t="shared" ref="M7:M30" si="2">L7-1</f>
        <v>4875</v>
      </c>
      <c r="N7" s="10" t="s">
        <v>419</v>
      </c>
      <c r="O7" s="10" t="s">
        <v>327</v>
      </c>
      <c r="P7" s="10">
        <v>1</v>
      </c>
      <c r="Q7" s="10" t="s">
        <v>1297</v>
      </c>
      <c r="R7" s="10">
        <v>1</v>
      </c>
      <c r="S7" s="10" t="str">
        <f t="shared" ref="S7:S30" si="3">DEC2HEX(R7)</f>
        <v>1</v>
      </c>
      <c r="T7" s="334" t="s">
        <v>3519</v>
      </c>
      <c r="U7" s="54" t="s">
        <v>327</v>
      </c>
    </row>
    <row r="8" spans="2:22" ht="46.8" x14ac:dyDescent="0.3">
      <c r="B8" s="304" t="s">
        <v>320</v>
      </c>
      <c r="C8" s="10" t="s">
        <v>321</v>
      </c>
      <c r="D8" s="10">
        <v>2</v>
      </c>
      <c r="E8" s="10">
        <f t="shared" si="0"/>
        <v>1</v>
      </c>
      <c r="F8" s="10">
        <v>0</v>
      </c>
      <c r="G8" s="339">
        <v>0</v>
      </c>
      <c r="H8" s="10">
        <v>1</v>
      </c>
      <c r="I8" s="10">
        <v>1</v>
      </c>
      <c r="J8" s="10" t="s">
        <v>418</v>
      </c>
      <c r="K8" s="10">
        <f t="shared" ref="K8:K30" si="4">K7+E7</f>
        <v>44877</v>
      </c>
      <c r="L8" s="10">
        <f t="shared" si="1"/>
        <v>4877</v>
      </c>
      <c r="M8" s="10">
        <f t="shared" si="2"/>
        <v>4876</v>
      </c>
      <c r="N8" s="10" t="s">
        <v>419</v>
      </c>
      <c r="O8" s="10" t="s">
        <v>327</v>
      </c>
      <c r="P8" s="10">
        <v>0</v>
      </c>
      <c r="Q8" s="10" t="s">
        <v>1297</v>
      </c>
      <c r="R8" s="10">
        <f t="shared" ref="R8:R30" si="5">R7+E7</f>
        <v>2</v>
      </c>
      <c r="S8" s="10" t="str">
        <f t="shared" si="3"/>
        <v>2</v>
      </c>
      <c r="T8" s="334" t="s">
        <v>3520</v>
      </c>
      <c r="U8" s="54" t="s">
        <v>324</v>
      </c>
    </row>
    <row r="9" spans="2:22" ht="202.8" x14ac:dyDescent="0.3">
      <c r="B9" s="10" t="s">
        <v>3521</v>
      </c>
      <c r="C9" s="10" t="s">
        <v>321</v>
      </c>
      <c r="D9" s="10">
        <v>2</v>
      </c>
      <c r="E9" s="10">
        <f t="shared" si="0"/>
        <v>1</v>
      </c>
      <c r="F9" s="10">
        <v>0</v>
      </c>
      <c r="G9" s="339">
        <v>12</v>
      </c>
      <c r="H9" s="10">
        <v>1</v>
      </c>
      <c r="I9" s="10">
        <v>1</v>
      </c>
      <c r="J9" s="10" t="s">
        <v>418</v>
      </c>
      <c r="K9" s="10">
        <f t="shared" si="4"/>
        <v>44878</v>
      </c>
      <c r="L9" s="10">
        <f t="shared" si="1"/>
        <v>4878</v>
      </c>
      <c r="M9" s="10">
        <f t="shared" si="2"/>
        <v>4877</v>
      </c>
      <c r="N9" s="10" t="s">
        <v>419</v>
      </c>
      <c r="O9" s="10" t="s">
        <v>327</v>
      </c>
      <c r="P9" s="10">
        <v>0</v>
      </c>
      <c r="Q9" s="10" t="s">
        <v>1297</v>
      </c>
      <c r="R9" s="10">
        <f t="shared" si="5"/>
        <v>3</v>
      </c>
      <c r="S9" s="10" t="str">
        <f t="shared" si="3"/>
        <v>3</v>
      </c>
      <c r="T9" s="334" t="s">
        <v>3522</v>
      </c>
      <c r="U9" s="54" t="s">
        <v>324</v>
      </c>
      <c r="V9" t="s">
        <v>3523</v>
      </c>
    </row>
    <row r="10" spans="2:22" ht="15.6" x14ac:dyDescent="0.3">
      <c r="B10" s="142" t="s">
        <v>3524</v>
      </c>
      <c r="C10" s="10" t="s">
        <v>321</v>
      </c>
      <c r="D10" s="10">
        <v>2</v>
      </c>
      <c r="E10" s="10">
        <f>D10/2</f>
        <v>1</v>
      </c>
      <c r="F10" s="339">
        <v>0</v>
      </c>
      <c r="G10" s="10">
        <v>255</v>
      </c>
      <c r="H10" s="10">
        <v>1</v>
      </c>
      <c r="I10" s="10">
        <v>1</v>
      </c>
      <c r="J10" s="10" t="s">
        <v>418</v>
      </c>
      <c r="K10" s="10">
        <f>K9+E9</f>
        <v>44879</v>
      </c>
      <c r="L10" s="10">
        <f t="shared" si="1"/>
        <v>4879</v>
      </c>
      <c r="M10" s="10">
        <f t="shared" si="2"/>
        <v>4878</v>
      </c>
      <c r="N10" s="10" t="s">
        <v>419</v>
      </c>
      <c r="O10" s="10" t="s">
        <v>327</v>
      </c>
      <c r="P10" s="10">
        <v>169</v>
      </c>
      <c r="Q10" s="10" t="s">
        <v>1297</v>
      </c>
      <c r="R10" s="10">
        <f>R9+E9</f>
        <v>4</v>
      </c>
      <c r="S10" s="10" t="str">
        <f t="shared" si="3"/>
        <v>4</v>
      </c>
      <c r="T10" s="332"/>
      <c r="U10" s="54" t="s">
        <v>327</v>
      </c>
    </row>
    <row r="11" spans="2:22" ht="15.6" x14ac:dyDescent="0.3">
      <c r="B11" s="142" t="s">
        <v>3525</v>
      </c>
      <c r="C11" s="10" t="s">
        <v>321</v>
      </c>
      <c r="D11" s="10">
        <v>2</v>
      </c>
      <c r="E11" s="10">
        <f t="shared" ref="E11:E30" si="6">D11/2</f>
        <v>1</v>
      </c>
      <c r="F11" s="10">
        <v>0</v>
      </c>
      <c r="G11" s="10">
        <v>255</v>
      </c>
      <c r="H11" s="10">
        <v>1</v>
      </c>
      <c r="I11" s="10">
        <v>1</v>
      </c>
      <c r="J11" s="10" t="s">
        <v>418</v>
      </c>
      <c r="K11" s="10">
        <f t="shared" si="4"/>
        <v>44880</v>
      </c>
      <c r="L11" s="10">
        <f t="shared" si="1"/>
        <v>4880</v>
      </c>
      <c r="M11" s="10">
        <f t="shared" si="2"/>
        <v>4879</v>
      </c>
      <c r="N11" s="10" t="s">
        <v>419</v>
      </c>
      <c r="O11" s="10" t="s">
        <v>327</v>
      </c>
      <c r="P11" s="10">
        <v>254</v>
      </c>
      <c r="Q11" s="10" t="s">
        <v>1297</v>
      </c>
      <c r="R11" s="10">
        <f t="shared" si="5"/>
        <v>5</v>
      </c>
      <c r="S11" s="10" t="str">
        <f t="shared" si="3"/>
        <v>5</v>
      </c>
      <c r="T11" s="332"/>
      <c r="U11" s="54" t="s">
        <v>327</v>
      </c>
    </row>
    <row r="12" spans="2:22" ht="15.6" x14ac:dyDescent="0.3">
      <c r="B12" s="142" t="s">
        <v>3526</v>
      </c>
      <c r="C12" s="10" t="s">
        <v>321</v>
      </c>
      <c r="D12" s="10">
        <v>2</v>
      </c>
      <c r="E12" s="10">
        <f t="shared" si="6"/>
        <v>1</v>
      </c>
      <c r="F12" s="10">
        <v>0</v>
      </c>
      <c r="G12" s="10">
        <v>255</v>
      </c>
      <c r="H12" s="10">
        <v>1</v>
      </c>
      <c r="I12" s="10">
        <v>1</v>
      </c>
      <c r="J12" s="10" t="s">
        <v>418</v>
      </c>
      <c r="K12" s="10">
        <f t="shared" si="4"/>
        <v>44881</v>
      </c>
      <c r="L12" s="10">
        <f t="shared" si="1"/>
        <v>4881</v>
      </c>
      <c r="M12" s="10">
        <f t="shared" si="2"/>
        <v>4880</v>
      </c>
      <c r="N12" s="10" t="s">
        <v>419</v>
      </c>
      <c r="O12" s="10" t="s">
        <v>327</v>
      </c>
      <c r="P12" s="10" t="s">
        <v>3527</v>
      </c>
      <c r="Q12" s="10" t="s">
        <v>1297</v>
      </c>
      <c r="R12" s="10">
        <f t="shared" si="5"/>
        <v>6</v>
      </c>
      <c r="S12" s="10" t="str">
        <f t="shared" si="3"/>
        <v>6</v>
      </c>
      <c r="T12" s="332"/>
      <c r="U12" s="54" t="s">
        <v>327</v>
      </c>
    </row>
    <row r="13" spans="2:22" ht="15.6" x14ac:dyDescent="0.3">
      <c r="B13" s="142" t="s">
        <v>3528</v>
      </c>
      <c r="C13" s="10" t="s">
        <v>321</v>
      </c>
      <c r="D13" s="10">
        <v>2</v>
      </c>
      <c r="E13" s="10">
        <f t="shared" si="6"/>
        <v>1</v>
      </c>
      <c r="F13" s="10">
        <v>0</v>
      </c>
      <c r="G13" s="10">
        <v>255</v>
      </c>
      <c r="H13" s="10">
        <v>1</v>
      </c>
      <c r="I13" s="10">
        <v>1</v>
      </c>
      <c r="J13" s="10" t="s">
        <v>418</v>
      </c>
      <c r="K13" s="10">
        <f t="shared" si="4"/>
        <v>44882</v>
      </c>
      <c r="L13" s="10">
        <f t="shared" si="1"/>
        <v>4882</v>
      </c>
      <c r="M13" s="10">
        <f t="shared" si="2"/>
        <v>4881</v>
      </c>
      <c r="N13" s="10" t="s">
        <v>419</v>
      </c>
      <c r="O13" s="10" t="s">
        <v>327</v>
      </c>
      <c r="P13" s="10" t="s">
        <v>3529</v>
      </c>
      <c r="Q13" s="10" t="s">
        <v>1297</v>
      </c>
      <c r="R13" s="10">
        <f t="shared" si="5"/>
        <v>7</v>
      </c>
      <c r="S13" s="10" t="str">
        <f t="shared" si="3"/>
        <v>7</v>
      </c>
      <c r="T13" s="332"/>
      <c r="U13" s="54" t="s">
        <v>327</v>
      </c>
    </row>
    <row r="14" spans="2:22" ht="15.6" x14ac:dyDescent="0.3">
      <c r="B14" s="142" t="s">
        <v>3530</v>
      </c>
      <c r="C14" s="10" t="s">
        <v>321</v>
      </c>
      <c r="D14" s="10">
        <v>2</v>
      </c>
      <c r="E14" s="10">
        <f t="shared" si="6"/>
        <v>1</v>
      </c>
      <c r="F14" s="10">
        <v>0</v>
      </c>
      <c r="G14" s="10">
        <v>255</v>
      </c>
      <c r="H14" s="10">
        <v>1</v>
      </c>
      <c r="I14" s="10">
        <v>1</v>
      </c>
      <c r="J14" s="10" t="s">
        <v>418</v>
      </c>
      <c r="K14" s="10">
        <f t="shared" si="4"/>
        <v>44883</v>
      </c>
      <c r="L14" s="10">
        <f t="shared" si="1"/>
        <v>4883</v>
      </c>
      <c r="M14" s="10">
        <f t="shared" si="2"/>
        <v>4882</v>
      </c>
      <c r="N14" s="10" t="s">
        <v>419</v>
      </c>
      <c r="O14" s="10" t="s">
        <v>327</v>
      </c>
      <c r="P14" s="10">
        <v>255</v>
      </c>
      <c r="Q14" s="10" t="s">
        <v>1297</v>
      </c>
      <c r="R14" s="10">
        <f t="shared" si="5"/>
        <v>8</v>
      </c>
      <c r="S14" s="10" t="str">
        <f t="shared" si="3"/>
        <v>8</v>
      </c>
      <c r="T14" s="332"/>
      <c r="U14" s="54" t="s">
        <v>327</v>
      </c>
    </row>
    <row r="15" spans="2:22" ht="15.6" x14ac:dyDescent="0.3">
      <c r="B15" s="142" t="s">
        <v>3531</v>
      </c>
      <c r="C15" s="10" t="s">
        <v>321</v>
      </c>
      <c r="D15" s="10">
        <v>2</v>
      </c>
      <c r="E15" s="10">
        <f t="shared" si="6"/>
        <v>1</v>
      </c>
      <c r="F15" s="10">
        <v>0</v>
      </c>
      <c r="G15" s="10">
        <v>255</v>
      </c>
      <c r="H15" s="10">
        <v>1</v>
      </c>
      <c r="I15" s="10">
        <v>1</v>
      </c>
      <c r="J15" s="10" t="s">
        <v>418</v>
      </c>
      <c r="K15" s="10">
        <f t="shared" si="4"/>
        <v>44884</v>
      </c>
      <c r="L15" s="10">
        <f t="shared" si="1"/>
        <v>4884</v>
      </c>
      <c r="M15" s="10">
        <f t="shared" si="2"/>
        <v>4883</v>
      </c>
      <c r="N15" s="10" t="s">
        <v>419</v>
      </c>
      <c r="O15" s="10" t="s">
        <v>327</v>
      </c>
      <c r="P15" s="10">
        <v>255</v>
      </c>
      <c r="Q15" s="10" t="s">
        <v>1297</v>
      </c>
      <c r="R15" s="10">
        <f t="shared" si="5"/>
        <v>9</v>
      </c>
      <c r="S15" s="10" t="str">
        <f t="shared" si="3"/>
        <v>9</v>
      </c>
      <c r="T15" s="332"/>
      <c r="U15" s="54" t="s">
        <v>327</v>
      </c>
    </row>
    <row r="16" spans="2:22" ht="15.6" x14ac:dyDescent="0.3">
      <c r="B16" s="142" t="s">
        <v>3532</v>
      </c>
      <c r="C16" s="10" t="s">
        <v>321</v>
      </c>
      <c r="D16" s="10">
        <v>2</v>
      </c>
      <c r="E16" s="10">
        <f t="shared" si="6"/>
        <v>1</v>
      </c>
      <c r="F16" s="10">
        <v>0</v>
      </c>
      <c r="G16" s="10">
        <v>255</v>
      </c>
      <c r="H16" s="10">
        <v>1</v>
      </c>
      <c r="I16" s="10">
        <v>1</v>
      </c>
      <c r="J16" s="10" t="s">
        <v>418</v>
      </c>
      <c r="K16" s="10">
        <f t="shared" si="4"/>
        <v>44885</v>
      </c>
      <c r="L16" s="10">
        <f t="shared" si="1"/>
        <v>4885</v>
      </c>
      <c r="M16" s="10">
        <f t="shared" si="2"/>
        <v>4884</v>
      </c>
      <c r="N16" s="10" t="s">
        <v>419</v>
      </c>
      <c r="O16" s="10" t="s">
        <v>327</v>
      </c>
      <c r="P16" s="10">
        <v>0</v>
      </c>
      <c r="Q16" s="10" t="s">
        <v>1297</v>
      </c>
      <c r="R16" s="10">
        <f t="shared" si="5"/>
        <v>10</v>
      </c>
      <c r="S16" s="10" t="str">
        <f t="shared" si="3"/>
        <v>A</v>
      </c>
      <c r="T16" s="332"/>
      <c r="U16" s="54" t="s">
        <v>327</v>
      </c>
    </row>
    <row r="17" spans="2:24" ht="15.6" x14ac:dyDescent="0.3">
      <c r="B17" s="142" t="s">
        <v>3533</v>
      </c>
      <c r="C17" s="10" t="s">
        <v>321</v>
      </c>
      <c r="D17" s="10">
        <v>2</v>
      </c>
      <c r="E17" s="10">
        <f t="shared" si="6"/>
        <v>1</v>
      </c>
      <c r="F17" s="10">
        <v>0</v>
      </c>
      <c r="G17" s="10">
        <v>255</v>
      </c>
      <c r="H17" s="10">
        <v>1</v>
      </c>
      <c r="I17" s="10">
        <v>1</v>
      </c>
      <c r="J17" s="10" t="s">
        <v>418</v>
      </c>
      <c r="K17" s="10">
        <f t="shared" si="4"/>
        <v>44886</v>
      </c>
      <c r="L17" s="10">
        <f t="shared" si="1"/>
        <v>4886</v>
      </c>
      <c r="M17" s="10">
        <f t="shared" si="2"/>
        <v>4885</v>
      </c>
      <c r="N17" s="10" t="s">
        <v>419</v>
      </c>
      <c r="O17" s="10" t="s">
        <v>327</v>
      </c>
      <c r="P17" s="10">
        <v>0</v>
      </c>
      <c r="Q17" s="10" t="s">
        <v>1297</v>
      </c>
      <c r="R17" s="10">
        <f t="shared" si="5"/>
        <v>11</v>
      </c>
      <c r="S17" s="10" t="str">
        <f t="shared" si="3"/>
        <v>B</v>
      </c>
      <c r="T17" s="332"/>
      <c r="U17" s="54" t="s">
        <v>327</v>
      </c>
    </row>
    <row r="18" spans="2:24" ht="15.6" x14ac:dyDescent="0.3">
      <c r="B18" s="142" t="s">
        <v>3534</v>
      </c>
      <c r="C18" s="10" t="s">
        <v>321</v>
      </c>
      <c r="D18" s="10">
        <v>2</v>
      </c>
      <c r="E18" s="10">
        <f t="shared" si="6"/>
        <v>1</v>
      </c>
      <c r="F18" s="339">
        <v>0</v>
      </c>
      <c r="G18" s="10">
        <v>255</v>
      </c>
      <c r="H18" s="10">
        <v>1</v>
      </c>
      <c r="I18" s="10">
        <v>1</v>
      </c>
      <c r="J18" s="10" t="s">
        <v>418</v>
      </c>
      <c r="K18" s="10">
        <f t="shared" si="4"/>
        <v>44887</v>
      </c>
      <c r="L18" s="10">
        <f t="shared" si="1"/>
        <v>4887</v>
      </c>
      <c r="M18" s="10">
        <f t="shared" si="2"/>
        <v>4886</v>
      </c>
      <c r="N18" s="10" t="s">
        <v>419</v>
      </c>
      <c r="O18" s="10" t="s">
        <v>327</v>
      </c>
      <c r="P18" s="339">
        <v>0</v>
      </c>
      <c r="Q18" s="10" t="s">
        <v>1297</v>
      </c>
      <c r="R18" s="10">
        <f t="shared" si="5"/>
        <v>12</v>
      </c>
      <c r="S18" s="10" t="str">
        <f t="shared" si="3"/>
        <v>C</v>
      </c>
      <c r="T18" s="332"/>
      <c r="U18" s="54" t="s">
        <v>327</v>
      </c>
    </row>
    <row r="19" spans="2:24" ht="15.6" x14ac:dyDescent="0.3">
      <c r="B19" s="142" t="s">
        <v>3535</v>
      </c>
      <c r="C19" s="10" t="s">
        <v>321</v>
      </c>
      <c r="D19" s="10">
        <v>2</v>
      </c>
      <c r="E19" s="10">
        <f t="shared" si="6"/>
        <v>1</v>
      </c>
      <c r="F19" s="10">
        <v>0</v>
      </c>
      <c r="G19" s="10">
        <v>255</v>
      </c>
      <c r="H19" s="10">
        <v>1</v>
      </c>
      <c r="I19" s="10">
        <v>1</v>
      </c>
      <c r="J19" s="10" t="s">
        <v>418</v>
      </c>
      <c r="K19" s="10">
        <f t="shared" si="4"/>
        <v>44888</v>
      </c>
      <c r="L19" s="10">
        <f t="shared" si="1"/>
        <v>4888</v>
      </c>
      <c r="M19" s="10">
        <f t="shared" si="2"/>
        <v>4887</v>
      </c>
      <c r="N19" s="10" t="s">
        <v>419</v>
      </c>
      <c r="O19" s="10" t="s">
        <v>327</v>
      </c>
      <c r="P19" s="339">
        <v>0</v>
      </c>
      <c r="Q19" s="10" t="s">
        <v>1297</v>
      </c>
      <c r="R19" s="10">
        <f t="shared" si="5"/>
        <v>13</v>
      </c>
      <c r="S19" s="10" t="str">
        <f t="shared" si="3"/>
        <v>D</v>
      </c>
      <c r="T19" s="332"/>
      <c r="U19" s="54" t="s">
        <v>327</v>
      </c>
    </row>
    <row r="20" spans="2:24" ht="15.6" x14ac:dyDescent="0.3">
      <c r="B20" s="142" t="s">
        <v>3536</v>
      </c>
      <c r="C20" s="10" t="s">
        <v>321</v>
      </c>
      <c r="D20" s="10">
        <v>2</v>
      </c>
      <c r="E20" s="10">
        <f t="shared" si="6"/>
        <v>1</v>
      </c>
      <c r="F20" s="10">
        <v>0</v>
      </c>
      <c r="G20" s="10">
        <v>255</v>
      </c>
      <c r="H20" s="10">
        <v>1</v>
      </c>
      <c r="I20" s="10">
        <v>1</v>
      </c>
      <c r="J20" s="10" t="s">
        <v>418</v>
      </c>
      <c r="K20" s="10">
        <f t="shared" si="4"/>
        <v>44889</v>
      </c>
      <c r="L20" s="10">
        <f t="shared" si="1"/>
        <v>4889</v>
      </c>
      <c r="M20" s="10">
        <f t="shared" si="2"/>
        <v>4888</v>
      </c>
      <c r="N20" s="10" t="s">
        <v>419</v>
      </c>
      <c r="O20" s="10" t="s">
        <v>327</v>
      </c>
      <c r="P20" s="339">
        <v>0</v>
      </c>
      <c r="Q20" s="10" t="s">
        <v>1297</v>
      </c>
      <c r="R20" s="10">
        <f t="shared" si="5"/>
        <v>14</v>
      </c>
      <c r="S20" s="10" t="str">
        <f t="shared" si="3"/>
        <v>E</v>
      </c>
      <c r="T20" s="332"/>
      <c r="U20" s="54" t="s">
        <v>327</v>
      </c>
    </row>
    <row r="21" spans="2:24" ht="15.6" x14ac:dyDescent="0.3">
      <c r="B21" s="142" t="s">
        <v>3537</v>
      </c>
      <c r="C21" s="10" t="s">
        <v>321</v>
      </c>
      <c r="D21" s="10">
        <v>2</v>
      </c>
      <c r="E21" s="10">
        <f t="shared" si="6"/>
        <v>1</v>
      </c>
      <c r="F21" s="10">
        <v>0</v>
      </c>
      <c r="G21" s="10">
        <v>255</v>
      </c>
      <c r="H21" s="10">
        <v>1</v>
      </c>
      <c r="I21" s="10">
        <v>1</v>
      </c>
      <c r="J21" s="10" t="s">
        <v>418</v>
      </c>
      <c r="K21" s="10">
        <f t="shared" si="4"/>
        <v>44890</v>
      </c>
      <c r="L21" s="10">
        <f t="shared" si="1"/>
        <v>4890</v>
      </c>
      <c r="M21" s="10">
        <f t="shared" si="2"/>
        <v>4889</v>
      </c>
      <c r="N21" s="10" t="s">
        <v>419</v>
      </c>
      <c r="O21" s="10" t="s">
        <v>327</v>
      </c>
      <c r="P21" s="339">
        <v>0</v>
      </c>
      <c r="Q21" s="10" t="s">
        <v>1297</v>
      </c>
      <c r="R21" s="10">
        <f t="shared" si="5"/>
        <v>15</v>
      </c>
      <c r="S21" s="10" t="str">
        <f t="shared" si="3"/>
        <v>F</v>
      </c>
      <c r="T21" s="332"/>
      <c r="U21" s="54" t="s">
        <v>327</v>
      </c>
    </row>
    <row r="22" spans="2:24" ht="15.6" x14ac:dyDescent="0.3">
      <c r="B22" s="10" t="s">
        <v>3538</v>
      </c>
      <c r="C22" s="10" t="s">
        <v>321</v>
      </c>
      <c r="D22" s="10">
        <v>2</v>
      </c>
      <c r="E22" s="10">
        <f t="shared" si="6"/>
        <v>1</v>
      </c>
      <c r="F22" s="339">
        <v>0</v>
      </c>
      <c r="G22" s="10">
        <v>255</v>
      </c>
      <c r="H22" s="10">
        <v>1</v>
      </c>
      <c r="I22" s="10">
        <v>1</v>
      </c>
      <c r="J22" s="10" t="s">
        <v>418</v>
      </c>
      <c r="K22" s="10">
        <f t="shared" si="4"/>
        <v>44891</v>
      </c>
      <c r="L22" s="10">
        <f t="shared" si="1"/>
        <v>4891</v>
      </c>
      <c r="M22" s="10">
        <f t="shared" si="2"/>
        <v>4890</v>
      </c>
      <c r="N22" s="10" t="s">
        <v>419</v>
      </c>
      <c r="O22" s="10" t="s">
        <v>327</v>
      </c>
      <c r="P22" s="339">
        <v>0</v>
      </c>
      <c r="Q22" s="10" t="s">
        <v>1297</v>
      </c>
      <c r="R22" s="10">
        <f t="shared" si="5"/>
        <v>16</v>
      </c>
      <c r="S22" s="10" t="str">
        <f t="shared" si="3"/>
        <v>10</v>
      </c>
      <c r="T22" s="332"/>
      <c r="U22" s="54" t="s">
        <v>324</v>
      </c>
    </row>
    <row r="23" spans="2:24" ht="15.6" x14ac:dyDescent="0.3">
      <c r="B23" s="10" t="s">
        <v>3539</v>
      </c>
      <c r="C23" s="10" t="s">
        <v>321</v>
      </c>
      <c r="D23" s="10">
        <v>2</v>
      </c>
      <c r="E23" s="10">
        <f t="shared" si="6"/>
        <v>1</v>
      </c>
      <c r="F23" s="10">
        <v>0</v>
      </c>
      <c r="G23" s="10">
        <v>255</v>
      </c>
      <c r="H23" s="10">
        <v>1</v>
      </c>
      <c r="I23" s="10">
        <v>1</v>
      </c>
      <c r="J23" s="10" t="s">
        <v>418</v>
      </c>
      <c r="K23" s="10">
        <f t="shared" si="4"/>
        <v>44892</v>
      </c>
      <c r="L23" s="10">
        <f t="shared" si="1"/>
        <v>4892</v>
      </c>
      <c r="M23" s="10">
        <f t="shared" si="2"/>
        <v>4891</v>
      </c>
      <c r="N23" s="10" t="s">
        <v>419</v>
      </c>
      <c r="O23" s="10" t="s">
        <v>327</v>
      </c>
      <c r="P23" s="10">
        <v>0</v>
      </c>
      <c r="Q23" s="10" t="s">
        <v>1297</v>
      </c>
      <c r="R23" s="10">
        <f t="shared" si="5"/>
        <v>17</v>
      </c>
      <c r="S23" s="10" t="str">
        <f t="shared" si="3"/>
        <v>11</v>
      </c>
      <c r="T23" s="332"/>
      <c r="U23" s="54" t="s">
        <v>324</v>
      </c>
    </row>
    <row r="24" spans="2:24" ht="15.6" x14ac:dyDescent="0.3">
      <c r="B24" s="10" t="s">
        <v>3540</v>
      </c>
      <c r="C24" s="10" t="s">
        <v>321</v>
      </c>
      <c r="D24" s="10">
        <v>2</v>
      </c>
      <c r="E24" s="10">
        <f t="shared" si="6"/>
        <v>1</v>
      </c>
      <c r="F24" s="10">
        <v>0</v>
      </c>
      <c r="G24" s="10">
        <v>255</v>
      </c>
      <c r="H24" s="10">
        <v>1</v>
      </c>
      <c r="I24" s="10">
        <v>1</v>
      </c>
      <c r="J24" s="10" t="s">
        <v>418</v>
      </c>
      <c r="K24" s="10">
        <f t="shared" si="4"/>
        <v>44893</v>
      </c>
      <c r="L24" s="10">
        <f t="shared" si="1"/>
        <v>4893</v>
      </c>
      <c r="M24" s="10">
        <f t="shared" si="2"/>
        <v>4892</v>
      </c>
      <c r="N24" s="10" t="s">
        <v>419</v>
      </c>
      <c r="O24" s="10" t="s">
        <v>327</v>
      </c>
      <c r="P24" s="10">
        <v>0</v>
      </c>
      <c r="Q24" s="10" t="s">
        <v>1297</v>
      </c>
      <c r="R24" s="10">
        <f t="shared" si="5"/>
        <v>18</v>
      </c>
      <c r="S24" s="10" t="str">
        <f t="shared" si="3"/>
        <v>12</v>
      </c>
      <c r="T24" s="332"/>
      <c r="U24" s="54" t="s">
        <v>324</v>
      </c>
    </row>
    <row r="25" spans="2:24" ht="15.6" x14ac:dyDescent="0.3">
      <c r="B25" s="10" t="s">
        <v>3541</v>
      </c>
      <c r="C25" s="10" t="s">
        <v>321</v>
      </c>
      <c r="D25" s="10">
        <v>2</v>
      </c>
      <c r="E25" s="10">
        <f t="shared" si="6"/>
        <v>1</v>
      </c>
      <c r="F25" s="10">
        <v>0</v>
      </c>
      <c r="G25" s="10">
        <v>255</v>
      </c>
      <c r="H25" s="10">
        <v>1</v>
      </c>
      <c r="I25" s="10">
        <v>1</v>
      </c>
      <c r="J25" s="10" t="s">
        <v>418</v>
      </c>
      <c r="K25" s="10">
        <f t="shared" si="4"/>
        <v>44894</v>
      </c>
      <c r="L25" s="10">
        <f t="shared" si="1"/>
        <v>4894</v>
      </c>
      <c r="M25" s="10">
        <f t="shared" si="2"/>
        <v>4893</v>
      </c>
      <c r="N25" s="10" t="s">
        <v>419</v>
      </c>
      <c r="O25" s="10" t="s">
        <v>327</v>
      </c>
      <c r="P25" s="10">
        <v>0</v>
      </c>
      <c r="Q25" s="10" t="s">
        <v>1297</v>
      </c>
      <c r="R25" s="10">
        <f t="shared" si="5"/>
        <v>19</v>
      </c>
      <c r="S25" s="10" t="str">
        <f t="shared" si="3"/>
        <v>13</v>
      </c>
      <c r="T25" s="332"/>
      <c r="U25" s="54" t="s">
        <v>324</v>
      </c>
    </row>
    <row r="26" spans="2:24" ht="15.6" x14ac:dyDescent="0.3">
      <c r="B26" s="10" t="s">
        <v>3542</v>
      </c>
      <c r="C26" s="10" t="s">
        <v>321</v>
      </c>
      <c r="D26" s="10">
        <v>2</v>
      </c>
      <c r="E26" s="10">
        <f t="shared" si="6"/>
        <v>1</v>
      </c>
      <c r="F26" s="10">
        <v>0</v>
      </c>
      <c r="G26" s="339">
        <v>2</v>
      </c>
      <c r="H26" s="10">
        <v>1</v>
      </c>
      <c r="I26" s="10">
        <v>1</v>
      </c>
      <c r="J26" s="10" t="s">
        <v>418</v>
      </c>
      <c r="K26" s="10">
        <f t="shared" si="4"/>
        <v>44895</v>
      </c>
      <c r="L26" s="10">
        <f t="shared" si="1"/>
        <v>4895</v>
      </c>
      <c r="M26" s="10">
        <f t="shared" si="2"/>
        <v>4894</v>
      </c>
      <c r="N26" s="10" t="s">
        <v>419</v>
      </c>
      <c r="O26" s="10" t="s">
        <v>327</v>
      </c>
      <c r="P26" s="10">
        <v>0</v>
      </c>
      <c r="Q26" s="10" t="s">
        <v>1297</v>
      </c>
      <c r="R26" s="10">
        <f t="shared" si="5"/>
        <v>20</v>
      </c>
      <c r="S26" s="10" t="str">
        <f t="shared" si="3"/>
        <v>14</v>
      </c>
      <c r="T26" s="332" t="s">
        <v>3543</v>
      </c>
      <c r="U26" s="54" t="s">
        <v>327</v>
      </c>
    </row>
    <row r="27" spans="2:24" ht="15.6" x14ac:dyDescent="0.3">
      <c r="B27" s="10" t="s">
        <v>3544</v>
      </c>
      <c r="C27" s="10" t="s">
        <v>321</v>
      </c>
      <c r="D27" s="74">
        <v>2</v>
      </c>
      <c r="E27" s="10">
        <f t="shared" si="6"/>
        <v>1</v>
      </c>
      <c r="F27" s="59">
        <v>1</v>
      </c>
      <c r="G27" s="59">
        <v>28</v>
      </c>
      <c r="H27" s="59">
        <v>1</v>
      </c>
      <c r="I27" s="59">
        <v>1</v>
      </c>
      <c r="J27" s="10" t="s">
        <v>418</v>
      </c>
      <c r="K27" s="10">
        <f t="shared" si="4"/>
        <v>44896</v>
      </c>
      <c r="L27" s="10">
        <f t="shared" si="1"/>
        <v>4896</v>
      </c>
      <c r="M27" s="10">
        <f t="shared" si="2"/>
        <v>4895</v>
      </c>
      <c r="N27" s="10" t="s">
        <v>419</v>
      </c>
      <c r="O27" s="10" t="s">
        <v>324</v>
      </c>
      <c r="P27" s="10">
        <v>19</v>
      </c>
      <c r="Q27" s="10" t="s">
        <v>1297</v>
      </c>
      <c r="R27" s="10">
        <f t="shared" si="5"/>
        <v>21</v>
      </c>
      <c r="S27" s="10" t="str">
        <f t="shared" si="3"/>
        <v>15</v>
      </c>
      <c r="T27" s="335" t="s">
        <v>3545</v>
      </c>
      <c r="U27" s="54" t="s">
        <v>327</v>
      </c>
      <c r="W27" s="55" t="s">
        <v>1216</v>
      </c>
      <c r="X27" s="55" t="s">
        <v>3546</v>
      </c>
    </row>
    <row r="28" spans="2:24" ht="46.8" x14ac:dyDescent="0.3">
      <c r="B28" s="142" t="s">
        <v>3547</v>
      </c>
      <c r="C28" s="142" t="s">
        <v>321</v>
      </c>
      <c r="D28" s="305">
        <v>2</v>
      </c>
      <c r="E28" s="142">
        <f t="shared" si="6"/>
        <v>1</v>
      </c>
      <c r="F28" s="306">
        <v>0</v>
      </c>
      <c r="G28" s="306">
        <v>2</v>
      </c>
      <c r="H28" s="306">
        <v>1</v>
      </c>
      <c r="I28" s="306">
        <v>1</v>
      </c>
      <c r="J28" s="10" t="s">
        <v>418</v>
      </c>
      <c r="K28" s="10">
        <f t="shared" si="4"/>
        <v>44897</v>
      </c>
      <c r="L28" s="10">
        <f t="shared" si="1"/>
        <v>4897</v>
      </c>
      <c r="M28" s="10">
        <f t="shared" si="2"/>
        <v>4896</v>
      </c>
      <c r="N28" s="10" t="s">
        <v>419</v>
      </c>
      <c r="O28" s="10" t="s">
        <v>327</v>
      </c>
      <c r="P28" s="10">
        <v>0</v>
      </c>
      <c r="Q28" s="10" t="s">
        <v>1297</v>
      </c>
      <c r="R28" s="10">
        <f t="shared" si="5"/>
        <v>22</v>
      </c>
      <c r="S28" s="10" t="str">
        <f t="shared" si="3"/>
        <v>16</v>
      </c>
      <c r="T28" s="351" t="s">
        <v>3548</v>
      </c>
      <c r="U28" s="54" t="s">
        <v>327</v>
      </c>
      <c r="W28" s="54">
        <v>1</v>
      </c>
      <c r="X28" s="55" t="s">
        <v>3549</v>
      </c>
    </row>
    <row r="29" spans="2:24" ht="31.2" x14ac:dyDescent="0.3">
      <c r="B29" s="142" t="s">
        <v>3550</v>
      </c>
      <c r="C29" s="142" t="s">
        <v>321</v>
      </c>
      <c r="D29" s="142">
        <v>2</v>
      </c>
      <c r="E29" s="142">
        <f t="shared" si="6"/>
        <v>1</v>
      </c>
      <c r="F29" s="306">
        <v>0</v>
      </c>
      <c r="G29" s="306">
        <v>1</v>
      </c>
      <c r="H29" s="306">
        <v>1</v>
      </c>
      <c r="I29" s="306">
        <v>1</v>
      </c>
      <c r="J29" s="10" t="s">
        <v>418</v>
      </c>
      <c r="K29" s="10">
        <f t="shared" si="4"/>
        <v>44898</v>
      </c>
      <c r="L29" s="10">
        <f t="shared" si="1"/>
        <v>4898</v>
      </c>
      <c r="M29" s="10">
        <f t="shared" si="2"/>
        <v>4897</v>
      </c>
      <c r="N29" s="10" t="s">
        <v>419</v>
      </c>
      <c r="O29" s="10" t="s">
        <v>324</v>
      </c>
      <c r="P29" s="10">
        <v>0</v>
      </c>
      <c r="Q29" s="10" t="s">
        <v>1297</v>
      </c>
      <c r="R29" s="10">
        <f t="shared" si="5"/>
        <v>23</v>
      </c>
      <c r="S29" s="10" t="str">
        <f t="shared" si="3"/>
        <v>17</v>
      </c>
      <c r="T29" s="334" t="s">
        <v>3551</v>
      </c>
      <c r="U29" s="54" t="s">
        <v>327</v>
      </c>
      <c r="W29" s="54">
        <v>2</v>
      </c>
      <c r="X29" s="55" t="s">
        <v>3552</v>
      </c>
    </row>
    <row r="30" spans="2:24" ht="15.6" x14ac:dyDescent="0.3">
      <c r="B30" s="10" t="s">
        <v>3553</v>
      </c>
      <c r="C30" s="10" t="s">
        <v>321</v>
      </c>
      <c r="D30" s="74">
        <v>2</v>
      </c>
      <c r="E30" s="10">
        <f t="shared" si="6"/>
        <v>1</v>
      </c>
      <c r="F30" s="94">
        <v>1</v>
      </c>
      <c r="G30" s="59">
        <v>255</v>
      </c>
      <c r="H30" s="59">
        <v>1</v>
      </c>
      <c r="I30" s="59">
        <v>1</v>
      </c>
      <c r="J30" s="10" t="s">
        <v>418</v>
      </c>
      <c r="K30" s="10">
        <f t="shared" si="4"/>
        <v>44899</v>
      </c>
      <c r="L30" s="10">
        <f t="shared" si="1"/>
        <v>4899</v>
      </c>
      <c r="M30" s="10">
        <f t="shared" si="2"/>
        <v>4898</v>
      </c>
      <c r="N30" s="10" t="s">
        <v>419</v>
      </c>
      <c r="O30" s="10" t="s">
        <v>324</v>
      </c>
      <c r="P30" s="339">
        <v>255</v>
      </c>
      <c r="Q30" s="10" t="s">
        <v>1297</v>
      </c>
      <c r="R30" s="10">
        <f t="shared" si="5"/>
        <v>24</v>
      </c>
      <c r="S30" s="10" t="str">
        <f t="shared" si="3"/>
        <v>18</v>
      </c>
      <c r="T30" s="68"/>
      <c r="U30" s="54" t="s">
        <v>324</v>
      </c>
      <c r="W30" s="54">
        <v>3</v>
      </c>
      <c r="X30" s="55" t="s">
        <v>3554</v>
      </c>
    </row>
    <row r="31" spans="2:24" ht="15.6" x14ac:dyDescent="0.3">
      <c r="B31" s="528" t="s">
        <v>3555</v>
      </c>
      <c r="C31" s="528"/>
      <c r="D31" s="528"/>
      <c r="E31" s="528"/>
      <c r="F31" s="528"/>
      <c r="G31" s="528"/>
      <c r="H31" s="528"/>
      <c r="I31" s="528"/>
      <c r="J31" s="528"/>
      <c r="K31" s="528"/>
      <c r="L31" s="528"/>
      <c r="M31" s="528"/>
      <c r="N31" s="528"/>
      <c r="O31" s="528"/>
      <c r="P31" s="528"/>
      <c r="Q31" s="528"/>
      <c r="R31" s="528"/>
      <c r="S31" s="528"/>
      <c r="T31" s="529"/>
      <c r="U31" s="54"/>
      <c r="W31" s="54">
        <v>4</v>
      </c>
      <c r="X31" s="55" t="s">
        <v>3556</v>
      </c>
    </row>
    <row r="32" spans="2:24" ht="28.8" x14ac:dyDescent="0.3">
      <c r="B32" s="307" t="s">
        <v>3557</v>
      </c>
      <c r="C32" s="308" t="s">
        <v>321</v>
      </c>
      <c r="D32" s="272">
        <v>2</v>
      </c>
      <c r="E32" s="142">
        <f>D32/2</f>
        <v>1</v>
      </c>
      <c r="F32" s="272">
        <v>0</v>
      </c>
      <c r="G32" s="272">
        <v>1</v>
      </c>
      <c r="H32" s="272">
        <v>1</v>
      </c>
      <c r="I32" s="272">
        <v>1</v>
      </c>
      <c r="J32" s="272" t="s">
        <v>418</v>
      </c>
      <c r="K32" s="272">
        <f>K30+E30</f>
        <v>44900</v>
      </c>
      <c r="L32" s="142">
        <f t="shared" ref="L32:L49" si="7">K32-40000</f>
        <v>4900</v>
      </c>
      <c r="M32" s="142">
        <f t="shared" ref="M32:M49" si="8">L32-1</f>
        <v>4899</v>
      </c>
      <c r="N32" s="309" t="s">
        <v>419</v>
      </c>
      <c r="O32" s="176" t="s">
        <v>327</v>
      </c>
      <c r="P32" s="272">
        <v>0</v>
      </c>
      <c r="Q32" s="272" t="s">
        <v>1297</v>
      </c>
      <c r="R32" s="272">
        <f>R30+E30</f>
        <v>25</v>
      </c>
      <c r="S32" s="142" t="str">
        <f t="shared" ref="S32:S53" si="9">DEC2HEX(R32)</f>
        <v>19</v>
      </c>
      <c r="T32" s="344" t="s">
        <v>3558</v>
      </c>
      <c r="U32" s="54" t="s">
        <v>324</v>
      </c>
      <c r="W32" s="54">
        <v>5</v>
      </c>
      <c r="X32" s="55" t="s">
        <v>3559</v>
      </c>
    </row>
    <row r="33" spans="2:24" ht="28.8" x14ac:dyDescent="0.3">
      <c r="B33" s="308" t="s">
        <v>3560</v>
      </c>
      <c r="C33" s="308" t="s">
        <v>321</v>
      </c>
      <c r="D33" s="272">
        <v>2</v>
      </c>
      <c r="E33" s="142">
        <f t="shared" ref="E33:E58" si="10">D33/2</f>
        <v>1</v>
      </c>
      <c r="F33" s="272">
        <v>0</v>
      </c>
      <c r="G33" s="272">
        <v>1</v>
      </c>
      <c r="H33" s="272">
        <v>1</v>
      </c>
      <c r="I33" s="272">
        <v>1</v>
      </c>
      <c r="J33" s="272" t="s">
        <v>418</v>
      </c>
      <c r="K33" s="272">
        <f t="shared" ref="K33:K49" si="11">K32+E32</f>
        <v>44901</v>
      </c>
      <c r="L33" s="142">
        <f t="shared" si="7"/>
        <v>4901</v>
      </c>
      <c r="M33" s="142">
        <f t="shared" si="8"/>
        <v>4900</v>
      </c>
      <c r="N33" s="309" t="s">
        <v>419</v>
      </c>
      <c r="O33" s="176" t="s">
        <v>327</v>
      </c>
      <c r="P33" s="272">
        <v>0</v>
      </c>
      <c r="Q33" s="272" t="s">
        <v>1297</v>
      </c>
      <c r="R33" s="142">
        <f t="shared" ref="R33:R50" si="12">R32+E32</f>
        <v>26</v>
      </c>
      <c r="S33" s="142" t="str">
        <f t="shared" si="9"/>
        <v>1A</v>
      </c>
      <c r="T33" s="344" t="s">
        <v>3561</v>
      </c>
      <c r="U33" s="54" t="s">
        <v>324</v>
      </c>
      <c r="W33" s="54">
        <v>6</v>
      </c>
      <c r="X33" s="55" t="s">
        <v>3562</v>
      </c>
    </row>
    <row r="34" spans="2:24" ht="15.6" x14ac:dyDescent="0.3">
      <c r="B34" s="330" t="s">
        <v>2822</v>
      </c>
      <c r="C34" s="330" t="s">
        <v>321</v>
      </c>
      <c r="D34" s="137">
        <v>64</v>
      </c>
      <c r="E34" s="117">
        <f t="shared" si="10"/>
        <v>32</v>
      </c>
      <c r="F34" s="137">
        <v>0</v>
      </c>
      <c r="G34" s="137">
        <v>65535</v>
      </c>
      <c r="H34" s="137">
        <v>1</v>
      </c>
      <c r="I34" s="137">
        <v>1</v>
      </c>
      <c r="J34" s="137" t="s">
        <v>418</v>
      </c>
      <c r="K34" s="137">
        <f t="shared" si="11"/>
        <v>44902</v>
      </c>
      <c r="L34" s="117">
        <f t="shared" si="7"/>
        <v>4902</v>
      </c>
      <c r="M34" s="117">
        <f t="shared" si="8"/>
        <v>4901</v>
      </c>
      <c r="N34" s="331" t="s">
        <v>419</v>
      </c>
      <c r="O34" s="135" t="s">
        <v>327</v>
      </c>
      <c r="P34" s="137">
        <v>0</v>
      </c>
      <c r="Q34" s="137" t="s">
        <v>1297</v>
      </c>
      <c r="R34" s="117">
        <f t="shared" si="12"/>
        <v>27</v>
      </c>
      <c r="S34" s="117" t="str">
        <f t="shared" si="9"/>
        <v>1B</v>
      </c>
      <c r="T34" s="345" t="s">
        <v>3563</v>
      </c>
      <c r="U34" s="54" t="s">
        <v>324</v>
      </c>
      <c r="W34" s="54">
        <v>7</v>
      </c>
      <c r="X34" s="55" t="s">
        <v>3564</v>
      </c>
    </row>
    <row r="35" spans="2:24" ht="29.4" thickBot="1" x14ac:dyDescent="0.35">
      <c r="B35" s="273" t="s">
        <v>3565</v>
      </c>
      <c r="C35" s="273" t="s">
        <v>321</v>
      </c>
      <c r="D35" s="54">
        <v>2</v>
      </c>
      <c r="E35" s="10">
        <f t="shared" si="10"/>
        <v>1</v>
      </c>
      <c r="F35" s="54">
        <v>0</v>
      </c>
      <c r="G35" s="54">
        <v>1</v>
      </c>
      <c r="H35" s="54">
        <v>1</v>
      </c>
      <c r="I35" s="54">
        <v>1</v>
      </c>
      <c r="J35" s="54" t="s">
        <v>418</v>
      </c>
      <c r="K35" s="54">
        <f t="shared" si="11"/>
        <v>44934</v>
      </c>
      <c r="L35" s="10">
        <f t="shared" si="7"/>
        <v>4934</v>
      </c>
      <c r="M35" s="10">
        <f t="shared" si="8"/>
        <v>4933</v>
      </c>
      <c r="N35" s="274" t="s">
        <v>419</v>
      </c>
      <c r="O35" s="55" t="s">
        <v>327</v>
      </c>
      <c r="P35" s="54">
        <v>0</v>
      </c>
      <c r="Q35" s="54" t="s">
        <v>1297</v>
      </c>
      <c r="R35" s="10">
        <f t="shared" si="12"/>
        <v>59</v>
      </c>
      <c r="S35" s="10" t="str">
        <f t="shared" si="9"/>
        <v>3B</v>
      </c>
      <c r="T35" s="346" t="s">
        <v>3566</v>
      </c>
      <c r="U35" s="54" t="s">
        <v>324</v>
      </c>
      <c r="W35" s="54">
        <v>8</v>
      </c>
      <c r="X35" s="55" t="s">
        <v>3567</v>
      </c>
    </row>
    <row r="36" spans="2:24" ht="15.6" x14ac:dyDescent="0.3">
      <c r="B36" s="273" t="s">
        <v>3568</v>
      </c>
      <c r="C36" s="273" t="s">
        <v>321</v>
      </c>
      <c r="D36" s="54">
        <v>64</v>
      </c>
      <c r="E36" s="10">
        <f t="shared" si="10"/>
        <v>32</v>
      </c>
      <c r="F36" s="54">
        <v>0</v>
      </c>
      <c r="G36" s="54">
        <v>65535</v>
      </c>
      <c r="H36" s="54">
        <v>1</v>
      </c>
      <c r="I36" s="54">
        <v>1</v>
      </c>
      <c r="J36" s="54" t="s">
        <v>418</v>
      </c>
      <c r="K36" s="54">
        <f t="shared" si="11"/>
        <v>44935</v>
      </c>
      <c r="L36" s="10">
        <f t="shared" si="7"/>
        <v>4935</v>
      </c>
      <c r="M36" s="10">
        <f t="shared" si="8"/>
        <v>4934</v>
      </c>
      <c r="N36" s="274" t="s">
        <v>419</v>
      </c>
      <c r="O36" s="55" t="s">
        <v>327</v>
      </c>
      <c r="P36" s="54">
        <v>0</v>
      </c>
      <c r="Q36" s="54" t="s">
        <v>1297</v>
      </c>
      <c r="R36" s="10">
        <f t="shared" si="12"/>
        <v>60</v>
      </c>
      <c r="S36" s="10" t="str">
        <f t="shared" si="9"/>
        <v>3C</v>
      </c>
      <c r="T36" s="263"/>
      <c r="U36" s="54" t="s">
        <v>324</v>
      </c>
      <c r="W36" s="54">
        <v>9</v>
      </c>
      <c r="X36" s="55" t="s">
        <v>3569</v>
      </c>
    </row>
    <row r="37" spans="2:24" ht="16.2" thickBot="1" x14ac:dyDescent="0.35">
      <c r="B37" s="273" t="s">
        <v>3570</v>
      </c>
      <c r="C37" s="273" t="s">
        <v>321</v>
      </c>
      <c r="D37" s="54">
        <v>2</v>
      </c>
      <c r="E37" s="10">
        <f t="shared" si="10"/>
        <v>1</v>
      </c>
      <c r="F37" s="54">
        <v>0</v>
      </c>
      <c r="G37" s="54">
        <v>1</v>
      </c>
      <c r="H37" s="54">
        <v>1</v>
      </c>
      <c r="I37" s="54">
        <v>1</v>
      </c>
      <c r="J37" s="54" t="s">
        <v>418</v>
      </c>
      <c r="K37" s="54">
        <f t="shared" si="11"/>
        <v>44967</v>
      </c>
      <c r="L37" s="10">
        <f t="shared" si="7"/>
        <v>4967</v>
      </c>
      <c r="M37" s="10">
        <f t="shared" si="8"/>
        <v>4966</v>
      </c>
      <c r="N37" s="274" t="s">
        <v>419</v>
      </c>
      <c r="O37" s="55" t="s">
        <v>327</v>
      </c>
      <c r="P37" s="54">
        <v>0</v>
      </c>
      <c r="Q37" s="54" t="s">
        <v>1297</v>
      </c>
      <c r="R37" s="10">
        <f t="shared" si="12"/>
        <v>92</v>
      </c>
      <c r="S37" s="10" t="str">
        <f t="shared" si="9"/>
        <v>5C</v>
      </c>
      <c r="T37" s="346" t="s">
        <v>3571</v>
      </c>
      <c r="U37" s="54" t="s">
        <v>324</v>
      </c>
      <c r="W37" s="54">
        <v>10</v>
      </c>
      <c r="X37" s="55" t="s">
        <v>3572</v>
      </c>
    </row>
    <row r="38" spans="2:24" ht="15.6" x14ac:dyDescent="0.3">
      <c r="B38" s="273" t="s">
        <v>3573</v>
      </c>
      <c r="C38" s="273" t="s">
        <v>321</v>
      </c>
      <c r="D38" s="54">
        <v>2</v>
      </c>
      <c r="E38" s="10">
        <f t="shared" si="10"/>
        <v>1</v>
      </c>
      <c r="F38" s="54">
        <v>0</v>
      </c>
      <c r="G38" s="54">
        <v>1</v>
      </c>
      <c r="H38" s="54">
        <v>1</v>
      </c>
      <c r="I38" s="54">
        <v>1</v>
      </c>
      <c r="J38" s="54" t="s">
        <v>418</v>
      </c>
      <c r="K38" s="54">
        <f t="shared" si="11"/>
        <v>44968</v>
      </c>
      <c r="L38" s="10">
        <f t="shared" si="7"/>
        <v>4968</v>
      </c>
      <c r="M38" s="10">
        <f t="shared" si="8"/>
        <v>4967</v>
      </c>
      <c r="N38" s="274" t="s">
        <v>419</v>
      </c>
      <c r="O38" s="55" t="s">
        <v>327</v>
      </c>
      <c r="P38" s="54">
        <v>0</v>
      </c>
      <c r="Q38" s="54" t="s">
        <v>1297</v>
      </c>
      <c r="R38" s="10">
        <f t="shared" si="12"/>
        <v>93</v>
      </c>
      <c r="S38" s="10" t="str">
        <f t="shared" si="9"/>
        <v>5D</v>
      </c>
      <c r="T38" s="263"/>
      <c r="U38" s="54" t="s">
        <v>324</v>
      </c>
      <c r="W38" s="54">
        <v>11</v>
      </c>
      <c r="X38" s="55" t="s">
        <v>3574</v>
      </c>
    </row>
    <row r="39" spans="2:24" ht="15.6" x14ac:dyDescent="0.3">
      <c r="B39" s="273" t="s">
        <v>3575</v>
      </c>
      <c r="C39" s="275" t="s">
        <v>321</v>
      </c>
      <c r="D39" s="54">
        <v>2</v>
      </c>
      <c r="E39" s="10">
        <f t="shared" si="10"/>
        <v>1</v>
      </c>
      <c r="F39" s="54">
        <v>0</v>
      </c>
      <c r="G39" s="54">
        <v>1</v>
      </c>
      <c r="H39" s="54">
        <v>1</v>
      </c>
      <c r="I39" s="54">
        <v>1</v>
      </c>
      <c r="J39" s="54" t="s">
        <v>418</v>
      </c>
      <c r="K39" s="54">
        <f t="shared" si="11"/>
        <v>44969</v>
      </c>
      <c r="L39" s="10">
        <f t="shared" si="7"/>
        <v>4969</v>
      </c>
      <c r="M39" s="10">
        <f t="shared" si="8"/>
        <v>4968</v>
      </c>
      <c r="N39" s="274" t="s">
        <v>419</v>
      </c>
      <c r="O39" s="55" t="s">
        <v>327</v>
      </c>
      <c r="P39" s="54">
        <v>0</v>
      </c>
      <c r="Q39" s="54" t="s">
        <v>1297</v>
      </c>
      <c r="R39" s="10">
        <f t="shared" si="12"/>
        <v>94</v>
      </c>
      <c r="S39" s="10" t="str">
        <f t="shared" si="9"/>
        <v>5E</v>
      </c>
      <c r="T39" s="263"/>
      <c r="U39" s="54" t="s">
        <v>324</v>
      </c>
      <c r="W39" s="54">
        <v>12</v>
      </c>
      <c r="X39" s="55" t="s">
        <v>3576</v>
      </c>
    </row>
    <row r="40" spans="2:24" ht="16.2" thickBot="1" x14ac:dyDescent="0.35">
      <c r="B40" s="273" t="s">
        <v>3577</v>
      </c>
      <c r="C40" s="275" t="s">
        <v>321</v>
      </c>
      <c r="D40" s="54">
        <v>2</v>
      </c>
      <c r="E40" s="10">
        <f t="shared" si="10"/>
        <v>1</v>
      </c>
      <c r="F40" s="342">
        <v>1</v>
      </c>
      <c r="G40" s="342">
        <v>65535</v>
      </c>
      <c r="H40" s="54">
        <v>1</v>
      </c>
      <c r="I40" s="54">
        <v>1</v>
      </c>
      <c r="J40" s="54" t="s">
        <v>418</v>
      </c>
      <c r="K40" s="54">
        <f t="shared" si="11"/>
        <v>44970</v>
      </c>
      <c r="L40" s="10">
        <f t="shared" si="7"/>
        <v>4970</v>
      </c>
      <c r="M40" s="10">
        <f t="shared" si="8"/>
        <v>4969</v>
      </c>
      <c r="N40" s="274" t="s">
        <v>419</v>
      </c>
      <c r="O40" s="55"/>
      <c r="P40" s="54">
        <v>161</v>
      </c>
      <c r="Q40" s="54"/>
      <c r="R40" s="10">
        <f t="shared" si="12"/>
        <v>95</v>
      </c>
      <c r="S40" s="10" t="str">
        <f t="shared" si="9"/>
        <v>5F</v>
      </c>
      <c r="T40" s="346">
        <v>161</v>
      </c>
      <c r="U40" s="54" t="s">
        <v>324</v>
      </c>
      <c r="W40" s="54">
        <v>13</v>
      </c>
      <c r="X40" s="55" t="s">
        <v>3578</v>
      </c>
    </row>
    <row r="41" spans="2:24" ht="16.2" thickBot="1" x14ac:dyDescent="0.35">
      <c r="B41" s="273" t="s">
        <v>3579</v>
      </c>
      <c r="C41" s="275" t="s">
        <v>321</v>
      </c>
      <c r="D41" s="54">
        <v>2</v>
      </c>
      <c r="E41" s="10">
        <f t="shared" si="10"/>
        <v>1</v>
      </c>
      <c r="F41" s="54">
        <v>0</v>
      </c>
      <c r="G41" s="342">
        <v>65535</v>
      </c>
      <c r="H41" s="54">
        <v>1</v>
      </c>
      <c r="I41" s="54">
        <v>1</v>
      </c>
      <c r="J41" s="54" t="s">
        <v>418</v>
      </c>
      <c r="K41" s="54">
        <f t="shared" si="11"/>
        <v>44971</v>
      </c>
      <c r="L41" s="10">
        <f t="shared" si="7"/>
        <v>4971</v>
      </c>
      <c r="M41" s="10">
        <f t="shared" si="8"/>
        <v>4970</v>
      </c>
      <c r="N41" s="274" t="s">
        <v>419</v>
      </c>
      <c r="O41" s="55"/>
      <c r="P41" s="54">
        <v>0</v>
      </c>
      <c r="Q41" s="54"/>
      <c r="R41" s="10">
        <f t="shared" si="12"/>
        <v>96</v>
      </c>
      <c r="S41" s="10" t="str">
        <f t="shared" si="9"/>
        <v>60</v>
      </c>
      <c r="T41" s="346" t="s">
        <v>3580</v>
      </c>
      <c r="U41" s="54" t="s">
        <v>324</v>
      </c>
      <c r="W41" s="54">
        <v>14</v>
      </c>
      <c r="X41" s="55" t="s">
        <v>3581</v>
      </c>
    </row>
    <row r="42" spans="2:24" ht="16.2" thickBot="1" x14ac:dyDescent="0.35">
      <c r="B42" s="273" t="s">
        <v>3582</v>
      </c>
      <c r="C42" s="275" t="s">
        <v>321</v>
      </c>
      <c r="D42" s="54">
        <v>2</v>
      </c>
      <c r="E42" s="10">
        <f t="shared" si="10"/>
        <v>1</v>
      </c>
      <c r="F42" s="54">
        <v>0</v>
      </c>
      <c r="G42" s="342">
        <v>65535</v>
      </c>
      <c r="H42" s="54">
        <v>1</v>
      </c>
      <c r="I42" s="54">
        <v>1</v>
      </c>
      <c r="J42" s="54" t="s">
        <v>418</v>
      </c>
      <c r="K42" s="54">
        <f t="shared" si="11"/>
        <v>44972</v>
      </c>
      <c r="L42" s="10">
        <f t="shared" si="7"/>
        <v>4972</v>
      </c>
      <c r="M42" s="10">
        <f t="shared" si="8"/>
        <v>4971</v>
      </c>
      <c r="N42" s="274" t="s">
        <v>419</v>
      </c>
      <c r="O42" s="55"/>
      <c r="P42" s="54">
        <v>0</v>
      </c>
      <c r="Q42" s="54"/>
      <c r="R42" s="10">
        <f t="shared" si="12"/>
        <v>97</v>
      </c>
      <c r="S42" s="10" t="str">
        <f t="shared" si="9"/>
        <v>61</v>
      </c>
      <c r="T42" s="346" t="s">
        <v>3580</v>
      </c>
      <c r="U42" s="54" t="s">
        <v>324</v>
      </c>
      <c r="W42" s="54">
        <v>15</v>
      </c>
      <c r="X42" s="55" t="s">
        <v>3583</v>
      </c>
    </row>
    <row r="43" spans="2:24" ht="16.2" thickBot="1" x14ac:dyDescent="0.35">
      <c r="B43" s="273" t="s">
        <v>3584</v>
      </c>
      <c r="C43" s="275" t="s">
        <v>321</v>
      </c>
      <c r="D43" s="54">
        <v>2</v>
      </c>
      <c r="E43" s="10">
        <f t="shared" si="10"/>
        <v>1</v>
      </c>
      <c r="F43" s="54">
        <v>0</v>
      </c>
      <c r="G43" s="342">
        <v>65535</v>
      </c>
      <c r="H43" s="54">
        <v>1</v>
      </c>
      <c r="I43" s="54">
        <v>1</v>
      </c>
      <c r="J43" s="54" t="s">
        <v>418</v>
      </c>
      <c r="K43" s="54">
        <f t="shared" si="11"/>
        <v>44973</v>
      </c>
      <c r="L43" s="10">
        <f t="shared" si="7"/>
        <v>4973</v>
      </c>
      <c r="M43" s="10">
        <f t="shared" si="8"/>
        <v>4972</v>
      </c>
      <c r="N43" s="274" t="s">
        <v>419</v>
      </c>
      <c r="O43" s="55"/>
      <c r="P43" s="54">
        <v>0</v>
      </c>
      <c r="Q43" s="54"/>
      <c r="R43" s="10">
        <f t="shared" si="12"/>
        <v>98</v>
      </c>
      <c r="S43" s="10" t="str">
        <f t="shared" si="9"/>
        <v>62</v>
      </c>
      <c r="T43" s="346"/>
      <c r="U43" s="54" t="s">
        <v>324</v>
      </c>
      <c r="W43" s="54">
        <v>16</v>
      </c>
      <c r="X43" s="55" t="s">
        <v>3585</v>
      </c>
    </row>
    <row r="44" spans="2:24" ht="16.2" thickBot="1" x14ac:dyDescent="0.35">
      <c r="B44" s="273" t="s">
        <v>3586</v>
      </c>
      <c r="C44" s="275" t="s">
        <v>321</v>
      </c>
      <c r="D44" s="54">
        <v>2</v>
      </c>
      <c r="E44" s="10">
        <f t="shared" si="10"/>
        <v>1</v>
      </c>
      <c r="F44" s="54">
        <v>0</v>
      </c>
      <c r="G44" s="342">
        <v>65535</v>
      </c>
      <c r="H44" s="54">
        <v>1</v>
      </c>
      <c r="I44" s="54">
        <v>1</v>
      </c>
      <c r="J44" s="54" t="s">
        <v>418</v>
      </c>
      <c r="K44" s="54">
        <f t="shared" si="11"/>
        <v>44974</v>
      </c>
      <c r="L44" s="10">
        <f t="shared" si="7"/>
        <v>4974</v>
      </c>
      <c r="M44" s="10">
        <f t="shared" si="8"/>
        <v>4973</v>
      </c>
      <c r="N44" s="274" t="s">
        <v>419</v>
      </c>
      <c r="O44" s="55"/>
      <c r="P44" s="54">
        <v>0</v>
      </c>
      <c r="Q44" s="54"/>
      <c r="R44" s="10">
        <f t="shared" si="12"/>
        <v>99</v>
      </c>
      <c r="S44" s="10" t="str">
        <f t="shared" si="9"/>
        <v>63</v>
      </c>
      <c r="T44" s="346" t="s">
        <v>3580</v>
      </c>
      <c r="U44" s="54" t="s">
        <v>324</v>
      </c>
      <c r="W44" s="54">
        <v>17</v>
      </c>
      <c r="X44" s="55" t="s">
        <v>3587</v>
      </c>
    </row>
    <row r="45" spans="2:24" ht="28.8" x14ac:dyDescent="0.3">
      <c r="B45" s="276" t="s">
        <v>3588</v>
      </c>
      <c r="C45" s="275" t="s">
        <v>321</v>
      </c>
      <c r="D45" s="54">
        <v>2</v>
      </c>
      <c r="E45" s="10">
        <f t="shared" si="10"/>
        <v>1</v>
      </c>
      <c r="F45" s="54">
        <v>0</v>
      </c>
      <c r="G45" s="54">
        <v>1</v>
      </c>
      <c r="H45" s="54">
        <v>1</v>
      </c>
      <c r="I45" s="54">
        <v>1</v>
      </c>
      <c r="J45" s="54" t="s">
        <v>418</v>
      </c>
      <c r="K45" s="54">
        <f t="shared" si="11"/>
        <v>44975</v>
      </c>
      <c r="L45" s="10">
        <f t="shared" si="7"/>
        <v>4975</v>
      </c>
      <c r="M45" s="10">
        <f t="shared" si="8"/>
        <v>4974</v>
      </c>
      <c r="N45" s="274" t="s">
        <v>419</v>
      </c>
      <c r="O45" s="55"/>
      <c r="P45" s="54">
        <v>0</v>
      </c>
      <c r="Q45" s="54"/>
      <c r="R45" s="10">
        <f t="shared" si="12"/>
        <v>100</v>
      </c>
      <c r="S45" s="10" t="str">
        <f t="shared" si="9"/>
        <v>64</v>
      </c>
      <c r="T45" s="344" t="s">
        <v>3558</v>
      </c>
      <c r="U45" s="54" t="s">
        <v>324</v>
      </c>
      <c r="W45" s="54">
        <v>18</v>
      </c>
      <c r="X45" s="55" t="s">
        <v>3589</v>
      </c>
    </row>
    <row r="46" spans="2:24" ht="28.8" x14ac:dyDescent="0.3">
      <c r="B46" s="276" t="s">
        <v>3590</v>
      </c>
      <c r="C46" s="275" t="s">
        <v>321</v>
      </c>
      <c r="D46" s="54">
        <v>2</v>
      </c>
      <c r="E46" s="10">
        <f t="shared" si="10"/>
        <v>1</v>
      </c>
      <c r="F46" s="54">
        <v>0</v>
      </c>
      <c r="G46" s="54">
        <v>1</v>
      </c>
      <c r="H46" s="54">
        <v>1</v>
      </c>
      <c r="I46" s="54">
        <v>1</v>
      </c>
      <c r="J46" s="54" t="s">
        <v>418</v>
      </c>
      <c r="K46" s="54">
        <f t="shared" si="11"/>
        <v>44976</v>
      </c>
      <c r="L46" s="10">
        <f t="shared" si="7"/>
        <v>4976</v>
      </c>
      <c r="M46" s="10">
        <f t="shared" si="8"/>
        <v>4975</v>
      </c>
      <c r="N46" s="274" t="s">
        <v>419</v>
      </c>
      <c r="O46" s="55"/>
      <c r="P46" s="54">
        <v>0</v>
      </c>
      <c r="Q46" s="54"/>
      <c r="R46" s="10">
        <f t="shared" si="12"/>
        <v>101</v>
      </c>
      <c r="S46" s="10" t="str">
        <f t="shared" si="9"/>
        <v>65</v>
      </c>
      <c r="T46" s="344" t="s">
        <v>3558</v>
      </c>
      <c r="U46" s="54" t="s">
        <v>324</v>
      </c>
      <c r="W46" s="54">
        <v>19</v>
      </c>
      <c r="X46" s="55" t="s">
        <v>3591</v>
      </c>
    </row>
    <row r="47" spans="2:24" ht="28.8" x14ac:dyDescent="0.3">
      <c r="B47" s="276" t="s">
        <v>3592</v>
      </c>
      <c r="C47" s="275" t="s">
        <v>321</v>
      </c>
      <c r="D47" s="54">
        <v>2</v>
      </c>
      <c r="E47" s="10">
        <f t="shared" si="10"/>
        <v>1</v>
      </c>
      <c r="F47" s="54">
        <v>0</v>
      </c>
      <c r="G47" s="54">
        <v>1</v>
      </c>
      <c r="H47" s="54">
        <v>1</v>
      </c>
      <c r="I47" s="54">
        <v>1</v>
      </c>
      <c r="J47" s="54" t="s">
        <v>418</v>
      </c>
      <c r="K47" s="54">
        <f t="shared" si="11"/>
        <v>44977</v>
      </c>
      <c r="L47" s="10">
        <f t="shared" si="7"/>
        <v>4977</v>
      </c>
      <c r="M47" s="10">
        <f t="shared" si="8"/>
        <v>4976</v>
      </c>
      <c r="N47" s="274" t="s">
        <v>419</v>
      </c>
      <c r="O47" s="55"/>
      <c r="P47" s="54">
        <v>0</v>
      </c>
      <c r="Q47" s="54"/>
      <c r="R47" s="10">
        <f t="shared" si="12"/>
        <v>102</v>
      </c>
      <c r="S47" s="10" t="str">
        <f t="shared" si="9"/>
        <v>66</v>
      </c>
      <c r="T47" s="344" t="s">
        <v>3558</v>
      </c>
      <c r="U47" s="54" t="s">
        <v>324</v>
      </c>
      <c r="W47" s="54">
        <v>20</v>
      </c>
      <c r="X47" s="55" t="s">
        <v>3593</v>
      </c>
    </row>
    <row r="48" spans="2:24" ht="28.8" x14ac:dyDescent="0.3">
      <c r="B48" s="276" t="s">
        <v>3594</v>
      </c>
      <c r="C48" s="275" t="s">
        <v>321</v>
      </c>
      <c r="D48" s="54">
        <v>2</v>
      </c>
      <c r="E48" s="10">
        <f t="shared" si="10"/>
        <v>1</v>
      </c>
      <c r="F48" s="54">
        <v>0</v>
      </c>
      <c r="G48" s="54">
        <v>1</v>
      </c>
      <c r="H48" s="54">
        <v>1</v>
      </c>
      <c r="I48" s="54">
        <v>1</v>
      </c>
      <c r="J48" s="54" t="s">
        <v>418</v>
      </c>
      <c r="K48" s="54">
        <f t="shared" si="11"/>
        <v>44978</v>
      </c>
      <c r="L48" s="10">
        <f t="shared" si="7"/>
        <v>4978</v>
      </c>
      <c r="M48" s="10">
        <f t="shared" si="8"/>
        <v>4977</v>
      </c>
      <c r="N48" s="274" t="s">
        <v>419</v>
      </c>
      <c r="O48" s="55"/>
      <c r="P48" s="54">
        <v>0</v>
      </c>
      <c r="Q48" s="54"/>
      <c r="R48" s="10">
        <f t="shared" si="12"/>
        <v>103</v>
      </c>
      <c r="S48" s="10" t="str">
        <f t="shared" si="9"/>
        <v>67</v>
      </c>
      <c r="T48" s="344" t="s">
        <v>3558</v>
      </c>
      <c r="U48" s="54" t="s">
        <v>324</v>
      </c>
      <c r="W48" s="54">
        <v>21</v>
      </c>
      <c r="X48" s="55" t="s">
        <v>3595</v>
      </c>
    </row>
    <row r="49" spans="1:24" ht="28.8" x14ac:dyDescent="0.3">
      <c r="B49" s="276" t="s">
        <v>3596</v>
      </c>
      <c r="C49" s="275" t="s">
        <v>321</v>
      </c>
      <c r="D49" s="54">
        <v>2</v>
      </c>
      <c r="E49" s="10">
        <f t="shared" si="10"/>
        <v>1</v>
      </c>
      <c r="F49" s="54">
        <v>0</v>
      </c>
      <c r="G49" s="54">
        <v>1</v>
      </c>
      <c r="H49" s="54">
        <v>1</v>
      </c>
      <c r="I49" s="54">
        <v>1</v>
      </c>
      <c r="J49" s="54" t="s">
        <v>418</v>
      </c>
      <c r="K49" s="54">
        <f t="shared" si="11"/>
        <v>44979</v>
      </c>
      <c r="L49" s="10">
        <f t="shared" si="7"/>
        <v>4979</v>
      </c>
      <c r="M49" s="10">
        <f t="shared" si="8"/>
        <v>4978</v>
      </c>
      <c r="N49" s="274" t="s">
        <v>419</v>
      </c>
      <c r="O49" s="55"/>
      <c r="P49" s="54">
        <v>0</v>
      </c>
      <c r="Q49" s="54"/>
      <c r="R49" s="10">
        <f t="shared" si="12"/>
        <v>104</v>
      </c>
      <c r="S49" s="10" t="str">
        <f t="shared" si="9"/>
        <v>68</v>
      </c>
      <c r="T49" s="344" t="s">
        <v>3558</v>
      </c>
      <c r="U49" s="54" t="s">
        <v>324</v>
      </c>
      <c r="W49" s="54">
        <v>22</v>
      </c>
      <c r="X49" s="55" t="s">
        <v>3597</v>
      </c>
    </row>
    <row r="50" spans="1:24" ht="15.6" x14ac:dyDescent="0.3">
      <c r="B50" s="276"/>
      <c r="C50" s="273"/>
      <c r="D50" s="54"/>
      <c r="E50" s="10"/>
      <c r="F50" s="54"/>
      <c r="G50" s="54"/>
      <c r="H50" s="54"/>
      <c r="I50" s="54"/>
      <c r="J50" s="54"/>
      <c r="K50" s="54"/>
      <c r="L50" s="10"/>
      <c r="M50" s="10"/>
      <c r="N50" s="274"/>
      <c r="O50" s="55"/>
      <c r="P50" s="54"/>
      <c r="Q50" s="54"/>
      <c r="R50" s="10">
        <f t="shared" si="12"/>
        <v>105</v>
      </c>
      <c r="S50" s="10" t="str">
        <f t="shared" si="9"/>
        <v>69</v>
      </c>
      <c r="T50" s="263"/>
      <c r="U50" s="54" t="s">
        <v>324</v>
      </c>
      <c r="W50" s="54">
        <v>23</v>
      </c>
      <c r="X50" s="55" t="s">
        <v>3598</v>
      </c>
    </row>
    <row r="51" spans="1:24" ht="15.6" x14ac:dyDescent="0.3">
      <c r="B51" s="528" t="s">
        <v>3599</v>
      </c>
      <c r="C51" s="528"/>
      <c r="D51" s="528"/>
      <c r="E51" s="528"/>
      <c r="F51" s="528"/>
      <c r="G51" s="528"/>
      <c r="H51" s="528"/>
      <c r="I51" s="528"/>
      <c r="J51" s="528"/>
      <c r="K51" s="528"/>
      <c r="L51" s="528"/>
      <c r="M51" s="528"/>
      <c r="N51" s="528"/>
      <c r="O51" s="528"/>
      <c r="P51" s="528"/>
      <c r="Q51" s="528"/>
      <c r="R51" s="528"/>
      <c r="S51" s="528"/>
      <c r="T51" s="529"/>
      <c r="U51" s="54" t="s">
        <v>324</v>
      </c>
      <c r="W51" s="54">
        <v>24</v>
      </c>
      <c r="X51" s="55" t="s">
        <v>3600</v>
      </c>
    </row>
    <row r="52" spans="1:24" ht="15.6" x14ac:dyDescent="0.3">
      <c r="B52" s="341" t="s">
        <v>320</v>
      </c>
      <c r="C52" s="308" t="s">
        <v>321</v>
      </c>
      <c r="D52" s="272">
        <v>2</v>
      </c>
      <c r="E52" s="142">
        <f>D52/2</f>
        <v>1</v>
      </c>
      <c r="F52" s="272">
        <v>0</v>
      </c>
      <c r="G52" s="342">
        <v>0</v>
      </c>
      <c r="H52" s="272">
        <v>1</v>
      </c>
      <c r="I52" s="272">
        <v>1</v>
      </c>
      <c r="J52" s="272" t="s">
        <v>418</v>
      </c>
      <c r="K52" s="272">
        <f>K49+E49</f>
        <v>44980</v>
      </c>
      <c r="L52" s="142">
        <f t="shared" ref="L52:L53" si="13">K52-40000</f>
        <v>4980</v>
      </c>
      <c r="M52" s="142">
        <f t="shared" ref="M52:M53" si="14">L52-1</f>
        <v>4979</v>
      </c>
      <c r="N52" s="309" t="s">
        <v>419</v>
      </c>
      <c r="O52" s="176" t="s">
        <v>327</v>
      </c>
      <c r="P52" s="272">
        <v>0</v>
      </c>
      <c r="Q52" s="272" t="s">
        <v>1297</v>
      </c>
      <c r="R52" s="272">
        <f>R49+E49</f>
        <v>105</v>
      </c>
      <c r="S52" s="142" t="str">
        <f t="shared" si="9"/>
        <v>69</v>
      </c>
      <c r="T52" s="347"/>
      <c r="U52" s="54" t="s">
        <v>324</v>
      </c>
      <c r="W52" s="54">
        <v>25</v>
      </c>
      <c r="X52" s="55" t="s">
        <v>3601</v>
      </c>
    </row>
    <row r="53" spans="1:24" ht="15.6" x14ac:dyDescent="0.3">
      <c r="B53" s="149" t="s">
        <v>3602</v>
      </c>
      <c r="C53" s="273" t="s">
        <v>321</v>
      </c>
      <c r="D53" s="54">
        <v>2</v>
      </c>
      <c r="E53" s="10">
        <f>D53/2</f>
        <v>1</v>
      </c>
      <c r="F53" s="54">
        <v>1</v>
      </c>
      <c r="G53" s="54">
        <v>65535</v>
      </c>
      <c r="H53" s="54">
        <v>1</v>
      </c>
      <c r="I53" s="54">
        <v>1</v>
      </c>
      <c r="J53" s="54" t="s">
        <v>418</v>
      </c>
      <c r="K53" s="54">
        <f>K52+E52</f>
        <v>44981</v>
      </c>
      <c r="L53" s="10">
        <f t="shared" si="13"/>
        <v>4981</v>
      </c>
      <c r="M53" s="10">
        <f t="shared" si="14"/>
        <v>4980</v>
      </c>
      <c r="N53" s="274" t="s">
        <v>419</v>
      </c>
      <c r="O53" s="55" t="s">
        <v>327</v>
      </c>
      <c r="P53" s="54">
        <v>443</v>
      </c>
      <c r="Q53" s="54" t="s">
        <v>1297</v>
      </c>
      <c r="R53" s="10">
        <f t="shared" ref="R53" si="15">R52+E52</f>
        <v>106</v>
      </c>
      <c r="S53" s="10" t="str">
        <f t="shared" si="9"/>
        <v>6A</v>
      </c>
      <c r="T53" s="263"/>
      <c r="U53" s="54" t="s">
        <v>324</v>
      </c>
      <c r="W53" s="54">
        <v>26</v>
      </c>
      <c r="X53" s="55" t="s">
        <v>3603</v>
      </c>
    </row>
    <row r="54" spans="1:24" x14ac:dyDescent="0.3">
      <c r="U54" s="54" t="s">
        <v>324</v>
      </c>
      <c r="W54" s="54">
        <v>27</v>
      </c>
      <c r="X54" s="55" t="s">
        <v>3604</v>
      </c>
    </row>
    <row r="55" spans="1:24" ht="15.6" x14ac:dyDescent="0.3">
      <c r="B55" s="528" t="s">
        <v>3605</v>
      </c>
      <c r="C55" s="528"/>
      <c r="D55" s="528"/>
      <c r="E55" s="528"/>
      <c r="F55" s="528"/>
      <c r="G55" s="528"/>
      <c r="H55" s="528"/>
      <c r="I55" s="528"/>
      <c r="J55" s="528"/>
      <c r="K55" s="528"/>
      <c r="L55" s="528"/>
      <c r="M55" s="528"/>
      <c r="N55" s="528"/>
      <c r="O55" s="528"/>
      <c r="P55" s="528"/>
      <c r="Q55" s="528"/>
      <c r="R55" s="528"/>
      <c r="S55" s="528"/>
      <c r="T55" s="529"/>
      <c r="U55" s="54" t="s">
        <v>324</v>
      </c>
      <c r="W55" s="54">
        <v>28</v>
      </c>
      <c r="X55" s="55" t="s">
        <v>3606</v>
      </c>
    </row>
    <row r="56" spans="1:24" ht="15.6" x14ac:dyDescent="0.3">
      <c r="B56" s="149" t="s">
        <v>3607</v>
      </c>
      <c r="C56" s="273" t="s">
        <v>321</v>
      </c>
      <c r="D56" s="54">
        <v>2</v>
      </c>
      <c r="E56" s="10">
        <f t="shared" si="10"/>
        <v>1</v>
      </c>
      <c r="F56" s="54">
        <v>0</v>
      </c>
      <c r="G56" s="54">
        <v>1</v>
      </c>
      <c r="H56" s="54">
        <v>1</v>
      </c>
      <c r="I56" s="54"/>
      <c r="J56" s="54" t="s">
        <v>418</v>
      </c>
      <c r="K56" s="54">
        <f>K53+E53</f>
        <v>44982</v>
      </c>
      <c r="L56" s="10">
        <f t="shared" ref="L56:L58" si="16">K56-40000</f>
        <v>4982</v>
      </c>
      <c r="M56" s="10">
        <f t="shared" ref="M56:M58" si="17">L56-1</f>
        <v>4981</v>
      </c>
      <c r="N56" s="274" t="s">
        <v>419</v>
      </c>
      <c r="O56" s="55" t="s">
        <v>327</v>
      </c>
      <c r="P56" s="367">
        <v>1</v>
      </c>
      <c r="Q56" s="54" t="s">
        <v>1297</v>
      </c>
      <c r="R56" s="272">
        <f>R53+E53</f>
        <v>107</v>
      </c>
      <c r="S56" s="10" t="str">
        <f t="shared" ref="S56:S58" si="18">DEC2HEX(R56)</f>
        <v>6B</v>
      </c>
      <c r="T56" s="263" t="s">
        <v>3608</v>
      </c>
      <c r="U56" s="54" t="s">
        <v>324</v>
      </c>
      <c r="W56" s="54"/>
      <c r="X56" s="55"/>
    </row>
    <row r="57" spans="1:24" ht="15.6" x14ac:dyDescent="0.3">
      <c r="B57" s="149" t="s">
        <v>3609</v>
      </c>
      <c r="C57" s="273" t="s">
        <v>321</v>
      </c>
      <c r="D57" s="54">
        <v>2</v>
      </c>
      <c r="E57" s="10">
        <f t="shared" si="10"/>
        <v>1</v>
      </c>
      <c r="F57" s="54">
        <v>0</v>
      </c>
      <c r="G57" s="54">
        <v>1</v>
      </c>
      <c r="H57" s="54">
        <v>1</v>
      </c>
      <c r="I57" s="54">
        <v>1</v>
      </c>
      <c r="J57" s="54" t="s">
        <v>418</v>
      </c>
      <c r="K57" s="54">
        <f>K56+E56</f>
        <v>44983</v>
      </c>
      <c r="L57" s="10">
        <f t="shared" si="16"/>
        <v>4983</v>
      </c>
      <c r="M57" s="10">
        <f t="shared" si="17"/>
        <v>4982</v>
      </c>
      <c r="N57" s="274" t="s">
        <v>419</v>
      </c>
      <c r="O57" s="55" t="s">
        <v>327</v>
      </c>
      <c r="P57" s="54">
        <v>0</v>
      </c>
      <c r="Q57" s="54" t="s">
        <v>1297</v>
      </c>
      <c r="R57" s="10">
        <f t="shared" ref="R57:R58" si="19">R56+E56</f>
        <v>108</v>
      </c>
      <c r="S57" s="10" t="str">
        <f t="shared" si="18"/>
        <v>6C</v>
      </c>
      <c r="T57" s="263" t="s">
        <v>3610</v>
      </c>
      <c r="U57" s="54" t="s">
        <v>324</v>
      </c>
      <c r="W57" s="54"/>
      <c r="X57" s="55"/>
    </row>
    <row r="58" spans="1:24" ht="15.6" x14ac:dyDescent="0.3">
      <c r="B58" s="277" t="s">
        <v>3611</v>
      </c>
      <c r="C58" s="273" t="s">
        <v>321</v>
      </c>
      <c r="D58" s="54">
        <v>2</v>
      </c>
      <c r="E58" s="10">
        <f t="shared" si="10"/>
        <v>1</v>
      </c>
      <c r="F58" s="54">
        <v>0</v>
      </c>
      <c r="G58" s="54">
        <v>65535</v>
      </c>
      <c r="H58" s="54">
        <v>1</v>
      </c>
      <c r="I58" s="54">
        <v>1</v>
      </c>
      <c r="J58" s="54" t="s">
        <v>418</v>
      </c>
      <c r="K58" s="54">
        <f>K57+E57</f>
        <v>44984</v>
      </c>
      <c r="L58" s="10">
        <f t="shared" si="16"/>
        <v>4984</v>
      </c>
      <c r="M58" s="10">
        <f t="shared" si="17"/>
        <v>4983</v>
      </c>
      <c r="N58" s="274" t="s">
        <v>419</v>
      </c>
      <c r="O58" s="55" t="s">
        <v>327</v>
      </c>
      <c r="P58" s="54">
        <v>5357</v>
      </c>
      <c r="Q58" s="54" t="s">
        <v>1297</v>
      </c>
      <c r="R58" s="10">
        <f t="shared" si="19"/>
        <v>109</v>
      </c>
      <c r="S58" s="10" t="str">
        <f t="shared" si="18"/>
        <v>6D</v>
      </c>
      <c r="T58" s="263" t="s">
        <v>3612</v>
      </c>
      <c r="U58" s="54" t="s">
        <v>324</v>
      </c>
      <c r="W58" s="54"/>
      <c r="X58" s="55"/>
    </row>
    <row r="59" spans="1:24" ht="15.6" x14ac:dyDescent="0.3">
      <c r="B59" s="528" t="s">
        <v>3613</v>
      </c>
      <c r="C59" s="528"/>
      <c r="D59" s="528"/>
      <c r="E59" s="528"/>
      <c r="F59" s="528"/>
      <c r="G59" s="528"/>
      <c r="H59" s="528"/>
      <c r="I59" s="528"/>
      <c r="J59" s="528"/>
      <c r="K59" s="528"/>
      <c r="L59" s="528"/>
      <c r="M59" s="528"/>
      <c r="N59" s="528"/>
      <c r="O59" s="528"/>
      <c r="P59" s="528"/>
      <c r="Q59" s="528"/>
      <c r="R59" s="528"/>
      <c r="S59" s="528"/>
      <c r="T59" s="529"/>
      <c r="U59" s="54" t="s">
        <v>324</v>
      </c>
      <c r="W59" s="54"/>
      <c r="X59" s="55"/>
    </row>
    <row r="60" spans="1:24" ht="28.8" x14ac:dyDescent="0.3">
      <c r="B60" s="278" t="s">
        <v>3614</v>
      </c>
      <c r="C60" s="273" t="s">
        <v>321</v>
      </c>
      <c r="D60" s="54">
        <v>2</v>
      </c>
      <c r="E60" s="10">
        <f t="shared" ref="E60:E62" si="20">D60/2</f>
        <v>1</v>
      </c>
      <c r="F60" s="54">
        <v>0</v>
      </c>
      <c r="G60" s="54">
        <v>1</v>
      </c>
      <c r="H60" s="54">
        <v>1</v>
      </c>
      <c r="I60" s="54">
        <v>1</v>
      </c>
      <c r="J60" s="54" t="s">
        <v>418</v>
      </c>
      <c r="K60" s="54">
        <f>K58+E58</f>
        <v>44985</v>
      </c>
      <c r="L60" s="10">
        <f t="shared" ref="L60:L62" si="21">K60-40000</f>
        <v>4985</v>
      </c>
      <c r="M60" s="10">
        <f t="shared" ref="M60:M62" si="22">L60-1</f>
        <v>4984</v>
      </c>
      <c r="N60" s="274" t="s">
        <v>419</v>
      </c>
      <c r="O60" s="55" t="s">
        <v>327</v>
      </c>
      <c r="P60" s="54">
        <v>1</v>
      </c>
      <c r="Q60" s="54" t="s">
        <v>1297</v>
      </c>
      <c r="R60" s="272">
        <f>R58+E58</f>
        <v>110</v>
      </c>
      <c r="S60" s="10" t="str">
        <f t="shared" ref="S60:S62" si="23">DEC2HEX(R60)</f>
        <v>6E</v>
      </c>
      <c r="T60" s="348" t="s">
        <v>758</v>
      </c>
      <c r="U60" s="54" t="s">
        <v>324</v>
      </c>
      <c r="W60" s="54"/>
    </row>
    <row r="61" spans="1:24" ht="28.8" x14ac:dyDescent="0.3">
      <c r="B61" s="278" t="s">
        <v>3615</v>
      </c>
      <c r="C61" s="273" t="s">
        <v>321</v>
      </c>
      <c r="D61" s="54">
        <v>2</v>
      </c>
      <c r="E61" s="10">
        <f t="shared" si="20"/>
        <v>1</v>
      </c>
      <c r="F61" s="54">
        <v>0</v>
      </c>
      <c r="G61" s="54">
        <v>1</v>
      </c>
      <c r="H61" s="54">
        <v>1</v>
      </c>
      <c r="I61" s="54">
        <v>1</v>
      </c>
      <c r="J61" s="54" t="s">
        <v>418</v>
      </c>
      <c r="K61" s="54">
        <f>K60+E60</f>
        <v>44986</v>
      </c>
      <c r="L61" s="10">
        <f t="shared" si="21"/>
        <v>4986</v>
      </c>
      <c r="M61" s="10">
        <f t="shared" si="22"/>
        <v>4985</v>
      </c>
      <c r="N61" s="274" t="s">
        <v>419</v>
      </c>
      <c r="O61" s="55" t="s">
        <v>327</v>
      </c>
      <c r="P61" s="54">
        <v>1</v>
      </c>
      <c r="Q61" s="54" t="s">
        <v>1297</v>
      </c>
      <c r="R61" s="10">
        <f t="shared" ref="R61:R62" si="24">R60+E60</f>
        <v>111</v>
      </c>
      <c r="S61" s="10" t="str">
        <f t="shared" si="23"/>
        <v>6F</v>
      </c>
      <c r="T61" s="348" t="s">
        <v>758</v>
      </c>
      <c r="U61" s="54" t="s">
        <v>324</v>
      </c>
      <c r="W61" s="54"/>
      <c r="X61" s="55"/>
    </row>
    <row r="62" spans="1:24" ht="15.6" x14ac:dyDescent="0.3">
      <c r="B62" s="278" t="s">
        <v>3616</v>
      </c>
      <c r="C62" s="273" t="s">
        <v>321</v>
      </c>
      <c r="D62" s="54">
        <v>2</v>
      </c>
      <c r="E62" s="10">
        <f t="shared" si="20"/>
        <v>1</v>
      </c>
      <c r="F62" s="342">
        <v>30</v>
      </c>
      <c r="G62" s="54">
        <v>3600</v>
      </c>
      <c r="H62" s="54">
        <v>1</v>
      </c>
      <c r="I62" s="54">
        <v>1</v>
      </c>
      <c r="J62" s="54" t="s">
        <v>418</v>
      </c>
      <c r="K62" s="54">
        <f>K61+E61</f>
        <v>44987</v>
      </c>
      <c r="L62" s="10">
        <f t="shared" si="21"/>
        <v>4987</v>
      </c>
      <c r="M62" s="10">
        <f t="shared" si="22"/>
        <v>4986</v>
      </c>
      <c r="N62" s="274" t="s">
        <v>419</v>
      </c>
      <c r="O62" s="55" t="s">
        <v>327</v>
      </c>
      <c r="P62" s="54">
        <v>120</v>
      </c>
      <c r="Q62" s="54" t="s">
        <v>329</v>
      </c>
      <c r="R62" s="10">
        <f t="shared" si="24"/>
        <v>112</v>
      </c>
      <c r="S62" s="10" t="str">
        <f t="shared" si="23"/>
        <v>70</v>
      </c>
      <c r="T62" s="263"/>
      <c r="U62" s="54" t="s">
        <v>324</v>
      </c>
      <c r="W62" s="54"/>
      <c r="X62" s="55"/>
    </row>
    <row r="63" spans="1:24" ht="16.2" thickBot="1" x14ac:dyDescent="0.35">
      <c r="B63" s="528" t="s">
        <v>3617</v>
      </c>
      <c r="C63" s="528"/>
      <c r="D63" s="528"/>
      <c r="E63" s="528"/>
      <c r="F63" s="528"/>
      <c r="G63" s="528"/>
      <c r="H63" s="528"/>
      <c r="I63" s="528"/>
      <c r="J63" s="528"/>
      <c r="K63" s="528"/>
      <c r="L63" s="528"/>
      <c r="M63" s="528"/>
      <c r="N63" s="528"/>
      <c r="O63" s="528"/>
      <c r="P63" s="528"/>
      <c r="Q63" s="528"/>
      <c r="R63" s="528"/>
      <c r="S63" s="528"/>
      <c r="T63" s="529"/>
      <c r="U63" s="54" t="s">
        <v>324</v>
      </c>
      <c r="W63" s="54"/>
      <c r="X63" s="55"/>
    </row>
    <row r="64" spans="1:24" ht="15.6" x14ac:dyDescent="0.3">
      <c r="A64" s="532"/>
      <c r="B64" s="310" t="s">
        <v>3618</v>
      </c>
      <c r="C64" s="308" t="s">
        <v>321</v>
      </c>
      <c r="D64" s="272">
        <v>2</v>
      </c>
      <c r="E64" s="142">
        <f t="shared" ref="E64:E72" si="25">D64/2</f>
        <v>1</v>
      </c>
      <c r="F64" s="272">
        <v>0</v>
      </c>
      <c r="G64" s="272">
        <v>255</v>
      </c>
      <c r="H64" s="272">
        <v>1</v>
      </c>
      <c r="I64" s="272">
        <v>1</v>
      </c>
      <c r="J64" s="272" t="s">
        <v>418</v>
      </c>
      <c r="K64" s="272">
        <f>K62+E62</f>
        <v>44988</v>
      </c>
      <c r="L64" s="142">
        <f t="shared" ref="L64:L72" si="26">K64-40000</f>
        <v>4988</v>
      </c>
      <c r="M64" s="142">
        <f t="shared" ref="M64:M72" si="27">L64-1</f>
        <v>4987</v>
      </c>
      <c r="N64" s="309" t="s">
        <v>419</v>
      </c>
      <c r="O64" s="176" t="s">
        <v>327</v>
      </c>
      <c r="P64" s="142">
        <v>192</v>
      </c>
      <c r="Q64" s="272" t="s">
        <v>1297</v>
      </c>
      <c r="R64" s="272">
        <f>R62+E62</f>
        <v>113</v>
      </c>
      <c r="S64" s="142" t="str">
        <f t="shared" ref="S64:S72" si="28">DEC2HEX(R64)</f>
        <v>71</v>
      </c>
      <c r="T64" s="336">
        <v>0</v>
      </c>
      <c r="U64" s="54" t="s">
        <v>327</v>
      </c>
      <c r="W64" s="54"/>
      <c r="X64" s="55"/>
    </row>
    <row r="65" spans="1:23" ht="15.6" x14ac:dyDescent="0.3">
      <c r="A65" s="533"/>
      <c r="B65" s="310" t="s">
        <v>3619</v>
      </c>
      <c r="C65" s="308" t="s">
        <v>321</v>
      </c>
      <c r="D65" s="272">
        <v>2</v>
      </c>
      <c r="E65" s="142">
        <f t="shared" si="25"/>
        <v>1</v>
      </c>
      <c r="F65" s="272">
        <v>0</v>
      </c>
      <c r="G65" s="272">
        <v>255</v>
      </c>
      <c r="H65" s="272">
        <v>1</v>
      </c>
      <c r="I65" s="272">
        <v>1</v>
      </c>
      <c r="J65" s="272" t="s">
        <v>418</v>
      </c>
      <c r="K65" s="272">
        <f t="shared" ref="K65:K72" si="29">K64+E64</f>
        <v>44989</v>
      </c>
      <c r="L65" s="142">
        <f t="shared" si="26"/>
        <v>4989</v>
      </c>
      <c r="M65" s="142">
        <f t="shared" si="27"/>
        <v>4988</v>
      </c>
      <c r="N65" s="309" t="s">
        <v>419</v>
      </c>
      <c r="O65" s="176" t="s">
        <v>327</v>
      </c>
      <c r="P65" s="142">
        <v>168</v>
      </c>
      <c r="Q65" s="272" t="s">
        <v>1297</v>
      </c>
      <c r="R65" s="142">
        <f t="shared" ref="R65:R72" si="30">R64+E64</f>
        <v>114</v>
      </c>
      <c r="S65" s="142" t="str">
        <f t="shared" si="28"/>
        <v>72</v>
      </c>
      <c r="T65" s="336">
        <v>0</v>
      </c>
      <c r="U65" s="54" t="s">
        <v>327</v>
      </c>
      <c r="W65" s="54"/>
    </row>
    <row r="66" spans="1:23" ht="15.6" x14ac:dyDescent="0.3">
      <c r="A66" s="533"/>
      <c r="B66" s="310" t="s">
        <v>3620</v>
      </c>
      <c r="C66" s="308" t="s">
        <v>321</v>
      </c>
      <c r="D66" s="272">
        <v>2</v>
      </c>
      <c r="E66" s="142">
        <f t="shared" si="25"/>
        <v>1</v>
      </c>
      <c r="F66" s="272">
        <v>0</v>
      </c>
      <c r="G66" s="272">
        <v>255</v>
      </c>
      <c r="H66" s="272">
        <v>1</v>
      </c>
      <c r="I66" s="272">
        <v>1</v>
      </c>
      <c r="J66" s="272" t="s">
        <v>418</v>
      </c>
      <c r="K66" s="272">
        <f t="shared" si="29"/>
        <v>44990</v>
      </c>
      <c r="L66" s="142">
        <f t="shared" si="26"/>
        <v>4990</v>
      </c>
      <c r="M66" s="142">
        <f t="shared" si="27"/>
        <v>4989</v>
      </c>
      <c r="N66" s="309" t="s">
        <v>419</v>
      </c>
      <c r="O66" s="176" t="s">
        <v>327</v>
      </c>
      <c r="P66" s="142">
        <v>1</v>
      </c>
      <c r="Q66" s="272" t="s">
        <v>1297</v>
      </c>
      <c r="R66" s="142">
        <f t="shared" si="30"/>
        <v>115</v>
      </c>
      <c r="S66" s="142" t="str">
        <f t="shared" si="28"/>
        <v>73</v>
      </c>
      <c r="T66" s="336">
        <v>0</v>
      </c>
      <c r="U66" s="54" t="s">
        <v>327</v>
      </c>
    </row>
    <row r="67" spans="1:23" ht="16.2" thickBot="1" x14ac:dyDescent="0.35">
      <c r="A67" s="534"/>
      <c r="B67" s="310" t="s">
        <v>3621</v>
      </c>
      <c r="C67" s="308" t="s">
        <v>321</v>
      </c>
      <c r="D67" s="272">
        <v>2</v>
      </c>
      <c r="E67" s="142">
        <f t="shared" si="25"/>
        <v>1</v>
      </c>
      <c r="F67" s="272">
        <v>0</v>
      </c>
      <c r="G67" s="272">
        <v>255</v>
      </c>
      <c r="H67" s="272">
        <v>1</v>
      </c>
      <c r="I67" s="272">
        <v>1</v>
      </c>
      <c r="J67" s="272" t="s">
        <v>418</v>
      </c>
      <c r="K67" s="272">
        <f t="shared" si="29"/>
        <v>44991</v>
      </c>
      <c r="L67" s="142">
        <f t="shared" si="26"/>
        <v>4991</v>
      </c>
      <c r="M67" s="142">
        <f t="shared" si="27"/>
        <v>4990</v>
      </c>
      <c r="N67" s="309" t="s">
        <v>419</v>
      </c>
      <c r="O67" s="176" t="s">
        <v>327</v>
      </c>
      <c r="P67" s="142">
        <v>100</v>
      </c>
      <c r="Q67" s="272" t="s">
        <v>1297</v>
      </c>
      <c r="R67" s="142">
        <f t="shared" si="30"/>
        <v>116</v>
      </c>
      <c r="S67" s="142" t="str">
        <f t="shared" si="28"/>
        <v>74</v>
      </c>
      <c r="T67" s="336">
        <v>0</v>
      </c>
      <c r="U67" s="54" t="s">
        <v>327</v>
      </c>
    </row>
    <row r="68" spans="1:23" ht="15.6" x14ac:dyDescent="0.3">
      <c r="B68" s="311" t="s">
        <v>3622</v>
      </c>
      <c r="C68" s="308" t="s">
        <v>321</v>
      </c>
      <c r="D68" s="272">
        <v>2</v>
      </c>
      <c r="E68" s="142">
        <f t="shared" si="25"/>
        <v>1</v>
      </c>
      <c r="F68" s="272">
        <v>0</v>
      </c>
      <c r="G68" s="272">
        <v>100</v>
      </c>
      <c r="H68" s="272">
        <v>1</v>
      </c>
      <c r="I68" s="272">
        <v>1</v>
      </c>
      <c r="J68" s="272" t="s">
        <v>418</v>
      </c>
      <c r="K68" s="272">
        <f t="shared" si="29"/>
        <v>44992</v>
      </c>
      <c r="L68" s="142">
        <f t="shared" si="26"/>
        <v>4992</v>
      </c>
      <c r="M68" s="142">
        <f t="shared" si="27"/>
        <v>4991</v>
      </c>
      <c r="N68" s="309" t="s">
        <v>419</v>
      </c>
      <c r="O68" s="176" t="s">
        <v>327</v>
      </c>
      <c r="P68" s="272">
        <v>2</v>
      </c>
      <c r="Q68" s="272" t="s">
        <v>329</v>
      </c>
      <c r="R68" s="142">
        <f t="shared" si="30"/>
        <v>117</v>
      </c>
      <c r="S68" s="142" t="str">
        <f t="shared" si="28"/>
        <v>75</v>
      </c>
      <c r="T68" s="347"/>
      <c r="U68" s="54" t="s">
        <v>327</v>
      </c>
    </row>
    <row r="69" spans="1:23" ht="57.6" x14ac:dyDescent="0.3">
      <c r="A69" s="324"/>
      <c r="B69" s="356" t="s">
        <v>3623</v>
      </c>
      <c r="C69" s="308" t="s">
        <v>321</v>
      </c>
      <c r="D69" s="272">
        <v>2</v>
      </c>
      <c r="E69" s="142">
        <f t="shared" si="25"/>
        <v>1</v>
      </c>
      <c r="F69" s="272">
        <v>0</v>
      </c>
      <c r="G69" s="342">
        <v>3</v>
      </c>
      <c r="H69" s="272">
        <v>1</v>
      </c>
      <c r="I69" s="272">
        <v>1</v>
      </c>
      <c r="J69" s="272" t="s">
        <v>418</v>
      </c>
      <c r="K69" s="272">
        <f t="shared" si="29"/>
        <v>44993</v>
      </c>
      <c r="L69" s="142">
        <f t="shared" si="26"/>
        <v>4993</v>
      </c>
      <c r="M69" s="142">
        <f t="shared" si="27"/>
        <v>4992</v>
      </c>
      <c r="N69" s="309" t="s">
        <v>419</v>
      </c>
      <c r="O69" s="176" t="s">
        <v>327</v>
      </c>
      <c r="P69" s="272">
        <v>0</v>
      </c>
      <c r="Q69" s="272" t="s">
        <v>1297</v>
      </c>
      <c r="R69" s="142">
        <f t="shared" si="30"/>
        <v>118</v>
      </c>
      <c r="S69" s="142" t="str">
        <f t="shared" si="28"/>
        <v>76</v>
      </c>
      <c r="T69" s="355" t="s">
        <v>3624</v>
      </c>
      <c r="U69" s="54" t="s">
        <v>324</v>
      </c>
    </row>
    <row r="70" spans="1:23" ht="15.6" x14ac:dyDescent="0.3">
      <c r="A70" s="324"/>
      <c r="B70" s="311" t="s">
        <v>3625</v>
      </c>
      <c r="C70" s="308" t="s">
        <v>321</v>
      </c>
      <c r="D70" s="272">
        <v>2</v>
      </c>
      <c r="E70" s="142">
        <f t="shared" si="25"/>
        <v>1</v>
      </c>
      <c r="F70" s="272">
        <v>1</v>
      </c>
      <c r="G70" s="272">
        <v>65535</v>
      </c>
      <c r="H70" s="272">
        <v>1</v>
      </c>
      <c r="I70" s="272">
        <v>1</v>
      </c>
      <c r="J70" s="272" t="s">
        <v>418</v>
      </c>
      <c r="K70" s="272">
        <f t="shared" si="29"/>
        <v>44994</v>
      </c>
      <c r="L70" s="142">
        <f t="shared" si="26"/>
        <v>4994</v>
      </c>
      <c r="M70" s="142">
        <f t="shared" si="27"/>
        <v>4993</v>
      </c>
      <c r="N70" s="309" t="s">
        <v>419</v>
      </c>
      <c r="O70" s="176" t="s">
        <v>327</v>
      </c>
      <c r="P70" s="272">
        <v>502</v>
      </c>
      <c r="Q70" s="272" t="s">
        <v>1297</v>
      </c>
      <c r="R70" s="142">
        <f t="shared" si="30"/>
        <v>119</v>
      </c>
      <c r="S70" s="142" t="str">
        <f t="shared" si="28"/>
        <v>77</v>
      </c>
      <c r="T70" s="344"/>
      <c r="U70" s="54" t="s">
        <v>324</v>
      </c>
    </row>
    <row r="71" spans="1:23" ht="28.8" x14ac:dyDescent="0.3">
      <c r="B71" s="311" t="s">
        <v>3626</v>
      </c>
      <c r="C71" s="308" t="s">
        <v>321</v>
      </c>
      <c r="D71" s="272">
        <v>2</v>
      </c>
      <c r="E71" s="142">
        <f t="shared" si="25"/>
        <v>1</v>
      </c>
      <c r="F71" s="272">
        <v>0</v>
      </c>
      <c r="G71" s="272">
        <v>1</v>
      </c>
      <c r="H71" s="272">
        <v>1</v>
      </c>
      <c r="I71" s="272">
        <v>1</v>
      </c>
      <c r="J71" s="272" t="s">
        <v>418</v>
      </c>
      <c r="K71" s="272">
        <f t="shared" si="29"/>
        <v>44995</v>
      </c>
      <c r="L71" s="142">
        <f t="shared" si="26"/>
        <v>4995</v>
      </c>
      <c r="M71" s="142">
        <f t="shared" si="27"/>
        <v>4994</v>
      </c>
      <c r="N71" s="309" t="s">
        <v>419</v>
      </c>
      <c r="O71" s="176" t="s">
        <v>327</v>
      </c>
      <c r="P71" s="272">
        <v>0</v>
      </c>
      <c r="Q71" s="272" t="s">
        <v>1297</v>
      </c>
      <c r="R71" s="142">
        <f t="shared" si="30"/>
        <v>120</v>
      </c>
      <c r="S71" s="142" t="str">
        <f t="shared" si="28"/>
        <v>78</v>
      </c>
      <c r="T71" s="344" t="s">
        <v>758</v>
      </c>
      <c r="U71" s="54" t="s">
        <v>324</v>
      </c>
    </row>
    <row r="72" spans="1:23" ht="100.8" x14ac:dyDescent="0.3">
      <c r="B72" s="311" t="s">
        <v>3627</v>
      </c>
      <c r="C72" s="308" t="s">
        <v>321</v>
      </c>
      <c r="D72" s="272">
        <v>2</v>
      </c>
      <c r="E72" s="142">
        <f t="shared" si="25"/>
        <v>1</v>
      </c>
      <c r="F72" s="272">
        <v>0</v>
      </c>
      <c r="G72" s="272">
        <v>5</v>
      </c>
      <c r="H72" s="272">
        <v>1</v>
      </c>
      <c r="I72" s="272">
        <v>1</v>
      </c>
      <c r="J72" s="272" t="s">
        <v>418</v>
      </c>
      <c r="K72" s="272">
        <f t="shared" si="29"/>
        <v>44996</v>
      </c>
      <c r="L72" s="142">
        <f t="shared" si="26"/>
        <v>4996</v>
      </c>
      <c r="M72" s="142">
        <f t="shared" si="27"/>
        <v>4995</v>
      </c>
      <c r="N72" s="309" t="s">
        <v>419</v>
      </c>
      <c r="O72" s="176" t="s">
        <v>327</v>
      </c>
      <c r="P72" s="272">
        <v>0</v>
      </c>
      <c r="Q72" s="272" t="s">
        <v>1297</v>
      </c>
      <c r="R72" s="142">
        <f t="shared" si="30"/>
        <v>121</v>
      </c>
      <c r="S72" s="142" t="str">
        <f t="shared" si="28"/>
        <v>79</v>
      </c>
      <c r="T72" s="344" t="s">
        <v>3628</v>
      </c>
      <c r="U72" s="54" t="s">
        <v>324</v>
      </c>
    </row>
    <row r="73" spans="1:23" ht="15.6" x14ac:dyDescent="0.3">
      <c r="A73" s="535" t="s">
        <v>3629</v>
      </c>
      <c r="B73" s="536" t="s">
        <v>3834</v>
      </c>
      <c r="C73" s="536"/>
      <c r="D73" s="536"/>
      <c r="E73" s="536"/>
      <c r="F73" s="536"/>
      <c r="G73" s="536"/>
      <c r="H73" s="536"/>
      <c r="I73" s="536"/>
      <c r="J73" s="536"/>
      <c r="K73" s="536"/>
      <c r="L73" s="536"/>
      <c r="M73" s="536"/>
      <c r="N73" s="536"/>
      <c r="O73" s="536"/>
      <c r="P73" s="536"/>
      <c r="Q73" s="536"/>
      <c r="R73" s="536"/>
      <c r="S73" s="536"/>
      <c r="T73" s="537"/>
      <c r="U73" s="54" t="s">
        <v>324</v>
      </c>
    </row>
    <row r="74" spans="1:23" ht="28.8" x14ac:dyDescent="0.3">
      <c r="A74" s="535"/>
      <c r="B74" s="311" t="s">
        <v>3630</v>
      </c>
      <c r="C74" s="308" t="s">
        <v>321</v>
      </c>
      <c r="D74" s="272">
        <v>2</v>
      </c>
      <c r="E74" s="142">
        <f t="shared" ref="E74:E130" si="31">D74/2</f>
        <v>1</v>
      </c>
      <c r="F74" s="272">
        <v>0</v>
      </c>
      <c r="G74" s="272">
        <v>1</v>
      </c>
      <c r="H74" s="272">
        <v>1</v>
      </c>
      <c r="I74" s="272">
        <v>1</v>
      </c>
      <c r="J74" s="272" t="s">
        <v>418</v>
      </c>
      <c r="K74" s="272">
        <f>K72+E72</f>
        <v>44997</v>
      </c>
      <c r="L74" s="142">
        <f t="shared" ref="L74:L130" si="32">K74-40000</f>
        <v>4997</v>
      </c>
      <c r="M74" s="142">
        <f t="shared" ref="M74:M130" si="33">L74-1</f>
        <v>4996</v>
      </c>
      <c r="N74" s="309" t="s">
        <v>419</v>
      </c>
      <c r="O74" s="176" t="s">
        <v>327</v>
      </c>
      <c r="P74" s="272">
        <v>0</v>
      </c>
      <c r="Q74" s="272" t="s">
        <v>1297</v>
      </c>
      <c r="R74" s="272">
        <f>R72+E72</f>
        <v>122</v>
      </c>
      <c r="S74" s="142" t="str">
        <f t="shared" ref="S74" si="34">DEC2HEX(R74)</f>
        <v>7A</v>
      </c>
      <c r="T74" s="344" t="s">
        <v>758</v>
      </c>
      <c r="U74" s="54" t="s">
        <v>324</v>
      </c>
    </row>
    <row r="75" spans="1:23" x14ac:dyDescent="0.3">
      <c r="A75" s="535"/>
      <c r="B75" s="538" t="s">
        <v>3835</v>
      </c>
      <c r="C75" s="539"/>
      <c r="D75" s="539"/>
      <c r="E75" s="539"/>
      <c r="F75" s="539"/>
      <c r="G75" s="539"/>
      <c r="H75" s="539"/>
      <c r="I75" s="539"/>
      <c r="J75" s="539"/>
      <c r="K75" s="539"/>
      <c r="L75" s="539"/>
      <c r="M75" s="539"/>
      <c r="N75" s="539"/>
      <c r="O75" s="539"/>
      <c r="P75" s="539"/>
      <c r="Q75" s="539"/>
      <c r="R75" s="539"/>
      <c r="S75" s="539"/>
      <c r="T75" s="539"/>
      <c r="U75" s="54" t="s">
        <v>324</v>
      </c>
    </row>
    <row r="76" spans="1:23" ht="28.8" x14ac:dyDescent="0.3">
      <c r="A76" s="535"/>
      <c r="B76" s="311" t="s">
        <v>3631</v>
      </c>
      <c r="C76" s="308" t="s">
        <v>321</v>
      </c>
      <c r="D76" s="272">
        <v>2</v>
      </c>
      <c r="E76" s="142">
        <f t="shared" ref="E76:E84" si="35">D76/2</f>
        <v>1</v>
      </c>
      <c r="F76" s="272">
        <v>0</v>
      </c>
      <c r="G76" s="272">
        <v>1</v>
      </c>
      <c r="H76" s="272">
        <v>1</v>
      </c>
      <c r="I76" s="272">
        <v>1</v>
      </c>
      <c r="J76" s="272" t="s">
        <v>418</v>
      </c>
      <c r="K76" s="272">
        <f>K74+E74</f>
        <v>44998</v>
      </c>
      <c r="L76" s="142">
        <f t="shared" ref="L76:L84" si="36">K76-40000</f>
        <v>4998</v>
      </c>
      <c r="M76" s="142">
        <f t="shared" ref="M76:M84" si="37">L76-1</f>
        <v>4997</v>
      </c>
      <c r="N76" s="309" t="s">
        <v>419</v>
      </c>
      <c r="O76" s="176" t="s">
        <v>327</v>
      </c>
      <c r="P76" s="272">
        <v>0</v>
      </c>
      <c r="Q76" s="272" t="s">
        <v>1297</v>
      </c>
      <c r="R76" s="272">
        <f>R74+E74</f>
        <v>123</v>
      </c>
      <c r="S76" s="142" t="str">
        <f t="shared" ref="S76:S84" si="38">DEC2HEX(R76)</f>
        <v>7B</v>
      </c>
      <c r="T76" s="349" t="s">
        <v>3632</v>
      </c>
      <c r="U76" s="54" t="s">
        <v>324</v>
      </c>
    </row>
    <row r="77" spans="1:23" ht="15.6" x14ac:dyDescent="0.3">
      <c r="A77" s="535"/>
      <c r="B77" s="311" t="s">
        <v>3633</v>
      </c>
      <c r="C77" s="308" t="s">
        <v>321</v>
      </c>
      <c r="D77" s="272">
        <v>2</v>
      </c>
      <c r="E77" s="142">
        <f t="shared" si="35"/>
        <v>1</v>
      </c>
      <c r="F77" s="272">
        <v>0</v>
      </c>
      <c r="G77" s="10">
        <v>255</v>
      </c>
      <c r="H77" s="272">
        <v>1</v>
      </c>
      <c r="I77" s="272">
        <v>1</v>
      </c>
      <c r="J77" s="272" t="s">
        <v>418</v>
      </c>
      <c r="K77" s="272">
        <f t="shared" ref="K77:K84" si="39">K76+E76</f>
        <v>44999</v>
      </c>
      <c r="L77" s="142">
        <f t="shared" si="36"/>
        <v>4999</v>
      </c>
      <c r="M77" s="142">
        <f t="shared" si="37"/>
        <v>4998</v>
      </c>
      <c r="N77" s="309" t="s">
        <v>419</v>
      </c>
      <c r="O77" s="176" t="s">
        <v>327</v>
      </c>
      <c r="P77" s="272">
        <v>0</v>
      </c>
      <c r="Q77" s="272" t="s">
        <v>1297</v>
      </c>
      <c r="R77" s="142">
        <f t="shared" ref="R77:R84" si="40">R76+E76</f>
        <v>124</v>
      </c>
      <c r="S77" s="142" t="str">
        <f t="shared" si="38"/>
        <v>7C</v>
      </c>
      <c r="T77" s="344"/>
      <c r="U77" s="54" t="s">
        <v>324</v>
      </c>
    </row>
    <row r="78" spans="1:23" ht="15.6" x14ac:dyDescent="0.3">
      <c r="A78" s="535"/>
      <c r="B78" s="311" t="s">
        <v>3634</v>
      </c>
      <c r="C78" s="308" t="s">
        <v>321</v>
      </c>
      <c r="D78" s="272">
        <v>2</v>
      </c>
      <c r="E78" s="142">
        <f t="shared" si="35"/>
        <v>1</v>
      </c>
      <c r="F78" s="272">
        <v>0</v>
      </c>
      <c r="G78" s="10">
        <v>255</v>
      </c>
      <c r="H78" s="272">
        <v>1</v>
      </c>
      <c r="I78" s="272">
        <v>1</v>
      </c>
      <c r="J78" s="272" t="s">
        <v>418</v>
      </c>
      <c r="K78" s="272">
        <f t="shared" si="39"/>
        <v>45000</v>
      </c>
      <c r="L78" s="142">
        <f t="shared" si="36"/>
        <v>5000</v>
      </c>
      <c r="M78" s="142">
        <f t="shared" si="37"/>
        <v>4999</v>
      </c>
      <c r="N78" s="309" t="s">
        <v>419</v>
      </c>
      <c r="O78" s="176" t="s">
        <v>327</v>
      </c>
      <c r="P78" s="272">
        <v>0</v>
      </c>
      <c r="Q78" s="272" t="s">
        <v>1297</v>
      </c>
      <c r="R78" s="142">
        <f t="shared" si="40"/>
        <v>125</v>
      </c>
      <c r="S78" s="142" t="str">
        <f t="shared" si="38"/>
        <v>7D</v>
      </c>
      <c r="T78" s="344"/>
      <c r="U78" s="54" t="s">
        <v>324</v>
      </c>
    </row>
    <row r="79" spans="1:23" ht="15.6" x14ac:dyDescent="0.3">
      <c r="A79" s="535"/>
      <c r="B79" s="311" t="s">
        <v>3635</v>
      </c>
      <c r="C79" s="308" t="s">
        <v>321</v>
      </c>
      <c r="D79" s="272">
        <v>2</v>
      </c>
      <c r="E79" s="142">
        <f t="shared" si="35"/>
        <v>1</v>
      </c>
      <c r="F79" s="272">
        <v>0</v>
      </c>
      <c r="G79" s="10">
        <v>255</v>
      </c>
      <c r="H79" s="272">
        <v>1</v>
      </c>
      <c r="I79" s="272">
        <v>1</v>
      </c>
      <c r="J79" s="272" t="s">
        <v>418</v>
      </c>
      <c r="K79" s="272">
        <f t="shared" si="39"/>
        <v>45001</v>
      </c>
      <c r="L79" s="142">
        <f t="shared" si="36"/>
        <v>5001</v>
      </c>
      <c r="M79" s="142">
        <f t="shared" si="37"/>
        <v>5000</v>
      </c>
      <c r="N79" s="309" t="s">
        <v>419</v>
      </c>
      <c r="O79" s="176" t="s">
        <v>327</v>
      </c>
      <c r="P79" s="272">
        <v>0</v>
      </c>
      <c r="Q79" s="272" t="s">
        <v>1297</v>
      </c>
      <c r="R79" s="142">
        <f t="shared" si="40"/>
        <v>126</v>
      </c>
      <c r="S79" s="142" t="str">
        <f t="shared" si="38"/>
        <v>7E</v>
      </c>
      <c r="T79" s="344"/>
      <c r="U79" s="54" t="s">
        <v>324</v>
      </c>
    </row>
    <row r="80" spans="1:23" ht="15.6" x14ac:dyDescent="0.3">
      <c r="A80" s="535"/>
      <c r="B80" s="311" t="s">
        <v>3636</v>
      </c>
      <c r="C80" s="308" t="s">
        <v>321</v>
      </c>
      <c r="D80" s="272">
        <v>2</v>
      </c>
      <c r="E80" s="142">
        <f t="shared" si="35"/>
        <v>1</v>
      </c>
      <c r="F80" s="272">
        <v>0</v>
      </c>
      <c r="G80" s="10">
        <v>255</v>
      </c>
      <c r="H80" s="272">
        <v>1</v>
      </c>
      <c r="I80" s="272">
        <v>1</v>
      </c>
      <c r="J80" s="272" t="s">
        <v>418</v>
      </c>
      <c r="K80" s="272">
        <f t="shared" si="39"/>
        <v>45002</v>
      </c>
      <c r="L80" s="142">
        <f t="shared" si="36"/>
        <v>5002</v>
      </c>
      <c r="M80" s="142">
        <f t="shared" si="37"/>
        <v>5001</v>
      </c>
      <c r="N80" s="309" t="s">
        <v>419</v>
      </c>
      <c r="O80" s="176" t="s">
        <v>327</v>
      </c>
      <c r="P80" s="272">
        <v>0</v>
      </c>
      <c r="Q80" s="272" t="s">
        <v>1297</v>
      </c>
      <c r="R80" s="142">
        <f t="shared" si="40"/>
        <v>127</v>
      </c>
      <c r="S80" s="142" t="str">
        <f t="shared" si="38"/>
        <v>7F</v>
      </c>
      <c r="T80" s="344"/>
      <c r="U80" s="54" t="s">
        <v>324</v>
      </c>
    </row>
    <row r="81" spans="1:21" ht="15.6" x14ac:dyDescent="0.3">
      <c r="A81" s="535"/>
      <c r="B81" s="193" t="s">
        <v>3637</v>
      </c>
      <c r="C81" s="10" t="s">
        <v>321</v>
      </c>
      <c r="D81" s="10">
        <v>2</v>
      </c>
      <c r="E81" s="10">
        <f t="shared" si="35"/>
        <v>1</v>
      </c>
      <c r="F81" s="339">
        <v>0</v>
      </c>
      <c r="G81" s="10">
        <v>255</v>
      </c>
      <c r="H81" s="10">
        <v>1</v>
      </c>
      <c r="I81" s="10">
        <v>1</v>
      </c>
      <c r="J81" s="10" t="s">
        <v>418</v>
      </c>
      <c r="K81" s="10">
        <f t="shared" si="39"/>
        <v>45003</v>
      </c>
      <c r="L81" s="10">
        <f t="shared" si="36"/>
        <v>5003</v>
      </c>
      <c r="M81" s="10">
        <f t="shared" si="37"/>
        <v>5002</v>
      </c>
      <c r="N81" s="10" t="s">
        <v>419</v>
      </c>
      <c r="O81" s="10" t="s">
        <v>327</v>
      </c>
      <c r="P81" s="339">
        <v>0</v>
      </c>
      <c r="Q81" s="10" t="s">
        <v>1297</v>
      </c>
      <c r="R81" s="10">
        <f t="shared" si="40"/>
        <v>128</v>
      </c>
      <c r="S81" s="10" t="str">
        <f t="shared" si="38"/>
        <v>80</v>
      </c>
      <c r="T81" s="332"/>
      <c r="U81" s="54" t="s">
        <v>324</v>
      </c>
    </row>
    <row r="82" spans="1:21" ht="15.6" x14ac:dyDescent="0.3">
      <c r="A82" s="535"/>
      <c r="B82" s="193" t="s">
        <v>3638</v>
      </c>
      <c r="C82" s="10" t="s">
        <v>321</v>
      </c>
      <c r="D82" s="10">
        <v>2</v>
      </c>
      <c r="E82" s="10">
        <f t="shared" si="35"/>
        <v>1</v>
      </c>
      <c r="F82" s="10">
        <v>0</v>
      </c>
      <c r="G82" s="10">
        <v>255</v>
      </c>
      <c r="H82" s="10">
        <v>1</v>
      </c>
      <c r="I82" s="10">
        <v>1</v>
      </c>
      <c r="J82" s="10" t="s">
        <v>418</v>
      </c>
      <c r="K82" s="10">
        <f t="shared" si="39"/>
        <v>45004</v>
      </c>
      <c r="L82" s="10">
        <f t="shared" si="36"/>
        <v>5004</v>
      </c>
      <c r="M82" s="10">
        <f t="shared" si="37"/>
        <v>5003</v>
      </c>
      <c r="N82" s="10" t="s">
        <v>419</v>
      </c>
      <c r="O82" s="10" t="s">
        <v>327</v>
      </c>
      <c r="P82" s="10">
        <v>0</v>
      </c>
      <c r="Q82" s="10" t="s">
        <v>1297</v>
      </c>
      <c r="R82" s="10">
        <f t="shared" si="40"/>
        <v>129</v>
      </c>
      <c r="S82" s="10" t="str">
        <f t="shared" si="38"/>
        <v>81</v>
      </c>
      <c r="T82" s="332"/>
      <c r="U82" s="54" t="s">
        <v>324</v>
      </c>
    </row>
    <row r="83" spans="1:21" ht="15.6" x14ac:dyDescent="0.3">
      <c r="A83" s="535"/>
      <c r="B83" s="193" t="s">
        <v>3639</v>
      </c>
      <c r="C83" s="10" t="s">
        <v>321</v>
      </c>
      <c r="D83" s="10">
        <v>2</v>
      </c>
      <c r="E83" s="10">
        <f t="shared" si="35"/>
        <v>1</v>
      </c>
      <c r="F83" s="10">
        <v>0</v>
      </c>
      <c r="G83" s="10">
        <v>255</v>
      </c>
      <c r="H83" s="10">
        <v>1</v>
      </c>
      <c r="I83" s="10">
        <v>1</v>
      </c>
      <c r="J83" s="10" t="s">
        <v>418</v>
      </c>
      <c r="K83" s="10">
        <f t="shared" si="39"/>
        <v>45005</v>
      </c>
      <c r="L83" s="10">
        <f t="shared" si="36"/>
        <v>5005</v>
      </c>
      <c r="M83" s="10">
        <f t="shared" si="37"/>
        <v>5004</v>
      </c>
      <c r="N83" s="10" t="s">
        <v>419</v>
      </c>
      <c r="O83" s="10" t="s">
        <v>327</v>
      </c>
      <c r="P83" s="10">
        <v>0</v>
      </c>
      <c r="Q83" s="10" t="s">
        <v>1297</v>
      </c>
      <c r="R83" s="10">
        <f t="shared" si="40"/>
        <v>130</v>
      </c>
      <c r="S83" s="10" t="str">
        <f t="shared" si="38"/>
        <v>82</v>
      </c>
      <c r="T83" s="332"/>
      <c r="U83" s="54" t="s">
        <v>324</v>
      </c>
    </row>
    <row r="84" spans="1:21" ht="15.6" x14ac:dyDescent="0.3">
      <c r="A84" s="535"/>
      <c r="B84" s="193" t="s">
        <v>3640</v>
      </c>
      <c r="C84" s="10" t="s">
        <v>321</v>
      </c>
      <c r="D84" s="10">
        <v>2</v>
      </c>
      <c r="E84" s="10">
        <f t="shared" si="35"/>
        <v>1</v>
      </c>
      <c r="F84" s="10">
        <v>0</v>
      </c>
      <c r="G84" s="10">
        <v>255</v>
      </c>
      <c r="H84" s="10">
        <v>1</v>
      </c>
      <c r="I84" s="10">
        <v>1</v>
      </c>
      <c r="J84" s="10" t="s">
        <v>418</v>
      </c>
      <c r="K84" s="10">
        <f t="shared" si="39"/>
        <v>45006</v>
      </c>
      <c r="L84" s="10">
        <f t="shared" si="36"/>
        <v>5006</v>
      </c>
      <c r="M84" s="10">
        <f t="shared" si="37"/>
        <v>5005</v>
      </c>
      <c r="N84" s="10" t="s">
        <v>419</v>
      </c>
      <c r="O84" s="10" t="s">
        <v>327</v>
      </c>
      <c r="P84" s="10">
        <v>0</v>
      </c>
      <c r="Q84" s="10" t="s">
        <v>1297</v>
      </c>
      <c r="R84" s="10">
        <f t="shared" si="40"/>
        <v>131</v>
      </c>
      <c r="S84" s="10" t="str">
        <f t="shared" si="38"/>
        <v>83</v>
      </c>
      <c r="T84" s="332"/>
      <c r="U84" s="54" t="s">
        <v>324</v>
      </c>
    </row>
    <row r="85" spans="1:21" x14ac:dyDescent="0.3">
      <c r="A85" s="535"/>
      <c r="B85" s="538" t="s">
        <v>3836</v>
      </c>
      <c r="C85" s="539"/>
      <c r="D85" s="539"/>
      <c r="E85" s="539"/>
      <c r="F85" s="539"/>
      <c r="G85" s="539"/>
      <c r="H85" s="539"/>
      <c r="I85" s="539"/>
      <c r="J85" s="539"/>
      <c r="K85" s="539"/>
      <c r="L85" s="539"/>
      <c r="M85" s="539"/>
      <c r="N85" s="539"/>
      <c r="O85" s="539"/>
      <c r="P85" s="539"/>
      <c r="Q85" s="539"/>
      <c r="R85" s="539"/>
      <c r="S85" s="539"/>
      <c r="T85" s="539"/>
      <c r="U85" s="54" t="s">
        <v>324</v>
      </c>
    </row>
    <row r="86" spans="1:21" ht="28.8" x14ac:dyDescent="0.3">
      <c r="A86" s="535"/>
      <c r="B86" s="311" t="s">
        <v>3641</v>
      </c>
      <c r="C86" s="308" t="s">
        <v>321</v>
      </c>
      <c r="D86" s="272">
        <v>2</v>
      </c>
      <c r="E86" s="142">
        <f t="shared" ref="E86" si="41">D86/2</f>
        <v>1</v>
      </c>
      <c r="F86" s="272">
        <v>0</v>
      </c>
      <c r="G86" s="272">
        <v>1</v>
      </c>
      <c r="H86" s="272">
        <v>1</v>
      </c>
      <c r="I86" s="272">
        <v>1</v>
      </c>
      <c r="J86" s="272" t="s">
        <v>418</v>
      </c>
      <c r="K86" s="272">
        <f>K84+E84</f>
        <v>45007</v>
      </c>
      <c r="L86" s="142">
        <f t="shared" ref="L86" si="42">K86-40000</f>
        <v>5007</v>
      </c>
      <c r="M86" s="142">
        <f t="shared" ref="M86" si="43">L86-1</f>
        <v>5006</v>
      </c>
      <c r="N86" s="309" t="s">
        <v>419</v>
      </c>
      <c r="O86" s="176" t="s">
        <v>327</v>
      </c>
      <c r="P86" s="272">
        <v>0</v>
      </c>
      <c r="Q86" s="272" t="s">
        <v>1297</v>
      </c>
      <c r="R86" s="272">
        <f>R84+E84</f>
        <v>132</v>
      </c>
      <c r="S86" s="142" t="str">
        <f t="shared" ref="S86:S130" si="44">DEC2HEX(R86)</f>
        <v>84</v>
      </c>
      <c r="T86" s="349" t="s">
        <v>3632</v>
      </c>
      <c r="U86" s="54" t="s">
        <v>324</v>
      </c>
    </row>
    <row r="87" spans="1:21" ht="15.6" x14ac:dyDescent="0.3">
      <c r="A87" s="535"/>
      <c r="B87" s="311" t="s">
        <v>3633</v>
      </c>
      <c r="C87" s="308" t="s">
        <v>321</v>
      </c>
      <c r="D87" s="272">
        <v>2</v>
      </c>
      <c r="E87" s="142">
        <f t="shared" si="31"/>
        <v>1</v>
      </c>
      <c r="F87" s="272">
        <v>0</v>
      </c>
      <c r="G87" s="272">
        <v>255</v>
      </c>
      <c r="H87" s="272">
        <v>1</v>
      </c>
      <c r="I87" s="272">
        <v>1</v>
      </c>
      <c r="J87" s="272" t="s">
        <v>418</v>
      </c>
      <c r="K87" s="272">
        <f t="shared" ref="K87:K130" si="45">K86+E86</f>
        <v>45008</v>
      </c>
      <c r="L87" s="142">
        <f t="shared" si="32"/>
        <v>5008</v>
      </c>
      <c r="M87" s="142">
        <f t="shared" si="33"/>
        <v>5007</v>
      </c>
      <c r="N87" s="309" t="s">
        <v>419</v>
      </c>
      <c r="O87" s="176" t="s">
        <v>327</v>
      </c>
      <c r="P87" s="342">
        <v>0</v>
      </c>
      <c r="Q87" s="272" t="s">
        <v>1297</v>
      </c>
      <c r="R87" s="142">
        <f t="shared" ref="R87:R130" si="46">R86+E86</f>
        <v>133</v>
      </c>
      <c r="S87" s="142" t="str">
        <f t="shared" si="44"/>
        <v>85</v>
      </c>
      <c r="T87" s="344"/>
      <c r="U87" s="54" t="s">
        <v>324</v>
      </c>
    </row>
    <row r="88" spans="1:21" ht="15.6" x14ac:dyDescent="0.3">
      <c r="A88" s="535"/>
      <c r="B88" s="311" t="s">
        <v>3634</v>
      </c>
      <c r="C88" s="308" t="s">
        <v>321</v>
      </c>
      <c r="D88" s="272">
        <v>2</v>
      </c>
      <c r="E88" s="142">
        <f t="shared" si="31"/>
        <v>1</v>
      </c>
      <c r="F88" s="272">
        <v>0</v>
      </c>
      <c r="G88" s="272">
        <v>255</v>
      </c>
      <c r="H88" s="272">
        <v>1</v>
      </c>
      <c r="I88" s="272">
        <v>1</v>
      </c>
      <c r="J88" s="272" t="s">
        <v>418</v>
      </c>
      <c r="K88" s="272">
        <f t="shared" si="45"/>
        <v>45009</v>
      </c>
      <c r="L88" s="142">
        <f t="shared" si="32"/>
        <v>5009</v>
      </c>
      <c r="M88" s="142">
        <f t="shared" si="33"/>
        <v>5008</v>
      </c>
      <c r="N88" s="309" t="s">
        <v>419</v>
      </c>
      <c r="O88" s="176" t="s">
        <v>327</v>
      </c>
      <c r="P88" s="272">
        <v>0</v>
      </c>
      <c r="Q88" s="272" t="s">
        <v>1297</v>
      </c>
      <c r="R88" s="142">
        <f t="shared" si="46"/>
        <v>134</v>
      </c>
      <c r="S88" s="142" t="str">
        <f t="shared" si="44"/>
        <v>86</v>
      </c>
      <c r="T88" s="344"/>
      <c r="U88" s="54" t="s">
        <v>324</v>
      </c>
    </row>
    <row r="89" spans="1:21" ht="15.6" x14ac:dyDescent="0.3">
      <c r="A89" s="535"/>
      <c r="B89" s="311" t="s">
        <v>3635</v>
      </c>
      <c r="C89" s="308" t="s">
        <v>321</v>
      </c>
      <c r="D89" s="272">
        <v>2</v>
      </c>
      <c r="E89" s="142">
        <f t="shared" si="31"/>
        <v>1</v>
      </c>
      <c r="F89" s="272">
        <v>0</v>
      </c>
      <c r="G89" s="272">
        <v>255</v>
      </c>
      <c r="H89" s="272">
        <v>1</v>
      </c>
      <c r="I89" s="272">
        <v>1</v>
      </c>
      <c r="J89" s="272" t="s">
        <v>418</v>
      </c>
      <c r="K89" s="272">
        <f t="shared" si="45"/>
        <v>45010</v>
      </c>
      <c r="L89" s="142">
        <f t="shared" si="32"/>
        <v>5010</v>
      </c>
      <c r="M89" s="142">
        <f t="shared" si="33"/>
        <v>5009</v>
      </c>
      <c r="N89" s="309" t="s">
        <v>419</v>
      </c>
      <c r="O89" s="176" t="s">
        <v>327</v>
      </c>
      <c r="P89" s="272">
        <v>0</v>
      </c>
      <c r="Q89" s="272" t="s">
        <v>1297</v>
      </c>
      <c r="R89" s="142">
        <f t="shared" si="46"/>
        <v>135</v>
      </c>
      <c r="S89" s="142" t="str">
        <f t="shared" si="44"/>
        <v>87</v>
      </c>
      <c r="T89" s="344"/>
      <c r="U89" s="54" t="s">
        <v>324</v>
      </c>
    </row>
    <row r="90" spans="1:21" ht="15.6" x14ac:dyDescent="0.3">
      <c r="A90" s="535"/>
      <c r="B90" s="311" t="s">
        <v>3636</v>
      </c>
      <c r="C90" s="308" t="s">
        <v>321</v>
      </c>
      <c r="D90" s="272">
        <v>2</v>
      </c>
      <c r="E90" s="142">
        <f t="shared" si="31"/>
        <v>1</v>
      </c>
      <c r="F90" s="272">
        <v>0</v>
      </c>
      <c r="G90" s="272">
        <v>255</v>
      </c>
      <c r="H90" s="272">
        <v>1</v>
      </c>
      <c r="I90" s="272">
        <v>1</v>
      </c>
      <c r="J90" s="272" t="s">
        <v>418</v>
      </c>
      <c r="K90" s="272">
        <f t="shared" si="45"/>
        <v>45011</v>
      </c>
      <c r="L90" s="142">
        <f t="shared" si="32"/>
        <v>5011</v>
      </c>
      <c r="M90" s="142">
        <f t="shared" si="33"/>
        <v>5010</v>
      </c>
      <c r="N90" s="309" t="s">
        <v>419</v>
      </c>
      <c r="O90" s="176" t="s">
        <v>327</v>
      </c>
      <c r="P90" s="272">
        <v>0</v>
      </c>
      <c r="Q90" s="272" t="s">
        <v>1297</v>
      </c>
      <c r="R90" s="142">
        <f t="shared" si="46"/>
        <v>136</v>
      </c>
      <c r="S90" s="142" t="str">
        <f t="shared" si="44"/>
        <v>88</v>
      </c>
      <c r="T90" s="344"/>
      <c r="U90" s="54" t="s">
        <v>324</v>
      </c>
    </row>
    <row r="91" spans="1:21" ht="15.6" x14ac:dyDescent="0.3">
      <c r="A91" s="535"/>
      <c r="B91" s="325" t="s">
        <v>3642</v>
      </c>
      <c r="C91" s="308" t="s">
        <v>321</v>
      </c>
      <c r="D91" s="272">
        <v>2</v>
      </c>
      <c r="E91" s="142">
        <f t="shared" si="31"/>
        <v>1</v>
      </c>
      <c r="F91" s="272">
        <v>0</v>
      </c>
      <c r="G91" s="272">
        <v>255</v>
      </c>
      <c r="H91" s="272">
        <v>1</v>
      </c>
      <c r="I91" s="272">
        <v>1</v>
      </c>
      <c r="J91" s="272" t="s">
        <v>418</v>
      </c>
      <c r="K91" s="272">
        <f t="shared" si="45"/>
        <v>45012</v>
      </c>
      <c r="L91" s="142">
        <f t="shared" si="32"/>
        <v>5012</v>
      </c>
      <c r="M91" s="142">
        <f t="shared" si="33"/>
        <v>5011</v>
      </c>
      <c r="N91" s="309" t="s">
        <v>419</v>
      </c>
      <c r="O91" s="176" t="s">
        <v>327</v>
      </c>
      <c r="P91" s="272">
        <v>0</v>
      </c>
      <c r="Q91" s="272" t="s">
        <v>1297</v>
      </c>
      <c r="R91" s="142">
        <f t="shared" si="46"/>
        <v>137</v>
      </c>
      <c r="S91" s="142" t="str">
        <f t="shared" si="44"/>
        <v>89</v>
      </c>
      <c r="T91" s="540"/>
      <c r="U91" s="54" t="s">
        <v>324</v>
      </c>
    </row>
    <row r="92" spans="1:21" ht="15.6" x14ac:dyDescent="0.3">
      <c r="A92" s="535"/>
      <c r="B92" s="325" t="s">
        <v>3643</v>
      </c>
      <c r="C92" s="308" t="s">
        <v>321</v>
      </c>
      <c r="D92" s="272">
        <v>2</v>
      </c>
      <c r="E92" s="142">
        <f t="shared" si="31"/>
        <v>1</v>
      </c>
      <c r="F92" s="272">
        <v>0</v>
      </c>
      <c r="G92" s="272">
        <v>255</v>
      </c>
      <c r="H92" s="272">
        <v>1</v>
      </c>
      <c r="I92" s="272">
        <v>1</v>
      </c>
      <c r="J92" s="272" t="s">
        <v>418</v>
      </c>
      <c r="K92" s="272">
        <f t="shared" si="45"/>
        <v>45013</v>
      </c>
      <c r="L92" s="142">
        <f t="shared" si="32"/>
        <v>5013</v>
      </c>
      <c r="M92" s="142">
        <f t="shared" si="33"/>
        <v>5012</v>
      </c>
      <c r="N92" s="309" t="s">
        <v>419</v>
      </c>
      <c r="O92" s="176" t="s">
        <v>327</v>
      </c>
      <c r="P92" s="272">
        <v>0</v>
      </c>
      <c r="Q92" s="272" t="s">
        <v>1297</v>
      </c>
      <c r="R92" s="142">
        <f t="shared" si="46"/>
        <v>138</v>
      </c>
      <c r="S92" s="142" t="str">
        <f t="shared" si="44"/>
        <v>8A</v>
      </c>
      <c r="T92" s="541"/>
      <c r="U92" s="54" t="s">
        <v>324</v>
      </c>
    </row>
    <row r="93" spans="1:21" ht="15.6" x14ac:dyDescent="0.3">
      <c r="A93" s="535"/>
      <c r="B93" s="325" t="s">
        <v>3644</v>
      </c>
      <c r="C93" s="308" t="s">
        <v>321</v>
      </c>
      <c r="D93" s="272">
        <v>2</v>
      </c>
      <c r="E93" s="142">
        <f t="shared" si="31"/>
        <v>1</v>
      </c>
      <c r="F93" s="272">
        <v>0</v>
      </c>
      <c r="G93" s="272">
        <v>255</v>
      </c>
      <c r="H93" s="272">
        <v>1</v>
      </c>
      <c r="I93" s="272">
        <v>1</v>
      </c>
      <c r="J93" s="272" t="s">
        <v>418</v>
      </c>
      <c r="K93" s="272">
        <f t="shared" si="45"/>
        <v>45014</v>
      </c>
      <c r="L93" s="142">
        <f t="shared" si="32"/>
        <v>5014</v>
      </c>
      <c r="M93" s="142">
        <f t="shared" si="33"/>
        <v>5013</v>
      </c>
      <c r="N93" s="309" t="s">
        <v>419</v>
      </c>
      <c r="O93" s="176" t="s">
        <v>327</v>
      </c>
      <c r="P93" s="272">
        <v>0</v>
      </c>
      <c r="Q93" s="272" t="s">
        <v>1297</v>
      </c>
      <c r="R93" s="142">
        <f t="shared" si="46"/>
        <v>139</v>
      </c>
      <c r="S93" s="142" t="str">
        <f t="shared" si="44"/>
        <v>8B</v>
      </c>
      <c r="T93" s="541"/>
      <c r="U93" s="54" t="s">
        <v>324</v>
      </c>
    </row>
    <row r="94" spans="1:21" ht="15.6" x14ac:dyDescent="0.3">
      <c r="A94" s="535"/>
      <c r="B94" s="325" t="s">
        <v>3645</v>
      </c>
      <c r="C94" s="308" t="s">
        <v>321</v>
      </c>
      <c r="D94" s="272">
        <v>2</v>
      </c>
      <c r="E94" s="142">
        <f t="shared" si="31"/>
        <v>1</v>
      </c>
      <c r="F94" s="272">
        <v>0</v>
      </c>
      <c r="G94" s="272">
        <v>255</v>
      </c>
      <c r="H94" s="272">
        <v>1</v>
      </c>
      <c r="I94" s="272">
        <v>1</v>
      </c>
      <c r="J94" s="272" t="s">
        <v>418</v>
      </c>
      <c r="K94" s="272">
        <f t="shared" si="45"/>
        <v>45015</v>
      </c>
      <c r="L94" s="142">
        <f t="shared" si="32"/>
        <v>5015</v>
      </c>
      <c r="M94" s="142">
        <f t="shared" si="33"/>
        <v>5014</v>
      </c>
      <c r="N94" s="309" t="s">
        <v>419</v>
      </c>
      <c r="O94" s="176" t="s">
        <v>327</v>
      </c>
      <c r="P94" s="272">
        <v>0</v>
      </c>
      <c r="Q94" s="272" t="s">
        <v>1297</v>
      </c>
      <c r="R94" s="142">
        <f t="shared" si="46"/>
        <v>140</v>
      </c>
      <c r="S94" s="142" t="str">
        <f t="shared" si="44"/>
        <v>8C</v>
      </c>
      <c r="T94" s="542"/>
      <c r="U94" s="54" t="s">
        <v>324</v>
      </c>
    </row>
    <row r="95" spans="1:21" ht="28.8" x14ac:dyDescent="0.3">
      <c r="A95" s="535"/>
      <c r="B95" s="311" t="s">
        <v>3646</v>
      </c>
      <c r="C95" s="308" t="s">
        <v>321</v>
      </c>
      <c r="D95" s="272">
        <v>2</v>
      </c>
      <c r="E95" s="142">
        <f t="shared" si="31"/>
        <v>1</v>
      </c>
      <c r="F95" s="272">
        <v>0</v>
      </c>
      <c r="G95" s="272">
        <v>1</v>
      </c>
      <c r="H95" s="272">
        <v>1</v>
      </c>
      <c r="I95" s="272">
        <v>1</v>
      </c>
      <c r="J95" s="272" t="s">
        <v>418</v>
      </c>
      <c r="K95" s="272">
        <f t="shared" si="45"/>
        <v>45016</v>
      </c>
      <c r="L95" s="142">
        <f t="shared" si="32"/>
        <v>5016</v>
      </c>
      <c r="M95" s="142">
        <f t="shared" si="33"/>
        <v>5015</v>
      </c>
      <c r="N95" s="309" t="s">
        <v>419</v>
      </c>
      <c r="O95" s="176" t="s">
        <v>327</v>
      </c>
      <c r="P95" s="272">
        <v>0</v>
      </c>
      <c r="Q95" s="272" t="s">
        <v>1297</v>
      </c>
      <c r="R95" s="142">
        <f t="shared" si="46"/>
        <v>141</v>
      </c>
      <c r="S95" s="142" t="str">
        <f t="shared" si="44"/>
        <v>8D</v>
      </c>
      <c r="T95" s="349" t="s">
        <v>3632</v>
      </c>
      <c r="U95" s="54" t="s">
        <v>324</v>
      </c>
    </row>
    <row r="96" spans="1:21" ht="15.6" x14ac:dyDescent="0.3">
      <c r="A96" s="535"/>
      <c r="B96" s="311" t="s">
        <v>3647</v>
      </c>
      <c r="C96" s="308" t="s">
        <v>321</v>
      </c>
      <c r="D96" s="272">
        <v>2</v>
      </c>
      <c r="E96" s="142">
        <f t="shared" si="31"/>
        <v>1</v>
      </c>
      <c r="F96" s="272">
        <v>0</v>
      </c>
      <c r="G96" s="272">
        <v>255</v>
      </c>
      <c r="H96" s="272">
        <v>1</v>
      </c>
      <c r="I96" s="272">
        <v>1</v>
      </c>
      <c r="J96" s="272" t="s">
        <v>418</v>
      </c>
      <c r="K96" s="272">
        <f t="shared" si="45"/>
        <v>45017</v>
      </c>
      <c r="L96" s="142">
        <f t="shared" si="32"/>
        <v>5017</v>
      </c>
      <c r="M96" s="142">
        <f t="shared" si="33"/>
        <v>5016</v>
      </c>
      <c r="N96" s="309" t="s">
        <v>419</v>
      </c>
      <c r="O96" s="176" t="s">
        <v>327</v>
      </c>
      <c r="P96" s="342">
        <v>0</v>
      </c>
      <c r="Q96" s="272" t="s">
        <v>1297</v>
      </c>
      <c r="R96" s="142">
        <f t="shared" si="46"/>
        <v>142</v>
      </c>
      <c r="S96" s="142" t="str">
        <f t="shared" si="44"/>
        <v>8E</v>
      </c>
      <c r="T96" s="344"/>
      <c r="U96" s="54" t="s">
        <v>324</v>
      </c>
    </row>
    <row r="97" spans="1:21" ht="15.6" x14ac:dyDescent="0.3">
      <c r="A97" s="535"/>
      <c r="B97" s="311" t="s">
        <v>3648</v>
      </c>
      <c r="C97" s="308" t="s">
        <v>321</v>
      </c>
      <c r="D97" s="272">
        <v>2</v>
      </c>
      <c r="E97" s="142">
        <f t="shared" si="31"/>
        <v>1</v>
      </c>
      <c r="F97" s="272">
        <v>0</v>
      </c>
      <c r="G97" s="272">
        <v>255</v>
      </c>
      <c r="H97" s="272">
        <v>1</v>
      </c>
      <c r="I97" s="272">
        <v>1</v>
      </c>
      <c r="J97" s="272" t="s">
        <v>418</v>
      </c>
      <c r="K97" s="272">
        <f t="shared" si="45"/>
        <v>45018</v>
      </c>
      <c r="L97" s="142">
        <f t="shared" si="32"/>
        <v>5018</v>
      </c>
      <c r="M97" s="142">
        <f t="shared" si="33"/>
        <v>5017</v>
      </c>
      <c r="N97" s="309" t="s">
        <v>419</v>
      </c>
      <c r="O97" s="176" t="s">
        <v>327</v>
      </c>
      <c r="P97" s="272">
        <v>0</v>
      </c>
      <c r="Q97" s="272" t="s">
        <v>1297</v>
      </c>
      <c r="R97" s="142">
        <f t="shared" si="46"/>
        <v>143</v>
      </c>
      <c r="S97" s="142" t="str">
        <f t="shared" si="44"/>
        <v>8F</v>
      </c>
      <c r="T97" s="344"/>
      <c r="U97" s="54" t="s">
        <v>324</v>
      </c>
    </row>
    <row r="98" spans="1:21" ht="15.6" x14ac:dyDescent="0.3">
      <c r="A98" s="535"/>
      <c r="B98" s="311" t="s">
        <v>3649</v>
      </c>
      <c r="C98" s="308" t="s">
        <v>321</v>
      </c>
      <c r="D98" s="272">
        <v>2</v>
      </c>
      <c r="E98" s="142">
        <f t="shared" si="31"/>
        <v>1</v>
      </c>
      <c r="F98" s="272">
        <v>0</v>
      </c>
      <c r="G98" s="272">
        <v>255</v>
      </c>
      <c r="H98" s="272">
        <v>1</v>
      </c>
      <c r="I98" s="272">
        <v>1</v>
      </c>
      <c r="J98" s="272" t="s">
        <v>418</v>
      </c>
      <c r="K98" s="272">
        <f t="shared" si="45"/>
        <v>45019</v>
      </c>
      <c r="L98" s="142">
        <f t="shared" si="32"/>
        <v>5019</v>
      </c>
      <c r="M98" s="142">
        <f t="shared" si="33"/>
        <v>5018</v>
      </c>
      <c r="N98" s="309" t="s">
        <v>419</v>
      </c>
      <c r="O98" s="176" t="s">
        <v>327</v>
      </c>
      <c r="P98" s="272">
        <v>0</v>
      </c>
      <c r="Q98" s="272" t="s">
        <v>1297</v>
      </c>
      <c r="R98" s="142">
        <f t="shared" si="46"/>
        <v>144</v>
      </c>
      <c r="S98" s="142" t="str">
        <f t="shared" si="44"/>
        <v>90</v>
      </c>
      <c r="T98" s="344"/>
      <c r="U98" s="54" t="s">
        <v>324</v>
      </c>
    </row>
    <row r="99" spans="1:21" ht="15.6" x14ac:dyDescent="0.3">
      <c r="A99" s="535"/>
      <c r="B99" s="311" t="s">
        <v>3650</v>
      </c>
      <c r="C99" s="308" t="s">
        <v>321</v>
      </c>
      <c r="D99" s="272">
        <v>2</v>
      </c>
      <c r="E99" s="142">
        <f t="shared" si="31"/>
        <v>1</v>
      </c>
      <c r="F99" s="272">
        <v>0</v>
      </c>
      <c r="G99" s="272">
        <v>255</v>
      </c>
      <c r="H99" s="272">
        <v>1</v>
      </c>
      <c r="I99" s="272">
        <v>1</v>
      </c>
      <c r="J99" s="272" t="s">
        <v>418</v>
      </c>
      <c r="K99" s="272">
        <f t="shared" si="45"/>
        <v>45020</v>
      </c>
      <c r="L99" s="142">
        <f t="shared" si="32"/>
        <v>5020</v>
      </c>
      <c r="M99" s="142">
        <f t="shared" si="33"/>
        <v>5019</v>
      </c>
      <c r="N99" s="309" t="s">
        <v>419</v>
      </c>
      <c r="O99" s="176" t="s">
        <v>327</v>
      </c>
      <c r="P99" s="272">
        <v>0</v>
      </c>
      <c r="Q99" s="272" t="s">
        <v>1297</v>
      </c>
      <c r="R99" s="142">
        <f t="shared" si="46"/>
        <v>145</v>
      </c>
      <c r="S99" s="142" t="str">
        <f t="shared" si="44"/>
        <v>91</v>
      </c>
      <c r="T99" s="344"/>
      <c r="U99" s="54" t="s">
        <v>324</v>
      </c>
    </row>
    <row r="100" spans="1:21" ht="15.6" x14ac:dyDescent="0.3">
      <c r="A100" s="535"/>
      <c r="B100" s="325" t="s">
        <v>3651</v>
      </c>
      <c r="C100" s="308" t="s">
        <v>321</v>
      </c>
      <c r="D100" s="272">
        <v>2</v>
      </c>
      <c r="E100" s="142">
        <f t="shared" si="31"/>
        <v>1</v>
      </c>
      <c r="F100" s="272">
        <v>0</v>
      </c>
      <c r="G100" s="272">
        <v>255</v>
      </c>
      <c r="H100" s="272">
        <v>1</v>
      </c>
      <c r="I100" s="272">
        <v>1</v>
      </c>
      <c r="J100" s="272" t="s">
        <v>418</v>
      </c>
      <c r="K100" s="272">
        <f t="shared" si="45"/>
        <v>45021</v>
      </c>
      <c r="L100" s="142">
        <f t="shared" si="32"/>
        <v>5021</v>
      </c>
      <c r="M100" s="142">
        <f t="shared" si="33"/>
        <v>5020</v>
      </c>
      <c r="N100" s="309" t="s">
        <v>419</v>
      </c>
      <c r="O100" s="176" t="s">
        <v>327</v>
      </c>
      <c r="P100" s="272">
        <v>0</v>
      </c>
      <c r="Q100" s="272" t="s">
        <v>1297</v>
      </c>
      <c r="R100" s="142">
        <f t="shared" si="46"/>
        <v>146</v>
      </c>
      <c r="S100" s="142" t="str">
        <f t="shared" si="44"/>
        <v>92</v>
      </c>
      <c r="T100" s="540"/>
      <c r="U100" s="54" t="s">
        <v>324</v>
      </c>
    </row>
    <row r="101" spans="1:21" ht="15.6" x14ac:dyDescent="0.3">
      <c r="A101" s="535"/>
      <c r="B101" s="325" t="s">
        <v>3652</v>
      </c>
      <c r="C101" s="308" t="s">
        <v>321</v>
      </c>
      <c r="D101" s="272">
        <v>2</v>
      </c>
      <c r="E101" s="142">
        <f t="shared" si="31"/>
        <v>1</v>
      </c>
      <c r="F101" s="272">
        <v>0</v>
      </c>
      <c r="G101" s="272">
        <v>255</v>
      </c>
      <c r="H101" s="272">
        <v>1</v>
      </c>
      <c r="I101" s="272">
        <v>1</v>
      </c>
      <c r="J101" s="272" t="s">
        <v>418</v>
      </c>
      <c r="K101" s="272">
        <f t="shared" si="45"/>
        <v>45022</v>
      </c>
      <c r="L101" s="142">
        <f t="shared" si="32"/>
        <v>5022</v>
      </c>
      <c r="M101" s="142">
        <f t="shared" si="33"/>
        <v>5021</v>
      </c>
      <c r="N101" s="309" t="s">
        <v>419</v>
      </c>
      <c r="O101" s="176" t="s">
        <v>327</v>
      </c>
      <c r="P101" s="272">
        <v>0</v>
      </c>
      <c r="Q101" s="272" t="s">
        <v>1297</v>
      </c>
      <c r="R101" s="142">
        <f t="shared" si="46"/>
        <v>147</v>
      </c>
      <c r="S101" s="142" t="str">
        <f t="shared" si="44"/>
        <v>93</v>
      </c>
      <c r="T101" s="541"/>
      <c r="U101" s="54" t="s">
        <v>324</v>
      </c>
    </row>
    <row r="102" spans="1:21" ht="15.6" x14ac:dyDescent="0.3">
      <c r="A102" s="535"/>
      <c r="B102" s="325" t="s">
        <v>3653</v>
      </c>
      <c r="C102" s="308" t="s">
        <v>321</v>
      </c>
      <c r="D102" s="272">
        <v>2</v>
      </c>
      <c r="E102" s="142">
        <f t="shared" si="31"/>
        <v>1</v>
      </c>
      <c r="F102" s="272">
        <v>0</v>
      </c>
      <c r="G102" s="272">
        <v>255</v>
      </c>
      <c r="H102" s="272">
        <v>1</v>
      </c>
      <c r="I102" s="272">
        <v>1</v>
      </c>
      <c r="J102" s="272" t="s">
        <v>418</v>
      </c>
      <c r="K102" s="272">
        <f t="shared" si="45"/>
        <v>45023</v>
      </c>
      <c r="L102" s="142">
        <f t="shared" si="32"/>
        <v>5023</v>
      </c>
      <c r="M102" s="142">
        <f t="shared" si="33"/>
        <v>5022</v>
      </c>
      <c r="N102" s="309" t="s">
        <v>419</v>
      </c>
      <c r="O102" s="176" t="s">
        <v>327</v>
      </c>
      <c r="P102" s="272">
        <v>0</v>
      </c>
      <c r="Q102" s="272" t="s">
        <v>1297</v>
      </c>
      <c r="R102" s="142">
        <f t="shared" si="46"/>
        <v>148</v>
      </c>
      <c r="S102" s="142" t="str">
        <f t="shared" si="44"/>
        <v>94</v>
      </c>
      <c r="T102" s="541"/>
      <c r="U102" s="54" t="s">
        <v>324</v>
      </c>
    </row>
    <row r="103" spans="1:21" ht="15.6" x14ac:dyDescent="0.3">
      <c r="A103" s="535"/>
      <c r="B103" s="325" t="s">
        <v>3654</v>
      </c>
      <c r="C103" s="308" t="s">
        <v>321</v>
      </c>
      <c r="D103" s="272">
        <v>2</v>
      </c>
      <c r="E103" s="142">
        <f t="shared" si="31"/>
        <v>1</v>
      </c>
      <c r="F103" s="272">
        <v>0</v>
      </c>
      <c r="G103" s="272">
        <v>255</v>
      </c>
      <c r="H103" s="272">
        <v>1</v>
      </c>
      <c r="I103" s="272">
        <v>1</v>
      </c>
      <c r="J103" s="272" t="s">
        <v>418</v>
      </c>
      <c r="K103" s="272">
        <f t="shared" si="45"/>
        <v>45024</v>
      </c>
      <c r="L103" s="142">
        <f t="shared" si="32"/>
        <v>5024</v>
      </c>
      <c r="M103" s="142">
        <f t="shared" si="33"/>
        <v>5023</v>
      </c>
      <c r="N103" s="309" t="s">
        <v>419</v>
      </c>
      <c r="O103" s="176" t="s">
        <v>327</v>
      </c>
      <c r="P103" s="272">
        <v>0</v>
      </c>
      <c r="Q103" s="272" t="s">
        <v>1297</v>
      </c>
      <c r="R103" s="142">
        <f t="shared" si="46"/>
        <v>149</v>
      </c>
      <c r="S103" s="142" t="str">
        <f t="shared" si="44"/>
        <v>95</v>
      </c>
      <c r="T103" s="542"/>
      <c r="U103" s="54" t="s">
        <v>324</v>
      </c>
    </row>
    <row r="104" spans="1:21" ht="28.8" x14ac:dyDescent="0.3">
      <c r="A104" s="535"/>
      <c r="B104" s="311" t="s">
        <v>3655</v>
      </c>
      <c r="C104" s="308" t="s">
        <v>321</v>
      </c>
      <c r="D104" s="272">
        <v>2</v>
      </c>
      <c r="E104" s="142">
        <f t="shared" si="31"/>
        <v>1</v>
      </c>
      <c r="F104" s="272">
        <v>0</v>
      </c>
      <c r="G104" s="272">
        <v>1</v>
      </c>
      <c r="H104" s="272">
        <v>1</v>
      </c>
      <c r="I104" s="272">
        <v>1</v>
      </c>
      <c r="J104" s="272" t="s">
        <v>418</v>
      </c>
      <c r="K104" s="272">
        <f t="shared" si="45"/>
        <v>45025</v>
      </c>
      <c r="L104" s="142">
        <f t="shared" si="32"/>
        <v>5025</v>
      </c>
      <c r="M104" s="142">
        <f t="shared" si="33"/>
        <v>5024</v>
      </c>
      <c r="N104" s="309" t="s">
        <v>419</v>
      </c>
      <c r="O104" s="176" t="s">
        <v>327</v>
      </c>
      <c r="P104" s="272">
        <v>0</v>
      </c>
      <c r="Q104" s="272" t="s">
        <v>1297</v>
      </c>
      <c r="R104" s="142">
        <f t="shared" si="46"/>
        <v>150</v>
      </c>
      <c r="S104" s="142" t="str">
        <f t="shared" si="44"/>
        <v>96</v>
      </c>
      <c r="T104" s="349" t="s">
        <v>3632</v>
      </c>
      <c r="U104" s="54" t="s">
        <v>324</v>
      </c>
    </row>
    <row r="105" spans="1:21" ht="15.6" x14ac:dyDescent="0.3">
      <c r="A105" s="535"/>
      <c r="B105" s="311" t="s">
        <v>3656</v>
      </c>
      <c r="C105" s="308" t="s">
        <v>321</v>
      </c>
      <c r="D105" s="272">
        <v>2</v>
      </c>
      <c r="E105" s="142">
        <f t="shared" si="31"/>
        <v>1</v>
      </c>
      <c r="F105" s="272">
        <v>0</v>
      </c>
      <c r="G105" s="272">
        <v>255</v>
      </c>
      <c r="H105" s="272">
        <v>1</v>
      </c>
      <c r="I105" s="272">
        <v>1</v>
      </c>
      <c r="J105" s="272" t="s">
        <v>418</v>
      </c>
      <c r="K105" s="272">
        <f t="shared" si="45"/>
        <v>45026</v>
      </c>
      <c r="L105" s="142">
        <f t="shared" si="32"/>
        <v>5026</v>
      </c>
      <c r="M105" s="142">
        <f t="shared" si="33"/>
        <v>5025</v>
      </c>
      <c r="N105" s="309" t="s">
        <v>419</v>
      </c>
      <c r="O105" s="176" t="s">
        <v>327</v>
      </c>
      <c r="P105" s="342">
        <v>0</v>
      </c>
      <c r="Q105" s="272" t="s">
        <v>1297</v>
      </c>
      <c r="R105" s="142">
        <f t="shared" si="46"/>
        <v>151</v>
      </c>
      <c r="S105" s="142" t="str">
        <f t="shared" si="44"/>
        <v>97</v>
      </c>
      <c r="T105" s="344"/>
      <c r="U105" s="54" t="s">
        <v>324</v>
      </c>
    </row>
    <row r="106" spans="1:21" ht="15.6" x14ac:dyDescent="0.3">
      <c r="A106" s="535"/>
      <c r="B106" s="311" t="s">
        <v>3657</v>
      </c>
      <c r="C106" s="308" t="s">
        <v>321</v>
      </c>
      <c r="D106" s="272">
        <v>2</v>
      </c>
      <c r="E106" s="142">
        <f t="shared" si="31"/>
        <v>1</v>
      </c>
      <c r="F106" s="272">
        <v>0</v>
      </c>
      <c r="G106" s="272">
        <v>255</v>
      </c>
      <c r="H106" s="272">
        <v>1</v>
      </c>
      <c r="I106" s="272">
        <v>1</v>
      </c>
      <c r="J106" s="272" t="s">
        <v>418</v>
      </c>
      <c r="K106" s="272">
        <f t="shared" si="45"/>
        <v>45027</v>
      </c>
      <c r="L106" s="142">
        <f t="shared" si="32"/>
        <v>5027</v>
      </c>
      <c r="M106" s="142">
        <f t="shared" si="33"/>
        <v>5026</v>
      </c>
      <c r="N106" s="309" t="s">
        <v>419</v>
      </c>
      <c r="O106" s="176" t="s">
        <v>327</v>
      </c>
      <c r="P106" s="272">
        <v>0</v>
      </c>
      <c r="Q106" s="272" t="s">
        <v>1297</v>
      </c>
      <c r="R106" s="142">
        <f t="shared" si="46"/>
        <v>152</v>
      </c>
      <c r="S106" s="142" t="str">
        <f t="shared" si="44"/>
        <v>98</v>
      </c>
      <c r="T106" s="344"/>
      <c r="U106" s="54" t="s">
        <v>324</v>
      </c>
    </row>
    <row r="107" spans="1:21" ht="15.6" x14ac:dyDescent="0.3">
      <c r="A107" s="535"/>
      <c r="B107" s="311" t="s">
        <v>3658</v>
      </c>
      <c r="C107" s="308" t="s">
        <v>321</v>
      </c>
      <c r="D107" s="272">
        <v>2</v>
      </c>
      <c r="E107" s="142">
        <f t="shared" si="31"/>
        <v>1</v>
      </c>
      <c r="F107" s="272">
        <v>0</v>
      </c>
      <c r="G107" s="272">
        <v>255</v>
      </c>
      <c r="H107" s="272">
        <v>1</v>
      </c>
      <c r="I107" s="272">
        <v>1</v>
      </c>
      <c r="J107" s="272" t="s">
        <v>418</v>
      </c>
      <c r="K107" s="272">
        <f t="shared" si="45"/>
        <v>45028</v>
      </c>
      <c r="L107" s="142">
        <f t="shared" si="32"/>
        <v>5028</v>
      </c>
      <c r="M107" s="142">
        <f t="shared" si="33"/>
        <v>5027</v>
      </c>
      <c r="N107" s="309" t="s">
        <v>419</v>
      </c>
      <c r="O107" s="176" t="s">
        <v>327</v>
      </c>
      <c r="P107" s="272">
        <v>0</v>
      </c>
      <c r="Q107" s="272" t="s">
        <v>1297</v>
      </c>
      <c r="R107" s="142">
        <f t="shared" si="46"/>
        <v>153</v>
      </c>
      <c r="S107" s="142" t="str">
        <f t="shared" si="44"/>
        <v>99</v>
      </c>
      <c r="T107" s="344"/>
      <c r="U107" s="54" t="s">
        <v>324</v>
      </c>
    </row>
    <row r="108" spans="1:21" ht="15.6" x14ac:dyDescent="0.3">
      <c r="A108" s="535"/>
      <c r="B108" s="311" t="s">
        <v>3659</v>
      </c>
      <c r="C108" s="308" t="s">
        <v>321</v>
      </c>
      <c r="D108" s="272">
        <v>2</v>
      </c>
      <c r="E108" s="142">
        <f t="shared" si="31"/>
        <v>1</v>
      </c>
      <c r="F108" s="272">
        <v>0</v>
      </c>
      <c r="G108" s="272">
        <v>255</v>
      </c>
      <c r="H108" s="272">
        <v>1</v>
      </c>
      <c r="I108" s="272">
        <v>1</v>
      </c>
      <c r="J108" s="272" t="s">
        <v>418</v>
      </c>
      <c r="K108" s="272">
        <f t="shared" si="45"/>
        <v>45029</v>
      </c>
      <c r="L108" s="142">
        <f t="shared" si="32"/>
        <v>5029</v>
      </c>
      <c r="M108" s="142">
        <f t="shared" si="33"/>
        <v>5028</v>
      </c>
      <c r="N108" s="309" t="s">
        <v>419</v>
      </c>
      <c r="O108" s="176" t="s">
        <v>327</v>
      </c>
      <c r="P108" s="272">
        <v>0</v>
      </c>
      <c r="Q108" s="272" t="s">
        <v>1297</v>
      </c>
      <c r="R108" s="142">
        <f t="shared" si="46"/>
        <v>154</v>
      </c>
      <c r="S108" s="142" t="str">
        <f t="shared" si="44"/>
        <v>9A</v>
      </c>
      <c r="T108" s="344"/>
      <c r="U108" s="54" t="s">
        <v>324</v>
      </c>
    </row>
    <row r="109" spans="1:21" ht="15.6" x14ac:dyDescent="0.3">
      <c r="A109" s="535"/>
      <c r="B109" s="311" t="s">
        <v>743</v>
      </c>
      <c r="C109" s="308" t="s">
        <v>321</v>
      </c>
      <c r="D109" s="272">
        <v>2</v>
      </c>
      <c r="E109" s="142">
        <f t="shared" si="31"/>
        <v>1</v>
      </c>
      <c r="F109" s="272">
        <v>0</v>
      </c>
      <c r="G109" s="342">
        <v>0</v>
      </c>
      <c r="H109" s="272">
        <v>1</v>
      </c>
      <c r="I109" s="272">
        <v>1</v>
      </c>
      <c r="J109" s="272" t="s">
        <v>418</v>
      </c>
      <c r="K109" s="272">
        <f t="shared" si="45"/>
        <v>45030</v>
      </c>
      <c r="L109" s="142">
        <f t="shared" si="32"/>
        <v>5030</v>
      </c>
      <c r="M109" s="142">
        <f t="shared" si="33"/>
        <v>5029</v>
      </c>
      <c r="N109" s="309" t="s">
        <v>419</v>
      </c>
      <c r="O109" s="176" t="s">
        <v>327</v>
      </c>
      <c r="P109" s="272">
        <v>0</v>
      </c>
      <c r="Q109" s="272" t="s">
        <v>1297</v>
      </c>
      <c r="R109" s="142">
        <f t="shared" si="46"/>
        <v>155</v>
      </c>
      <c r="S109" s="142" t="str">
        <f t="shared" si="44"/>
        <v>9B</v>
      </c>
      <c r="T109" s="344"/>
      <c r="U109" s="54" t="s">
        <v>324</v>
      </c>
    </row>
    <row r="110" spans="1:21" ht="15.6" x14ac:dyDescent="0.3">
      <c r="A110" s="535"/>
      <c r="B110" s="311" t="s">
        <v>743</v>
      </c>
      <c r="C110" s="308" t="s">
        <v>321</v>
      </c>
      <c r="D110" s="272">
        <v>2</v>
      </c>
      <c r="E110" s="142">
        <f t="shared" si="31"/>
        <v>1</v>
      </c>
      <c r="F110" s="272">
        <v>0</v>
      </c>
      <c r="G110" s="342">
        <v>0</v>
      </c>
      <c r="H110" s="272">
        <v>1</v>
      </c>
      <c r="I110" s="272">
        <v>1</v>
      </c>
      <c r="J110" s="272" t="s">
        <v>418</v>
      </c>
      <c r="K110" s="272">
        <f t="shared" si="45"/>
        <v>45031</v>
      </c>
      <c r="L110" s="142">
        <f t="shared" si="32"/>
        <v>5031</v>
      </c>
      <c r="M110" s="142">
        <f t="shared" si="33"/>
        <v>5030</v>
      </c>
      <c r="N110" s="309" t="s">
        <v>419</v>
      </c>
      <c r="O110" s="176" t="s">
        <v>327</v>
      </c>
      <c r="P110" s="272">
        <v>0</v>
      </c>
      <c r="Q110" s="272" t="s">
        <v>1297</v>
      </c>
      <c r="R110" s="142">
        <f t="shared" si="46"/>
        <v>156</v>
      </c>
      <c r="S110" s="142" t="str">
        <f t="shared" si="44"/>
        <v>9C</v>
      </c>
      <c r="T110" s="344"/>
      <c r="U110" s="54" t="s">
        <v>324</v>
      </c>
    </row>
    <row r="111" spans="1:21" ht="15.6" x14ac:dyDescent="0.3">
      <c r="A111" s="535"/>
      <c r="B111" s="311" t="s">
        <v>743</v>
      </c>
      <c r="C111" s="308" t="s">
        <v>321</v>
      </c>
      <c r="D111" s="272">
        <v>2</v>
      </c>
      <c r="E111" s="142">
        <f t="shared" si="31"/>
        <v>1</v>
      </c>
      <c r="F111" s="272">
        <v>0</v>
      </c>
      <c r="G111" s="342">
        <v>0</v>
      </c>
      <c r="H111" s="272">
        <v>1</v>
      </c>
      <c r="I111" s="272">
        <v>1</v>
      </c>
      <c r="J111" s="272" t="s">
        <v>418</v>
      </c>
      <c r="K111" s="272">
        <f t="shared" si="45"/>
        <v>45032</v>
      </c>
      <c r="L111" s="142">
        <f t="shared" si="32"/>
        <v>5032</v>
      </c>
      <c r="M111" s="142">
        <f t="shared" si="33"/>
        <v>5031</v>
      </c>
      <c r="N111" s="309" t="s">
        <v>419</v>
      </c>
      <c r="O111" s="176" t="s">
        <v>327</v>
      </c>
      <c r="P111" s="272">
        <v>0</v>
      </c>
      <c r="Q111" s="272" t="s">
        <v>1297</v>
      </c>
      <c r="R111" s="142">
        <f t="shared" si="46"/>
        <v>157</v>
      </c>
      <c r="S111" s="142" t="str">
        <f t="shared" si="44"/>
        <v>9D</v>
      </c>
      <c r="T111" s="344"/>
      <c r="U111" s="54" t="s">
        <v>324</v>
      </c>
    </row>
    <row r="112" spans="1:21" ht="15.6" x14ac:dyDescent="0.3">
      <c r="A112" s="535"/>
      <c r="B112" s="311" t="s">
        <v>743</v>
      </c>
      <c r="C112" s="308" t="s">
        <v>321</v>
      </c>
      <c r="D112" s="272">
        <v>2</v>
      </c>
      <c r="E112" s="142">
        <f t="shared" si="31"/>
        <v>1</v>
      </c>
      <c r="F112" s="272">
        <v>0</v>
      </c>
      <c r="G112" s="342">
        <v>0</v>
      </c>
      <c r="H112" s="272">
        <v>1</v>
      </c>
      <c r="I112" s="272">
        <v>1</v>
      </c>
      <c r="J112" s="272" t="s">
        <v>418</v>
      </c>
      <c r="K112" s="272">
        <f t="shared" si="45"/>
        <v>45033</v>
      </c>
      <c r="L112" s="142">
        <f t="shared" si="32"/>
        <v>5033</v>
      </c>
      <c r="M112" s="142">
        <f t="shared" si="33"/>
        <v>5032</v>
      </c>
      <c r="N112" s="309" t="s">
        <v>419</v>
      </c>
      <c r="O112" s="176" t="s">
        <v>327</v>
      </c>
      <c r="P112" s="272">
        <v>0</v>
      </c>
      <c r="Q112" s="272" t="s">
        <v>1297</v>
      </c>
      <c r="R112" s="142">
        <f t="shared" si="46"/>
        <v>158</v>
      </c>
      <c r="S112" s="142" t="str">
        <f t="shared" si="44"/>
        <v>9E</v>
      </c>
      <c r="T112" s="344"/>
      <c r="U112" s="54" t="s">
        <v>324</v>
      </c>
    </row>
    <row r="113" spans="1:21" ht="28.8" x14ac:dyDescent="0.3">
      <c r="A113" s="535"/>
      <c r="B113" s="311" t="s">
        <v>3660</v>
      </c>
      <c r="C113" s="308" t="s">
        <v>321</v>
      </c>
      <c r="D113" s="272">
        <v>2</v>
      </c>
      <c r="E113" s="142">
        <f t="shared" si="31"/>
        <v>1</v>
      </c>
      <c r="F113" s="272">
        <v>0</v>
      </c>
      <c r="G113" s="272">
        <v>1</v>
      </c>
      <c r="H113" s="272">
        <v>1</v>
      </c>
      <c r="I113" s="272">
        <v>1</v>
      </c>
      <c r="J113" s="272" t="s">
        <v>418</v>
      </c>
      <c r="K113" s="272">
        <f t="shared" si="45"/>
        <v>45034</v>
      </c>
      <c r="L113" s="142">
        <f t="shared" si="32"/>
        <v>5034</v>
      </c>
      <c r="M113" s="142">
        <f t="shared" si="33"/>
        <v>5033</v>
      </c>
      <c r="N113" s="309" t="s">
        <v>419</v>
      </c>
      <c r="O113" s="176" t="s">
        <v>327</v>
      </c>
      <c r="P113" s="272">
        <v>0</v>
      </c>
      <c r="Q113" s="272" t="s">
        <v>1297</v>
      </c>
      <c r="R113" s="142">
        <f t="shared" si="46"/>
        <v>159</v>
      </c>
      <c r="S113" s="142" t="str">
        <f t="shared" si="44"/>
        <v>9F</v>
      </c>
      <c r="T113" s="349" t="s">
        <v>3632</v>
      </c>
      <c r="U113" s="54" t="s">
        <v>324</v>
      </c>
    </row>
    <row r="114" spans="1:21" ht="15.6" x14ac:dyDescent="0.3">
      <c r="A114" s="535"/>
      <c r="B114" s="311" t="s">
        <v>3661</v>
      </c>
      <c r="C114" s="308" t="s">
        <v>321</v>
      </c>
      <c r="D114" s="272">
        <v>2</v>
      </c>
      <c r="E114" s="142">
        <f t="shared" si="31"/>
        <v>1</v>
      </c>
      <c r="F114" s="272">
        <v>0</v>
      </c>
      <c r="G114" s="272">
        <v>255</v>
      </c>
      <c r="H114" s="272">
        <v>1</v>
      </c>
      <c r="I114" s="272">
        <v>1</v>
      </c>
      <c r="J114" s="272" t="s">
        <v>418</v>
      </c>
      <c r="K114" s="272">
        <f t="shared" si="45"/>
        <v>45035</v>
      </c>
      <c r="L114" s="142">
        <f t="shared" si="32"/>
        <v>5035</v>
      </c>
      <c r="M114" s="142">
        <f t="shared" si="33"/>
        <v>5034</v>
      </c>
      <c r="N114" s="309" t="s">
        <v>419</v>
      </c>
      <c r="O114" s="176" t="s">
        <v>327</v>
      </c>
      <c r="P114" s="342">
        <v>0</v>
      </c>
      <c r="Q114" s="272" t="s">
        <v>1297</v>
      </c>
      <c r="R114" s="142">
        <f t="shared" si="46"/>
        <v>160</v>
      </c>
      <c r="S114" s="142" t="str">
        <f t="shared" si="44"/>
        <v>A0</v>
      </c>
      <c r="T114" s="344"/>
      <c r="U114" s="54" t="s">
        <v>324</v>
      </c>
    </row>
    <row r="115" spans="1:21" ht="15.6" x14ac:dyDescent="0.3">
      <c r="A115" s="535"/>
      <c r="B115" s="311" t="s">
        <v>3662</v>
      </c>
      <c r="C115" s="308" t="s">
        <v>321</v>
      </c>
      <c r="D115" s="272">
        <v>2</v>
      </c>
      <c r="E115" s="142">
        <f t="shared" si="31"/>
        <v>1</v>
      </c>
      <c r="F115" s="272">
        <v>0</v>
      </c>
      <c r="G115" s="272">
        <v>255</v>
      </c>
      <c r="H115" s="272">
        <v>1</v>
      </c>
      <c r="I115" s="272">
        <v>1</v>
      </c>
      <c r="J115" s="272" t="s">
        <v>418</v>
      </c>
      <c r="K115" s="272">
        <f t="shared" si="45"/>
        <v>45036</v>
      </c>
      <c r="L115" s="142">
        <f t="shared" si="32"/>
        <v>5036</v>
      </c>
      <c r="M115" s="142">
        <f t="shared" si="33"/>
        <v>5035</v>
      </c>
      <c r="N115" s="309" t="s">
        <v>419</v>
      </c>
      <c r="O115" s="176" t="s">
        <v>327</v>
      </c>
      <c r="P115" s="272">
        <v>0</v>
      </c>
      <c r="Q115" s="272" t="s">
        <v>1297</v>
      </c>
      <c r="R115" s="142">
        <f t="shared" si="46"/>
        <v>161</v>
      </c>
      <c r="S115" s="142" t="str">
        <f t="shared" si="44"/>
        <v>A1</v>
      </c>
      <c r="T115" s="344"/>
      <c r="U115" s="54" t="s">
        <v>324</v>
      </c>
    </row>
    <row r="116" spans="1:21" ht="15.6" x14ac:dyDescent="0.3">
      <c r="A116" s="535"/>
      <c r="B116" s="311" t="s">
        <v>3663</v>
      </c>
      <c r="C116" s="308" t="s">
        <v>321</v>
      </c>
      <c r="D116" s="272">
        <v>2</v>
      </c>
      <c r="E116" s="142">
        <f t="shared" si="31"/>
        <v>1</v>
      </c>
      <c r="F116" s="272">
        <v>0</v>
      </c>
      <c r="G116" s="272">
        <v>255</v>
      </c>
      <c r="H116" s="272">
        <v>1</v>
      </c>
      <c r="I116" s="272">
        <v>1</v>
      </c>
      <c r="J116" s="272" t="s">
        <v>418</v>
      </c>
      <c r="K116" s="272">
        <f t="shared" si="45"/>
        <v>45037</v>
      </c>
      <c r="L116" s="142">
        <f t="shared" si="32"/>
        <v>5037</v>
      </c>
      <c r="M116" s="142">
        <f t="shared" si="33"/>
        <v>5036</v>
      </c>
      <c r="N116" s="309" t="s">
        <v>419</v>
      </c>
      <c r="O116" s="176" t="s">
        <v>327</v>
      </c>
      <c r="P116" s="272">
        <v>0</v>
      </c>
      <c r="Q116" s="272" t="s">
        <v>1297</v>
      </c>
      <c r="R116" s="142">
        <f t="shared" si="46"/>
        <v>162</v>
      </c>
      <c r="S116" s="142" t="str">
        <f t="shared" si="44"/>
        <v>A2</v>
      </c>
      <c r="T116" s="344"/>
      <c r="U116" s="54" t="s">
        <v>324</v>
      </c>
    </row>
    <row r="117" spans="1:21" ht="15.6" x14ac:dyDescent="0.3">
      <c r="A117" s="535"/>
      <c r="B117" s="311" t="s">
        <v>3664</v>
      </c>
      <c r="C117" s="308" t="s">
        <v>321</v>
      </c>
      <c r="D117" s="272">
        <v>2</v>
      </c>
      <c r="E117" s="142">
        <f t="shared" si="31"/>
        <v>1</v>
      </c>
      <c r="F117" s="272">
        <v>0</v>
      </c>
      <c r="G117" s="272">
        <v>255</v>
      </c>
      <c r="H117" s="272">
        <v>1</v>
      </c>
      <c r="I117" s="272">
        <v>1</v>
      </c>
      <c r="J117" s="272" t="s">
        <v>418</v>
      </c>
      <c r="K117" s="272">
        <f t="shared" si="45"/>
        <v>45038</v>
      </c>
      <c r="L117" s="142">
        <f t="shared" si="32"/>
        <v>5038</v>
      </c>
      <c r="M117" s="142">
        <f t="shared" si="33"/>
        <v>5037</v>
      </c>
      <c r="N117" s="309" t="s">
        <v>419</v>
      </c>
      <c r="O117" s="176" t="s">
        <v>327</v>
      </c>
      <c r="P117" s="272">
        <v>0</v>
      </c>
      <c r="Q117" s="272" t="s">
        <v>1297</v>
      </c>
      <c r="R117" s="142">
        <f t="shared" si="46"/>
        <v>163</v>
      </c>
      <c r="S117" s="142" t="str">
        <f t="shared" si="44"/>
        <v>A3</v>
      </c>
      <c r="T117" s="344"/>
      <c r="U117" s="54" t="s">
        <v>324</v>
      </c>
    </row>
    <row r="118" spans="1:21" ht="15.6" x14ac:dyDescent="0.3">
      <c r="A118" s="535"/>
      <c r="B118" s="311" t="s">
        <v>743</v>
      </c>
      <c r="C118" s="308" t="s">
        <v>321</v>
      </c>
      <c r="D118" s="272">
        <v>2</v>
      </c>
      <c r="E118" s="142">
        <f t="shared" si="31"/>
        <v>1</v>
      </c>
      <c r="F118" s="272">
        <v>0</v>
      </c>
      <c r="G118" s="342">
        <v>0</v>
      </c>
      <c r="H118" s="272">
        <v>1</v>
      </c>
      <c r="I118" s="272">
        <v>1</v>
      </c>
      <c r="J118" s="272" t="s">
        <v>418</v>
      </c>
      <c r="K118" s="272">
        <f t="shared" si="45"/>
        <v>45039</v>
      </c>
      <c r="L118" s="142">
        <f t="shared" si="32"/>
        <v>5039</v>
      </c>
      <c r="M118" s="142">
        <f t="shared" si="33"/>
        <v>5038</v>
      </c>
      <c r="N118" s="309" t="s">
        <v>419</v>
      </c>
      <c r="O118" s="176" t="s">
        <v>327</v>
      </c>
      <c r="P118" s="272">
        <v>0</v>
      </c>
      <c r="Q118" s="272" t="s">
        <v>1297</v>
      </c>
      <c r="R118" s="142">
        <f t="shared" si="46"/>
        <v>164</v>
      </c>
      <c r="S118" s="142" t="str">
        <f t="shared" si="44"/>
        <v>A4</v>
      </c>
      <c r="T118" s="344"/>
      <c r="U118" s="54" t="s">
        <v>324</v>
      </c>
    </row>
    <row r="119" spans="1:21" ht="15.6" x14ac:dyDescent="0.3">
      <c r="A119" s="535"/>
      <c r="B119" s="311" t="s">
        <v>743</v>
      </c>
      <c r="C119" s="308" t="s">
        <v>321</v>
      </c>
      <c r="D119" s="272">
        <v>2</v>
      </c>
      <c r="E119" s="142">
        <f t="shared" si="31"/>
        <v>1</v>
      </c>
      <c r="F119" s="272">
        <v>0</v>
      </c>
      <c r="G119" s="342">
        <v>0</v>
      </c>
      <c r="H119" s="272">
        <v>1</v>
      </c>
      <c r="I119" s="272">
        <v>1</v>
      </c>
      <c r="J119" s="272" t="s">
        <v>418</v>
      </c>
      <c r="K119" s="272">
        <f t="shared" si="45"/>
        <v>45040</v>
      </c>
      <c r="L119" s="142">
        <f t="shared" si="32"/>
        <v>5040</v>
      </c>
      <c r="M119" s="142">
        <f t="shared" si="33"/>
        <v>5039</v>
      </c>
      <c r="N119" s="309" t="s">
        <v>419</v>
      </c>
      <c r="O119" s="176" t="s">
        <v>327</v>
      </c>
      <c r="P119" s="272">
        <v>0</v>
      </c>
      <c r="Q119" s="272" t="s">
        <v>1297</v>
      </c>
      <c r="R119" s="142">
        <f t="shared" si="46"/>
        <v>165</v>
      </c>
      <c r="S119" s="142" t="str">
        <f t="shared" si="44"/>
        <v>A5</v>
      </c>
      <c r="T119" s="344"/>
      <c r="U119" s="54" t="s">
        <v>324</v>
      </c>
    </row>
    <row r="120" spans="1:21" ht="15.6" x14ac:dyDescent="0.3">
      <c r="A120" s="535"/>
      <c r="B120" s="311" t="s">
        <v>743</v>
      </c>
      <c r="C120" s="308" t="s">
        <v>321</v>
      </c>
      <c r="D120" s="272">
        <v>2</v>
      </c>
      <c r="E120" s="142">
        <f t="shared" si="31"/>
        <v>1</v>
      </c>
      <c r="F120" s="272">
        <v>0</v>
      </c>
      <c r="G120" s="342">
        <v>0</v>
      </c>
      <c r="H120" s="272">
        <v>1</v>
      </c>
      <c r="I120" s="272">
        <v>1</v>
      </c>
      <c r="J120" s="272" t="s">
        <v>418</v>
      </c>
      <c r="K120" s="272">
        <f t="shared" si="45"/>
        <v>45041</v>
      </c>
      <c r="L120" s="142">
        <f t="shared" si="32"/>
        <v>5041</v>
      </c>
      <c r="M120" s="142">
        <f t="shared" si="33"/>
        <v>5040</v>
      </c>
      <c r="N120" s="309" t="s">
        <v>419</v>
      </c>
      <c r="O120" s="176" t="s">
        <v>327</v>
      </c>
      <c r="P120" s="272">
        <v>0</v>
      </c>
      <c r="Q120" s="272" t="s">
        <v>1297</v>
      </c>
      <c r="R120" s="142">
        <f t="shared" si="46"/>
        <v>166</v>
      </c>
      <c r="S120" s="142" t="str">
        <f t="shared" si="44"/>
        <v>A6</v>
      </c>
      <c r="T120" s="344"/>
      <c r="U120" s="54" t="s">
        <v>324</v>
      </c>
    </row>
    <row r="121" spans="1:21" ht="15.6" x14ac:dyDescent="0.3">
      <c r="A121" s="535"/>
      <c r="B121" s="311" t="s">
        <v>743</v>
      </c>
      <c r="C121" s="308" t="s">
        <v>321</v>
      </c>
      <c r="D121" s="272">
        <v>2</v>
      </c>
      <c r="E121" s="142">
        <f t="shared" si="31"/>
        <v>1</v>
      </c>
      <c r="F121" s="272">
        <v>0</v>
      </c>
      <c r="G121" s="342">
        <v>0</v>
      </c>
      <c r="H121" s="272">
        <v>1</v>
      </c>
      <c r="I121" s="272">
        <v>1</v>
      </c>
      <c r="J121" s="272" t="s">
        <v>418</v>
      </c>
      <c r="K121" s="272">
        <f t="shared" si="45"/>
        <v>45042</v>
      </c>
      <c r="L121" s="142">
        <f t="shared" si="32"/>
        <v>5042</v>
      </c>
      <c r="M121" s="142">
        <f t="shared" si="33"/>
        <v>5041</v>
      </c>
      <c r="N121" s="309" t="s">
        <v>419</v>
      </c>
      <c r="O121" s="176" t="s">
        <v>327</v>
      </c>
      <c r="P121" s="272">
        <v>0</v>
      </c>
      <c r="Q121" s="272" t="s">
        <v>1297</v>
      </c>
      <c r="R121" s="142">
        <f t="shared" si="46"/>
        <v>167</v>
      </c>
      <c r="S121" s="142" t="str">
        <f t="shared" si="44"/>
        <v>A7</v>
      </c>
      <c r="T121" s="344"/>
      <c r="U121" s="54" t="s">
        <v>324</v>
      </c>
    </row>
    <row r="122" spans="1:21" ht="28.8" x14ac:dyDescent="0.3">
      <c r="A122" s="535"/>
      <c r="B122" s="311" t="s">
        <v>3665</v>
      </c>
      <c r="C122" s="308" t="s">
        <v>321</v>
      </c>
      <c r="D122" s="272">
        <v>2</v>
      </c>
      <c r="E122" s="142">
        <f t="shared" si="31"/>
        <v>1</v>
      </c>
      <c r="F122" s="272">
        <v>0</v>
      </c>
      <c r="G122" s="272">
        <v>1</v>
      </c>
      <c r="H122" s="272">
        <v>1</v>
      </c>
      <c r="I122" s="272">
        <v>1</v>
      </c>
      <c r="J122" s="272" t="s">
        <v>418</v>
      </c>
      <c r="K122" s="272">
        <f t="shared" si="45"/>
        <v>45043</v>
      </c>
      <c r="L122" s="142">
        <f t="shared" si="32"/>
        <v>5043</v>
      </c>
      <c r="M122" s="142">
        <f t="shared" si="33"/>
        <v>5042</v>
      </c>
      <c r="N122" s="309" t="s">
        <v>419</v>
      </c>
      <c r="O122" s="176" t="s">
        <v>327</v>
      </c>
      <c r="P122" s="272">
        <v>0</v>
      </c>
      <c r="Q122" s="272" t="s">
        <v>1297</v>
      </c>
      <c r="R122" s="142">
        <f t="shared" si="46"/>
        <v>168</v>
      </c>
      <c r="S122" s="142" t="str">
        <f t="shared" si="44"/>
        <v>A8</v>
      </c>
      <c r="T122" s="349" t="s">
        <v>3632</v>
      </c>
      <c r="U122" s="54" t="s">
        <v>324</v>
      </c>
    </row>
    <row r="123" spans="1:21" ht="15.6" x14ac:dyDescent="0.3">
      <c r="A123" s="535"/>
      <c r="B123" s="311" t="s">
        <v>3666</v>
      </c>
      <c r="C123" s="308" t="s">
        <v>321</v>
      </c>
      <c r="D123" s="272">
        <v>2</v>
      </c>
      <c r="E123" s="142">
        <f t="shared" si="31"/>
        <v>1</v>
      </c>
      <c r="F123" s="272">
        <v>0</v>
      </c>
      <c r="G123" s="272">
        <v>255</v>
      </c>
      <c r="H123" s="272">
        <v>1</v>
      </c>
      <c r="I123" s="272">
        <v>1</v>
      </c>
      <c r="J123" s="272" t="s">
        <v>418</v>
      </c>
      <c r="K123" s="272">
        <f t="shared" si="45"/>
        <v>45044</v>
      </c>
      <c r="L123" s="142">
        <f t="shared" si="32"/>
        <v>5044</v>
      </c>
      <c r="M123" s="142">
        <f t="shared" si="33"/>
        <v>5043</v>
      </c>
      <c r="N123" s="309" t="s">
        <v>419</v>
      </c>
      <c r="O123" s="176" t="s">
        <v>327</v>
      </c>
      <c r="P123" s="342">
        <v>0</v>
      </c>
      <c r="Q123" s="272" t="s">
        <v>1297</v>
      </c>
      <c r="R123" s="142">
        <f t="shared" si="46"/>
        <v>169</v>
      </c>
      <c r="S123" s="142" t="str">
        <f t="shared" si="44"/>
        <v>A9</v>
      </c>
      <c r="T123" s="344"/>
      <c r="U123" s="54" t="s">
        <v>324</v>
      </c>
    </row>
    <row r="124" spans="1:21" ht="15.6" x14ac:dyDescent="0.3">
      <c r="A124" s="535"/>
      <c r="B124" s="311" t="s">
        <v>3667</v>
      </c>
      <c r="C124" s="308" t="s">
        <v>321</v>
      </c>
      <c r="D124" s="272">
        <v>2</v>
      </c>
      <c r="E124" s="142">
        <f t="shared" si="31"/>
        <v>1</v>
      </c>
      <c r="F124" s="272">
        <v>0</v>
      </c>
      <c r="G124" s="272">
        <v>255</v>
      </c>
      <c r="H124" s="272">
        <v>1</v>
      </c>
      <c r="I124" s="272">
        <v>1</v>
      </c>
      <c r="J124" s="272" t="s">
        <v>418</v>
      </c>
      <c r="K124" s="272">
        <f t="shared" si="45"/>
        <v>45045</v>
      </c>
      <c r="L124" s="142">
        <f t="shared" si="32"/>
        <v>5045</v>
      </c>
      <c r="M124" s="142">
        <f t="shared" si="33"/>
        <v>5044</v>
      </c>
      <c r="N124" s="309" t="s">
        <v>419</v>
      </c>
      <c r="O124" s="176" t="s">
        <v>327</v>
      </c>
      <c r="P124" s="272">
        <v>0</v>
      </c>
      <c r="Q124" s="272" t="s">
        <v>1297</v>
      </c>
      <c r="R124" s="142">
        <f t="shared" si="46"/>
        <v>170</v>
      </c>
      <c r="S124" s="142" t="str">
        <f t="shared" si="44"/>
        <v>AA</v>
      </c>
      <c r="T124" s="344"/>
      <c r="U124" s="54" t="s">
        <v>324</v>
      </c>
    </row>
    <row r="125" spans="1:21" ht="15.6" x14ac:dyDescent="0.3">
      <c r="A125" s="535"/>
      <c r="B125" s="311" t="s">
        <v>3668</v>
      </c>
      <c r="C125" s="308" t="s">
        <v>321</v>
      </c>
      <c r="D125" s="272">
        <v>2</v>
      </c>
      <c r="E125" s="142">
        <f t="shared" si="31"/>
        <v>1</v>
      </c>
      <c r="F125" s="272">
        <v>0</v>
      </c>
      <c r="G125" s="272">
        <v>255</v>
      </c>
      <c r="H125" s="272">
        <v>1</v>
      </c>
      <c r="I125" s="272">
        <v>1</v>
      </c>
      <c r="J125" s="272" t="s">
        <v>418</v>
      </c>
      <c r="K125" s="272">
        <f t="shared" si="45"/>
        <v>45046</v>
      </c>
      <c r="L125" s="142">
        <f t="shared" si="32"/>
        <v>5046</v>
      </c>
      <c r="M125" s="142">
        <f t="shared" si="33"/>
        <v>5045</v>
      </c>
      <c r="N125" s="309" t="s">
        <v>419</v>
      </c>
      <c r="O125" s="176" t="s">
        <v>327</v>
      </c>
      <c r="P125" s="272">
        <v>0</v>
      </c>
      <c r="Q125" s="272" t="s">
        <v>1297</v>
      </c>
      <c r="R125" s="142">
        <f t="shared" si="46"/>
        <v>171</v>
      </c>
      <c r="S125" s="142" t="str">
        <f t="shared" si="44"/>
        <v>AB</v>
      </c>
      <c r="T125" s="344"/>
      <c r="U125" s="54" t="s">
        <v>324</v>
      </c>
    </row>
    <row r="126" spans="1:21" ht="15.6" x14ac:dyDescent="0.3">
      <c r="A126" s="535"/>
      <c r="B126" s="311" t="s">
        <v>3669</v>
      </c>
      <c r="C126" s="308" t="s">
        <v>321</v>
      </c>
      <c r="D126" s="272">
        <v>2</v>
      </c>
      <c r="E126" s="142">
        <f t="shared" si="31"/>
        <v>1</v>
      </c>
      <c r="F126" s="272">
        <v>0</v>
      </c>
      <c r="G126" s="272">
        <v>255</v>
      </c>
      <c r="H126" s="272">
        <v>1</v>
      </c>
      <c r="I126" s="272">
        <v>1</v>
      </c>
      <c r="J126" s="272" t="s">
        <v>418</v>
      </c>
      <c r="K126" s="272">
        <f t="shared" si="45"/>
        <v>45047</v>
      </c>
      <c r="L126" s="142">
        <f t="shared" si="32"/>
        <v>5047</v>
      </c>
      <c r="M126" s="142">
        <f t="shared" si="33"/>
        <v>5046</v>
      </c>
      <c r="N126" s="309" t="s">
        <v>419</v>
      </c>
      <c r="O126" s="176" t="s">
        <v>327</v>
      </c>
      <c r="P126" s="272">
        <v>0</v>
      </c>
      <c r="Q126" s="272" t="s">
        <v>1297</v>
      </c>
      <c r="R126" s="142">
        <f t="shared" si="46"/>
        <v>172</v>
      </c>
      <c r="S126" s="142" t="str">
        <f t="shared" si="44"/>
        <v>AC</v>
      </c>
      <c r="T126" s="344"/>
      <c r="U126" s="54" t="s">
        <v>324</v>
      </c>
    </row>
    <row r="127" spans="1:21" ht="15.6" x14ac:dyDescent="0.3">
      <c r="A127" s="535"/>
      <c r="B127" s="311" t="s">
        <v>743</v>
      </c>
      <c r="C127" s="308" t="s">
        <v>321</v>
      </c>
      <c r="D127" s="272">
        <v>2</v>
      </c>
      <c r="E127" s="142">
        <f t="shared" si="31"/>
        <v>1</v>
      </c>
      <c r="F127" s="272">
        <v>0</v>
      </c>
      <c r="G127" s="342">
        <v>0</v>
      </c>
      <c r="H127" s="272">
        <v>1</v>
      </c>
      <c r="I127" s="272">
        <v>1</v>
      </c>
      <c r="J127" s="272" t="s">
        <v>418</v>
      </c>
      <c r="K127" s="272">
        <f t="shared" si="45"/>
        <v>45048</v>
      </c>
      <c r="L127" s="142">
        <f t="shared" si="32"/>
        <v>5048</v>
      </c>
      <c r="M127" s="142">
        <f t="shared" si="33"/>
        <v>5047</v>
      </c>
      <c r="N127" s="309" t="s">
        <v>419</v>
      </c>
      <c r="O127" s="176" t="s">
        <v>327</v>
      </c>
      <c r="P127" s="272">
        <v>0</v>
      </c>
      <c r="Q127" s="272" t="s">
        <v>1297</v>
      </c>
      <c r="R127" s="142">
        <f t="shared" si="46"/>
        <v>173</v>
      </c>
      <c r="S127" s="142" t="str">
        <f t="shared" si="44"/>
        <v>AD</v>
      </c>
      <c r="T127" s="344"/>
      <c r="U127" s="54" t="s">
        <v>324</v>
      </c>
    </row>
    <row r="128" spans="1:21" ht="15.6" x14ac:dyDescent="0.3">
      <c r="A128" s="535"/>
      <c r="B128" s="311" t="s">
        <v>743</v>
      </c>
      <c r="C128" s="308" t="s">
        <v>321</v>
      </c>
      <c r="D128" s="272">
        <v>2</v>
      </c>
      <c r="E128" s="142">
        <f t="shared" si="31"/>
        <v>1</v>
      </c>
      <c r="F128" s="272">
        <v>0</v>
      </c>
      <c r="G128" s="342">
        <v>0</v>
      </c>
      <c r="H128" s="272">
        <v>1</v>
      </c>
      <c r="I128" s="272">
        <v>1</v>
      </c>
      <c r="J128" s="272" t="s">
        <v>418</v>
      </c>
      <c r="K128" s="272">
        <f t="shared" si="45"/>
        <v>45049</v>
      </c>
      <c r="L128" s="142">
        <f t="shared" si="32"/>
        <v>5049</v>
      </c>
      <c r="M128" s="142">
        <f t="shared" si="33"/>
        <v>5048</v>
      </c>
      <c r="N128" s="309" t="s">
        <v>419</v>
      </c>
      <c r="O128" s="176" t="s">
        <v>327</v>
      </c>
      <c r="P128" s="272">
        <v>0</v>
      </c>
      <c r="Q128" s="272" t="s">
        <v>1297</v>
      </c>
      <c r="R128" s="142">
        <f t="shared" si="46"/>
        <v>174</v>
      </c>
      <c r="S128" s="142" t="str">
        <f t="shared" si="44"/>
        <v>AE</v>
      </c>
      <c r="T128" s="344"/>
      <c r="U128" s="54" t="s">
        <v>324</v>
      </c>
    </row>
    <row r="129" spans="1:21" ht="15.6" x14ac:dyDescent="0.3">
      <c r="A129" s="535"/>
      <c r="B129" s="311" t="s">
        <v>743</v>
      </c>
      <c r="C129" s="308" t="s">
        <v>321</v>
      </c>
      <c r="D129" s="272">
        <v>2</v>
      </c>
      <c r="E129" s="142">
        <f t="shared" si="31"/>
        <v>1</v>
      </c>
      <c r="F129" s="272">
        <v>0</v>
      </c>
      <c r="G129" s="342">
        <v>0</v>
      </c>
      <c r="H129" s="272">
        <v>1</v>
      </c>
      <c r="I129" s="272">
        <v>1</v>
      </c>
      <c r="J129" s="272" t="s">
        <v>418</v>
      </c>
      <c r="K129" s="272">
        <f t="shared" si="45"/>
        <v>45050</v>
      </c>
      <c r="L129" s="142">
        <f t="shared" si="32"/>
        <v>5050</v>
      </c>
      <c r="M129" s="142">
        <f t="shared" si="33"/>
        <v>5049</v>
      </c>
      <c r="N129" s="309" t="s">
        <v>419</v>
      </c>
      <c r="O129" s="176" t="s">
        <v>327</v>
      </c>
      <c r="P129" s="272">
        <v>0</v>
      </c>
      <c r="Q129" s="272" t="s">
        <v>1297</v>
      </c>
      <c r="R129" s="142">
        <f t="shared" si="46"/>
        <v>175</v>
      </c>
      <c r="S129" s="142" t="str">
        <f t="shared" si="44"/>
        <v>AF</v>
      </c>
      <c r="T129" s="344"/>
      <c r="U129" s="54" t="s">
        <v>324</v>
      </c>
    </row>
    <row r="130" spans="1:21" ht="15.6" x14ac:dyDescent="0.3">
      <c r="A130" s="535"/>
      <c r="B130" s="311" t="s">
        <v>743</v>
      </c>
      <c r="C130" s="308" t="s">
        <v>321</v>
      </c>
      <c r="D130" s="272">
        <v>2</v>
      </c>
      <c r="E130" s="142">
        <f t="shared" si="31"/>
        <v>1</v>
      </c>
      <c r="F130" s="272">
        <v>0</v>
      </c>
      <c r="G130" s="342">
        <v>0</v>
      </c>
      <c r="H130" s="272">
        <v>1</v>
      </c>
      <c r="I130" s="272">
        <v>1</v>
      </c>
      <c r="J130" s="272" t="s">
        <v>418</v>
      </c>
      <c r="K130" s="272">
        <f t="shared" si="45"/>
        <v>45051</v>
      </c>
      <c r="L130" s="142">
        <f t="shared" si="32"/>
        <v>5051</v>
      </c>
      <c r="M130" s="142">
        <f t="shared" si="33"/>
        <v>5050</v>
      </c>
      <c r="N130" s="309" t="s">
        <v>419</v>
      </c>
      <c r="O130" s="176" t="s">
        <v>327</v>
      </c>
      <c r="P130" s="272">
        <v>0</v>
      </c>
      <c r="Q130" s="272" t="s">
        <v>1297</v>
      </c>
      <c r="R130" s="142">
        <f t="shared" si="46"/>
        <v>176</v>
      </c>
      <c r="S130" s="142" t="str">
        <f t="shared" si="44"/>
        <v>B0</v>
      </c>
      <c r="T130" s="344"/>
      <c r="U130" s="54" t="s">
        <v>324</v>
      </c>
    </row>
    <row r="131" spans="1:21" ht="15.6" x14ac:dyDescent="0.3">
      <c r="B131" s="528" t="s">
        <v>3670</v>
      </c>
      <c r="C131" s="528"/>
      <c r="D131" s="528"/>
      <c r="E131" s="528"/>
      <c r="F131" s="528"/>
      <c r="G131" s="528"/>
      <c r="H131" s="528"/>
      <c r="I131" s="528"/>
      <c r="J131" s="528"/>
      <c r="K131" s="528"/>
      <c r="L131" s="528"/>
      <c r="M131" s="528"/>
      <c r="N131" s="528"/>
      <c r="O131" s="528"/>
      <c r="P131" s="528"/>
      <c r="Q131" s="528"/>
      <c r="R131" s="528"/>
      <c r="S131" s="528"/>
      <c r="T131" s="529"/>
      <c r="U131" s="54" t="s">
        <v>324</v>
      </c>
    </row>
    <row r="132" spans="1:21" ht="28.8" x14ac:dyDescent="0.3">
      <c r="B132" s="311" t="s">
        <v>3671</v>
      </c>
      <c r="C132" s="308" t="s">
        <v>321</v>
      </c>
      <c r="D132" s="272">
        <v>2</v>
      </c>
      <c r="E132" s="142">
        <f t="shared" ref="E132:E137" si="47">D132/2</f>
        <v>1</v>
      </c>
      <c r="F132" s="272">
        <v>0</v>
      </c>
      <c r="G132" s="272">
        <v>1</v>
      </c>
      <c r="H132" s="272">
        <v>1</v>
      </c>
      <c r="I132" s="272">
        <v>1</v>
      </c>
      <c r="J132" s="272" t="s">
        <v>418</v>
      </c>
      <c r="K132" s="272">
        <f>K130+E130</f>
        <v>45052</v>
      </c>
      <c r="L132" s="142">
        <f t="shared" ref="L132:L137" si="48">K132-40000</f>
        <v>5052</v>
      </c>
      <c r="M132" s="142">
        <f t="shared" ref="M132:M137" si="49">L132-1</f>
        <v>5051</v>
      </c>
      <c r="N132" s="309" t="s">
        <v>419</v>
      </c>
      <c r="O132" s="176" t="s">
        <v>327</v>
      </c>
      <c r="P132" s="272">
        <v>0</v>
      </c>
      <c r="Q132" s="272" t="s">
        <v>1297</v>
      </c>
      <c r="R132" s="272">
        <f>R130+E130</f>
        <v>177</v>
      </c>
      <c r="S132" s="142" t="str">
        <f t="shared" ref="S132:S137" si="50">DEC2HEX(R132)</f>
        <v>B1</v>
      </c>
      <c r="T132" s="344" t="s">
        <v>758</v>
      </c>
      <c r="U132" s="54" t="s">
        <v>324</v>
      </c>
    </row>
    <row r="133" spans="1:21" ht="15.6" x14ac:dyDescent="0.3">
      <c r="B133" s="311" t="s">
        <v>3672</v>
      </c>
      <c r="C133" s="308" t="s">
        <v>321</v>
      </c>
      <c r="D133" s="272">
        <v>2</v>
      </c>
      <c r="E133" s="142">
        <f t="shared" si="47"/>
        <v>1</v>
      </c>
      <c r="F133" s="272">
        <v>0</v>
      </c>
      <c r="G133" s="272">
        <v>15</v>
      </c>
      <c r="H133" s="272">
        <v>1</v>
      </c>
      <c r="I133" s="272">
        <v>1</v>
      </c>
      <c r="J133" s="272" t="s">
        <v>418</v>
      </c>
      <c r="K133" s="272">
        <f>K132+E132</f>
        <v>45053</v>
      </c>
      <c r="L133" s="142">
        <f t="shared" si="48"/>
        <v>5053</v>
      </c>
      <c r="M133" s="142">
        <f t="shared" si="49"/>
        <v>5052</v>
      </c>
      <c r="N133" s="309" t="s">
        <v>419</v>
      </c>
      <c r="O133" s="176" t="s">
        <v>327</v>
      </c>
      <c r="P133" s="272">
        <v>8</v>
      </c>
      <c r="Q133" s="272" t="s">
        <v>1297</v>
      </c>
      <c r="R133" s="142">
        <f t="shared" ref="R133:R137" si="51">R132+E132</f>
        <v>178</v>
      </c>
      <c r="S133" s="142" t="str">
        <f t="shared" si="50"/>
        <v>B2</v>
      </c>
      <c r="T133" s="344"/>
      <c r="U133" s="54" t="s">
        <v>324</v>
      </c>
    </row>
    <row r="134" spans="1:21" ht="15.6" x14ac:dyDescent="0.3">
      <c r="B134" s="311" t="s">
        <v>3673</v>
      </c>
      <c r="C134" s="308" t="s">
        <v>321</v>
      </c>
      <c r="D134" s="272">
        <v>2</v>
      </c>
      <c r="E134" s="142">
        <f t="shared" si="47"/>
        <v>1</v>
      </c>
      <c r="F134" s="272">
        <v>1</v>
      </c>
      <c r="G134" s="272">
        <v>10</v>
      </c>
      <c r="H134" s="272">
        <v>1</v>
      </c>
      <c r="I134" s="272">
        <v>1</v>
      </c>
      <c r="J134" s="272" t="s">
        <v>418</v>
      </c>
      <c r="K134" s="272">
        <f>K133+E133</f>
        <v>45054</v>
      </c>
      <c r="L134" s="142">
        <f t="shared" si="48"/>
        <v>5054</v>
      </c>
      <c r="M134" s="142">
        <f t="shared" si="49"/>
        <v>5053</v>
      </c>
      <c r="N134" s="309" t="s">
        <v>419</v>
      </c>
      <c r="O134" s="176" t="s">
        <v>327</v>
      </c>
      <c r="P134" s="272">
        <v>2</v>
      </c>
      <c r="Q134" s="272" t="s">
        <v>329</v>
      </c>
      <c r="R134" s="142">
        <f t="shared" si="51"/>
        <v>179</v>
      </c>
      <c r="S134" s="142" t="str">
        <f t="shared" si="50"/>
        <v>B3</v>
      </c>
      <c r="T134" s="344"/>
      <c r="U134" s="54" t="s">
        <v>324</v>
      </c>
    </row>
    <row r="135" spans="1:21" ht="15.6" x14ac:dyDescent="0.3">
      <c r="B135" s="311" t="s">
        <v>3674</v>
      </c>
      <c r="C135" s="308" t="s">
        <v>321</v>
      </c>
      <c r="D135" s="272">
        <v>2</v>
      </c>
      <c r="E135" s="142">
        <f t="shared" si="47"/>
        <v>1</v>
      </c>
      <c r="F135" s="272">
        <v>6</v>
      </c>
      <c r="G135" s="272">
        <v>40</v>
      </c>
      <c r="H135" s="272">
        <v>1</v>
      </c>
      <c r="I135" s="272">
        <v>1</v>
      </c>
      <c r="J135" s="272" t="s">
        <v>418</v>
      </c>
      <c r="K135" s="272">
        <f>K134+E134</f>
        <v>45055</v>
      </c>
      <c r="L135" s="142">
        <f t="shared" si="48"/>
        <v>5055</v>
      </c>
      <c r="M135" s="142">
        <f t="shared" si="49"/>
        <v>5054</v>
      </c>
      <c r="N135" s="309" t="s">
        <v>419</v>
      </c>
      <c r="O135" s="176" t="s">
        <v>327</v>
      </c>
      <c r="P135" s="272">
        <v>20</v>
      </c>
      <c r="Q135" s="272" t="s">
        <v>329</v>
      </c>
      <c r="R135" s="142">
        <f t="shared" si="51"/>
        <v>180</v>
      </c>
      <c r="S135" s="142" t="str">
        <f t="shared" si="50"/>
        <v>B4</v>
      </c>
      <c r="T135" s="344"/>
      <c r="U135" s="54" t="s">
        <v>324</v>
      </c>
    </row>
    <row r="136" spans="1:21" ht="15.6" x14ac:dyDescent="0.3">
      <c r="B136" s="311" t="s">
        <v>3675</v>
      </c>
      <c r="C136" s="308" t="s">
        <v>321</v>
      </c>
      <c r="D136" s="272">
        <v>2</v>
      </c>
      <c r="E136" s="142">
        <f t="shared" si="47"/>
        <v>1</v>
      </c>
      <c r="F136" s="272">
        <v>0</v>
      </c>
      <c r="G136" s="272">
        <v>65535</v>
      </c>
      <c r="H136" s="272">
        <v>1</v>
      </c>
      <c r="I136" s="272">
        <v>1</v>
      </c>
      <c r="J136" s="272" t="s">
        <v>418</v>
      </c>
      <c r="K136" s="272">
        <f>K135+E135</f>
        <v>45056</v>
      </c>
      <c r="L136" s="142">
        <f t="shared" si="48"/>
        <v>5056</v>
      </c>
      <c r="M136" s="142">
        <f t="shared" si="49"/>
        <v>5055</v>
      </c>
      <c r="N136" s="309" t="s">
        <v>419</v>
      </c>
      <c r="O136" s="176" t="s">
        <v>327</v>
      </c>
      <c r="P136" s="272">
        <v>6</v>
      </c>
      <c r="Q136" s="272"/>
      <c r="R136" s="142">
        <f t="shared" si="51"/>
        <v>181</v>
      </c>
      <c r="S136" s="142" t="str">
        <f t="shared" si="50"/>
        <v>B5</v>
      </c>
      <c r="T136" s="344"/>
      <c r="U136" s="54" t="s">
        <v>324</v>
      </c>
    </row>
    <row r="137" spans="1:21" ht="15.6" x14ac:dyDescent="0.3">
      <c r="B137" s="311" t="s">
        <v>3676</v>
      </c>
      <c r="C137" s="308" t="s">
        <v>321</v>
      </c>
      <c r="D137" s="272">
        <v>2</v>
      </c>
      <c r="E137" s="142">
        <f t="shared" si="47"/>
        <v>1</v>
      </c>
      <c r="F137" s="272">
        <v>4</v>
      </c>
      <c r="G137" s="272">
        <v>30</v>
      </c>
      <c r="H137" s="272">
        <v>1</v>
      </c>
      <c r="I137" s="272">
        <v>1</v>
      </c>
      <c r="J137" s="272" t="s">
        <v>418</v>
      </c>
      <c r="K137" s="272">
        <f>K136+E136</f>
        <v>45057</v>
      </c>
      <c r="L137" s="142">
        <f t="shared" si="48"/>
        <v>5057</v>
      </c>
      <c r="M137" s="142">
        <f t="shared" si="49"/>
        <v>5056</v>
      </c>
      <c r="N137" s="309" t="s">
        <v>419</v>
      </c>
      <c r="O137" s="176" t="s">
        <v>327</v>
      </c>
      <c r="P137" s="272">
        <v>15</v>
      </c>
      <c r="Q137" s="272" t="s">
        <v>329</v>
      </c>
      <c r="R137" s="142">
        <f t="shared" si="51"/>
        <v>182</v>
      </c>
      <c r="S137" s="142" t="str">
        <f t="shared" si="50"/>
        <v>B6</v>
      </c>
      <c r="T137" s="344"/>
      <c r="U137" s="54" t="s">
        <v>324</v>
      </c>
    </row>
    <row r="138" spans="1:21" ht="15.6" x14ac:dyDescent="0.3">
      <c r="B138" s="528" t="s">
        <v>3677</v>
      </c>
      <c r="C138" s="528"/>
      <c r="D138" s="528"/>
      <c r="E138" s="528"/>
      <c r="F138" s="528"/>
      <c r="G138" s="528"/>
      <c r="H138" s="528"/>
      <c r="I138" s="528"/>
      <c r="J138" s="528"/>
      <c r="K138" s="528"/>
      <c r="L138" s="528"/>
      <c r="M138" s="528"/>
      <c r="N138" s="528"/>
      <c r="O138" s="528"/>
      <c r="P138" s="528"/>
      <c r="Q138" s="528"/>
      <c r="R138" s="528"/>
      <c r="S138" s="528"/>
      <c r="T138" s="529"/>
      <c r="U138" s="54" t="s">
        <v>324</v>
      </c>
    </row>
    <row r="139" spans="1:21" ht="28.8" x14ac:dyDescent="0.3">
      <c r="B139" s="176" t="s">
        <v>3678</v>
      </c>
      <c r="C139" s="308" t="s">
        <v>321</v>
      </c>
      <c r="D139" s="272">
        <v>2</v>
      </c>
      <c r="E139" s="142">
        <f t="shared" ref="E139:E144" si="52">D139/2</f>
        <v>1</v>
      </c>
      <c r="F139" s="272">
        <v>0</v>
      </c>
      <c r="G139" s="272">
        <v>1</v>
      </c>
      <c r="H139" s="272">
        <v>1</v>
      </c>
      <c r="I139" s="272">
        <v>1</v>
      </c>
      <c r="J139" s="272" t="s">
        <v>418</v>
      </c>
      <c r="K139" s="272">
        <f>K137+E137</f>
        <v>45058</v>
      </c>
      <c r="L139" s="142">
        <f t="shared" ref="L139:L144" si="53">K139-40000</f>
        <v>5058</v>
      </c>
      <c r="M139" s="142">
        <f t="shared" ref="M139:M144" si="54">L139-1</f>
        <v>5057</v>
      </c>
      <c r="N139" s="309" t="s">
        <v>419</v>
      </c>
      <c r="O139" s="176" t="s">
        <v>327</v>
      </c>
      <c r="P139" s="272">
        <v>1</v>
      </c>
      <c r="Q139" s="272"/>
      <c r="R139" s="272">
        <f>R137+E137</f>
        <v>183</v>
      </c>
      <c r="S139" s="142" t="str">
        <f t="shared" ref="S139:S144" si="55">DEC2HEX(R139)</f>
        <v>B7</v>
      </c>
      <c r="T139" s="344" t="s">
        <v>3679</v>
      </c>
      <c r="U139" s="54" t="s">
        <v>324</v>
      </c>
    </row>
    <row r="140" spans="1:21" ht="15.6" x14ac:dyDescent="0.3">
      <c r="B140" s="176" t="s">
        <v>3680</v>
      </c>
      <c r="C140" s="308" t="s">
        <v>321</v>
      </c>
      <c r="D140" s="272">
        <v>2</v>
      </c>
      <c r="E140" s="142">
        <f t="shared" si="52"/>
        <v>1</v>
      </c>
      <c r="F140" s="272">
        <v>0</v>
      </c>
      <c r="G140" s="272">
        <v>15</v>
      </c>
      <c r="H140" s="272">
        <v>1</v>
      </c>
      <c r="I140" s="272">
        <v>1</v>
      </c>
      <c r="J140" s="272" t="s">
        <v>418</v>
      </c>
      <c r="K140" s="272">
        <f>K139+E139</f>
        <v>45059</v>
      </c>
      <c r="L140" s="142">
        <f t="shared" si="53"/>
        <v>5059</v>
      </c>
      <c r="M140" s="142">
        <f t="shared" si="54"/>
        <v>5058</v>
      </c>
      <c r="N140" s="309" t="s">
        <v>419</v>
      </c>
      <c r="O140" s="176" t="s">
        <v>327</v>
      </c>
      <c r="P140" s="272">
        <v>8</v>
      </c>
      <c r="Q140" s="272" t="s">
        <v>1297</v>
      </c>
      <c r="R140" s="142">
        <f t="shared" ref="R140:R144" si="56">R139+E139</f>
        <v>184</v>
      </c>
      <c r="S140" s="142" t="str">
        <f t="shared" si="55"/>
        <v>B8</v>
      </c>
      <c r="T140" s="344"/>
      <c r="U140" s="54" t="s">
        <v>324</v>
      </c>
    </row>
    <row r="141" spans="1:21" ht="15.6" x14ac:dyDescent="0.3">
      <c r="B141" s="176" t="s">
        <v>3681</v>
      </c>
      <c r="C141" s="308" t="s">
        <v>321</v>
      </c>
      <c r="D141" s="272">
        <v>2</v>
      </c>
      <c r="E141" s="142">
        <f t="shared" si="52"/>
        <v>1</v>
      </c>
      <c r="F141" s="272">
        <v>0</v>
      </c>
      <c r="G141" s="272">
        <v>65535</v>
      </c>
      <c r="H141" s="272">
        <v>1</v>
      </c>
      <c r="I141" s="272">
        <v>1</v>
      </c>
      <c r="J141" s="272" t="s">
        <v>418</v>
      </c>
      <c r="K141" s="272">
        <f>K140+E140</f>
        <v>45060</v>
      </c>
      <c r="L141" s="142">
        <f t="shared" si="53"/>
        <v>5060</v>
      </c>
      <c r="M141" s="142">
        <f t="shared" si="54"/>
        <v>5059</v>
      </c>
      <c r="N141" s="309" t="s">
        <v>419</v>
      </c>
      <c r="O141" s="176" t="s">
        <v>327</v>
      </c>
      <c r="P141" s="272">
        <v>0</v>
      </c>
      <c r="Q141" s="272" t="s">
        <v>1297</v>
      </c>
      <c r="R141" s="142">
        <f t="shared" si="56"/>
        <v>185</v>
      </c>
      <c r="S141" s="142" t="str">
        <f t="shared" si="55"/>
        <v>B9</v>
      </c>
      <c r="T141" s="344"/>
      <c r="U141" s="54" t="s">
        <v>324</v>
      </c>
    </row>
    <row r="142" spans="1:21" ht="28.8" x14ac:dyDescent="0.3">
      <c r="B142" s="176" t="s">
        <v>3682</v>
      </c>
      <c r="C142" s="308" t="s">
        <v>321</v>
      </c>
      <c r="D142" s="272">
        <v>2</v>
      </c>
      <c r="E142" s="142">
        <f t="shared" si="52"/>
        <v>1</v>
      </c>
      <c r="F142" s="272">
        <v>0</v>
      </c>
      <c r="G142" s="272">
        <v>1</v>
      </c>
      <c r="H142" s="272">
        <v>1</v>
      </c>
      <c r="I142" s="272">
        <v>1</v>
      </c>
      <c r="J142" s="272" t="s">
        <v>418</v>
      </c>
      <c r="K142" s="272">
        <f>K141+E141</f>
        <v>45061</v>
      </c>
      <c r="L142" s="142">
        <f t="shared" si="53"/>
        <v>5061</v>
      </c>
      <c r="M142" s="142">
        <f t="shared" si="54"/>
        <v>5060</v>
      </c>
      <c r="N142" s="309" t="s">
        <v>419</v>
      </c>
      <c r="O142" s="176" t="s">
        <v>327</v>
      </c>
      <c r="P142" s="272">
        <v>1</v>
      </c>
      <c r="Q142" s="272"/>
      <c r="R142" s="142">
        <f t="shared" si="56"/>
        <v>186</v>
      </c>
      <c r="S142" s="142" t="str">
        <f t="shared" si="55"/>
        <v>BA</v>
      </c>
      <c r="T142" s="344" t="s">
        <v>3679</v>
      </c>
      <c r="U142" s="54" t="s">
        <v>324</v>
      </c>
    </row>
    <row r="143" spans="1:21" ht="15.6" x14ac:dyDescent="0.3">
      <c r="B143" s="176" t="s">
        <v>3683</v>
      </c>
      <c r="C143" s="308" t="s">
        <v>321</v>
      </c>
      <c r="D143" s="272">
        <v>2</v>
      </c>
      <c r="E143" s="142">
        <f t="shared" si="52"/>
        <v>1</v>
      </c>
      <c r="F143" s="272">
        <v>0</v>
      </c>
      <c r="G143" s="272">
        <v>15</v>
      </c>
      <c r="H143" s="272">
        <v>1</v>
      </c>
      <c r="I143" s="272">
        <v>1</v>
      </c>
      <c r="J143" s="272" t="s">
        <v>418</v>
      </c>
      <c r="K143" s="272">
        <f>K142+E142</f>
        <v>45062</v>
      </c>
      <c r="L143" s="142">
        <f t="shared" si="53"/>
        <v>5062</v>
      </c>
      <c r="M143" s="142">
        <f t="shared" si="54"/>
        <v>5061</v>
      </c>
      <c r="N143" s="309" t="s">
        <v>419</v>
      </c>
      <c r="O143" s="176" t="s">
        <v>327</v>
      </c>
      <c r="P143" s="272">
        <v>8</v>
      </c>
      <c r="Q143" s="272" t="s">
        <v>1297</v>
      </c>
      <c r="R143" s="142">
        <f t="shared" si="56"/>
        <v>187</v>
      </c>
      <c r="S143" s="142" t="str">
        <f t="shared" si="55"/>
        <v>BB</v>
      </c>
      <c r="T143" s="344"/>
      <c r="U143" s="54" t="s">
        <v>324</v>
      </c>
    </row>
    <row r="144" spans="1:21" ht="15.6" x14ac:dyDescent="0.3">
      <c r="B144" s="176" t="s">
        <v>3684</v>
      </c>
      <c r="C144" s="308" t="s">
        <v>321</v>
      </c>
      <c r="D144" s="272">
        <v>2</v>
      </c>
      <c r="E144" s="142">
        <f t="shared" si="52"/>
        <v>1</v>
      </c>
      <c r="F144" s="272">
        <v>0</v>
      </c>
      <c r="G144" s="272">
        <v>65535</v>
      </c>
      <c r="H144" s="272">
        <v>1</v>
      </c>
      <c r="I144" s="272">
        <v>1</v>
      </c>
      <c r="J144" s="272" t="s">
        <v>418</v>
      </c>
      <c r="K144" s="272">
        <f>K143+E143</f>
        <v>45063</v>
      </c>
      <c r="L144" s="142">
        <f t="shared" si="53"/>
        <v>5063</v>
      </c>
      <c r="M144" s="142">
        <f t="shared" si="54"/>
        <v>5062</v>
      </c>
      <c r="N144" s="309" t="s">
        <v>419</v>
      </c>
      <c r="O144" s="176" t="s">
        <v>327</v>
      </c>
      <c r="P144" s="272">
        <v>0</v>
      </c>
      <c r="Q144" s="272" t="s">
        <v>1297</v>
      </c>
      <c r="R144" s="142">
        <f t="shared" si="56"/>
        <v>188</v>
      </c>
      <c r="S144" s="142" t="str">
        <f t="shared" si="55"/>
        <v>BC</v>
      </c>
      <c r="T144" s="344"/>
      <c r="U144" s="54" t="s">
        <v>324</v>
      </c>
    </row>
    <row r="145" spans="1:21" ht="15.6" x14ac:dyDescent="0.3">
      <c r="B145" s="529" t="s">
        <v>3685</v>
      </c>
      <c r="C145" s="530"/>
      <c r="D145" s="530"/>
      <c r="E145" s="530"/>
      <c r="F145" s="530"/>
      <c r="G145" s="530"/>
      <c r="H145" s="530"/>
      <c r="I145" s="530"/>
      <c r="J145" s="530"/>
      <c r="K145" s="530"/>
      <c r="L145" s="530"/>
      <c r="M145" s="530"/>
      <c r="N145" s="530"/>
      <c r="O145" s="530"/>
      <c r="P145" s="530"/>
      <c r="Q145" s="530"/>
      <c r="R145" s="530"/>
      <c r="S145" s="530"/>
      <c r="T145" s="530"/>
      <c r="U145" s="54" t="s">
        <v>324</v>
      </c>
    </row>
    <row r="146" spans="1:21" ht="28.8" x14ac:dyDescent="0.3">
      <c r="B146" s="176" t="s">
        <v>3686</v>
      </c>
      <c r="C146" s="308" t="s">
        <v>321</v>
      </c>
      <c r="D146" s="272">
        <v>2</v>
      </c>
      <c r="E146" s="142">
        <f t="shared" ref="E146:E154" si="57">D146/2</f>
        <v>1</v>
      </c>
      <c r="F146" s="272">
        <v>0</v>
      </c>
      <c r="G146" s="272">
        <v>1</v>
      </c>
      <c r="H146" s="272">
        <v>1</v>
      </c>
      <c r="I146" s="272">
        <v>1</v>
      </c>
      <c r="J146" s="272" t="s">
        <v>418</v>
      </c>
      <c r="K146" s="272">
        <f>K144+E144</f>
        <v>45064</v>
      </c>
      <c r="L146" s="142">
        <f t="shared" ref="L146:L154" si="58">K146-40000</f>
        <v>5064</v>
      </c>
      <c r="M146" s="142">
        <f t="shared" ref="M146:M154" si="59">L146-1</f>
        <v>5063</v>
      </c>
      <c r="N146" s="309" t="s">
        <v>419</v>
      </c>
      <c r="O146" s="176" t="s">
        <v>327</v>
      </c>
      <c r="P146" s="272">
        <v>0</v>
      </c>
      <c r="Q146" s="272"/>
      <c r="R146" s="272">
        <f>R144+E144</f>
        <v>189</v>
      </c>
      <c r="S146" s="142" t="str">
        <f t="shared" ref="S146" si="60">DEC2HEX(R146)</f>
        <v>BD</v>
      </c>
      <c r="T146" s="344" t="s">
        <v>3687</v>
      </c>
      <c r="U146" s="54" t="s">
        <v>324</v>
      </c>
    </row>
    <row r="147" spans="1:21" ht="15.6" x14ac:dyDescent="0.3">
      <c r="B147" s="528" t="s">
        <v>3688</v>
      </c>
      <c r="C147" s="528"/>
      <c r="D147" s="528"/>
      <c r="E147" s="528"/>
      <c r="F147" s="528"/>
      <c r="G147" s="528"/>
      <c r="H147" s="528"/>
      <c r="I147" s="528"/>
      <c r="J147" s="528"/>
      <c r="K147" s="528"/>
      <c r="L147" s="528"/>
      <c r="M147" s="528"/>
      <c r="N147" s="528"/>
      <c r="O147" s="528"/>
      <c r="P147" s="528"/>
      <c r="Q147" s="528"/>
      <c r="R147" s="528"/>
      <c r="S147" s="528"/>
      <c r="T147" s="529"/>
      <c r="U147" s="54" t="s">
        <v>324</v>
      </c>
    </row>
    <row r="148" spans="1:21" ht="15.6" x14ac:dyDescent="0.3">
      <c r="B148" s="176" t="s">
        <v>3689</v>
      </c>
      <c r="C148" s="308" t="s">
        <v>321</v>
      </c>
      <c r="D148" s="272">
        <v>2</v>
      </c>
      <c r="E148" s="142">
        <f t="shared" si="57"/>
        <v>1</v>
      </c>
      <c r="F148" s="272">
        <v>0</v>
      </c>
      <c r="G148" s="272">
        <v>255</v>
      </c>
      <c r="H148" s="272">
        <v>1</v>
      </c>
      <c r="I148" s="272">
        <v>1</v>
      </c>
      <c r="J148" s="272" t="s">
        <v>418</v>
      </c>
      <c r="K148" s="272">
        <f>K146+E146</f>
        <v>45065</v>
      </c>
      <c r="L148" s="142">
        <f t="shared" si="58"/>
        <v>5065</v>
      </c>
      <c r="M148" s="142">
        <f t="shared" si="59"/>
        <v>5064</v>
      </c>
      <c r="N148" s="309" t="s">
        <v>419</v>
      </c>
      <c r="O148" s="176" t="s">
        <v>327</v>
      </c>
      <c r="P148" s="272">
        <v>0</v>
      </c>
      <c r="Q148" s="272" t="s">
        <v>1297</v>
      </c>
      <c r="R148" s="272">
        <f>R146+E146</f>
        <v>190</v>
      </c>
      <c r="S148" s="142" t="str">
        <f t="shared" ref="S148:S154" si="61">DEC2HEX(R148)</f>
        <v>BE</v>
      </c>
      <c r="T148" s="344"/>
      <c r="U148" s="54" t="s">
        <v>324</v>
      </c>
    </row>
    <row r="149" spans="1:21" ht="15.6" x14ac:dyDescent="0.3">
      <c r="B149" s="176" t="s">
        <v>3689</v>
      </c>
      <c r="C149" s="308" t="s">
        <v>321</v>
      </c>
      <c r="D149" s="272">
        <v>2</v>
      </c>
      <c r="E149" s="142">
        <f t="shared" si="57"/>
        <v>1</v>
      </c>
      <c r="F149" s="272">
        <v>0</v>
      </c>
      <c r="G149" s="272">
        <v>255</v>
      </c>
      <c r="H149" s="272">
        <v>1</v>
      </c>
      <c r="I149" s="272">
        <v>1</v>
      </c>
      <c r="J149" s="272" t="s">
        <v>418</v>
      </c>
      <c r="K149" s="272">
        <f t="shared" ref="K149:K154" si="62">K148+E148</f>
        <v>45066</v>
      </c>
      <c r="L149" s="142">
        <f t="shared" si="58"/>
        <v>5066</v>
      </c>
      <c r="M149" s="142">
        <f t="shared" si="59"/>
        <v>5065</v>
      </c>
      <c r="N149" s="309" t="s">
        <v>419</v>
      </c>
      <c r="O149" s="176" t="s">
        <v>327</v>
      </c>
      <c r="P149" s="272">
        <v>0</v>
      </c>
      <c r="Q149" s="272" t="s">
        <v>1297</v>
      </c>
      <c r="R149" s="142">
        <f t="shared" ref="R149:R154" si="63">R148+E148</f>
        <v>191</v>
      </c>
      <c r="S149" s="142" t="str">
        <f t="shared" si="61"/>
        <v>BF</v>
      </c>
      <c r="T149" s="344"/>
      <c r="U149" s="54" t="s">
        <v>324</v>
      </c>
    </row>
    <row r="150" spans="1:21" ht="15.6" x14ac:dyDescent="0.3">
      <c r="B150" s="176" t="s">
        <v>3689</v>
      </c>
      <c r="C150" s="308" t="s">
        <v>321</v>
      </c>
      <c r="D150" s="272">
        <v>2</v>
      </c>
      <c r="E150" s="142">
        <f t="shared" si="57"/>
        <v>1</v>
      </c>
      <c r="F150" s="272">
        <v>0</v>
      </c>
      <c r="G150" s="272">
        <v>255</v>
      </c>
      <c r="H150" s="272">
        <v>1</v>
      </c>
      <c r="I150" s="272">
        <v>1</v>
      </c>
      <c r="J150" s="272" t="s">
        <v>418</v>
      </c>
      <c r="K150" s="272">
        <f t="shared" si="62"/>
        <v>45067</v>
      </c>
      <c r="L150" s="142">
        <f t="shared" si="58"/>
        <v>5067</v>
      </c>
      <c r="M150" s="142">
        <f t="shared" si="59"/>
        <v>5066</v>
      </c>
      <c r="N150" s="309" t="s">
        <v>419</v>
      </c>
      <c r="O150" s="176" t="s">
        <v>327</v>
      </c>
      <c r="P150" s="272">
        <v>0</v>
      </c>
      <c r="Q150" s="272" t="s">
        <v>1297</v>
      </c>
      <c r="R150" s="142">
        <f t="shared" si="63"/>
        <v>192</v>
      </c>
      <c r="S150" s="142" t="str">
        <f t="shared" si="61"/>
        <v>C0</v>
      </c>
      <c r="T150" s="344"/>
      <c r="U150" s="54" t="s">
        <v>324</v>
      </c>
    </row>
    <row r="151" spans="1:21" ht="15.6" x14ac:dyDescent="0.3">
      <c r="B151" s="176" t="s">
        <v>3689</v>
      </c>
      <c r="C151" s="308" t="s">
        <v>321</v>
      </c>
      <c r="D151" s="272">
        <v>2</v>
      </c>
      <c r="E151" s="142">
        <f t="shared" si="57"/>
        <v>1</v>
      </c>
      <c r="F151" s="272">
        <v>0</v>
      </c>
      <c r="G151" s="272">
        <v>255</v>
      </c>
      <c r="H151" s="272">
        <v>1</v>
      </c>
      <c r="I151" s="272">
        <v>1</v>
      </c>
      <c r="J151" s="272" t="s">
        <v>418</v>
      </c>
      <c r="K151" s="272">
        <f t="shared" si="62"/>
        <v>45068</v>
      </c>
      <c r="L151" s="142">
        <f t="shared" si="58"/>
        <v>5068</v>
      </c>
      <c r="M151" s="142">
        <f t="shared" si="59"/>
        <v>5067</v>
      </c>
      <c r="N151" s="309" t="s">
        <v>419</v>
      </c>
      <c r="O151" s="176" t="s">
        <v>327</v>
      </c>
      <c r="P151" s="272">
        <v>0</v>
      </c>
      <c r="Q151" s="272" t="s">
        <v>1297</v>
      </c>
      <c r="R151" s="142">
        <f t="shared" si="63"/>
        <v>193</v>
      </c>
      <c r="S151" s="142" t="str">
        <f t="shared" si="61"/>
        <v>C1</v>
      </c>
      <c r="T151" s="344"/>
      <c r="U151" s="54" t="s">
        <v>324</v>
      </c>
    </row>
    <row r="152" spans="1:21" ht="43.2" x14ac:dyDescent="0.3">
      <c r="B152" s="176" t="s">
        <v>3690</v>
      </c>
      <c r="C152" s="308" t="s">
        <v>321</v>
      </c>
      <c r="D152" s="272">
        <v>2</v>
      </c>
      <c r="E152" s="142">
        <f t="shared" si="57"/>
        <v>1</v>
      </c>
      <c r="F152" s="272">
        <v>0</v>
      </c>
      <c r="G152" s="342">
        <v>2</v>
      </c>
      <c r="H152" s="272">
        <v>1</v>
      </c>
      <c r="I152" s="272">
        <v>1</v>
      </c>
      <c r="J152" s="272" t="s">
        <v>418</v>
      </c>
      <c r="K152" s="272">
        <f t="shared" si="62"/>
        <v>45069</v>
      </c>
      <c r="L152" s="142">
        <f t="shared" si="58"/>
        <v>5069</v>
      </c>
      <c r="M152" s="142">
        <f t="shared" si="59"/>
        <v>5068</v>
      </c>
      <c r="N152" s="309" t="s">
        <v>419</v>
      </c>
      <c r="O152" s="176" t="s">
        <v>327</v>
      </c>
      <c r="P152" s="272">
        <v>0</v>
      </c>
      <c r="Q152" s="272" t="s">
        <v>1297</v>
      </c>
      <c r="R152" s="142">
        <f t="shared" si="63"/>
        <v>194</v>
      </c>
      <c r="S152" s="142" t="str">
        <f t="shared" si="61"/>
        <v>C2</v>
      </c>
      <c r="T152" s="350" t="s">
        <v>3691</v>
      </c>
      <c r="U152" s="54" t="s">
        <v>324</v>
      </c>
    </row>
    <row r="153" spans="1:21" ht="15.6" x14ac:dyDescent="0.3">
      <c r="B153" s="176" t="s">
        <v>3692</v>
      </c>
      <c r="C153" s="308" t="s">
        <v>321</v>
      </c>
      <c r="D153" s="272">
        <v>2</v>
      </c>
      <c r="E153" s="142">
        <f t="shared" si="57"/>
        <v>1</v>
      </c>
      <c r="F153" s="272">
        <v>1</v>
      </c>
      <c r="G153" s="272">
        <v>65535</v>
      </c>
      <c r="H153" s="272">
        <v>1</v>
      </c>
      <c r="I153" s="272">
        <v>1</v>
      </c>
      <c r="J153" s="272" t="s">
        <v>418</v>
      </c>
      <c r="K153" s="272">
        <f t="shared" si="62"/>
        <v>45070</v>
      </c>
      <c r="L153" s="142">
        <f t="shared" si="58"/>
        <v>5070</v>
      </c>
      <c r="M153" s="142">
        <f t="shared" si="59"/>
        <v>5069</v>
      </c>
      <c r="N153" s="309" t="s">
        <v>419</v>
      </c>
      <c r="O153" s="176" t="s">
        <v>327</v>
      </c>
      <c r="P153" s="272">
        <v>6514</v>
      </c>
      <c r="Q153" s="272" t="s">
        <v>1297</v>
      </c>
      <c r="R153" s="142">
        <f t="shared" si="63"/>
        <v>195</v>
      </c>
      <c r="S153" s="142" t="str">
        <f t="shared" si="61"/>
        <v>C3</v>
      </c>
      <c r="T153" s="344"/>
      <c r="U153" s="54" t="s">
        <v>324</v>
      </c>
    </row>
    <row r="154" spans="1:21" ht="15.6" x14ac:dyDescent="0.3">
      <c r="B154" s="311" t="s">
        <v>3693</v>
      </c>
      <c r="C154" s="312" t="s">
        <v>321</v>
      </c>
      <c r="D154" s="272">
        <v>2</v>
      </c>
      <c r="E154" s="142">
        <f t="shared" si="57"/>
        <v>1</v>
      </c>
      <c r="F154" s="272">
        <v>1</v>
      </c>
      <c r="G154" s="272">
        <v>3600</v>
      </c>
      <c r="H154" s="272">
        <v>1</v>
      </c>
      <c r="I154" s="272">
        <v>1</v>
      </c>
      <c r="J154" s="272" t="s">
        <v>418</v>
      </c>
      <c r="K154" s="272">
        <f t="shared" si="62"/>
        <v>45071</v>
      </c>
      <c r="L154" s="142">
        <f t="shared" si="58"/>
        <v>5071</v>
      </c>
      <c r="M154" s="142">
        <f t="shared" si="59"/>
        <v>5070</v>
      </c>
      <c r="N154" s="314" t="s">
        <v>419</v>
      </c>
      <c r="O154" s="313" t="s">
        <v>327</v>
      </c>
      <c r="P154" s="313">
        <v>60</v>
      </c>
      <c r="Q154" s="313" t="s">
        <v>1898</v>
      </c>
      <c r="R154" s="142">
        <f t="shared" si="63"/>
        <v>196</v>
      </c>
      <c r="S154" s="142" t="str">
        <f t="shared" si="61"/>
        <v>C4</v>
      </c>
      <c r="T154" s="344"/>
      <c r="U154" s="54" t="s">
        <v>324</v>
      </c>
    </row>
    <row r="155" spans="1:21" ht="15.6" x14ac:dyDescent="0.3">
      <c r="B155" s="528" t="s">
        <v>3694</v>
      </c>
      <c r="C155" s="528"/>
      <c r="D155" s="528"/>
      <c r="E155" s="528"/>
      <c r="F155" s="528"/>
      <c r="G155" s="528"/>
      <c r="H155" s="528"/>
      <c r="I155" s="528"/>
      <c r="J155" s="528"/>
      <c r="K155" s="528"/>
      <c r="L155" s="528"/>
      <c r="M155" s="528"/>
      <c r="N155" s="528"/>
      <c r="O155" s="528"/>
      <c r="P155" s="528"/>
      <c r="Q155" s="528"/>
      <c r="R155" s="528"/>
      <c r="S155" s="528"/>
      <c r="T155" s="529"/>
      <c r="U155" s="54" t="s">
        <v>324</v>
      </c>
    </row>
    <row r="156" spans="1:21" ht="28.8" x14ac:dyDescent="0.3">
      <c r="B156" s="333" t="s">
        <v>3695</v>
      </c>
      <c r="C156" s="312" t="s">
        <v>321</v>
      </c>
      <c r="D156" s="272">
        <v>2</v>
      </c>
      <c r="E156" s="142">
        <f t="shared" ref="E156:E157" si="64">D156/2</f>
        <v>1</v>
      </c>
      <c r="F156" s="272">
        <v>0</v>
      </c>
      <c r="G156" s="272">
        <v>1</v>
      </c>
      <c r="H156" s="272">
        <v>1</v>
      </c>
      <c r="I156" s="272">
        <v>1</v>
      </c>
      <c r="J156" s="272" t="s">
        <v>418</v>
      </c>
      <c r="K156" s="272">
        <f>K154+E154</f>
        <v>45072</v>
      </c>
      <c r="L156" s="142">
        <f t="shared" ref="L156:L157" si="65">K156-40000</f>
        <v>5072</v>
      </c>
      <c r="M156" s="142">
        <f t="shared" ref="M156:M157" si="66">L156-1</f>
        <v>5071</v>
      </c>
      <c r="N156" s="314" t="s">
        <v>419</v>
      </c>
      <c r="O156" s="313" t="s">
        <v>327</v>
      </c>
      <c r="P156" s="313">
        <v>1</v>
      </c>
      <c r="Q156" s="313" t="s">
        <v>1297</v>
      </c>
      <c r="R156" s="272">
        <f>R154+E154</f>
        <v>197</v>
      </c>
      <c r="S156" s="142" t="str">
        <f t="shared" ref="S156:S157" si="67">DEC2HEX(R156)</f>
        <v>C5</v>
      </c>
      <c r="T156" s="344" t="s">
        <v>3696</v>
      </c>
      <c r="U156" s="54" t="s">
        <v>324</v>
      </c>
    </row>
    <row r="157" spans="1:21" ht="28.8" x14ac:dyDescent="0.3">
      <c r="B157" s="333" t="s">
        <v>3697</v>
      </c>
      <c r="C157" s="312" t="s">
        <v>321</v>
      </c>
      <c r="D157" s="272">
        <v>2</v>
      </c>
      <c r="E157" s="142">
        <f t="shared" si="64"/>
        <v>1</v>
      </c>
      <c r="F157" s="272">
        <v>0</v>
      </c>
      <c r="G157" s="272">
        <v>1</v>
      </c>
      <c r="H157" s="272">
        <v>1</v>
      </c>
      <c r="I157" s="272">
        <v>1</v>
      </c>
      <c r="J157" s="272" t="s">
        <v>418</v>
      </c>
      <c r="K157" s="272">
        <f>K156+E156</f>
        <v>45073</v>
      </c>
      <c r="L157" s="142">
        <f t="shared" si="65"/>
        <v>5073</v>
      </c>
      <c r="M157" s="142">
        <f t="shared" si="66"/>
        <v>5072</v>
      </c>
      <c r="N157" s="314" t="s">
        <v>419</v>
      </c>
      <c r="O157" s="313" t="s">
        <v>327</v>
      </c>
      <c r="P157" s="313">
        <v>1</v>
      </c>
      <c r="Q157" s="313" t="s">
        <v>1297</v>
      </c>
      <c r="R157" s="142">
        <f t="shared" ref="R157" si="68">R156+E156</f>
        <v>198</v>
      </c>
      <c r="S157" s="142" t="str">
        <f t="shared" si="67"/>
        <v>C6</v>
      </c>
      <c r="T157" s="344" t="s">
        <v>3696</v>
      </c>
      <c r="U157" s="54" t="s">
        <v>324</v>
      </c>
    </row>
    <row r="158" spans="1:21" ht="15.6" x14ac:dyDescent="0.3">
      <c r="B158" s="528" t="s">
        <v>3698</v>
      </c>
      <c r="C158" s="528"/>
      <c r="D158" s="528"/>
      <c r="E158" s="528"/>
      <c r="F158" s="528"/>
      <c r="G158" s="528"/>
      <c r="H158" s="528"/>
      <c r="I158" s="528"/>
      <c r="J158" s="528"/>
      <c r="K158" s="528"/>
      <c r="L158" s="528"/>
      <c r="M158" s="528"/>
      <c r="N158" s="528"/>
      <c r="O158" s="528"/>
      <c r="P158" s="528"/>
      <c r="Q158" s="528"/>
      <c r="R158" s="528"/>
      <c r="S158" s="528"/>
      <c r="T158" s="529"/>
      <c r="U158" s="54" t="s">
        <v>324</v>
      </c>
    </row>
    <row r="159" spans="1:21" ht="28.8" x14ac:dyDescent="0.3">
      <c r="A159" s="535" t="s">
        <v>3699</v>
      </c>
      <c r="B159" s="311" t="s">
        <v>3700</v>
      </c>
      <c r="C159" s="312" t="s">
        <v>321</v>
      </c>
      <c r="D159" s="272">
        <v>2</v>
      </c>
      <c r="E159" s="142">
        <f t="shared" ref="E159:E167" si="69">D159/2</f>
        <v>1</v>
      </c>
      <c r="F159" s="272">
        <v>0</v>
      </c>
      <c r="G159" s="272">
        <v>1</v>
      </c>
      <c r="H159" s="272">
        <v>1</v>
      </c>
      <c r="I159" s="272">
        <v>1</v>
      </c>
      <c r="J159" s="272" t="s">
        <v>418</v>
      </c>
      <c r="K159" s="272">
        <f>K157+E157</f>
        <v>45074</v>
      </c>
      <c r="L159" s="142">
        <f t="shared" ref="L159:L167" si="70">K159-40000</f>
        <v>5074</v>
      </c>
      <c r="M159" s="142">
        <f t="shared" ref="M159:M167" si="71">L159-1</f>
        <v>5073</v>
      </c>
      <c r="N159" s="314" t="s">
        <v>419</v>
      </c>
      <c r="O159" s="313" t="s">
        <v>327</v>
      </c>
      <c r="P159" s="313">
        <v>0</v>
      </c>
      <c r="Q159" s="313"/>
      <c r="R159" s="272">
        <f>R157+E157</f>
        <v>199</v>
      </c>
      <c r="S159" s="142" t="str">
        <f t="shared" ref="S159:S167" si="72">DEC2HEX(R159)</f>
        <v>C7</v>
      </c>
      <c r="T159" s="344" t="s">
        <v>3701</v>
      </c>
      <c r="U159" s="54" t="s">
        <v>327</v>
      </c>
    </row>
    <row r="160" spans="1:21" ht="15.6" x14ac:dyDescent="0.3">
      <c r="A160" s="535"/>
      <c r="B160" s="311" t="s">
        <v>3702</v>
      </c>
      <c r="C160" s="312" t="s">
        <v>321</v>
      </c>
      <c r="D160" s="272">
        <v>2</v>
      </c>
      <c r="E160" s="142">
        <f t="shared" si="69"/>
        <v>1</v>
      </c>
      <c r="F160" s="272">
        <v>1</v>
      </c>
      <c r="G160" s="272">
        <v>5</v>
      </c>
      <c r="H160" s="272">
        <v>1</v>
      </c>
      <c r="I160" s="272">
        <v>1</v>
      </c>
      <c r="J160" s="272" t="s">
        <v>418</v>
      </c>
      <c r="K160" s="272">
        <f>K159+E159</f>
        <v>45075</v>
      </c>
      <c r="L160" s="142">
        <f t="shared" si="70"/>
        <v>5075</v>
      </c>
      <c r="M160" s="142">
        <f t="shared" si="71"/>
        <v>5074</v>
      </c>
      <c r="N160" s="314" t="s">
        <v>419</v>
      </c>
      <c r="O160" s="313" t="s">
        <v>327</v>
      </c>
      <c r="P160" s="313">
        <v>1</v>
      </c>
      <c r="Q160" s="313"/>
      <c r="R160" s="142">
        <f t="shared" ref="R160:R167" si="73">R159+E159</f>
        <v>200</v>
      </c>
      <c r="S160" s="142" t="str">
        <f t="shared" si="72"/>
        <v>C8</v>
      </c>
      <c r="T160" s="344"/>
      <c r="U160" s="54" t="s">
        <v>327</v>
      </c>
    </row>
    <row r="161" spans="1:21" ht="28.8" x14ac:dyDescent="0.3">
      <c r="A161" s="535"/>
      <c r="B161" s="311" t="s">
        <v>3703</v>
      </c>
      <c r="C161" s="312" t="s">
        <v>321</v>
      </c>
      <c r="D161" s="272">
        <v>2</v>
      </c>
      <c r="E161" s="142">
        <f t="shared" si="69"/>
        <v>1</v>
      </c>
      <c r="F161" s="272">
        <v>1</v>
      </c>
      <c r="G161" s="272">
        <v>7</v>
      </c>
      <c r="H161" s="272">
        <v>1</v>
      </c>
      <c r="I161" s="272">
        <v>1</v>
      </c>
      <c r="J161" s="272" t="s">
        <v>418</v>
      </c>
      <c r="K161" s="272">
        <f t="shared" ref="K161:K167" si="74">K160+E160</f>
        <v>45076</v>
      </c>
      <c r="L161" s="142">
        <f t="shared" si="70"/>
        <v>5076</v>
      </c>
      <c r="M161" s="142">
        <f t="shared" si="71"/>
        <v>5075</v>
      </c>
      <c r="N161" s="314" t="s">
        <v>419</v>
      </c>
      <c r="O161" s="313" t="s">
        <v>327</v>
      </c>
      <c r="P161" s="313">
        <v>1</v>
      </c>
      <c r="Q161" s="313"/>
      <c r="R161" s="142">
        <f t="shared" si="73"/>
        <v>201</v>
      </c>
      <c r="S161" s="142" t="str">
        <f t="shared" si="72"/>
        <v>C9</v>
      </c>
      <c r="T161" s="344" t="s">
        <v>3704</v>
      </c>
      <c r="U161" s="54" t="s">
        <v>327</v>
      </c>
    </row>
    <row r="162" spans="1:21" ht="15.6" x14ac:dyDescent="0.3">
      <c r="A162" s="535"/>
      <c r="B162" s="311" t="s">
        <v>3705</v>
      </c>
      <c r="C162" s="312" t="s">
        <v>321</v>
      </c>
      <c r="D162" s="272">
        <v>2</v>
      </c>
      <c r="E162" s="142">
        <f t="shared" si="69"/>
        <v>1</v>
      </c>
      <c r="F162" s="272">
        <v>1</v>
      </c>
      <c r="G162" s="272">
        <v>12</v>
      </c>
      <c r="H162" s="272">
        <v>1</v>
      </c>
      <c r="I162" s="272">
        <v>1</v>
      </c>
      <c r="J162" s="272" t="s">
        <v>418</v>
      </c>
      <c r="K162" s="272">
        <f t="shared" si="74"/>
        <v>45077</v>
      </c>
      <c r="L162" s="142">
        <f t="shared" si="70"/>
        <v>5077</v>
      </c>
      <c r="M162" s="142">
        <f t="shared" si="71"/>
        <v>5076</v>
      </c>
      <c r="N162" s="314" t="s">
        <v>419</v>
      </c>
      <c r="O162" s="313" t="s">
        <v>327</v>
      </c>
      <c r="P162" s="313">
        <v>1</v>
      </c>
      <c r="Q162" s="313"/>
      <c r="R162" s="142">
        <f t="shared" si="73"/>
        <v>202</v>
      </c>
      <c r="S162" s="142" t="str">
        <f t="shared" si="72"/>
        <v>CA</v>
      </c>
      <c r="T162" s="344"/>
      <c r="U162" s="54" t="s">
        <v>327</v>
      </c>
    </row>
    <row r="163" spans="1:21" ht="15.6" x14ac:dyDescent="0.3">
      <c r="A163" s="535"/>
      <c r="B163" s="311" t="s">
        <v>3706</v>
      </c>
      <c r="C163" s="312" t="s">
        <v>321</v>
      </c>
      <c r="D163" s="272">
        <v>2</v>
      </c>
      <c r="E163" s="142">
        <f t="shared" si="69"/>
        <v>1</v>
      </c>
      <c r="F163" s="272">
        <v>0</v>
      </c>
      <c r="G163" s="272">
        <v>23</v>
      </c>
      <c r="H163" s="272">
        <v>1</v>
      </c>
      <c r="I163" s="272">
        <v>1</v>
      </c>
      <c r="J163" s="272" t="s">
        <v>418</v>
      </c>
      <c r="K163" s="272">
        <f t="shared" si="74"/>
        <v>45078</v>
      </c>
      <c r="L163" s="142">
        <f t="shared" si="70"/>
        <v>5078</v>
      </c>
      <c r="M163" s="142">
        <f t="shared" si="71"/>
        <v>5077</v>
      </c>
      <c r="N163" s="314" t="s">
        <v>419</v>
      </c>
      <c r="O163" s="313" t="s">
        <v>327</v>
      </c>
      <c r="P163" s="313">
        <v>0</v>
      </c>
      <c r="Q163" s="313"/>
      <c r="R163" s="142">
        <f t="shared" si="73"/>
        <v>203</v>
      </c>
      <c r="S163" s="142" t="str">
        <f t="shared" si="72"/>
        <v>CB</v>
      </c>
      <c r="T163" s="344"/>
      <c r="U163" s="54" t="s">
        <v>327</v>
      </c>
    </row>
    <row r="164" spans="1:21" ht="15.6" x14ac:dyDescent="0.3">
      <c r="A164" s="535"/>
      <c r="B164" s="311" t="s">
        <v>3707</v>
      </c>
      <c r="C164" s="312" t="s">
        <v>321</v>
      </c>
      <c r="D164" s="272">
        <v>2</v>
      </c>
      <c r="E164" s="142">
        <f t="shared" si="69"/>
        <v>1</v>
      </c>
      <c r="F164" s="272">
        <v>1</v>
      </c>
      <c r="G164" s="272">
        <v>5</v>
      </c>
      <c r="H164" s="272">
        <v>1</v>
      </c>
      <c r="I164" s="272">
        <v>1</v>
      </c>
      <c r="J164" s="272" t="s">
        <v>418</v>
      </c>
      <c r="K164" s="272">
        <f t="shared" si="74"/>
        <v>45079</v>
      </c>
      <c r="L164" s="142">
        <f t="shared" si="70"/>
        <v>5079</v>
      </c>
      <c r="M164" s="142">
        <f t="shared" si="71"/>
        <v>5078</v>
      </c>
      <c r="N164" s="314" t="s">
        <v>419</v>
      </c>
      <c r="O164" s="313" t="s">
        <v>327</v>
      </c>
      <c r="P164" s="313">
        <v>1</v>
      </c>
      <c r="Q164" s="313"/>
      <c r="R164" s="142">
        <f t="shared" si="73"/>
        <v>204</v>
      </c>
      <c r="S164" s="142" t="str">
        <f t="shared" si="72"/>
        <v>CC</v>
      </c>
      <c r="T164" s="344"/>
      <c r="U164" s="54" t="s">
        <v>327</v>
      </c>
    </row>
    <row r="165" spans="1:21" ht="28.8" x14ac:dyDescent="0.3">
      <c r="A165" s="535"/>
      <c r="B165" s="311" t="s">
        <v>3708</v>
      </c>
      <c r="C165" s="312" t="s">
        <v>321</v>
      </c>
      <c r="D165" s="272">
        <v>2</v>
      </c>
      <c r="E165" s="142">
        <f t="shared" si="69"/>
        <v>1</v>
      </c>
      <c r="F165" s="272">
        <v>1</v>
      </c>
      <c r="G165" s="272">
        <v>7</v>
      </c>
      <c r="H165" s="272">
        <v>1</v>
      </c>
      <c r="I165" s="272">
        <v>1</v>
      </c>
      <c r="J165" s="272" t="s">
        <v>418</v>
      </c>
      <c r="K165" s="272">
        <f t="shared" si="74"/>
        <v>45080</v>
      </c>
      <c r="L165" s="142">
        <f t="shared" si="70"/>
        <v>5080</v>
      </c>
      <c r="M165" s="142">
        <f t="shared" si="71"/>
        <v>5079</v>
      </c>
      <c r="N165" s="314" t="s">
        <v>419</v>
      </c>
      <c r="O165" s="313" t="s">
        <v>327</v>
      </c>
      <c r="P165" s="313">
        <v>1</v>
      </c>
      <c r="Q165" s="313"/>
      <c r="R165" s="142">
        <f t="shared" si="73"/>
        <v>205</v>
      </c>
      <c r="S165" s="142" t="str">
        <f t="shared" si="72"/>
        <v>CD</v>
      </c>
      <c r="T165" s="344" t="s">
        <v>3704</v>
      </c>
      <c r="U165" s="54" t="s">
        <v>327</v>
      </c>
    </row>
    <row r="166" spans="1:21" ht="15.6" x14ac:dyDescent="0.3">
      <c r="A166" s="535"/>
      <c r="B166" s="311" t="s">
        <v>3709</v>
      </c>
      <c r="C166" s="312" t="s">
        <v>321</v>
      </c>
      <c r="D166" s="272">
        <v>2</v>
      </c>
      <c r="E166" s="142">
        <f t="shared" si="69"/>
        <v>1</v>
      </c>
      <c r="F166" s="272">
        <v>1</v>
      </c>
      <c r="G166" s="272">
        <v>12</v>
      </c>
      <c r="H166" s="272">
        <v>1</v>
      </c>
      <c r="I166" s="272">
        <v>1</v>
      </c>
      <c r="J166" s="272" t="s">
        <v>418</v>
      </c>
      <c r="K166" s="272">
        <f t="shared" si="74"/>
        <v>45081</v>
      </c>
      <c r="L166" s="142">
        <f t="shared" si="70"/>
        <v>5081</v>
      </c>
      <c r="M166" s="142">
        <f t="shared" si="71"/>
        <v>5080</v>
      </c>
      <c r="N166" s="314" t="s">
        <v>419</v>
      </c>
      <c r="O166" s="313" t="s">
        <v>327</v>
      </c>
      <c r="P166" s="313">
        <v>1</v>
      </c>
      <c r="Q166" s="313"/>
      <c r="R166" s="142">
        <f t="shared" si="73"/>
        <v>206</v>
      </c>
      <c r="S166" s="142" t="str">
        <f t="shared" si="72"/>
        <v>CE</v>
      </c>
      <c r="T166" s="344"/>
      <c r="U166" s="54" t="s">
        <v>327</v>
      </c>
    </row>
    <row r="167" spans="1:21" ht="15.6" x14ac:dyDescent="0.3">
      <c r="A167" s="535"/>
      <c r="B167" s="311" t="s">
        <v>3710</v>
      </c>
      <c r="C167" s="312" t="s">
        <v>321</v>
      </c>
      <c r="D167" s="272">
        <v>2</v>
      </c>
      <c r="E167" s="142">
        <f t="shared" si="69"/>
        <v>1</v>
      </c>
      <c r="F167" s="272">
        <v>0</v>
      </c>
      <c r="G167" s="272">
        <v>23</v>
      </c>
      <c r="H167" s="272">
        <v>1</v>
      </c>
      <c r="I167" s="272">
        <v>1</v>
      </c>
      <c r="J167" s="272" t="s">
        <v>418</v>
      </c>
      <c r="K167" s="272">
        <f t="shared" si="74"/>
        <v>45082</v>
      </c>
      <c r="L167" s="142">
        <f t="shared" si="70"/>
        <v>5082</v>
      </c>
      <c r="M167" s="142">
        <f t="shared" si="71"/>
        <v>5081</v>
      </c>
      <c r="N167" s="314" t="s">
        <v>419</v>
      </c>
      <c r="O167" s="313" t="s">
        <v>327</v>
      </c>
      <c r="P167" s="313">
        <v>0</v>
      </c>
      <c r="Q167" s="313"/>
      <c r="R167" s="142">
        <f t="shared" si="73"/>
        <v>207</v>
      </c>
      <c r="S167" s="142" t="str">
        <f t="shared" si="72"/>
        <v>CF</v>
      </c>
      <c r="T167" s="344"/>
      <c r="U167" s="54" t="s">
        <v>327</v>
      </c>
    </row>
    <row r="168" spans="1:21" ht="15.6" x14ac:dyDescent="0.3">
      <c r="B168" s="528" t="s">
        <v>3711</v>
      </c>
      <c r="C168" s="528"/>
      <c r="D168" s="528"/>
      <c r="E168" s="528"/>
      <c r="F168" s="528"/>
      <c r="G168" s="528"/>
      <c r="H168" s="528"/>
      <c r="I168" s="528"/>
      <c r="J168" s="528"/>
      <c r="K168" s="528"/>
      <c r="L168" s="528"/>
      <c r="M168" s="528"/>
      <c r="N168" s="528"/>
      <c r="O168" s="528"/>
      <c r="P168" s="528"/>
      <c r="Q168" s="528"/>
      <c r="R168" s="528"/>
      <c r="S168" s="528"/>
      <c r="T168" s="529"/>
      <c r="U168" s="54"/>
    </row>
    <row r="169" spans="1:21" ht="129.6" x14ac:dyDescent="0.3">
      <c r="B169" s="325" t="s">
        <v>3712</v>
      </c>
      <c r="C169" s="326" t="s">
        <v>321</v>
      </c>
      <c r="D169" s="207">
        <v>32</v>
      </c>
      <c r="E169" s="193">
        <f t="shared" ref="E169" si="75">D169/2</f>
        <v>16</v>
      </c>
      <c r="F169" s="207">
        <v>0</v>
      </c>
      <c r="G169" s="207">
        <v>65535</v>
      </c>
      <c r="H169" s="207">
        <v>1</v>
      </c>
      <c r="I169" s="207">
        <v>1</v>
      </c>
      <c r="J169" s="207" t="s">
        <v>418</v>
      </c>
      <c r="K169" s="207">
        <f>K167+E167</f>
        <v>45083</v>
      </c>
      <c r="L169" s="193">
        <f t="shared" ref="L169" si="76">K169-40000</f>
        <v>5083</v>
      </c>
      <c r="M169" s="193">
        <f t="shared" ref="M169" si="77">L169-1</f>
        <v>5082</v>
      </c>
      <c r="N169" s="328" t="s">
        <v>419</v>
      </c>
      <c r="O169" s="327" t="s">
        <v>327</v>
      </c>
      <c r="P169" s="329" t="s">
        <v>3713</v>
      </c>
      <c r="Q169" s="327"/>
      <c r="R169" s="207">
        <f>R167+E167</f>
        <v>208</v>
      </c>
      <c r="S169" s="193" t="str">
        <f t="shared" ref="S169" si="78">DEC2HEX(R169)</f>
        <v>D0</v>
      </c>
      <c r="T169" s="338" t="s">
        <v>3714</v>
      </c>
      <c r="U169" s="54" t="s">
        <v>324</v>
      </c>
    </row>
    <row r="170" spans="1:21" ht="158.4" x14ac:dyDescent="0.3">
      <c r="B170" s="325" t="s">
        <v>3715</v>
      </c>
      <c r="C170" s="326" t="s">
        <v>321</v>
      </c>
      <c r="D170" s="207">
        <v>32</v>
      </c>
      <c r="E170" s="193">
        <f t="shared" ref="E170" si="79">D170/2</f>
        <v>16</v>
      </c>
      <c r="F170" s="207">
        <v>0</v>
      </c>
      <c r="G170" s="207">
        <v>65535</v>
      </c>
      <c r="H170" s="207">
        <v>1</v>
      </c>
      <c r="I170" s="207">
        <v>1</v>
      </c>
      <c r="J170" s="207" t="s">
        <v>418</v>
      </c>
      <c r="K170" s="207">
        <f>K169+E169</f>
        <v>45099</v>
      </c>
      <c r="L170" s="193">
        <f t="shared" ref="L170" si="80">K170-40000</f>
        <v>5099</v>
      </c>
      <c r="M170" s="193">
        <f t="shared" ref="M170" si="81">L170-1</f>
        <v>5098</v>
      </c>
      <c r="N170" s="328" t="s">
        <v>419</v>
      </c>
      <c r="O170" s="327" t="s">
        <v>327</v>
      </c>
      <c r="P170" s="329" t="s">
        <v>3716</v>
      </c>
      <c r="Q170" s="327"/>
      <c r="R170" s="207">
        <f>R169+E169</f>
        <v>224</v>
      </c>
      <c r="S170" s="193" t="str">
        <f t="shared" ref="S170" si="82">DEC2HEX(R170)</f>
        <v>E0</v>
      </c>
      <c r="T170" s="337" t="s">
        <v>3717</v>
      </c>
      <c r="U170" s="54" t="s">
        <v>324</v>
      </c>
    </row>
    <row r="171" spans="1:21" ht="28.8" x14ac:dyDescent="0.3">
      <c r="B171" s="325" t="s">
        <v>3718</v>
      </c>
      <c r="C171" s="326" t="s">
        <v>321</v>
      </c>
      <c r="D171" s="207">
        <v>2</v>
      </c>
      <c r="E171" s="193">
        <f t="shared" ref="E171" si="83">D171/2</f>
        <v>1</v>
      </c>
      <c r="F171" s="207">
        <v>0</v>
      </c>
      <c r="G171" s="207">
        <v>1</v>
      </c>
      <c r="H171" s="207">
        <v>1</v>
      </c>
      <c r="I171" s="207">
        <v>1</v>
      </c>
      <c r="J171" s="207" t="s">
        <v>418</v>
      </c>
      <c r="K171" s="207">
        <f>K170+E170</f>
        <v>45115</v>
      </c>
      <c r="L171" s="193">
        <f t="shared" ref="L171" si="84">K171-40000</f>
        <v>5115</v>
      </c>
      <c r="M171" s="193">
        <f t="shared" ref="M171" si="85">L171-1</f>
        <v>5114</v>
      </c>
      <c r="N171" s="328" t="s">
        <v>419</v>
      </c>
      <c r="O171" s="327" t="s">
        <v>327</v>
      </c>
      <c r="P171" s="374">
        <v>1</v>
      </c>
      <c r="Q171" s="327"/>
      <c r="R171" s="207">
        <f>R170+E170</f>
        <v>240</v>
      </c>
      <c r="S171" s="193" t="str">
        <f t="shared" ref="S171" si="86">DEC2HEX(R171)</f>
        <v>F0</v>
      </c>
      <c r="T171" s="338" t="s">
        <v>3719</v>
      </c>
      <c r="U171" s="54" t="s">
        <v>324</v>
      </c>
    </row>
    <row r="172" spans="1:21" ht="15.6" x14ac:dyDescent="0.3">
      <c r="B172" s="325" t="s">
        <v>743</v>
      </c>
      <c r="C172" s="326" t="s">
        <v>321</v>
      </c>
      <c r="D172" s="207">
        <v>2</v>
      </c>
      <c r="E172" s="193">
        <f t="shared" ref="E172" si="87">D172/2</f>
        <v>1</v>
      </c>
      <c r="F172" s="207">
        <v>0</v>
      </c>
      <c r="G172" s="207">
        <v>0</v>
      </c>
      <c r="H172" s="207">
        <v>1</v>
      </c>
      <c r="I172" s="207">
        <v>1</v>
      </c>
      <c r="J172" s="207" t="s">
        <v>418</v>
      </c>
      <c r="K172" s="207">
        <f>K171+E171</f>
        <v>45116</v>
      </c>
      <c r="L172" s="193">
        <f t="shared" ref="L172" si="88">K172-40000</f>
        <v>5116</v>
      </c>
      <c r="M172" s="193">
        <f t="shared" ref="M172" si="89">L172-1</f>
        <v>5115</v>
      </c>
      <c r="N172" s="328" t="s">
        <v>419</v>
      </c>
      <c r="O172" s="327" t="s">
        <v>327</v>
      </c>
      <c r="P172" s="329">
        <v>0</v>
      </c>
      <c r="Q172" s="327"/>
      <c r="R172" s="207">
        <f>R171+E171</f>
        <v>241</v>
      </c>
      <c r="S172" s="193" t="str">
        <f t="shared" ref="S172" si="90">DEC2HEX(R172)</f>
        <v>F1</v>
      </c>
      <c r="T172" s="338"/>
      <c r="U172" s="54" t="s">
        <v>324</v>
      </c>
    </row>
    <row r="173" spans="1:21" x14ac:dyDescent="0.3">
      <c r="B173" s="178"/>
    </row>
  </sheetData>
  <mergeCells count="22">
    <mergeCell ref="A159:A167"/>
    <mergeCell ref="B131:T131"/>
    <mergeCell ref="B138:T138"/>
    <mergeCell ref="B145:T145"/>
    <mergeCell ref="B147:T147"/>
    <mergeCell ref="B155:T155"/>
    <mergeCell ref="B158:T158"/>
    <mergeCell ref="A64:A67"/>
    <mergeCell ref="A73:A130"/>
    <mergeCell ref="B73:T73"/>
    <mergeCell ref="B75:T75"/>
    <mergeCell ref="B85:T85"/>
    <mergeCell ref="T91:T94"/>
    <mergeCell ref="T100:T103"/>
    <mergeCell ref="B168:T168"/>
    <mergeCell ref="B59:T59"/>
    <mergeCell ref="B4:T4"/>
    <mergeCell ref="B6:T6"/>
    <mergeCell ref="B31:T31"/>
    <mergeCell ref="B51:T51"/>
    <mergeCell ref="B55:T55"/>
    <mergeCell ref="B63:T63"/>
  </mergeCells>
  <phoneticPr fontId="30" type="noConversion"/>
  <conditionalFormatting sqref="B4:C4">
    <cfRule type="cellIs" dxfId="863" priority="393" stopIfTrue="1" operator="notEqual">
      <formula>INDIRECT("Dummy_for_Comparison8!"&amp;ADDRESS(ROW(),COLUMN()))</formula>
    </cfRule>
  </conditionalFormatting>
  <conditionalFormatting sqref="B6:C6">
    <cfRule type="cellIs" dxfId="862" priority="392" stopIfTrue="1" operator="notEqual">
      <formula>INDIRECT("Dummy_for_Comparison8!"&amp;ADDRESS(ROW(),COLUMN()))</formula>
    </cfRule>
  </conditionalFormatting>
  <conditionalFormatting sqref="B7:C30">
    <cfRule type="cellIs" dxfId="861" priority="166" stopIfTrue="1" operator="notEqual">
      <formula>INDIRECT("Dummy_for_Comparison2!"&amp;ADDRESS(ROW(),COLUMN()))</formula>
    </cfRule>
  </conditionalFormatting>
  <conditionalFormatting sqref="B31:C31">
    <cfRule type="cellIs" dxfId="860" priority="360" stopIfTrue="1" operator="notEqual">
      <formula>INDIRECT("Dummy_for_Comparison8!"&amp;ADDRESS(ROW(),COLUMN()))</formula>
    </cfRule>
  </conditionalFormatting>
  <conditionalFormatting sqref="B51:C51">
    <cfRule type="cellIs" dxfId="859" priority="359" stopIfTrue="1" operator="notEqual">
      <formula>INDIRECT("Dummy_for_Comparison8!"&amp;ADDRESS(ROW(),COLUMN()))</formula>
    </cfRule>
  </conditionalFormatting>
  <conditionalFormatting sqref="B55:C55">
    <cfRule type="cellIs" dxfId="858" priority="358" stopIfTrue="1" operator="notEqual">
      <formula>INDIRECT("Dummy_for_Comparison8!"&amp;ADDRESS(ROW(),COLUMN()))</formula>
    </cfRule>
  </conditionalFormatting>
  <conditionalFormatting sqref="B59:C59">
    <cfRule type="cellIs" dxfId="857" priority="357" stopIfTrue="1" operator="notEqual">
      <formula>INDIRECT("Dummy_for_Comparison8!"&amp;ADDRESS(ROW(),COLUMN()))</formula>
    </cfRule>
  </conditionalFormatting>
  <conditionalFormatting sqref="B63:C63">
    <cfRule type="cellIs" dxfId="856" priority="349" stopIfTrue="1" operator="notEqual">
      <formula>INDIRECT("Dummy_for_Comparison8!"&amp;ADDRESS(ROW(),COLUMN()))</formula>
    </cfRule>
  </conditionalFormatting>
  <conditionalFormatting sqref="B73:C73">
    <cfRule type="cellIs" dxfId="855" priority="324" stopIfTrue="1" operator="notEqual">
      <formula>INDIRECT("Dummy_for_Comparison8!"&amp;ADDRESS(ROW(),COLUMN()))</formula>
    </cfRule>
  </conditionalFormatting>
  <conditionalFormatting sqref="B131:C131">
    <cfRule type="cellIs" dxfId="854" priority="242" stopIfTrue="1" operator="notEqual">
      <formula>INDIRECT("Dummy_for_Comparison8!"&amp;ADDRESS(ROW(),COLUMN()))</formula>
    </cfRule>
  </conditionalFormatting>
  <conditionalFormatting sqref="B138:C138">
    <cfRule type="cellIs" dxfId="853" priority="193" stopIfTrue="1" operator="notEqual">
      <formula>INDIRECT("Dummy_for_Comparison8!"&amp;ADDRESS(ROW(),COLUMN()))</formula>
    </cfRule>
  </conditionalFormatting>
  <conditionalFormatting sqref="B145:C145">
    <cfRule type="cellIs" dxfId="852" priority="162" stopIfTrue="1" operator="notEqual">
      <formula>INDIRECT("Dummy_for_Comparison8!"&amp;ADDRESS(ROW(),COLUMN()))</formula>
    </cfRule>
  </conditionalFormatting>
  <conditionalFormatting sqref="B147:C147">
    <cfRule type="cellIs" dxfId="851" priority="136" stopIfTrue="1" operator="notEqual">
      <formula>INDIRECT("Dummy_for_Comparison8!"&amp;ADDRESS(ROW(),COLUMN()))</formula>
    </cfRule>
  </conditionalFormatting>
  <conditionalFormatting sqref="B155:C155">
    <cfRule type="cellIs" dxfId="850" priority="123" stopIfTrue="1" operator="notEqual">
      <formula>INDIRECT("Dummy_for_Comparison8!"&amp;ADDRESS(ROW(),COLUMN()))</formula>
    </cfRule>
  </conditionalFormatting>
  <conditionalFormatting sqref="B158:C158">
    <cfRule type="cellIs" dxfId="849" priority="48" stopIfTrue="1" operator="notEqual">
      <formula>INDIRECT("Dummy_for_Comparison8!"&amp;ADDRESS(ROW(),COLUMN()))</formula>
    </cfRule>
  </conditionalFormatting>
  <conditionalFormatting sqref="B168:C168">
    <cfRule type="cellIs" dxfId="848" priority="32" stopIfTrue="1" operator="notEqual">
      <formula>INDIRECT("Dummy_for_Comparison8!"&amp;ADDRESS(ROW(),COLUMN()))</formula>
    </cfRule>
  </conditionalFormatting>
  <conditionalFormatting sqref="B2:M2">
    <cfRule type="cellIs" dxfId="847" priority="97" stopIfTrue="1" operator="notEqual">
      <formula>INDIRECT("Dummy_for_Comparison2!"&amp;ADDRESS(ROW(),COLUMN()))</formula>
    </cfRule>
  </conditionalFormatting>
  <conditionalFormatting sqref="B81:Q84">
    <cfRule type="cellIs" dxfId="846" priority="23" stopIfTrue="1" operator="notEqual">
      <formula>INDIRECT("Dummy_for_Comparison2!"&amp;ADDRESS(ROW(),COLUMN()))</formula>
    </cfRule>
  </conditionalFormatting>
  <conditionalFormatting sqref="D29">
    <cfRule type="cellIs" dxfId="845" priority="384" stopIfTrue="1" operator="notEqual">
      <formula>INDIRECT("Dummy_for_Comparison2!"&amp;ADDRESS(ROW(),COLUMN()))</formula>
    </cfRule>
  </conditionalFormatting>
  <conditionalFormatting sqref="D9:I26">
    <cfRule type="cellIs" dxfId="844" priority="52" stopIfTrue="1" operator="notEqual">
      <formula>INDIRECT("Dummy_for_Comparison2!"&amp;ADDRESS(ROW(),COLUMN()))</formula>
    </cfRule>
  </conditionalFormatting>
  <conditionalFormatting sqref="D7:J8">
    <cfRule type="cellIs" dxfId="843" priority="168" stopIfTrue="1" operator="notEqual">
      <formula>INDIRECT("Dummy_for_Comparison2!"&amp;ADDRESS(ROW(),COLUMN()))</formula>
    </cfRule>
  </conditionalFormatting>
  <conditionalFormatting sqref="E27:E30">
    <cfRule type="cellIs" dxfId="842" priority="366" stopIfTrue="1" operator="notEqual">
      <formula>INDIRECT("Dummy_for_Comparison2!"&amp;ADDRESS(ROW(),COLUMN()))</formula>
    </cfRule>
  </conditionalFormatting>
  <conditionalFormatting sqref="E32:E50 L32:N50">
    <cfRule type="cellIs" dxfId="841" priority="103" stopIfTrue="1" operator="notEqual">
      <formula>INDIRECT("Dummy_for_Comparison2!"&amp;ADDRESS(ROW(),COLUMN()))</formula>
    </cfRule>
  </conditionalFormatting>
  <conditionalFormatting sqref="E52:E53">
    <cfRule type="cellIs" dxfId="840" priority="395" stopIfTrue="1" operator="notEqual">
      <formula>INDIRECT("Dummy_for_Comparison2!"&amp;ADDRESS(ROW(),COLUMN()))</formula>
    </cfRule>
  </conditionalFormatting>
  <conditionalFormatting sqref="E56:E58">
    <cfRule type="cellIs" dxfId="839" priority="351" stopIfTrue="1" operator="notEqual">
      <formula>INDIRECT("Dummy_for_Comparison2!"&amp;ADDRESS(ROW(),COLUMN()))</formula>
    </cfRule>
  </conditionalFormatting>
  <conditionalFormatting sqref="E60:E62">
    <cfRule type="cellIs" dxfId="838" priority="350" stopIfTrue="1" operator="notEqual">
      <formula>INDIRECT("Dummy_for_Comparison2!"&amp;ADDRESS(ROW(),COLUMN()))</formula>
    </cfRule>
  </conditionalFormatting>
  <conditionalFormatting sqref="E64:E72">
    <cfRule type="cellIs" dxfId="837" priority="230" stopIfTrue="1" operator="notEqual">
      <formula>INDIRECT("Dummy_for_Comparison2!"&amp;ADDRESS(ROW(),COLUMN()))</formula>
    </cfRule>
  </conditionalFormatting>
  <conditionalFormatting sqref="E74">
    <cfRule type="cellIs" dxfId="836" priority="321" stopIfTrue="1" operator="notEqual">
      <formula>INDIRECT("Dummy_for_Comparison2!"&amp;ADDRESS(ROW(),COLUMN()))</formula>
    </cfRule>
  </conditionalFormatting>
  <conditionalFormatting sqref="E76:E80">
    <cfRule type="cellIs" dxfId="835" priority="202" stopIfTrue="1" operator="notEqual">
      <formula>INDIRECT("Dummy_for_Comparison2!"&amp;ADDRESS(ROW(),COLUMN()))</formula>
    </cfRule>
  </conditionalFormatting>
  <conditionalFormatting sqref="E86:E130">
    <cfRule type="cellIs" dxfId="834" priority="220" stopIfTrue="1" operator="notEqual">
      <formula>INDIRECT("Dummy_for_Comparison2!"&amp;ADDRESS(ROW(),COLUMN()))</formula>
    </cfRule>
  </conditionalFormatting>
  <conditionalFormatting sqref="E132:E137">
    <cfRule type="cellIs" dxfId="833" priority="194" stopIfTrue="1" operator="notEqual">
      <formula>INDIRECT("Dummy_for_Comparison2!"&amp;ADDRESS(ROW(),COLUMN()))</formula>
    </cfRule>
  </conditionalFormatting>
  <conditionalFormatting sqref="E139:E144">
    <cfRule type="cellIs" dxfId="832" priority="172" stopIfTrue="1" operator="notEqual">
      <formula>INDIRECT("Dummy_for_Comparison2!"&amp;ADDRESS(ROW(),COLUMN()))</formula>
    </cfRule>
  </conditionalFormatting>
  <conditionalFormatting sqref="E146">
    <cfRule type="cellIs" dxfId="831" priority="152" stopIfTrue="1" operator="notEqual">
      <formula>INDIRECT("Dummy_for_Comparison2!"&amp;ADDRESS(ROW(),COLUMN()))</formula>
    </cfRule>
  </conditionalFormatting>
  <conditionalFormatting sqref="E148:E154">
    <cfRule type="cellIs" dxfId="830" priority="34" stopIfTrue="1" operator="notEqual">
      <formula>INDIRECT("Dummy_for_Comparison2!"&amp;ADDRESS(ROW(),COLUMN()))</formula>
    </cfRule>
  </conditionalFormatting>
  <conditionalFormatting sqref="E156:E157">
    <cfRule type="cellIs" dxfId="829" priority="111" stopIfTrue="1" operator="notEqual">
      <formula>INDIRECT("Dummy_for_Comparison2!"&amp;ADDRESS(ROW(),COLUMN()))</formula>
    </cfRule>
  </conditionalFormatting>
  <conditionalFormatting sqref="E159:E167">
    <cfRule type="cellIs" dxfId="828" priority="42" stopIfTrue="1" operator="notEqual">
      <formula>INDIRECT("Dummy_for_Comparison2!"&amp;ADDRESS(ROW(),COLUMN()))</formula>
    </cfRule>
  </conditionalFormatting>
  <conditionalFormatting sqref="E169:E172">
    <cfRule type="cellIs" dxfId="827" priority="8" stopIfTrue="1" operator="notEqual">
      <formula>INDIRECT("Dummy_for_Comparison2!"&amp;ADDRESS(ROW(),COLUMN()))</formula>
    </cfRule>
  </conditionalFormatting>
  <conditionalFormatting sqref="G77:G80">
    <cfRule type="cellIs" dxfId="826" priority="1" stopIfTrue="1" operator="notEqual">
      <formula>INDIRECT("Dummy_for_Comparison2!"&amp;ADDRESS(ROW(),COLUMN()))</formula>
    </cfRule>
  </conditionalFormatting>
  <conditionalFormatting sqref="J9:J30">
    <cfRule type="cellIs" dxfId="825" priority="53" stopIfTrue="1" operator="notEqual">
      <formula>INDIRECT("Dummy_for_Comparison2!"&amp;ADDRESS(ROW(),COLUMN()))</formula>
    </cfRule>
  </conditionalFormatting>
  <conditionalFormatting sqref="K7:M30">
    <cfRule type="cellIs" dxfId="824" priority="165" stopIfTrue="1" operator="notEqual">
      <formula>INDIRECT("Dummy_for_Comparison2!"&amp;ADDRESS(ROW(),COLUMN()))</formula>
    </cfRule>
  </conditionalFormatting>
  <conditionalFormatting sqref="L52:N53">
    <cfRule type="cellIs" dxfId="823" priority="353" stopIfTrue="1" operator="notEqual">
      <formula>INDIRECT("Dummy_for_Comparison2!"&amp;ADDRESS(ROW(),COLUMN()))</formula>
    </cfRule>
  </conditionalFormatting>
  <conditionalFormatting sqref="L56:N58">
    <cfRule type="cellIs" dxfId="822" priority="355" stopIfTrue="1" operator="notEqual">
      <formula>INDIRECT("Dummy_for_Comparison2!"&amp;ADDRESS(ROW(),COLUMN()))</formula>
    </cfRule>
  </conditionalFormatting>
  <conditionalFormatting sqref="L60:N62">
    <cfRule type="cellIs" dxfId="821" priority="354" stopIfTrue="1" operator="notEqual">
      <formula>INDIRECT("Dummy_for_Comparison2!"&amp;ADDRESS(ROW(),COLUMN()))</formula>
    </cfRule>
  </conditionalFormatting>
  <conditionalFormatting sqref="L64:N72">
    <cfRule type="cellIs" dxfId="820" priority="229" stopIfTrue="1" operator="notEqual">
      <formula>INDIRECT("Dummy_for_Comparison2!"&amp;ADDRESS(ROW(),COLUMN()))</formula>
    </cfRule>
  </conditionalFormatting>
  <conditionalFormatting sqref="L74:N74">
    <cfRule type="cellIs" dxfId="819" priority="322" stopIfTrue="1" operator="notEqual">
      <formula>INDIRECT("Dummy_for_Comparison2!"&amp;ADDRESS(ROW(),COLUMN()))</formula>
    </cfRule>
  </conditionalFormatting>
  <conditionalFormatting sqref="L76:N80">
    <cfRule type="cellIs" dxfId="818" priority="212" stopIfTrue="1" operator="notEqual">
      <formula>INDIRECT("Dummy_for_Comparison2!"&amp;ADDRESS(ROW(),COLUMN()))</formula>
    </cfRule>
  </conditionalFormatting>
  <conditionalFormatting sqref="L86:N130">
    <cfRule type="cellIs" dxfId="817" priority="221" stopIfTrue="1" operator="notEqual">
      <formula>INDIRECT("Dummy_for_Comparison2!"&amp;ADDRESS(ROW(),COLUMN()))</formula>
    </cfRule>
  </conditionalFormatting>
  <conditionalFormatting sqref="L132:N137">
    <cfRule type="cellIs" dxfId="816" priority="195" stopIfTrue="1" operator="notEqual">
      <formula>INDIRECT("Dummy_for_Comparison2!"&amp;ADDRESS(ROW(),COLUMN()))</formula>
    </cfRule>
  </conditionalFormatting>
  <conditionalFormatting sqref="L139:N144">
    <cfRule type="cellIs" dxfId="815" priority="170" stopIfTrue="1" operator="notEqual">
      <formula>INDIRECT("Dummy_for_Comparison2!"&amp;ADDRESS(ROW(),COLUMN()))</formula>
    </cfRule>
  </conditionalFormatting>
  <conditionalFormatting sqref="L146:N146">
    <cfRule type="cellIs" dxfId="814" priority="149" stopIfTrue="1" operator="notEqual">
      <formula>INDIRECT("Dummy_for_Comparison2!"&amp;ADDRESS(ROW(),COLUMN()))</formula>
    </cfRule>
  </conditionalFormatting>
  <conditionalFormatting sqref="L148:N154">
    <cfRule type="cellIs" dxfId="813" priority="35" stopIfTrue="1" operator="notEqual">
      <formula>INDIRECT("Dummy_for_Comparison2!"&amp;ADDRESS(ROW(),COLUMN()))</formula>
    </cfRule>
  </conditionalFormatting>
  <conditionalFormatting sqref="L156:N157">
    <cfRule type="cellIs" dxfId="812" priority="112" stopIfTrue="1" operator="notEqual">
      <formula>INDIRECT("Dummy_for_Comparison2!"&amp;ADDRESS(ROW(),COLUMN()))</formula>
    </cfRule>
  </conditionalFormatting>
  <conditionalFormatting sqref="L159:N167">
    <cfRule type="cellIs" dxfId="811" priority="43" stopIfTrue="1" operator="notEqual">
      <formula>INDIRECT("Dummy_for_Comparison2!"&amp;ADDRESS(ROW(),COLUMN()))</formula>
    </cfRule>
  </conditionalFormatting>
  <conditionalFormatting sqref="L169:N172">
    <cfRule type="cellIs" dxfId="810" priority="2" stopIfTrue="1" operator="notEqual">
      <formula>INDIRECT("Dummy_for_Comparison2!"&amp;ADDRESS(ROW(),COLUMN()))</formula>
    </cfRule>
  </conditionalFormatting>
  <conditionalFormatting sqref="N2:O2">
    <cfRule type="cellIs" dxfId="809" priority="100" stopIfTrue="1" operator="notEqual">
      <formula>INDIRECT("Dummy_for_Comparison6!"&amp;ADDRESS(ROW(),COLUMN()))</formula>
    </cfRule>
  </conditionalFormatting>
  <conditionalFormatting sqref="N7:O29">
    <cfRule type="cellIs" dxfId="808" priority="50" stopIfTrue="1" operator="notEqual">
      <formula>INDIRECT("Dummy_for_Comparison2!"&amp;ADDRESS(ROW(),COLUMN()))</formula>
    </cfRule>
  </conditionalFormatting>
  <conditionalFormatting sqref="N30:Q30">
    <cfRule type="cellIs" dxfId="807" priority="362" stopIfTrue="1" operator="notEqual">
      <formula>INDIRECT("Dummy_for_Comparison2!"&amp;ADDRESS(ROW(),COLUMN()))</formula>
    </cfRule>
  </conditionalFormatting>
  <conditionalFormatting sqref="P64:P67">
    <cfRule type="cellIs" dxfId="806" priority="231" stopIfTrue="1" operator="notEqual">
      <formula>INDIRECT("Dummy_for_Comparison2!"&amp;ADDRESS(ROW(),COLUMN()))</formula>
    </cfRule>
  </conditionalFormatting>
  <conditionalFormatting sqref="P8:Q29">
    <cfRule type="cellIs" dxfId="805" priority="6" stopIfTrue="1" operator="notEqual">
      <formula>INDIRECT("Dummy_for_Comparison2!"&amp;ADDRESS(ROW(),COLUMN()))</formula>
    </cfRule>
  </conditionalFormatting>
  <conditionalFormatting sqref="P7:R7">
    <cfRule type="cellIs" dxfId="804" priority="169" stopIfTrue="1" operator="notEqual">
      <formula>INDIRECT("Dummy_for_Comparison2!"&amp;ADDRESS(ROW(),COLUMN()))</formula>
    </cfRule>
  </conditionalFormatting>
  <conditionalFormatting sqref="P2:T2">
    <cfRule type="cellIs" dxfId="803" priority="93" stopIfTrue="1" operator="notEqual">
      <formula>INDIRECT("Dummy_for_Comparison2!"&amp;ADDRESS(ROW(),COLUMN()))</formula>
    </cfRule>
  </conditionalFormatting>
  <conditionalFormatting sqref="R8:R30">
    <cfRule type="cellIs" dxfId="802" priority="90" stopIfTrue="1" operator="notEqual">
      <formula>INDIRECT("Dummy_for_Comparison2!"&amp;ADDRESS(ROW(),COLUMN()))</formula>
    </cfRule>
  </conditionalFormatting>
  <conditionalFormatting sqref="R33:R50">
    <cfRule type="cellIs" dxfId="801" priority="88" stopIfTrue="1" operator="notEqual">
      <formula>INDIRECT("Dummy_for_Comparison2!"&amp;ADDRESS(ROW(),COLUMN()))</formula>
    </cfRule>
  </conditionalFormatting>
  <conditionalFormatting sqref="R53">
    <cfRule type="cellIs" dxfId="800" priority="84" stopIfTrue="1" operator="notEqual">
      <formula>INDIRECT("Dummy_for_Comparison2!"&amp;ADDRESS(ROW(),COLUMN()))</formula>
    </cfRule>
  </conditionalFormatting>
  <conditionalFormatting sqref="R57:R58">
    <cfRule type="cellIs" dxfId="799" priority="86" stopIfTrue="1" operator="notEqual">
      <formula>INDIRECT("Dummy_for_Comparison2!"&amp;ADDRESS(ROW(),COLUMN()))</formula>
    </cfRule>
  </conditionalFormatting>
  <conditionalFormatting sqref="R61:R62">
    <cfRule type="cellIs" dxfId="798" priority="82" stopIfTrue="1" operator="notEqual">
      <formula>INDIRECT("Dummy_for_Comparison2!"&amp;ADDRESS(ROW(),COLUMN()))</formula>
    </cfRule>
  </conditionalFormatting>
  <conditionalFormatting sqref="R65:R72">
    <cfRule type="cellIs" dxfId="797" priority="80" stopIfTrue="1" operator="notEqual">
      <formula>INDIRECT("Dummy_for_Comparison2!"&amp;ADDRESS(ROW(),COLUMN()))</formula>
    </cfRule>
  </conditionalFormatting>
  <conditionalFormatting sqref="R77:R84">
    <cfRule type="cellIs" dxfId="796" priority="21" stopIfTrue="1" operator="notEqual">
      <formula>INDIRECT("Dummy_for_Comparison2!"&amp;ADDRESS(ROW(),COLUMN()))</formula>
    </cfRule>
  </conditionalFormatting>
  <conditionalFormatting sqref="R87:R130">
    <cfRule type="cellIs" dxfId="795" priority="76" stopIfTrue="1" operator="notEqual">
      <formula>INDIRECT("Dummy_for_Comparison2!"&amp;ADDRESS(ROW(),COLUMN()))</formula>
    </cfRule>
  </conditionalFormatting>
  <conditionalFormatting sqref="R133:R137">
    <cfRule type="cellIs" dxfId="794" priority="74" stopIfTrue="1" operator="notEqual">
      <formula>INDIRECT("Dummy_for_Comparison2!"&amp;ADDRESS(ROW(),COLUMN()))</formula>
    </cfRule>
  </conditionalFormatting>
  <conditionalFormatting sqref="R140:R144">
    <cfRule type="cellIs" dxfId="793" priority="72" stopIfTrue="1" operator="notEqual">
      <formula>INDIRECT("Dummy_for_Comparison2!"&amp;ADDRESS(ROW(),COLUMN()))</formula>
    </cfRule>
  </conditionalFormatting>
  <conditionalFormatting sqref="R149:R154">
    <cfRule type="cellIs" dxfId="792" priority="70" stopIfTrue="1" operator="notEqual">
      <formula>INDIRECT("Dummy_for_Comparison2!"&amp;ADDRESS(ROW(),COLUMN()))</formula>
    </cfRule>
  </conditionalFormatting>
  <conditionalFormatting sqref="R157">
    <cfRule type="cellIs" dxfId="791" priority="68" stopIfTrue="1" operator="notEqual">
      <formula>INDIRECT("Dummy_for_Comparison2!"&amp;ADDRESS(ROW(),COLUMN()))</formula>
    </cfRule>
  </conditionalFormatting>
  <conditionalFormatting sqref="R160:R167">
    <cfRule type="cellIs" dxfId="790" priority="40" stopIfTrue="1" operator="notEqual">
      <formula>INDIRECT("Dummy_for_Comparison2!"&amp;ADDRESS(ROW(),COLUMN()))</formula>
    </cfRule>
  </conditionalFormatting>
  <conditionalFormatting sqref="R5:S5">
    <cfRule type="cellIs" dxfId="789" priority="92" stopIfTrue="1" operator="notEqual">
      <formula>INDIRECT("Dummy_for_Comparison8!"&amp;ADDRESS(ROW(),COLUMN()))</formula>
    </cfRule>
  </conditionalFormatting>
  <conditionalFormatting sqref="R2:T2">
    <cfRule type="cellIs" dxfId="788" priority="94" stopIfTrue="1" operator="notEqual">
      <formula>INDIRECT("Dummy_for_Comparison8!"&amp;ADDRESS(ROW(),COLUMN()))</formula>
    </cfRule>
  </conditionalFormatting>
  <conditionalFormatting sqref="S7:S30">
    <cfRule type="cellIs" dxfId="787" priority="67" stopIfTrue="1" operator="notEqual">
      <formula>INDIRECT("Dummy_for_Comparison2!"&amp;ADDRESS(ROW(),COLUMN()))</formula>
    </cfRule>
  </conditionalFormatting>
  <conditionalFormatting sqref="S32:S50">
    <cfRule type="cellIs" dxfId="786" priority="66" stopIfTrue="1" operator="notEqual">
      <formula>INDIRECT("Dummy_for_Comparison2!"&amp;ADDRESS(ROW(),COLUMN()))</formula>
    </cfRule>
  </conditionalFormatting>
  <conditionalFormatting sqref="S52:S53">
    <cfRule type="cellIs" dxfId="785" priority="65" stopIfTrue="1" operator="notEqual">
      <formula>INDIRECT("Dummy_for_Comparison2!"&amp;ADDRESS(ROW(),COLUMN()))</formula>
    </cfRule>
  </conditionalFormatting>
  <conditionalFormatting sqref="S56:S58">
    <cfRule type="cellIs" dxfId="784" priority="64" stopIfTrue="1" operator="notEqual">
      <formula>INDIRECT("Dummy_for_Comparison2!"&amp;ADDRESS(ROW(),COLUMN()))</formula>
    </cfRule>
  </conditionalFormatting>
  <conditionalFormatting sqref="S60:S62">
    <cfRule type="cellIs" dxfId="783" priority="63" stopIfTrue="1" operator="notEqual">
      <formula>INDIRECT("Dummy_for_Comparison2!"&amp;ADDRESS(ROW(),COLUMN()))</formula>
    </cfRule>
  </conditionalFormatting>
  <conditionalFormatting sqref="S64:S72">
    <cfRule type="cellIs" dxfId="782" priority="62" stopIfTrue="1" operator="notEqual">
      <formula>INDIRECT("Dummy_for_Comparison2!"&amp;ADDRESS(ROW(),COLUMN()))</formula>
    </cfRule>
  </conditionalFormatting>
  <conditionalFormatting sqref="S74">
    <cfRule type="cellIs" dxfId="781" priority="61" stopIfTrue="1" operator="notEqual">
      <formula>INDIRECT("Dummy_for_Comparison2!"&amp;ADDRESS(ROW(),COLUMN()))</formula>
    </cfRule>
  </conditionalFormatting>
  <conditionalFormatting sqref="S76:S84">
    <cfRule type="cellIs" dxfId="780" priority="22" stopIfTrue="1" operator="notEqual">
      <formula>INDIRECT("Dummy_for_Comparison2!"&amp;ADDRESS(ROW(),COLUMN()))</formula>
    </cfRule>
  </conditionalFormatting>
  <conditionalFormatting sqref="S86:S130">
    <cfRule type="cellIs" dxfId="779" priority="59" stopIfTrue="1" operator="notEqual">
      <formula>INDIRECT("Dummy_for_Comparison2!"&amp;ADDRESS(ROW(),COLUMN()))</formula>
    </cfRule>
  </conditionalFormatting>
  <conditionalFormatting sqref="S132:S137">
    <cfRule type="cellIs" dxfId="778" priority="58" stopIfTrue="1" operator="notEqual">
      <formula>INDIRECT("Dummy_for_Comparison2!"&amp;ADDRESS(ROW(),COLUMN()))</formula>
    </cfRule>
  </conditionalFormatting>
  <conditionalFormatting sqref="S139:S144">
    <cfRule type="cellIs" dxfId="777" priority="57" stopIfTrue="1" operator="notEqual">
      <formula>INDIRECT("Dummy_for_Comparison2!"&amp;ADDRESS(ROW(),COLUMN()))</formula>
    </cfRule>
  </conditionalFormatting>
  <conditionalFormatting sqref="S146">
    <cfRule type="cellIs" dxfId="776" priority="56" stopIfTrue="1" operator="notEqual">
      <formula>INDIRECT("Dummy_for_Comparison2!"&amp;ADDRESS(ROW(),COLUMN()))</formula>
    </cfRule>
  </conditionalFormatting>
  <conditionalFormatting sqref="S148:S154">
    <cfRule type="cellIs" dxfId="775" priority="33" stopIfTrue="1" operator="notEqual">
      <formula>INDIRECT("Dummy_for_Comparison2!"&amp;ADDRESS(ROW(),COLUMN()))</formula>
    </cfRule>
  </conditionalFormatting>
  <conditionalFormatting sqref="S156:S157">
    <cfRule type="cellIs" dxfId="774" priority="54" stopIfTrue="1" operator="notEqual">
      <formula>INDIRECT("Dummy_for_Comparison2!"&amp;ADDRESS(ROW(),COLUMN()))</formula>
    </cfRule>
  </conditionalFormatting>
  <conditionalFormatting sqref="S159:S167">
    <cfRule type="cellIs" dxfId="773" priority="41" stopIfTrue="1" operator="notEqual">
      <formula>INDIRECT("Dummy_for_Comparison2!"&amp;ADDRESS(ROW(),COLUMN()))</formula>
    </cfRule>
  </conditionalFormatting>
  <conditionalFormatting sqref="S169:S172">
    <cfRule type="cellIs" dxfId="772" priority="7" stopIfTrue="1" operator="notEqual">
      <formula>INDIRECT("Dummy_for_Comparison2!"&amp;ADDRESS(ROW(),COLUMN()))</formula>
    </cfRule>
  </conditionalFormatting>
  <conditionalFormatting sqref="T2">
    <cfRule type="cellIs" dxfId="771" priority="101" stopIfTrue="1" operator="notEqual">
      <formula>INDIRECT("Dummy_for_Comparison2!"&amp;ADDRESS(ROW(),COLUMN()))</formula>
    </cfRule>
  </conditionalFormatting>
  <conditionalFormatting sqref="T7:T26">
    <cfRule type="cellIs" dxfId="770" priority="164" stopIfTrue="1" operator="notEqual">
      <formula>INDIRECT("Dummy_for_Comparison2!"&amp;ADDRESS(ROW(),COLUMN()))</formula>
    </cfRule>
  </conditionalFormatting>
  <conditionalFormatting sqref="T29:T30">
    <cfRule type="cellIs" dxfId="769" priority="49" stopIfTrue="1" operator="notEqual">
      <formula>INDIRECT("Dummy_for_Comparison2!"&amp;ADDRESS(ROW(),COLUMN()))</formula>
    </cfRule>
  </conditionalFormatting>
  <conditionalFormatting sqref="T64:T67">
    <cfRule type="cellIs" dxfId="768" priority="102" stopIfTrue="1" operator="notEqual">
      <formula>INDIRECT("Dummy_for_Comparison2!"&amp;ADDRESS(ROW(),COLUMN()))</formula>
    </cfRule>
  </conditionalFormatting>
  <conditionalFormatting sqref="T81:T84">
    <cfRule type="cellIs" dxfId="767" priority="28" stopIfTrue="1" operator="notEqual">
      <formula>INDIRECT("Dummy_for_Comparison2!"&amp;ADDRESS(ROW(),COLUMN()))</formula>
    </cfRule>
  </conditionalFormatting>
  <pageMargins left="0.7" right="0.7" top="0.75" bottom="0.75" header="0.3" footer="0.3"/>
  <headerFooter>
    <oddFooter>&amp;C_x000D_&amp;1#&amp;"Calibri"&amp;6&amp;K626469 General</oddFooter>
  </headerFooter>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A439E-C058-466D-A685-04685A2250C5}">
  <dimension ref="A1:O108"/>
  <sheetViews>
    <sheetView topLeftCell="A2" zoomScale="58" zoomScaleNormal="70" workbookViewId="0">
      <selection activeCell="J5" sqref="J5"/>
    </sheetView>
  </sheetViews>
  <sheetFormatPr defaultRowHeight="14.4" x14ac:dyDescent="0.3"/>
  <cols>
    <col min="2" max="2" width="33.77734375" bestFit="1" customWidth="1"/>
    <col min="3" max="3" width="11.77734375" customWidth="1"/>
    <col min="4" max="4" width="12" customWidth="1"/>
    <col min="6" max="6" width="14.5546875" customWidth="1"/>
    <col min="7" max="7" width="11.44140625" customWidth="1"/>
    <col min="8" max="8" width="14.77734375" customWidth="1"/>
    <col min="9" max="10" width="13.44140625" customWidth="1"/>
    <col min="11" max="11" width="13.21875" customWidth="1"/>
    <col min="12" max="12" width="11.21875" customWidth="1"/>
    <col min="14" max="14" width="30.77734375" customWidth="1"/>
  </cols>
  <sheetData>
    <row r="1" spans="1:14" ht="15" thickBot="1" x14ac:dyDescent="0.35"/>
    <row r="2" spans="1:14" ht="33" thickBot="1" x14ac:dyDescent="0.35">
      <c r="B2" s="84" t="s">
        <v>303</v>
      </c>
      <c r="C2" s="65" t="s">
        <v>305</v>
      </c>
      <c r="D2" s="65" t="s">
        <v>306</v>
      </c>
      <c r="E2" s="65" t="s">
        <v>307</v>
      </c>
      <c r="F2" s="65" t="s">
        <v>308</v>
      </c>
      <c r="G2" s="65" t="s">
        <v>309</v>
      </c>
      <c r="H2" s="65" t="s">
        <v>310</v>
      </c>
      <c r="I2" s="65" t="s">
        <v>311</v>
      </c>
      <c r="J2" s="65" t="s">
        <v>3720</v>
      </c>
      <c r="K2" s="71" t="s">
        <v>314</v>
      </c>
      <c r="L2" s="65" t="s">
        <v>316</v>
      </c>
      <c r="M2" s="65" t="s">
        <v>317</v>
      </c>
      <c r="N2" s="66" t="s">
        <v>318</v>
      </c>
    </row>
    <row r="3" spans="1:14" ht="15.6" x14ac:dyDescent="0.3">
      <c r="B3" s="520" t="s">
        <v>2425</v>
      </c>
      <c r="C3" s="520"/>
      <c r="D3" s="520"/>
      <c r="E3" s="520"/>
      <c r="F3" s="520"/>
      <c r="G3" s="520"/>
      <c r="H3" s="520"/>
      <c r="I3" s="520"/>
      <c r="J3" s="520"/>
      <c r="K3" s="520"/>
      <c r="L3" s="520"/>
      <c r="M3" s="520"/>
      <c r="N3" s="520"/>
    </row>
    <row r="4" spans="1:14" ht="15.6" x14ac:dyDescent="0.3">
      <c r="B4" s="496" t="s">
        <v>3721</v>
      </c>
      <c r="C4" s="496"/>
      <c r="D4" s="496"/>
      <c r="E4" s="496"/>
      <c r="F4" s="496"/>
      <c r="G4" s="496"/>
      <c r="H4" s="496"/>
      <c r="I4" s="496"/>
      <c r="J4" s="496"/>
      <c r="K4" s="496"/>
      <c r="L4" s="496"/>
      <c r="M4" s="496"/>
      <c r="N4" s="496"/>
    </row>
    <row r="5" spans="1:14" ht="15.6" x14ac:dyDescent="0.3">
      <c r="B5" s="10" t="s">
        <v>3722</v>
      </c>
      <c r="C5" s="10">
        <v>4</v>
      </c>
      <c r="D5" s="10">
        <f>C5/2</f>
        <v>2</v>
      </c>
      <c r="E5" s="10">
        <v>0</v>
      </c>
      <c r="F5" s="10">
        <v>4294967295</v>
      </c>
      <c r="G5" s="10">
        <v>1</v>
      </c>
      <c r="H5" s="10">
        <v>1</v>
      </c>
      <c r="I5" s="10" t="s">
        <v>322</v>
      </c>
      <c r="J5" s="10">
        <v>43000</v>
      </c>
      <c r="K5" s="10" t="s">
        <v>323</v>
      </c>
      <c r="L5" s="10"/>
      <c r="M5" s="10"/>
      <c r="N5" s="10"/>
    </row>
    <row r="6" spans="1:14" ht="15.6" x14ac:dyDescent="0.3">
      <c r="B6" s="10" t="s">
        <v>3723</v>
      </c>
      <c r="C6" s="10">
        <v>4</v>
      </c>
      <c r="D6" s="10">
        <f t="shared" ref="D6:D8" si="0">C6/2</f>
        <v>2</v>
      </c>
      <c r="E6" s="10">
        <v>0</v>
      </c>
      <c r="F6" s="10">
        <v>4294967295</v>
      </c>
      <c r="G6" s="10">
        <v>1</v>
      </c>
      <c r="H6" s="10">
        <v>1</v>
      </c>
      <c r="I6" s="10" t="s">
        <v>322</v>
      </c>
      <c r="J6" s="10">
        <f t="shared" ref="J6:J8" si="1">J5+D5</f>
        <v>43002</v>
      </c>
      <c r="K6" s="10" t="s">
        <v>323</v>
      </c>
      <c r="L6" s="10"/>
      <c r="M6" s="10"/>
      <c r="N6" s="55"/>
    </row>
    <row r="7" spans="1:14" ht="15.6" x14ac:dyDescent="0.3">
      <c r="B7" s="10" t="s">
        <v>3724</v>
      </c>
      <c r="C7" s="10">
        <v>4</v>
      </c>
      <c r="D7" s="10">
        <f t="shared" si="0"/>
        <v>2</v>
      </c>
      <c r="E7" s="10">
        <v>0</v>
      </c>
      <c r="F7" s="10">
        <v>4294967295</v>
      </c>
      <c r="G7" s="10">
        <v>1</v>
      </c>
      <c r="H7" s="10">
        <v>1</v>
      </c>
      <c r="I7" s="10" t="s">
        <v>322</v>
      </c>
      <c r="J7" s="10">
        <f t="shared" si="1"/>
        <v>43004</v>
      </c>
      <c r="K7" s="10" t="s">
        <v>323</v>
      </c>
      <c r="L7" s="10"/>
      <c r="M7" s="10"/>
      <c r="N7" s="10"/>
    </row>
    <row r="8" spans="1:14" ht="15.6" x14ac:dyDescent="0.3">
      <c r="B8" s="10" t="s">
        <v>3725</v>
      </c>
      <c r="C8" s="10">
        <v>4</v>
      </c>
      <c r="D8" s="10">
        <f t="shared" si="0"/>
        <v>2</v>
      </c>
      <c r="E8" s="10">
        <v>0</v>
      </c>
      <c r="F8" s="10">
        <v>4294967295</v>
      </c>
      <c r="G8" s="10">
        <v>1</v>
      </c>
      <c r="H8" s="10">
        <v>1</v>
      </c>
      <c r="I8" s="10" t="s">
        <v>322</v>
      </c>
      <c r="J8" s="10">
        <f t="shared" si="1"/>
        <v>43006</v>
      </c>
      <c r="K8" s="10" t="s">
        <v>323</v>
      </c>
      <c r="L8" s="10"/>
      <c r="M8" s="10"/>
      <c r="N8" s="10"/>
    </row>
    <row r="9" spans="1:14" ht="15.6" x14ac:dyDescent="0.3">
      <c r="B9" s="496" t="s">
        <v>3726</v>
      </c>
      <c r="C9" s="496"/>
      <c r="D9" s="496"/>
      <c r="E9" s="496"/>
      <c r="F9" s="496"/>
      <c r="G9" s="496"/>
      <c r="H9" s="496"/>
      <c r="I9" s="496"/>
      <c r="J9" s="496"/>
      <c r="K9" s="496"/>
      <c r="L9" s="496"/>
      <c r="M9" s="496"/>
      <c r="N9" s="496"/>
    </row>
    <row r="10" spans="1:14" ht="62.4" x14ac:dyDescent="0.3">
      <c r="B10" s="10" t="s">
        <v>3727</v>
      </c>
      <c r="C10" s="10">
        <v>2</v>
      </c>
      <c r="D10" s="10">
        <f>C10/2</f>
        <v>1</v>
      </c>
      <c r="E10" s="10">
        <v>0</v>
      </c>
      <c r="F10" s="10">
        <v>1</v>
      </c>
      <c r="G10" s="10">
        <v>1</v>
      </c>
      <c r="H10" s="10">
        <v>1</v>
      </c>
      <c r="I10" s="10" t="s">
        <v>322</v>
      </c>
      <c r="J10" s="10">
        <f>J8+D8</f>
        <v>43008</v>
      </c>
      <c r="K10" s="10" t="s">
        <v>323</v>
      </c>
      <c r="L10" s="10">
        <v>0</v>
      </c>
      <c r="M10" s="10"/>
      <c r="N10" s="357" t="s">
        <v>3728</v>
      </c>
    </row>
    <row r="11" spans="1:14" ht="62.4" x14ac:dyDescent="0.3">
      <c r="B11" s="10" t="s">
        <v>3729</v>
      </c>
      <c r="C11" s="10">
        <v>2</v>
      </c>
      <c r="D11" s="10">
        <f t="shared" ref="D11" si="2">C11/2</f>
        <v>1</v>
      </c>
      <c r="E11" s="10">
        <v>0</v>
      </c>
      <c r="F11" s="10">
        <v>1</v>
      </c>
      <c r="G11" s="10">
        <v>1</v>
      </c>
      <c r="H11" s="10">
        <v>1</v>
      </c>
      <c r="I11" s="10" t="s">
        <v>322</v>
      </c>
      <c r="J11" s="10">
        <f t="shared" ref="J11" si="3">J10+D10</f>
        <v>43009</v>
      </c>
      <c r="K11" s="10" t="s">
        <v>323</v>
      </c>
      <c r="L11" s="10">
        <v>0</v>
      </c>
      <c r="M11" s="10"/>
      <c r="N11" s="358" t="s">
        <v>3730</v>
      </c>
    </row>
    <row r="12" spans="1:14" ht="15.6" x14ac:dyDescent="0.3">
      <c r="B12" s="496" t="s">
        <v>3731</v>
      </c>
      <c r="C12" s="496"/>
      <c r="D12" s="496"/>
      <c r="E12" s="496"/>
      <c r="F12" s="496"/>
      <c r="G12" s="496"/>
      <c r="H12" s="496"/>
      <c r="I12" s="496"/>
      <c r="J12" s="496"/>
      <c r="K12" s="496"/>
      <c r="L12" s="496"/>
      <c r="M12" s="496"/>
      <c r="N12" s="496"/>
    </row>
    <row r="13" spans="1:14" ht="62.4" x14ac:dyDescent="0.3">
      <c r="B13" s="10" t="s">
        <v>3727</v>
      </c>
      <c r="C13" s="10">
        <v>2</v>
      </c>
      <c r="D13" s="10">
        <f>C13/2</f>
        <v>1</v>
      </c>
      <c r="E13" s="10">
        <v>0</v>
      </c>
      <c r="F13" s="10">
        <v>1</v>
      </c>
      <c r="G13" s="10">
        <v>1</v>
      </c>
      <c r="H13" s="10">
        <v>1</v>
      </c>
      <c r="I13" s="10" t="s">
        <v>322</v>
      </c>
      <c r="J13" s="10">
        <f>J11+D11</f>
        <v>43010</v>
      </c>
      <c r="K13" s="10" t="s">
        <v>323</v>
      </c>
      <c r="L13" s="10">
        <v>0</v>
      </c>
      <c r="M13" s="10"/>
      <c r="N13" s="357" t="s">
        <v>3728</v>
      </c>
    </row>
    <row r="14" spans="1:14" ht="62.4" x14ac:dyDescent="0.3">
      <c r="B14" s="10" t="s">
        <v>3729</v>
      </c>
      <c r="C14" s="10">
        <v>2</v>
      </c>
      <c r="D14" s="10">
        <f t="shared" ref="D14:D26" si="4">C14/2</f>
        <v>1</v>
      </c>
      <c r="E14" s="10">
        <v>0</v>
      </c>
      <c r="F14" s="10">
        <v>1</v>
      </c>
      <c r="G14" s="10">
        <v>1</v>
      </c>
      <c r="H14" s="10">
        <v>1</v>
      </c>
      <c r="I14" s="10" t="s">
        <v>322</v>
      </c>
      <c r="J14" s="10">
        <f t="shared" ref="J14" si="5">J13+D13</f>
        <v>43011</v>
      </c>
      <c r="K14" s="10" t="s">
        <v>323</v>
      </c>
      <c r="L14" s="10">
        <v>0</v>
      </c>
      <c r="M14" s="10"/>
      <c r="N14" s="358" t="s">
        <v>3730</v>
      </c>
    </row>
    <row r="15" spans="1:14" ht="15.6" x14ac:dyDescent="0.3">
      <c r="A15" t="s">
        <v>3732</v>
      </c>
      <c r="B15" s="496" t="s">
        <v>3733</v>
      </c>
      <c r="C15" s="496"/>
      <c r="D15" s="496"/>
      <c r="E15" s="496"/>
      <c r="F15" s="496"/>
      <c r="G15" s="496"/>
      <c r="H15" s="496"/>
      <c r="I15" s="496"/>
      <c r="J15" s="496"/>
      <c r="K15" s="496"/>
      <c r="L15" s="496"/>
      <c r="M15" s="496"/>
      <c r="N15" s="496"/>
    </row>
    <row r="16" spans="1:14" ht="15.6" x14ac:dyDescent="0.3">
      <c r="B16" s="10" t="s">
        <v>3734</v>
      </c>
      <c r="C16" s="10">
        <v>2</v>
      </c>
      <c r="D16" s="10">
        <f t="shared" si="4"/>
        <v>1</v>
      </c>
      <c r="E16" s="10">
        <v>0</v>
      </c>
      <c r="F16" s="10">
        <v>1</v>
      </c>
      <c r="G16" s="10">
        <v>1</v>
      </c>
      <c r="H16" s="10">
        <v>1</v>
      </c>
      <c r="I16" s="10" t="s">
        <v>322</v>
      </c>
      <c r="J16" s="10">
        <f>J14+D14</f>
        <v>43012</v>
      </c>
      <c r="K16" s="10" t="s">
        <v>323</v>
      </c>
      <c r="L16" s="10">
        <v>0</v>
      </c>
      <c r="M16" s="10"/>
      <c r="N16" s="55" t="s">
        <v>3735</v>
      </c>
    </row>
    <row r="17" spans="2:14" ht="15.6" x14ac:dyDescent="0.3">
      <c r="B17" s="10" t="s">
        <v>3736</v>
      </c>
      <c r="C17" s="10">
        <v>2</v>
      </c>
      <c r="D17" s="10">
        <f t="shared" si="4"/>
        <v>1</v>
      </c>
      <c r="E17" s="10">
        <v>0</v>
      </c>
      <c r="F17" s="10">
        <v>8</v>
      </c>
      <c r="G17" s="10">
        <v>1</v>
      </c>
      <c r="H17" s="10">
        <v>1</v>
      </c>
      <c r="I17" s="10" t="s">
        <v>322</v>
      </c>
      <c r="J17" s="10">
        <f t="shared" ref="J17:J19" si="6">J16+D16</f>
        <v>43013</v>
      </c>
      <c r="K17" s="10" t="s">
        <v>323</v>
      </c>
      <c r="L17" s="10"/>
      <c r="M17" s="10"/>
      <c r="N17" s="55"/>
    </row>
    <row r="18" spans="2:14" ht="15.6" x14ac:dyDescent="0.3">
      <c r="B18" s="10" t="s">
        <v>3737</v>
      </c>
      <c r="C18" s="10">
        <v>4</v>
      </c>
      <c r="D18" s="10">
        <f t="shared" si="4"/>
        <v>2</v>
      </c>
      <c r="E18" s="10">
        <v>0</v>
      </c>
      <c r="F18" s="10">
        <v>4294967295</v>
      </c>
      <c r="G18" s="10">
        <v>1</v>
      </c>
      <c r="H18" s="10">
        <v>1</v>
      </c>
      <c r="I18" s="10" t="s">
        <v>322</v>
      </c>
      <c r="J18" s="10">
        <f t="shared" si="6"/>
        <v>43014</v>
      </c>
      <c r="K18" s="10" t="s">
        <v>323</v>
      </c>
      <c r="L18" s="10"/>
      <c r="M18" s="10"/>
      <c r="N18" s="55"/>
    </row>
    <row r="19" spans="2:14" ht="15.6" x14ac:dyDescent="0.3">
      <c r="B19" s="10" t="s">
        <v>3738</v>
      </c>
      <c r="C19" s="10">
        <v>4</v>
      </c>
      <c r="D19" s="10">
        <f t="shared" si="4"/>
        <v>2</v>
      </c>
      <c r="E19" s="10">
        <v>0</v>
      </c>
      <c r="F19" s="10">
        <v>4294967295</v>
      </c>
      <c r="G19" s="10">
        <v>1</v>
      </c>
      <c r="H19" s="10">
        <v>1</v>
      </c>
      <c r="I19" s="10" t="s">
        <v>322</v>
      </c>
      <c r="J19" s="10">
        <f t="shared" si="6"/>
        <v>43016</v>
      </c>
      <c r="K19" s="10" t="s">
        <v>323</v>
      </c>
      <c r="L19" s="10"/>
      <c r="M19" s="10"/>
      <c r="N19" s="55"/>
    </row>
    <row r="20" spans="2:14" ht="15.6" x14ac:dyDescent="0.3">
      <c r="B20" s="496" t="s">
        <v>3739</v>
      </c>
      <c r="C20" s="496"/>
      <c r="D20" s="496"/>
      <c r="E20" s="496"/>
      <c r="F20" s="496"/>
      <c r="G20" s="496"/>
      <c r="H20" s="496"/>
      <c r="I20" s="496"/>
      <c r="J20" s="496"/>
      <c r="K20" s="496"/>
      <c r="L20" s="496"/>
      <c r="M20" s="496"/>
      <c r="N20" s="496"/>
    </row>
    <row r="21" spans="2:14" ht="15.6" x14ac:dyDescent="0.3">
      <c r="B21" s="117" t="s">
        <v>3740</v>
      </c>
      <c r="C21" s="10">
        <v>4</v>
      </c>
      <c r="D21" s="10">
        <f t="shared" si="4"/>
        <v>2</v>
      </c>
      <c r="E21" s="10">
        <v>0</v>
      </c>
      <c r="F21" s="10">
        <v>4294967295</v>
      </c>
      <c r="G21" s="10">
        <v>1</v>
      </c>
      <c r="H21" s="10">
        <v>1</v>
      </c>
      <c r="I21" s="10" t="s">
        <v>322</v>
      </c>
      <c r="J21" s="10">
        <f>J19+D19</f>
        <v>43018</v>
      </c>
      <c r="K21" s="10" t="s">
        <v>323</v>
      </c>
      <c r="L21" s="10"/>
      <c r="M21" s="10"/>
      <c r="N21" s="55"/>
    </row>
    <row r="22" spans="2:14" ht="15.6" x14ac:dyDescent="0.3">
      <c r="B22" s="10" t="s">
        <v>3741</v>
      </c>
      <c r="C22" s="10">
        <v>2</v>
      </c>
      <c r="D22" s="10">
        <f t="shared" si="4"/>
        <v>1</v>
      </c>
      <c r="E22" s="10">
        <v>0</v>
      </c>
      <c r="F22" s="10">
        <v>65536</v>
      </c>
      <c r="G22" s="10">
        <v>1</v>
      </c>
      <c r="H22" s="10">
        <v>1</v>
      </c>
      <c r="I22" s="10" t="s">
        <v>322</v>
      </c>
      <c r="J22" s="10">
        <f t="shared" ref="J22:J68" si="7">J21+D21</f>
        <v>43020</v>
      </c>
      <c r="K22" s="10" t="s">
        <v>323</v>
      </c>
      <c r="L22" s="10"/>
      <c r="M22" s="10"/>
      <c r="N22" s="55"/>
    </row>
    <row r="23" spans="2:14" ht="15.6" x14ac:dyDescent="0.3">
      <c r="B23" s="10" t="s">
        <v>3742</v>
      </c>
      <c r="C23" s="10">
        <v>2</v>
      </c>
      <c r="D23" s="10">
        <f t="shared" si="4"/>
        <v>1</v>
      </c>
      <c r="E23" s="10">
        <v>0</v>
      </c>
      <c r="F23" s="10">
        <v>65535</v>
      </c>
      <c r="G23" s="10">
        <v>1</v>
      </c>
      <c r="H23" s="10">
        <v>1</v>
      </c>
      <c r="I23" s="10" t="s">
        <v>322</v>
      </c>
      <c r="J23" s="10">
        <f t="shared" si="7"/>
        <v>43021</v>
      </c>
      <c r="K23" s="10" t="s">
        <v>323</v>
      </c>
      <c r="L23" s="10"/>
      <c r="M23" s="10"/>
      <c r="N23" s="55"/>
    </row>
    <row r="24" spans="2:14" ht="15.6" x14ac:dyDescent="0.3">
      <c r="B24" s="10" t="s">
        <v>3743</v>
      </c>
      <c r="C24" s="10">
        <v>4</v>
      </c>
      <c r="D24" s="10">
        <f t="shared" si="4"/>
        <v>2</v>
      </c>
      <c r="E24" s="10">
        <v>0</v>
      </c>
      <c r="F24" s="10">
        <v>4294967295</v>
      </c>
      <c r="G24" s="10">
        <v>1</v>
      </c>
      <c r="H24" s="10">
        <v>1</v>
      </c>
      <c r="I24" s="10" t="s">
        <v>322</v>
      </c>
      <c r="J24" s="10">
        <f t="shared" si="7"/>
        <v>43022</v>
      </c>
      <c r="K24" s="10" t="s">
        <v>323</v>
      </c>
      <c r="L24" s="10"/>
      <c r="M24" s="10"/>
      <c r="N24" s="55"/>
    </row>
    <row r="25" spans="2:14" ht="15.6" x14ac:dyDescent="0.3">
      <c r="B25" s="10" t="s">
        <v>3744</v>
      </c>
      <c r="C25" s="10">
        <v>4</v>
      </c>
      <c r="D25" s="10">
        <f t="shared" si="4"/>
        <v>2</v>
      </c>
      <c r="E25" s="10">
        <v>0</v>
      </c>
      <c r="F25" s="10">
        <v>4294967295</v>
      </c>
      <c r="G25" s="10">
        <v>1</v>
      </c>
      <c r="H25" s="10">
        <v>1</v>
      </c>
      <c r="I25" s="10" t="s">
        <v>322</v>
      </c>
      <c r="J25" s="10">
        <f t="shared" si="7"/>
        <v>43024</v>
      </c>
      <c r="K25" s="10" t="s">
        <v>323</v>
      </c>
      <c r="L25" s="10"/>
      <c r="M25" s="10"/>
      <c r="N25" s="55"/>
    </row>
    <row r="26" spans="2:14" ht="15.6" x14ac:dyDescent="0.3">
      <c r="B26" s="10" t="s">
        <v>3745</v>
      </c>
      <c r="C26" s="10">
        <v>4</v>
      </c>
      <c r="D26" s="10">
        <f t="shared" si="4"/>
        <v>2</v>
      </c>
      <c r="E26" s="10">
        <v>0</v>
      </c>
      <c r="F26" s="10">
        <v>4294967295</v>
      </c>
      <c r="G26" s="10">
        <v>1</v>
      </c>
      <c r="H26" s="10">
        <v>1</v>
      </c>
      <c r="I26" s="10" t="s">
        <v>322</v>
      </c>
      <c r="J26" s="10">
        <f t="shared" si="7"/>
        <v>43026</v>
      </c>
      <c r="K26" s="10" t="s">
        <v>323</v>
      </c>
      <c r="L26" s="10"/>
      <c r="M26" s="10"/>
      <c r="N26" s="55"/>
    </row>
    <row r="27" spans="2:14" ht="15.6" x14ac:dyDescent="0.3">
      <c r="B27" s="117" t="s">
        <v>3746</v>
      </c>
      <c r="C27" s="10">
        <v>4</v>
      </c>
      <c r="D27" s="10">
        <f t="shared" ref="D27:D32" si="8">C27/2</f>
        <v>2</v>
      </c>
      <c r="E27" s="10">
        <v>0</v>
      </c>
      <c r="F27" s="10">
        <v>4294967295</v>
      </c>
      <c r="G27" s="10">
        <v>1</v>
      </c>
      <c r="H27" s="10">
        <v>1</v>
      </c>
      <c r="I27" s="10" t="s">
        <v>322</v>
      </c>
      <c r="J27" s="10">
        <f t="shared" si="7"/>
        <v>43028</v>
      </c>
      <c r="K27" s="10" t="s">
        <v>323</v>
      </c>
      <c r="L27" s="10"/>
      <c r="M27" s="10"/>
      <c r="N27" s="55"/>
    </row>
    <row r="28" spans="2:14" ht="15.6" x14ac:dyDescent="0.3">
      <c r="B28" s="10" t="s">
        <v>3747</v>
      </c>
      <c r="C28" s="10">
        <v>2</v>
      </c>
      <c r="D28" s="10">
        <f t="shared" si="8"/>
        <v>1</v>
      </c>
      <c r="E28" s="10">
        <v>0</v>
      </c>
      <c r="F28" s="10">
        <v>65536</v>
      </c>
      <c r="G28" s="10">
        <v>1</v>
      </c>
      <c r="H28" s="10">
        <v>1</v>
      </c>
      <c r="I28" s="10" t="s">
        <v>322</v>
      </c>
      <c r="J28" s="10">
        <f t="shared" si="7"/>
        <v>43030</v>
      </c>
      <c r="K28" s="10" t="s">
        <v>323</v>
      </c>
      <c r="L28" s="10"/>
      <c r="M28" s="10"/>
      <c r="N28" s="55"/>
    </row>
    <row r="29" spans="2:14" ht="15.6" x14ac:dyDescent="0.3">
      <c r="B29" s="10" t="s">
        <v>3748</v>
      </c>
      <c r="C29" s="10">
        <v>2</v>
      </c>
      <c r="D29" s="10">
        <f t="shared" si="8"/>
        <v>1</v>
      </c>
      <c r="E29" s="10">
        <v>0</v>
      </c>
      <c r="F29" s="10">
        <v>65535</v>
      </c>
      <c r="G29" s="10">
        <v>1</v>
      </c>
      <c r="H29" s="10">
        <v>1</v>
      </c>
      <c r="I29" s="10" t="s">
        <v>322</v>
      </c>
      <c r="J29" s="10">
        <f t="shared" si="7"/>
        <v>43031</v>
      </c>
      <c r="K29" s="10" t="s">
        <v>323</v>
      </c>
      <c r="L29" s="10"/>
      <c r="M29" s="10"/>
      <c r="N29" s="55"/>
    </row>
    <row r="30" spans="2:14" ht="15.6" x14ac:dyDescent="0.3">
      <c r="B30" s="10" t="s">
        <v>3749</v>
      </c>
      <c r="C30" s="10">
        <v>4</v>
      </c>
      <c r="D30" s="10">
        <f t="shared" si="8"/>
        <v>2</v>
      </c>
      <c r="E30" s="10">
        <v>0</v>
      </c>
      <c r="F30" s="10">
        <v>4294967295</v>
      </c>
      <c r="G30" s="10">
        <v>1</v>
      </c>
      <c r="H30" s="10">
        <v>1</v>
      </c>
      <c r="I30" s="10" t="s">
        <v>322</v>
      </c>
      <c r="J30" s="10">
        <f t="shared" si="7"/>
        <v>43032</v>
      </c>
      <c r="K30" s="10" t="s">
        <v>323</v>
      </c>
      <c r="L30" s="10"/>
      <c r="M30" s="10"/>
      <c r="N30" s="55"/>
    </row>
    <row r="31" spans="2:14" ht="15.6" x14ac:dyDescent="0.3">
      <c r="B31" s="10" t="s">
        <v>3750</v>
      </c>
      <c r="C31" s="10">
        <v>4</v>
      </c>
      <c r="D31" s="10">
        <f t="shared" si="8"/>
        <v>2</v>
      </c>
      <c r="E31" s="10">
        <v>0</v>
      </c>
      <c r="F31" s="10">
        <v>4294967295</v>
      </c>
      <c r="G31" s="10">
        <v>1</v>
      </c>
      <c r="H31" s="10">
        <v>1</v>
      </c>
      <c r="I31" s="10" t="s">
        <v>322</v>
      </c>
      <c r="J31" s="10">
        <f t="shared" si="7"/>
        <v>43034</v>
      </c>
      <c r="K31" s="10" t="s">
        <v>323</v>
      </c>
      <c r="L31" s="10"/>
      <c r="M31" s="10"/>
      <c r="N31" s="55"/>
    </row>
    <row r="32" spans="2:14" ht="15.6" x14ac:dyDescent="0.3">
      <c r="B32" s="10" t="s">
        <v>3751</v>
      </c>
      <c r="C32" s="10">
        <v>4</v>
      </c>
      <c r="D32" s="10">
        <f t="shared" si="8"/>
        <v>2</v>
      </c>
      <c r="E32" s="10">
        <v>0</v>
      </c>
      <c r="F32" s="10">
        <v>4294967295</v>
      </c>
      <c r="G32" s="10">
        <v>1</v>
      </c>
      <c r="H32" s="10">
        <v>1</v>
      </c>
      <c r="I32" s="10" t="s">
        <v>322</v>
      </c>
      <c r="J32" s="10">
        <f t="shared" si="7"/>
        <v>43036</v>
      </c>
      <c r="K32" s="10" t="s">
        <v>323</v>
      </c>
      <c r="L32" s="10"/>
      <c r="M32" s="10"/>
      <c r="N32" s="55"/>
    </row>
    <row r="33" spans="2:14" ht="15.6" x14ac:dyDescent="0.3">
      <c r="B33" s="117" t="s">
        <v>3752</v>
      </c>
      <c r="C33" s="10">
        <v>4</v>
      </c>
      <c r="D33" s="10">
        <f t="shared" ref="D33:D62" si="9">C33/2</f>
        <v>2</v>
      </c>
      <c r="E33" s="10">
        <v>0</v>
      </c>
      <c r="F33" s="10">
        <v>4294967295</v>
      </c>
      <c r="G33" s="10">
        <v>1</v>
      </c>
      <c r="H33" s="10">
        <v>1</v>
      </c>
      <c r="I33" s="10" t="s">
        <v>322</v>
      </c>
      <c r="J33" s="10">
        <f t="shared" si="7"/>
        <v>43038</v>
      </c>
      <c r="K33" s="10" t="s">
        <v>323</v>
      </c>
      <c r="L33" s="10"/>
      <c r="M33" s="10"/>
      <c r="N33" s="55"/>
    </row>
    <row r="34" spans="2:14" ht="15.6" x14ac:dyDescent="0.3">
      <c r="B34" s="10" t="s">
        <v>3753</v>
      </c>
      <c r="C34" s="10">
        <v>2</v>
      </c>
      <c r="D34" s="10">
        <f t="shared" si="9"/>
        <v>1</v>
      </c>
      <c r="E34" s="10">
        <v>0</v>
      </c>
      <c r="F34" s="10">
        <v>65536</v>
      </c>
      <c r="G34" s="10">
        <v>1</v>
      </c>
      <c r="H34" s="10">
        <v>1</v>
      </c>
      <c r="I34" s="10" t="s">
        <v>322</v>
      </c>
      <c r="J34" s="10">
        <f t="shared" si="7"/>
        <v>43040</v>
      </c>
      <c r="K34" s="10" t="s">
        <v>323</v>
      </c>
      <c r="L34" s="10"/>
      <c r="M34" s="10"/>
      <c r="N34" s="55"/>
    </row>
    <row r="35" spans="2:14" ht="15.6" x14ac:dyDescent="0.3">
      <c r="B35" s="10" t="s">
        <v>3754</v>
      </c>
      <c r="C35" s="10">
        <v>2</v>
      </c>
      <c r="D35" s="10">
        <f t="shared" si="9"/>
        <v>1</v>
      </c>
      <c r="E35" s="10">
        <v>0</v>
      </c>
      <c r="F35" s="10">
        <v>65535</v>
      </c>
      <c r="G35" s="10">
        <v>1</v>
      </c>
      <c r="H35" s="10">
        <v>1</v>
      </c>
      <c r="I35" s="10" t="s">
        <v>322</v>
      </c>
      <c r="J35" s="10">
        <f t="shared" si="7"/>
        <v>43041</v>
      </c>
      <c r="K35" s="10" t="s">
        <v>323</v>
      </c>
      <c r="L35" s="10"/>
      <c r="M35" s="10"/>
      <c r="N35" s="55"/>
    </row>
    <row r="36" spans="2:14" ht="15.6" x14ac:dyDescent="0.3">
      <c r="B36" s="10" t="s">
        <v>3755</v>
      </c>
      <c r="C36" s="10">
        <v>4</v>
      </c>
      <c r="D36" s="10">
        <f t="shared" si="9"/>
        <v>2</v>
      </c>
      <c r="E36" s="10">
        <v>0</v>
      </c>
      <c r="F36" s="10">
        <v>4294967295</v>
      </c>
      <c r="G36" s="10">
        <v>1</v>
      </c>
      <c r="H36" s="10">
        <v>1</v>
      </c>
      <c r="I36" s="10" t="s">
        <v>322</v>
      </c>
      <c r="J36" s="10">
        <f t="shared" si="7"/>
        <v>43042</v>
      </c>
      <c r="K36" s="10" t="s">
        <v>323</v>
      </c>
      <c r="L36" s="10"/>
      <c r="M36" s="10"/>
      <c r="N36" s="55"/>
    </row>
    <row r="37" spans="2:14" ht="15.6" x14ac:dyDescent="0.3">
      <c r="B37" s="10" t="s">
        <v>3756</v>
      </c>
      <c r="C37" s="10">
        <v>4</v>
      </c>
      <c r="D37" s="10">
        <f t="shared" si="9"/>
        <v>2</v>
      </c>
      <c r="E37" s="10">
        <v>0</v>
      </c>
      <c r="F37" s="10">
        <v>4294967295</v>
      </c>
      <c r="G37" s="10">
        <v>1</v>
      </c>
      <c r="H37" s="10">
        <v>1</v>
      </c>
      <c r="I37" s="10" t="s">
        <v>322</v>
      </c>
      <c r="J37" s="10">
        <f t="shared" si="7"/>
        <v>43044</v>
      </c>
      <c r="K37" s="10" t="s">
        <v>323</v>
      </c>
      <c r="L37" s="10"/>
      <c r="M37" s="10"/>
      <c r="N37" s="55"/>
    </row>
    <row r="38" spans="2:14" ht="15.6" x14ac:dyDescent="0.3">
      <c r="B38" s="10" t="s">
        <v>3757</v>
      </c>
      <c r="C38" s="10">
        <v>4</v>
      </c>
      <c r="D38" s="10">
        <f t="shared" si="9"/>
        <v>2</v>
      </c>
      <c r="E38" s="10">
        <v>0</v>
      </c>
      <c r="F38" s="10">
        <v>4294967295</v>
      </c>
      <c r="G38" s="10">
        <v>1</v>
      </c>
      <c r="H38" s="10">
        <v>1</v>
      </c>
      <c r="I38" s="10" t="s">
        <v>322</v>
      </c>
      <c r="J38" s="10">
        <f t="shared" si="7"/>
        <v>43046</v>
      </c>
      <c r="K38" s="10" t="s">
        <v>323</v>
      </c>
      <c r="L38" s="10"/>
      <c r="M38" s="10"/>
      <c r="N38" s="55"/>
    </row>
    <row r="39" spans="2:14" ht="15.6" x14ac:dyDescent="0.3">
      <c r="B39" s="117" t="s">
        <v>3758</v>
      </c>
      <c r="C39" s="10">
        <v>4</v>
      </c>
      <c r="D39" s="10">
        <f t="shared" si="9"/>
        <v>2</v>
      </c>
      <c r="E39" s="10">
        <v>0</v>
      </c>
      <c r="F39" s="10">
        <v>4294967295</v>
      </c>
      <c r="G39" s="10">
        <v>1</v>
      </c>
      <c r="H39" s="10">
        <v>1</v>
      </c>
      <c r="I39" s="10" t="s">
        <v>322</v>
      </c>
      <c r="J39" s="10">
        <f t="shared" si="7"/>
        <v>43048</v>
      </c>
      <c r="K39" s="10" t="s">
        <v>323</v>
      </c>
      <c r="L39" s="10"/>
      <c r="M39" s="10"/>
      <c r="N39" s="55"/>
    </row>
    <row r="40" spans="2:14" ht="15.6" x14ac:dyDescent="0.3">
      <c r="B40" s="10" t="s">
        <v>3759</v>
      </c>
      <c r="C40" s="10">
        <v>2</v>
      </c>
      <c r="D40" s="10">
        <f t="shared" si="9"/>
        <v>1</v>
      </c>
      <c r="E40" s="10">
        <v>0</v>
      </c>
      <c r="F40" s="10">
        <v>65536</v>
      </c>
      <c r="G40" s="10">
        <v>1</v>
      </c>
      <c r="H40" s="10">
        <v>1</v>
      </c>
      <c r="I40" s="10" t="s">
        <v>322</v>
      </c>
      <c r="J40" s="10">
        <f t="shared" si="7"/>
        <v>43050</v>
      </c>
      <c r="K40" s="10" t="s">
        <v>323</v>
      </c>
      <c r="L40" s="10"/>
      <c r="M40" s="10"/>
      <c r="N40" s="55"/>
    </row>
    <row r="41" spans="2:14" ht="15.6" x14ac:dyDescent="0.3">
      <c r="B41" s="10" t="s">
        <v>3760</v>
      </c>
      <c r="C41" s="10">
        <v>2</v>
      </c>
      <c r="D41" s="10">
        <f t="shared" si="9"/>
        <v>1</v>
      </c>
      <c r="E41" s="10">
        <v>0</v>
      </c>
      <c r="F41" s="10">
        <v>65535</v>
      </c>
      <c r="G41" s="10">
        <v>1</v>
      </c>
      <c r="H41" s="10">
        <v>1</v>
      </c>
      <c r="I41" s="10" t="s">
        <v>322</v>
      </c>
      <c r="J41" s="10">
        <f t="shared" si="7"/>
        <v>43051</v>
      </c>
      <c r="K41" s="10" t="s">
        <v>323</v>
      </c>
      <c r="L41" s="10"/>
      <c r="M41" s="10"/>
      <c r="N41" s="55"/>
    </row>
    <row r="42" spans="2:14" ht="15.6" x14ac:dyDescent="0.3">
      <c r="B42" s="10" t="s">
        <v>3761</v>
      </c>
      <c r="C42" s="10">
        <v>4</v>
      </c>
      <c r="D42" s="10">
        <f t="shared" si="9"/>
        <v>2</v>
      </c>
      <c r="E42" s="10">
        <v>0</v>
      </c>
      <c r="F42" s="10">
        <v>4294967295</v>
      </c>
      <c r="G42" s="10">
        <v>1</v>
      </c>
      <c r="H42" s="10">
        <v>1</v>
      </c>
      <c r="I42" s="10" t="s">
        <v>322</v>
      </c>
      <c r="J42" s="10">
        <f t="shared" si="7"/>
        <v>43052</v>
      </c>
      <c r="K42" s="10" t="s">
        <v>323</v>
      </c>
      <c r="L42" s="10"/>
      <c r="M42" s="10"/>
      <c r="N42" s="55"/>
    </row>
    <row r="43" spans="2:14" ht="15.6" x14ac:dyDescent="0.3">
      <c r="B43" s="10" t="s">
        <v>3762</v>
      </c>
      <c r="C43" s="10">
        <v>4</v>
      </c>
      <c r="D43" s="10">
        <f t="shared" si="9"/>
        <v>2</v>
      </c>
      <c r="E43" s="10">
        <v>0</v>
      </c>
      <c r="F43" s="10">
        <v>4294967295</v>
      </c>
      <c r="G43" s="10">
        <v>1</v>
      </c>
      <c r="H43" s="10">
        <v>1</v>
      </c>
      <c r="I43" s="10" t="s">
        <v>322</v>
      </c>
      <c r="J43" s="10">
        <f t="shared" si="7"/>
        <v>43054</v>
      </c>
      <c r="K43" s="10" t="s">
        <v>323</v>
      </c>
      <c r="L43" s="10"/>
      <c r="M43" s="10"/>
      <c r="N43" s="55"/>
    </row>
    <row r="44" spans="2:14" ht="15.6" x14ac:dyDescent="0.3">
      <c r="B44" s="10" t="s">
        <v>3763</v>
      </c>
      <c r="C44" s="10">
        <v>4</v>
      </c>
      <c r="D44" s="10">
        <f t="shared" si="9"/>
        <v>2</v>
      </c>
      <c r="E44" s="10">
        <v>0</v>
      </c>
      <c r="F44" s="10">
        <v>4294967295</v>
      </c>
      <c r="G44" s="10">
        <v>1</v>
      </c>
      <c r="H44" s="10">
        <v>1</v>
      </c>
      <c r="I44" s="10" t="s">
        <v>322</v>
      </c>
      <c r="J44" s="10">
        <f t="shared" si="7"/>
        <v>43056</v>
      </c>
      <c r="K44" s="10" t="s">
        <v>323</v>
      </c>
      <c r="L44" s="10"/>
      <c r="M44" s="10"/>
      <c r="N44" s="55"/>
    </row>
    <row r="45" spans="2:14" ht="15.6" x14ac:dyDescent="0.3">
      <c r="B45" s="117" t="s">
        <v>3764</v>
      </c>
      <c r="C45" s="10">
        <v>4</v>
      </c>
      <c r="D45" s="10">
        <f t="shared" si="9"/>
        <v>2</v>
      </c>
      <c r="E45" s="10">
        <v>0</v>
      </c>
      <c r="F45" s="10">
        <v>4294967295</v>
      </c>
      <c r="G45" s="10">
        <v>1</v>
      </c>
      <c r="H45" s="10">
        <v>1</v>
      </c>
      <c r="I45" s="10" t="s">
        <v>322</v>
      </c>
      <c r="J45" s="10">
        <f t="shared" si="7"/>
        <v>43058</v>
      </c>
      <c r="K45" s="10" t="s">
        <v>323</v>
      </c>
      <c r="L45" s="10"/>
      <c r="M45" s="10"/>
      <c r="N45" s="55"/>
    </row>
    <row r="46" spans="2:14" ht="15.6" x14ac:dyDescent="0.3">
      <c r="B46" s="10" t="s">
        <v>3765</v>
      </c>
      <c r="C46" s="10">
        <v>2</v>
      </c>
      <c r="D46" s="10">
        <f t="shared" si="9"/>
        <v>1</v>
      </c>
      <c r="E46" s="10">
        <v>0</v>
      </c>
      <c r="F46" s="10">
        <v>65536</v>
      </c>
      <c r="G46" s="10">
        <v>1</v>
      </c>
      <c r="H46" s="10">
        <v>1</v>
      </c>
      <c r="I46" s="10" t="s">
        <v>322</v>
      </c>
      <c r="J46" s="10">
        <f t="shared" si="7"/>
        <v>43060</v>
      </c>
      <c r="K46" s="10" t="s">
        <v>323</v>
      </c>
      <c r="L46" s="10"/>
      <c r="M46" s="10"/>
      <c r="N46" s="55"/>
    </row>
    <row r="47" spans="2:14" ht="15.6" x14ac:dyDescent="0.3">
      <c r="B47" s="10" t="s">
        <v>3766</v>
      </c>
      <c r="C47" s="10">
        <v>2</v>
      </c>
      <c r="D47" s="10">
        <f t="shared" si="9"/>
        <v>1</v>
      </c>
      <c r="E47" s="10">
        <v>0</v>
      </c>
      <c r="F47" s="10">
        <v>65535</v>
      </c>
      <c r="G47" s="10">
        <v>1</v>
      </c>
      <c r="H47" s="10">
        <v>1</v>
      </c>
      <c r="I47" s="10" t="s">
        <v>322</v>
      </c>
      <c r="J47" s="10">
        <f t="shared" si="7"/>
        <v>43061</v>
      </c>
      <c r="K47" s="10" t="s">
        <v>323</v>
      </c>
      <c r="L47" s="10"/>
      <c r="M47" s="10"/>
      <c r="N47" s="55"/>
    </row>
    <row r="48" spans="2:14" ht="15.6" x14ac:dyDescent="0.3">
      <c r="B48" s="10" t="s">
        <v>3767</v>
      </c>
      <c r="C48" s="10">
        <v>4</v>
      </c>
      <c r="D48" s="10">
        <f t="shared" si="9"/>
        <v>2</v>
      </c>
      <c r="E48" s="10">
        <v>0</v>
      </c>
      <c r="F48" s="10">
        <v>4294967295</v>
      </c>
      <c r="G48" s="10">
        <v>1</v>
      </c>
      <c r="H48" s="10">
        <v>1</v>
      </c>
      <c r="I48" s="10" t="s">
        <v>322</v>
      </c>
      <c r="J48" s="10">
        <f t="shared" si="7"/>
        <v>43062</v>
      </c>
      <c r="K48" s="10" t="s">
        <v>323</v>
      </c>
      <c r="L48" s="10"/>
      <c r="M48" s="10"/>
      <c r="N48" s="55"/>
    </row>
    <row r="49" spans="2:14" ht="15.6" x14ac:dyDescent="0.3">
      <c r="B49" s="10" t="s">
        <v>3768</v>
      </c>
      <c r="C49" s="10">
        <v>4</v>
      </c>
      <c r="D49" s="10">
        <f t="shared" si="9"/>
        <v>2</v>
      </c>
      <c r="E49" s="10">
        <v>0</v>
      </c>
      <c r="F49" s="10">
        <v>4294967295</v>
      </c>
      <c r="G49" s="10">
        <v>1</v>
      </c>
      <c r="H49" s="10">
        <v>1</v>
      </c>
      <c r="I49" s="10" t="s">
        <v>322</v>
      </c>
      <c r="J49" s="10">
        <f t="shared" si="7"/>
        <v>43064</v>
      </c>
      <c r="K49" s="10" t="s">
        <v>323</v>
      </c>
      <c r="L49" s="10"/>
      <c r="M49" s="10"/>
      <c r="N49" s="55"/>
    </row>
    <row r="50" spans="2:14" ht="15.6" x14ac:dyDescent="0.3">
      <c r="B50" s="10" t="s">
        <v>3769</v>
      </c>
      <c r="C50" s="10">
        <v>4</v>
      </c>
      <c r="D50" s="10">
        <f t="shared" si="9"/>
        <v>2</v>
      </c>
      <c r="E50" s="10">
        <v>0</v>
      </c>
      <c r="F50" s="10">
        <v>4294967295</v>
      </c>
      <c r="G50" s="10">
        <v>1</v>
      </c>
      <c r="H50" s="10">
        <v>1</v>
      </c>
      <c r="I50" s="10" t="s">
        <v>322</v>
      </c>
      <c r="J50" s="10">
        <f t="shared" si="7"/>
        <v>43066</v>
      </c>
      <c r="K50" s="10" t="s">
        <v>323</v>
      </c>
      <c r="L50" s="10"/>
      <c r="M50" s="10"/>
      <c r="N50" s="55"/>
    </row>
    <row r="51" spans="2:14" ht="15.6" x14ac:dyDescent="0.3">
      <c r="B51" s="117" t="s">
        <v>3770</v>
      </c>
      <c r="C51" s="10">
        <v>4</v>
      </c>
      <c r="D51" s="10">
        <f t="shared" si="9"/>
        <v>2</v>
      </c>
      <c r="E51" s="10">
        <v>0</v>
      </c>
      <c r="F51" s="10">
        <v>4294967295</v>
      </c>
      <c r="G51" s="10">
        <v>1</v>
      </c>
      <c r="H51" s="10">
        <v>1</v>
      </c>
      <c r="I51" s="10" t="s">
        <v>322</v>
      </c>
      <c r="J51" s="10">
        <f t="shared" si="7"/>
        <v>43068</v>
      </c>
      <c r="K51" s="10" t="s">
        <v>323</v>
      </c>
      <c r="L51" s="10"/>
      <c r="M51" s="10"/>
      <c r="N51" s="55"/>
    </row>
    <row r="52" spans="2:14" ht="15.6" x14ac:dyDescent="0.3">
      <c r="B52" s="10" t="s">
        <v>3771</v>
      </c>
      <c r="C52" s="10">
        <v>2</v>
      </c>
      <c r="D52" s="10">
        <f t="shared" si="9"/>
        <v>1</v>
      </c>
      <c r="E52" s="10">
        <v>0</v>
      </c>
      <c r="F52" s="10">
        <v>65536</v>
      </c>
      <c r="G52" s="10">
        <v>1</v>
      </c>
      <c r="H52" s="10">
        <v>1</v>
      </c>
      <c r="I52" s="10" t="s">
        <v>322</v>
      </c>
      <c r="J52" s="10">
        <f t="shared" si="7"/>
        <v>43070</v>
      </c>
      <c r="K52" s="10" t="s">
        <v>323</v>
      </c>
      <c r="L52" s="10"/>
      <c r="M52" s="10"/>
      <c r="N52" s="55"/>
    </row>
    <row r="53" spans="2:14" ht="15.6" x14ac:dyDescent="0.3">
      <c r="B53" s="10" t="s">
        <v>3772</v>
      </c>
      <c r="C53" s="10">
        <v>2</v>
      </c>
      <c r="D53" s="10">
        <f t="shared" si="9"/>
        <v>1</v>
      </c>
      <c r="E53" s="10">
        <v>0</v>
      </c>
      <c r="F53" s="10">
        <v>65535</v>
      </c>
      <c r="G53" s="10">
        <v>1</v>
      </c>
      <c r="H53" s="10">
        <v>1</v>
      </c>
      <c r="I53" s="10" t="s">
        <v>322</v>
      </c>
      <c r="J53" s="10">
        <f t="shared" si="7"/>
        <v>43071</v>
      </c>
      <c r="K53" s="10" t="s">
        <v>323</v>
      </c>
      <c r="L53" s="10"/>
      <c r="M53" s="10"/>
      <c r="N53" s="55"/>
    </row>
    <row r="54" spans="2:14" ht="15.6" x14ac:dyDescent="0.3">
      <c r="B54" s="10" t="s">
        <v>3773</v>
      </c>
      <c r="C54" s="10">
        <v>4</v>
      </c>
      <c r="D54" s="10">
        <f t="shared" si="9"/>
        <v>2</v>
      </c>
      <c r="E54" s="10">
        <v>0</v>
      </c>
      <c r="F54" s="10">
        <v>4294967295</v>
      </c>
      <c r="G54" s="10">
        <v>1</v>
      </c>
      <c r="H54" s="10">
        <v>1</v>
      </c>
      <c r="I54" s="10" t="s">
        <v>322</v>
      </c>
      <c r="J54" s="10">
        <f t="shared" si="7"/>
        <v>43072</v>
      </c>
      <c r="K54" s="10" t="s">
        <v>323</v>
      </c>
      <c r="L54" s="10"/>
      <c r="M54" s="10"/>
      <c r="N54" s="55"/>
    </row>
    <row r="55" spans="2:14" ht="15.6" x14ac:dyDescent="0.3">
      <c r="B55" s="10" t="s">
        <v>3774</v>
      </c>
      <c r="C55" s="10">
        <v>4</v>
      </c>
      <c r="D55" s="10">
        <f t="shared" si="9"/>
        <v>2</v>
      </c>
      <c r="E55" s="10">
        <v>0</v>
      </c>
      <c r="F55" s="10">
        <v>4294967295</v>
      </c>
      <c r="G55" s="10">
        <v>1</v>
      </c>
      <c r="H55" s="10">
        <v>1</v>
      </c>
      <c r="I55" s="10" t="s">
        <v>322</v>
      </c>
      <c r="J55" s="10">
        <f t="shared" si="7"/>
        <v>43074</v>
      </c>
      <c r="K55" s="10" t="s">
        <v>323</v>
      </c>
      <c r="L55" s="10"/>
      <c r="M55" s="10"/>
      <c r="N55" s="55"/>
    </row>
    <row r="56" spans="2:14" ht="15.6" x14ac:dyDescent="0.3">
      <c r="B56" s="10" t="s">
        <v>3775</v>
      </c>
      <c r="C56" s="10">
        <v>4</v>
      </c>
      <c r="D56" s="10">
        <f t="shared" si="9"/>
        <v>2</v>
      </c>
      <c r="E56" s="10">
        <v>0</v>
      </c>
      <c r="F56" s="10">
        <v>4294967295</v>
      </c>
      <c r="G56" s="10">
        <v>1</v>
      </c>
      <c r="H56" s="10">
        <v>1</v>
      </c>
      <c r="I56" s="10" t="s">
        <v>322</v>
      </c>
      <c r="J56" s="10">
        <f t="shared" si="7"/>
        <v>43076</v>
      </c>
      <c r="K56" s="10" t="s">
        <v>323</v>
      </c>
      <c r="L56" s="10"/>
      <c r="M56" s="10"/>
      <c r="N56" s="55"/>
    </row>
    <row r="57" spans="2:14" ht="15.6" x14ac:dyDescent="0.3">
      <c r="B57" s="117" t="s">
        <v>3776</v>
      </c>
      <c r="C57" s="10">
        <v>4</v>
      </c>
      <c r="D57" s="10">
        <f t="shared" si="9"/>
        <v>2</v>
      </c>
      <c r="E57" s="10">
        <v>0</v>
      </c>
      <c r="F57" s="10">
        <v>4294967295</v>
      </c>
      <c r="G57" s="10">
        <v>1</v>
      </c>
      <c r="H57" s="10">
        <v>1</v>
      </c>
      <c r="I57" s="10" t="s">
        <v>322</v>
      </c>
      <c r="J57" s="10">
        <f t="shared" si="7"/>
        <v>43078</v>
      </c>
      <c r="K57" s="10" t="s">
        <v>323</v>
      </c>
      <c r="L57" s="10"/>
      <c r="M57" s="10"/>
      <c r="N57" s="55"/>
    </row>
    <row r="58" spans="2:14" ht="15.6" x14ac:dyDescent="0.3">
      <c r="B58" s="10" t="s">
        <v>3777</v>
      </c>
      <c r="C58" s="10">
        <v>2</v>
      </c>
      <c r="D58" s="10">
        <f t="shared" si="9"/>
        <v>1</v>
      </c>
      <c r="E58" s="10">
        <v>0</v>
      </c>
      <c r="F58" s="10">
        <v>65536</v>
      </c>
      <c r="G58" s="10">
        <v>1</v>
      </c>
      <c r="H58" s="10">
        <v>1</v>
      </c>
      <c r="I58" s="10" t="s">
        <v>322</v>
      </c>
      <c r="J58" s="10">
        <f t="shared" si="7"/>
        <v>43080</v>
      </c>
      <c r="K58" s="10" t="s">
        <v>323</v>
      </c>
      <c r="L58" s="10"/>
      <c r="M58" s="10"/>
      <c r="N58" s="55"/>
    </row>
    <row r="59" spans="2:14" ht="15.6" x14ac:dyDescent="0.3">
      <c r="B59" s="10" t="s">
        <v>3778</v>
      </c>
      <c r="C59" s="10">
        <v>2</v>
      </c>
      <c r="D59" s="10">
        <f t="shared" si="9"/>
        <v>1</v>
      </c>
      <c r="E59" s="10">
        <v>0</v>
      </c>
      <c r="F59" s="10">
        <v>65535</v>
      </c>
      <c r="G59" s="10">
        <v>1</v>
      </c>
      <c r="H59" s="10">
        <v>1</v>
      </c>
      <c r="I59" s="10" t="s">
        <v>322</v>
      </c>
      <c r="J59" s="10">
        <f t="shared" si="7"/>
        <v>43081</v>
      </c>
      <c r="K59" s="10" t="s">
        <v>323</v>
      </c>
      <c r="L59" s="10"/>
      <c r="M59" s="10"/>
      <c r="N59" s="55"/>
    </row>
    <row r="60" spans="2:14" ht="15.6" x14ac:dyDescent="0.3">
      <c r="B60" s="10" t="s">
        <v>3779</v>
      </c>
      <c r="C60" s="10">
        <v>4</v>
      </c>
      <c r="D60" s="10">
        <f t="shared" si="9"/>
        <v>2</v>
      </c>
      <c r="E60" s="10">
        <v>0</v>
      </c>
      <c r="F60" s="10">
        <v>4294967295</v>
      </c>
      <c r="G60" s="10">
        <v>1</v>
      </c>
      <c r="H60" s="10">
        <v>1</v>
      </c>
      <c r="I60" s="10" t="s">
        <v>322</v>
      </c>
      <c r="J60" s="10">
        <f t="shared" si="7"/>
        <v>43082</v>
      </c>
      <c r="K60" s="10" t="s">
        <v>323</v>
      </c>
      <c r="L60" s="10"/>
      <c r="M60" s="10"/>
      <c r="N60" s="55"/>
    </row>
    <row r="61" spans="2:14" ht="15.6" x14ac:dyDescent="0.3">
      <c r="B61" s="10" t="s">
        <v>3780</v>
      </c>
      <c r="C61" s="10">
        <v>4</v>
      </c>
      <c r="D61" s="10">
        <f t="shared" si="9"/>
        <v>2</v>
      </c>
      <c r="E61" s="10">
        <v>0</v>
      </c>
      <c r="F61" s="10">
        <v>4294967295</v>
      </c>
      <c r="G61" s="10">
        <v>1</v>
      </c>
      <c r="H61" s="10">
        <v>1</v>
      </c>
      <c r="I61" s="10" t="s">
        <v>322</v>
      </c>
      <c r="J61" s="10">
        <f t="shared" si="7"/>
        <v>43084</v>
      </c>
      <c r="K61" s="10" t="s">
        <v>323</v>
      </c>
      <c r="L61" s="10"/>
      <c r="M61" s="10"/>
      <c r="N61" s="55"/>
    </row>
    <row r="62" spans="2:14" ht="15.6" x14ac:dyDescent="0.3">
      <c r="B62" s="10" t="s">
        <v>3781</v>
      </c>
      <c r="C62" s="10">
        <v>4</v>
      </c>
      <c r="D62" s="10">
        <f t="shared" si="9"/>
        <v>2</v>
      </c>
      <c r="E62" s="10">
        <v>0</v>
      </c>
      <c r="F62" s="10">
        <v>4294967295</v>
      </c>
      <c r="G62" s="10">
        <v>1</v>
      </c>
      <c r="H62" s="10">
        <v>1</v>
      </c>
      <c r="I62" s="10" t="s">
        <v>322</v>
      </c>
      <c r="J62" s="10">
        <f t="shared" si="7"/>
        <v>43086</v>
      </c>
      <c r="K62" s="10" t="s">
        <v>323</v>
      </c>
      <c r="L62" s="10"/>
      <c r="M62" s="10"/>
      <c r="N62" s="55"/>
    </row>
    <row r="63" spans="2:14" ht="15.6" x14ac:dyDescent="0.3">
      <c r="B63" s="117" t="s">
        <v>3782</v>
      </c>
      <c r="C63" s="10">
        <v>4</v>
      </c>
      <c r="D63" s="10">
        <f t="shared" ref="D63:D68" si="10">C63/2</f>
        <v>2</v>
      </c>
      <c r="E63" s="10">
        <v>0</v>
      </c>
      <c r="F63" s="10">
        <v>4294967295</v>
      </c>
      <c r="G63" s="10">
        <v>1</v>
      </c>
      <c r="H63" s="10">
        <v>1</v>
      </c>
      <c r="I63" s="10" t="s">
        <v>322</v>
      </c>
      <c r="J63" s="10">
        <f t="shared" si="7"/>
        <v>43088</v>
      </c>
      <c r="K63" s="10" t="s">
        <v>323</v>
      </c>
      <c r="L63" s="10"/>
      <c r="M63" s="10"/>
      <c r="N63" s="55"/>
    </row>
    <row r="64" spans="2:14" ht="15.6" x14ac:dyDescent="0.3">
      <c r="B64" s="10" t="s">
        <v>3783</v>
      </c>
      <c r="C64" s="10">
        <v>2</v>
      </c>
      <c r="D64" s="10">
        <f t="shared" si="10"/>
        <v>1</v>
      </c>
      <c r="E64" s="10">
        <v>0</v>
      </c>
      <c r="F64" s="10">
        <v>65536</v>
      </c>
      <c r="G64" s="10">
        <v>1</v>
      </c>
      <c r="H64" s="10">
        <v>1</v>
      </c>
      <c r="I64" s="10" t="s">
        <v>322</v>
      </c>
      <c r="J64" s="10">
        <f t="shared" si="7"/>
        <v>43090</v>
      </c>
      <c r="K64" s="10" t="s">
        <v>323</v>
      </c>
      <c r="L64" s="10"/>
      <c r="M64" s="10"/>
      <c r="N64" s="55"/>
    </row>
    <row r="65" spans="1:15" ht="15.6" x14ac:dyDescent="0.3">
      <c r="B65" s="10" t="s">
        <v>3784</v>
      </c>
      <c r="C65" s="10">
        <v>2</v>
      </c>
      <c r="D65" s="10">
        <f t="shared" si="10"/>
        <v>1</v>
      </c>
      <c r="E65" s="10">
        <v>0</v>
      </c>
      <c r="F65" s="10">
        <v>65535</v>
      </c>
      <c r="G65" s="10">
        <v>1</v>
      </c>
      <c r="H65" s="10">
        <v>1</v>
      </c>
      <c r="I65" s="10" t="s">
        <v>322</v>
      </c>
      <c r="J65" s="10">
        <f t="shared" si="7"/>
        <v>43091</v>
      </c>
      <c r="K65" s="10" t="s">
        <v>323</v>
      </c>
      <c r="L65" s="10"/>
      <c r="M65" s="10"/>
      <c r="N65" s="55"/>
    </row>
    <row r="66" spans="1:15" ht="15.6" x14ac:dyDescent="0.3">
      <c r="B66" s="10" t="s">
        <v>3785</v>
      </c>
      <c r="C66" s="10">
        <v>4</v>
      </c>
      <c r="D66" s="10">
        <f t="shared" si="10"/>
        <v>2</v>
      </c>
      <c r="E66" s="10">
        <v>0</v>
      </c>
      <c r="F66" s="10">
        <v>4294967295</v>
      </c>
      <c r="G66" s="10">
        <v>1</v>
      </c>
      <c r="H66" s="10">
        <v>1</v>
      </c>
      <c r="I66" s="10" t="s">
        <v>322</v>
      </c>
      <c r="J66" s="10">
        <f t="shared" si="7"/>
        <v>43092</v>
      </c>
      <c r="K66" s="10" t="s">
        <v>323</v>
      </c>
      <c r="L66" s="10"/>
      <c r="M66" s="10"/>
      <c r="N66" s="55"/>
    </row>
    <row r="67" spans="1:15" ht="15.6" x14ac:dyDescent="0.3">
      <c r="B67" s="10" t="s">
        <v>3786</v>
      </c>
      <c r="C67" s="10">
        <v>4</v>
      </c>
      <c r="D67" s="10">
        <f t="shared" si="10"/>
        <v>2</v>
      </c>
      <c r="E67" s="10">
        <v>0</v>
      </c>
      <c r="F67" s="10">
        <v>4294967295</v>
      </c>
      <c r="G67" s="10">
        <v>1</v>
      </c>
      <c r="H67" s="10">
        <v>1</v>
      </c>
      <c r="I67" s="10" t="s">
        <v>322</v>
      </c>
      <c r="J67" s="10">
        <f t="shared" si="7"/>
        <v>43094</v>
      </c>
      <c r="K67" s="10" t="s">
        <v>323</v>
      </c>
      <c r="L67" s="10"/>
      <c r="M67" s="10"/>
      <c r="N67" s="55"/>
    </row>
    <row r="68" spans="1:15" ht="15.6" x14ac:dyDescent="0.3">
      <c r="B68" s="10" t="s">
        <v>3787</v>
      </c>
      <c r="C68" s="10">
        <v>4</v>
      </c>
      <c r="D68" s="10">
        <f t="shared" si="10"/>
        <v>2</v>
      </c>
      <c r="E68" s="10">
        <v>0</v>
      </c>
      <c r="F68" s="10">
        <v>4294967295</v>
      </c>
      <c r="G68" s="10">
        <v>1</v>
      </c>
      <c r="H68" s="10">
        <v>1</v>
      </c>
      <c r="I68" s="10" t="s">
        <v>322</v>
      </c>
      <c r="J68" s="10">
        <f t="shared" si="7"/>
        <v>43096</v>
      </c>
      <c r="K68" s="10" t="s">
        <v>323</v>
      </c>
      <c r="L68" s="10"/>
      <c r="M68" s="10"/>
      <c r="N68" s="55"/>
    </row>
    <row r="69" spans="1:15" ht="15.6" x14ac:dyDescent="0.3">
      <c r="B69" s="496" t="s">
        <v>3788</v>
      </c>
      <c r="C69" s="496"/>
      <c r="D69" s="496"/>
      <c r="E69" s="496"/>
      <c r="F69" s="496"/>
      <c r="G69" s="496"/>
      <c r="H69" s="496"/>
      <c r="I69" s="496"/>
      <c r="J69" s="496"/>
      <c r="K69" s="496"/>
      <c r="L69" s="496"/>
      <c r="M69" s="496"/>
      <c r="N69" s="496"/>
    </row>
    <row r="70" spans="1:15" ht="15.6" x14ac:dyDescent="0.3">
      <c r="B70" s="10" t="s">
        <v>3789</v>
      </c>
      <c r="C70" s="10">
        <v>4</v>
      </c>
      <c r="D70" s="10">
        <f t="shared" ref="D70:D75" si="11">C70/2</f>
        <v>2</v>
      </c>
      <c r="E70" s="10">
        <v>0</v>
      </c>
      <c r="F70" s="10">
        <v>4294967295</v>
      </c>
      <c r="G70" s="10">
        <v>1</v>
      </c>
      <c r="H70" s="10">
        <v>1</v>
      </c>
      <c r="I70" s="10" t="s">
        <v>322</v>
      </c>
      <c r="J70" s="10">
        <f>J68+D68</f>
        <v>43098</v>
      </c>
      <c r="K70" s="10" t="s">
        <v>323</v>
      </c>
      <c r="L70" s="55"/>
      <c r="M70" s="55"/>
      <c r="N70" s="55"/>
    </row>
    <row r="71" spans="1:15" ht="15.6" x14ac:dyDescent="0.3">
      <c r="B71" s="10" t="s">
        <v>3790</v>
      </c>
      <c r="C71" s="10">
        <v>4</v>
      </c>
      <c r="D71" s="10">
        <f t="shared" si="11"/>
        <v>2</v>
      </c>
      <c r="E71" s="10">
        <v>0</v>
      </c>
      <c r="F71" s="10">
        <v>4294967295</v>
      </c>
      <c r="G71" s="10">
        <v>1</v>
      </c>
      <c r="H71" s="10">
        <v>1</v>
      </c>
      <c r="I71" s="10" t="s">
        <v>322</v>
      </c>
      <c r="J71" s="10">
        <f t="shared" ref="J71:J75" si="12">J70+D70</f>
        <v>43100</v>
      </c>
      <c r="K71" s="10" t="s">
        <v>323</v>
      </c>
      <c r="L71" s="55"/>
      <c r="M71" s="55"/>
      <c r="N71" s="55"/>
    </row>
    <row r="72" spans="1:15" ht="109.2" x14ac:dyDescent="0.3">
      <c r="B72" s="10" t="s">
        <v>3791</v>
      </c>
      <c r="C72" s="10">
        <v>2</v>
      </c>
      <c r="D72" s="10">
        <f t="shared" si="11"/>
        <v>1</v>
      </c>
      <c r="E72" s="10">
        <v>0</v>
      </c>
      <c r="F72" s="10">
        <v>6</v>
      </c>
      <c r="G72" s="10">
        <v>1</v>
      </c>
      <c r="H72" s="10">
        <v>1</v>
      </c>
      <c r="I72" s="10" t="s">
        <v>322</v>
      </c>
      <c r="J72" s="10">
        <f t="shared" si="12"/>
        <v>43102</v>
      </c>
      <c r="K72" s="10" t="s">
        <v>323</v>
      </c>
      <c r="L72" s="55"/>
      <c r="M72" s="55"/>
      <c r="N72" s="110" t="s">
        <v>929</v>
      </c>
      <c r="O72" s="110"/>
    </row>
    <row r="73" spans="1:15" ht="46.8" x14ac:dyDescent="0.3">
      <c r="B73" s="10" t="s">
        <v>926</v>
      </c>
      <c r="C73" s="10">
        <v>2</v>
      </c>
      <c r="D73" s="10">
        <f t="shared" si="11"/>
        <v>1</v>
      </c>
      <c r="E73" s="10">
        <v>0</v>
      </c>
      <c r="F73" s="10">
        <v>2</v>
      </c>
      <c r="G73" s="10">
        <v>1</v>
      </c>
      <c r="H73" s="10">
        <v>1</v>
      </c>
      <c r="I73" s="10" t="s">
        <v>322</v>
      </c>
      <c r="J73" s="10">
        <f t="shared" si="12"/>
        <v>43103</v>
      </c>
      <c r="K73" s="10" t="s">
        <v>323</v>
      </c>
      <c r="L73" s="55"/>
      <c r="M73" s="55"/>
      <c r="N73" s="110" t="s">
        <v>927</v>
      </c>
    </row>
    <row r="74" spans="1:15" ht="43.2" x14ac:dyDescent="0.3">
      <c r="B74" s="10" t="s">
        <v>3792</v>
      </c>
      <c r="C74" s="10">
        <v>2</v>
      </c>
      <c r="D74" s="10">
        <f t="shared" si="11"/>
        <v>1</v>
      </c>
      <c r="E74" s="10">
        <v>0</v>
      </c>
      <c r="F74" s="10">
        <v>2</v>
      </c>
      <c r="G74" s="10">
        <v>1</v>
      </c>
      <c r="H74" s="10">
        <v>1</v>
      </c>
      <c r="I74" s="10" t="s">
        <v>322</v>
      </c>
      <c r="J74" s="10">
        <f t="shared" si="12"/>
        <v>43104</v>
      </c>
      <c r="K74" s="10" t="s">
        <v>323</v>
      </c>
      <c r="L74" s="55"/>
      <c r="M74" s="55"/>
      <c r="N74" s="133" t="s">
        <v>3793</v>
      </c>
    </row>
    <row r="75" spans="1:15" ht="15.6" x14ac:dyDescent="0.3">
      <c r="B75" s="10" t="s">
        <v>3794</v>
      </c>
      <c r="C75" s="10">
        <v>2</v>
      </c>
      <c r="D75" s="10">
        <f t="shared" si="11"/>
        <v>1</v>
      </c>
      <c r="E75" s="10">
        <v>1</v>
      </c>
      <c r="F75" s="10">
        <v>247</v>
      </c>
      <c r="G75" s="10">
        <v>1</v>
      </c>
      <c r="H75" s="10">
        <v>1</v>
      </c>
      <c r="I75" s="10" t="s">
        <v>322</v>
      </c>
      <c r="J75" s="10">
        <f t="shared" si="12"/>
        <v>43105</v>
      </c>
      <c r="K75" s="10" t="s">
        <v>323</v>
      </c>
      <c r="L75" s="55"/>
      <c r="M75" s="55"/>
      <c r="N75" s="55"/>
    </row>
    <row r="76" spans="1:15" ht="15.6" x14ac:dyDescent="0.3">
      <c r="A76" t="s">
        <v>3732</v>
      </c>
      <c r="B76" s="496" t="s">
        <v>3795</v>
      </c>
      <c r="C76" s="496"/>
      <c r="D76" s="496"/>
      <c r="E76" s="496"/>
      <c r="F76" s="496"/>
      <c r="G76" s="496"/>
      <c r="H76" s="496"/>
      <c r="I76" s="496"/>
      <c r="J76" s="496"/>
      <c r="K76" s="496"/>
      <c r="L76" s="496"/>
      <c r="M76" s="496"/>
      <c r="N76" s="496"/>
    </row>
    <row r="77" spans="1:15" ht="15.6" x14ac:dyDescent="0.3">
      <c r="B77" s="10" t="s">
        <v>3796</v>
      </c>
      <c r="C77" s="72">
        <v>2</v>
      </c>
      <c r="D77" s="10">
        <f t="shared" ref="D77:D104" si="13">C77/2</f>
        <v>1</v>
      </c>
      <c r="E77" s="10">
        <v>0</v>
      </c>
      <c r="F77" s="10">
        <v>1</v>
      </c>
      <c r="G77" s="10">
        <v>1</v>
      </c>
      <c r="H77" s="10">
        <v>1</v>
      </c>
      <c r="I77" s="10" t="s">
        <v>322</v>
      </c>
      <c r="J77" s="10">
        <f>J75+D75</f>
        <v>43106</v>
      </c>
      <c r="K77" s="10" t="s">
        <v>323</v>
      </c>
      <c r="L77" s="55"/>
      <c r="M77" s="55"/>
      <c r="N77" s="55" t="s">
        <v>3797</v>
      </c>
    </row>
    <row r="78" spans="1:15" ht="15.6" x14ac:dyDescent="0.3">
      <c r="B78" s="10" t="s">
        <v>3798</v>
      </c>
      <c r="C78" s="72">
        <v>16</v>
      </c>
      <c r="D78" s="10">
        <f t="shared" si="13"/>
        <v>8</v>
      </c>
      <c r="E78" s="10">
        <v>1</v>
      </c>
      <c r="F78" s="10">
        <v>65535</v>
      </c>
      <c r="G78" s="10">
        <v>1</v>
      </c>
      <c r="H78" s="10">
        <v>1</v>
      </c>
      <c r="I78" s="10" t="s">
        <v>322</v>
      </c>
      <c r="J78" s="10">
        <f t="shared" ref="J78:J104" si="14">J77+D77</f>
        <v>43107</v>
      </c>
      <c r="K78" s="10" t="s">
        <v>323</v>
      </c>
      <c r="L78" s="55"/>
      <c r="M78" s="55"/>
      <c r="N78" s="55"/>
    </row>
    <row r="79" spans="1:15" ht="15.6" x14ac:dyDescent="0.3">
      <c r="B79" s="10" t="s">
        <v>3799</v>
      </c>
      <c r="C79" s="72">
        <v>16</v>
      </c>
      <c r="D79" s="10">
        <f t="shared" si="13"/>
        <v>8</v>
      </c>
      <c r="E79" s="10">
        <v>1</v>
      </c>
      <c r="F79" s="10">
        <v>65535</v>
      </c>
      <c r="G79" s="10">
        <v>1</v>
      </c>
      <c r="H79" s="10">
        <v>1</v>
      </c>
      <c r="I79" s="10" t="s">
        <v>322</v>
      </c>
      <c r="J79" s="10">
        <f t="shared" si="14"/>
        <v>43115</v>
      </c>
      <c r="K79" s="10" t="s">
        <v>323</v>
      </c>
      <c r="L79" s="55"/>
      <c r="M79" s="55"/>
      <c r="N79" s="55"/>
    </row>
    <row r="80" spans="1:15" ht="15.6" x14ac:dyDescent="0.3">
      <c r="B80" s="10" t="s">
        <v>3800</v>
      </c>
      <c r="C80" s="72">
        <v>2</v>
      </c>
      <c r="D80" s="10">
        <f t="shared" si="13"/>
        <v>1</v>
      </c>
      <c r="E80" s="10">
        <v>1</v>
      </c>
      <c r="F80" s="10">
        <v>65535</v>
      </c>
      <c r="G80" s="10">
        <v>1</v>
      </c>
      <c r="H80" s="10">
        <v>1</v>
      </c>
      <c r="I80" s="10" t="s">
        <v>322</v>
      </c>
      <c r="J80" s="10">
        <f t="shared" si="14"/>
        <v>43123</v>
      </c>
      <c r="K80" s="10" t="s">
        <v>323</v>
      </c>
      <c r="L80" s="55"/>
      <c r="M80" s="55"/>
      <c r="N80" s="55"/>
    </row>
    <row r="81" spans="2:14" ht="15.6" x14ac:dyDescent="0.3">
      <c r="B81" s="10" t="s">
        <v>3801</v>
      </c>
      <c r="C81" s="72">
        <v>2</v>
      </c>
      <c r="D81" s="10">
        <f t="shared" si="13"/>
        <v>1</v>
      </c>
      <c r="E81" s="10">
        <v>0</v>
      </c>
      <c r="F81" s="10">
        <v>65535</v>
      </c>
      <c r="G81" s="10">
        <v>1</v>
      </c>
      <c r="H81" s="10">
        <v>1</v>
      </c>
      <c r="I81" s="10" t="s">
        <v>322</v>
      </c>
      <c r="J81" s="10">
        <f t="shared" si="14"/>
        <v>43124</v>
      </c>
      <c r="K81" s="10" t="s">
        <v>323</v>
      </c>
      <c r="L81" s="55"/>
      <c r="M81" s="55"/>
      <c r="N81" s="55"/>
    </row>
    <row r="82" spans="2:14" ht="15.6" x14ac:dyDescent="0.3">
      <c r="B82" s="10" t="s">
        <v>3802</v>
      </c>
      <c r="C82" s="72">
        <v>2</v>
      </c>
      <c r="D82" s="10">
        <f t="shared" si="13"/>
        <v>1</v>
      </c>
      <c r="E82" s="10">
        <v>1</v>
      </c>
      <c r="F82" s="10">
        <v>65535</v>
      </c>
      <c r="G82" s="10">
        <v>1</v>
      </c>
      <c r="H82" s="10">
        <v>1</v>
      </c>
      <c r="I82" s="10" t="s">
        <v>322</v>
      </c>
      <c r="J82" s="10">
        <f t="shared" si="14"/>
        <v>43125</v>
      </c>
      <c r="K82" s="10" t="s">
        <v>323</v>
      </c>
      <c r="L82" s="55"/>
      <c r="M82" s="55"/>
      <c r="N82" s="55"/>
    </row>
    <row r="83" spans="2:14" ht="15.6" x14ac:dyDescent="0.3">
      <c r="B83" s="10" t="s">
        <v>3803</v>
      </c>
      <c r="C83" s="72">
        <v>2</v>
      </c>
      <c r="D83" s="10">
        <f t="shared" si="13"/>
        <v>1</v>
      </c>
      <c r="E83" s="10">
        <v>1</v>
      </c>
      <c r="F83" s="10">
        <v>10</v>
      </c>
      <c r="G83" s="10">
        <v>1</v>
      </c>
      <c r="H83" s="10">
        <v>1</v>
      </c>
      <c r="I83" s="10" t="s">
        <v>322</v>
      </c>
      <c r="J83" s="10">
        <f t="shared" si="14"/>
        <v>43126</v>
      </c>
      <c r="K83" s="10" t="s">
        <v>323</v>
      </c>
      <c r="L83" s="55"/>
      <c r="M83" s="55"/>
      <c r="N83" s="55"/>
    </row>
    <row r="84" spans="2:14" ht="15.6" x14ac:dyDescent="0.3">
      <c r="B84" s="10" t="s">
        <v>3804</v>
      </c>
      <c r="C84" s="72">
        <v>2</v>
      </c>
      <c r="D84" s="10">
        <f t="shared" si="13"/>
        <v>1</v>
      </c>
      <c r="E84" s="10">
        <v>1</v>
      </c>
      <c r="F84" s="10">
        <v>10</v>
      </c>
      <c r="G84" s="10">
        <v>1</v>
      </c>
      <c r="H84" s="10">
        <v>1</v>
      </c>
      <c r="I84" s="10" t="s">
        <v>322</v>
      </c>
      <c r="J84" s="10">
        <f t="shared" si="14"/>
        <v>43127</v>
      </c>
      <c r="K84" s="10" t="s">
        <v>323</v>
      </c>
      <c r="L84" s="55"/>
      <c r="M84" s="55"/>
      <c r="N84" s="55"/>
    </row>
    <row r="85" spans="2:14" ht="15.6" x14ac:dyDescent="0.3">
      <c r="B85" s="10" t="s">
        <v>3805</v>
      </c>
      <c r="C85" s="72">
        <v>2</v>
      </c>
      <c r="D85" s="10">
        <f t="shared" si="13"/>
        <v>1</v>
      </c>
      <c r="E85" s="10">
        <v>4</v>
      </c>
      <c r="F85" s="10">
        <v>30</v>
      </c>
      <c r="G85" s="10">
        <v>1</v>
      </c>
      <c r="H85" s="10">
        <v>1</v>
      </c>
      <c r="I85" s="10" t="s">
        <v>322</v>
      </c>
      <c r="J85" s="10">
        <f t="shared" si="14"/>
        <v>43128</v>
      </c>
      <c r="K85" s="10" t="s">
        <v>323</v>
      </c>
      <c r="L85" s="55"/>
      <c r="M85" s="55"/>
      <c r="N85" s="55"/>
    </row>
    <row r="86" spans="2:14" ht="15.6" x14ac:dyDescent="0.3">
      <c r="B86" s="10" t="s">
        <v>3806</v>
      </c>
      <c r="C86" s="72">
        <v>2</v>
      </c>
      <c r="D86" s="10">
        <f t="shared" si="13"/>
        <v>1</v>
      </c>
      <c r="E86" s="10">
        <v>4</v>
      </c>
      <c r="F86" s="10">
        <v>30</v>
      </c>
      <c r="G86" s="10">
        <v>1</v>
      </c>
      <c r="H86" s="10">
        <v>1</v>
      </c>
      <c r="I86" s="10" t="s">
        <v>322</v>
      </c>
      <c r="J86" s="10">
        <f t="shared" si="14"/>
        <v>43129</v>
      </c>
      <c r="K86" s="10" t="s">
        <v>323</v>
      </c>
      <c r="L86" s="55"/>
      <c r="M86" s="55"/>
      <c r="N86" s="55"/>
    </row>
    <row r="87" spans="2:14" ht="15.6" x14ac:dyDescent="0.3">
      <c r="B87" s="10" t="s">
        <v>3807</v>
      </c>
      <c r="C87" s="72">
        <v>2</v>
      </c>
      <c r="D87" s="10">
        <f t="shared" si="13"/>
        <v>1</v>
      </c>
      <c r="E87" s="10">
        <v>6</v>
      </c>
      <c r="F87" s="10">
        <v>40</v>
      </c>
      <c r="G87" s="10">
        <v>1</v>
      </c>
      <c r="H87" s="10">
        <v>1</v>
      </c>
      <c r="I87" s="10" t="s">
        <v>322</v>
      </c>
      <c r="J87" s="10">
        <f t="shared" si="14"/>
        <v>43130</v>
      </c>
      <c r="K87" s="10" t="s">
        <v>323</v>
      </c>
      <c r="L87" s="55"/>
      <c r="M87" s="55"/>
      <c r="N87" s="55"/>
    </row>
    <row r="88" spans="2:14" ht="15.6" x14ac:dyDescent="0.3">
      <c r="B88" s="10" t="s">
        <v>3808</v>
      </c>
      <c r="C88" s="72">
        <v>2</v>
      </c>
      <c r="D88" s="10">
        <f t="shared" si="13"/>
        <v>1</v>
      </c>
      <c r="E88" s="10">
        <v>6</v>
      </c>
      <c r="F88" s="10">
        <v>40</v>
      </c>
      <c r="G88" s="10">
        <v>1</v>
      </c>
      <c r="H88" s="10">
        <v>1</v>
      </c>
      <c r="I88" s="10" t="s">
        <v>322</v>
      </c>
      <c r="J88" s="10">
        <f t="shared" si="14"/>
        <v>43131</v>
      </c>
      <c r="K88" s="10" t="s">
        <v>323</v>
      </c>
      <c r="L88" s="55"/>
      <c r="M88" s="55"/>
      <c r="N88" s="55"/>
    </row>
    <row r="89" spans="2:14" ht="15.6" x14ac:dyDescent="0.3">
      <c r="B89" s="117" t="s">
        <v>3809</v>
      </c>
      <c r="C89" s="72">
        <v>2</v>
      </c>
      <c r="D89" s="10">
        <f t="shared" si="13"/>
        <v>1</v>
      </c>
      <c r="E89" s="10">
        <v>0</v>
      </c>
      <c r="F89" s="10">
        <v>5</v>
      </c>
      <c r="G89" s="10">
        <v>1</v>
      </c>
      <c r="H89" s="10">
        <v>1</v>
      </c>
      <c r="I89" s="10" t="s">
        <v>322</v>
      </c>
      <c r="J89" s="10">
        <f t="shared" si="14"/>
        <v>43132</v>
      </c>
      <c r="K89" s="10" t="s">
        <v>323</v>
      </c>
      <c r="L89" s="55"/>
      <c r="M89" s="55"/>
      <c r="N89" s="55"/>
    </row>
    <row r="90" spans="2:14" ht="15.6" x14ac:dyDescent="0.3">
      <c r="B90" s="10" t="s">
        <v>3810</v>
      </c>
      <c r="C90" s="72">
        <v>2</v>
      </c>
      <c r="D90" s="10">
        <f t="shared" si="13"/>
        <v>1</v>
      </c>
      <c r="E90" s="10">
        <v>0</v>
      </c>
      <c r="F90" s="10">
        <v>3</v>
      </c>
      <c r="G90" s="10">
        <v>1</v>
      </c>
      <c r="H90" s="10">
        <v>1</v>
      </c>
      <c r="I90" s="10" t="s">
        <v>322</v>
      </c>
      <c r="J90" s="10">
        <f t="shared" si="14"/>
        <v>43133</v>
      </c>
      <c r="K90" s="10" t="s">
        <v>323</v>
      </c>
      <c r="L90" s="55"/>
      <c r="M90" s="55"/>
      <c r="N90" s="55"/>
    </row>
    <row r="91" spans="2:14" ht="15.6" x14ac:dyDescent="0.3">
      <c r="B91" s="10" t="s">
        <v>3811</v>
      </c>
      <c r="C91" s="72">
        <v>2</v>
      </c>
      <c r="D91" s="10">
        <f t="shared" si="13"/>
        <v>1</v>
      </c>
      <c r="E91" s="10">
        <v>0</v>
      </c>
      <c r="F91" s="10">
        <v>65535</v>
      </c>
      <c r="G91" s="10">
        <v>1</v>
      </c>
      <c r="H91" s="10">
        <v>1</v>
      </c>
      <c r="I91" s="10" t="s">
        <v>322</v>
      </c>
      <c r="J91" s="10">
        <f t="shared" si="14"/>
        <v>43134</v>
      </c>
      <c r="K91" s="10" t="s">
        <v>323</v>
      </c>
      <c r="L91" s="55"/>
      <c r="M91" s="55"/>
      <c r="N91" s="55" t="s">
        <v>3812</v>
      </c>
    </row>
    <row r="92" spans="2:14" ht="15.6" x14ac:dyDescent="0.3">
      <c r="B92" s="10" t="s">
        <v>3681</v>
      </c>
      <c r="C92" s="72">
        <v>2</v>
      </c>
      <c r="D92" s="10">
        <f t="shared" si="13"/>
        <v>1</v>
      </c>
      <c r="E92" s="10">
        <v>0</v>
      </c>
      <c r="F92" s="10">
        <v>4294967295</v>
      </c>
      <c r="G92" s="10">
        <v>1</v>
      </c>
      <c r="H92" s="10">
        <v>1</v>
      </c>
      <c r="I92" s="10" t="s">
        <v>322</v>
      </c>
      <c r="J92" s="10">
        <f t="shared" si="14"/>
        <v>43135</v>
      </c>
      <c r="K92" s="10" t="s">
        <v>323</v>
      </c>
      <c r="L92" s="55"/>
      <c r="M92" s="55"/>
      <c r="N92" s="55" t="s">
        <v>3813</v>
      </c>
    </row>
    <row r="93" spans="2:14" ht="15.6" x14ac:dyDescent="0.3">
      <c r="B93" s="10" t="s">
        <v>3814</v>
      </c>
      <c r="C93" s="72">
        <v>4</v>
      </c>
      <c r="D93" s="10">
        <f t="shared" si="13"/>
        <v>2</v>
      </c>
      <c r="E93" s="10">
        <v>0</v>
      </c>
      <c r="F93" s="10">
        <v>4294967295</v>
      </c>
      <c r="G93" s="10">
        <v>1</v>
      </c>
      <c r="H93" s="10">
        <v>1</v>
      </c>
      <c r="I93" s="10" t="s">
        <v>322</v>
      </c>
      <c r="J93" s="10">
        <f t="shared" si="14"/>
        <v>43136</v>
      </c>
      <c r="K93" s="10" t="s">
        <v>323</v>
      </c>
      <c r="L93" s="55"/>
      <c r="M93" s="55"/>
      <c r="N93" s="55"/>
    </row>
    <row r="94" spans="2:14" ht="15.6" x14ac:dyDescent="0.3">
      <c r="B94" s="10" t="s">
        <v>3815</v>
      </c>
      <c r="C94" s="72">
        <v>4</v>
      </c>
      <c r="D94" s="10">
        <f t="shared" si="13"/>
        <v>2</v>
      </c>
      <c r="E94" s="10">
        <v>0</v>
      </c>
      <c r="F94" s="10">
        <v>4294967295</v>
      </c>
      <c r="G94" s="10">
        <v>1</v>
      </c>
      <c r="H94" s="10">
        <v>1</v>
      </c>
      <c r="I94" s="10" t="s">
        <v>322</v>
      </c>
      <c r="J94" s="10">
        <f t="shared" si="14"/>
        <v>43138</v>
      </c>
      <c r="K94" s="10" t="s">
        <v>323</v>
      </c>
      <c r="L94" s="55"/>
      <c r="M94" s="55"/>
      <c r="N94" s="55"/>
    </row>
    <row r="95" spans="2:14" ht="15.6" x14ac:dyDescent="0.3">
      <c r="B95" s="10" t="s">
        <v>3816</v>
      </c>
      <c r="C95" s="72">
        <v>4</v>
      </c>
      <c r="D95" s="10">
        <f t="shared" si="13"/>
        <v>2</v>
      </c>
      <c r="E95" s="10">
        <v>0</v>
      </c>
      <c r="F95" s="10">
        <v>4294967295</v>
      </c>
      <c r="G95" s="10">
        <v>1</v>
      </c>
      <c r="H95" s="10">
        <v>1</v>
      </c>
      <c r="I95" s="10" t="s">
        <v>322</v>
      </c>
      <c r="J95" s="10">
        <f t="shared" si="14"/>
        <v>43140</v>
      </c>
      <c r="K95" s="10" t="s">
        <v>323</v>
      </c>
      <c r="L95" s="55"/>
      <c r="M95" s="55"/>
      <c r="N95" s="55"/>
    </row>
    <row r="96" spans="2:14" ht="15.6" x14ac:dyDescent="0.3">
      <c r="B96" s="10" t="s">
        <v>3817</v>
      </c>
      <c r="C96" s="72">
        <v>4</v>
      </c>
      <c r="D96" s="10">
        <f t="shared" si="13"/>
        <v>2</v>
      </c>
      <c r="E96" s="10">
        <v>0</v>
      </c>
      <c r="F96" s="10">
        <v>4294967295</v>
      </c>
      <c r="G96" s="10">
        <v>1</v>
      </c>
      <c r="H96" s="10">
        <v>1</v>
      </c>
      <c r="I96" s="10" t="s">
        <v>322</v>
      </c>
      <c r="J96" s="10">
        <f t="shared" si="14"/>
        <v>43142</v>
      </c>
      <c r="K96" s="10" t="s">
        <v>323</v>
      </c>
      <c r="L96" s="55"/>
      <c r="M96" s="55"/>
      <c r="N96" s="55"/>
    </row>
    <row r="97" spans="2:14" ht="15.6" x14ac:dyDescent="0.3">
      <c r="B97" s="117" t="s">
        <v>3818</v>
      </c>
      <c r="C97" s="72">
        <v>2</v>
      </c>
      <c r="D97" s="10">
        <f t="shared" si="13"/>
        <v>1</v>
      </c>
      <c r="E97" s="10">
        <v>0</v>
      </c>
      <c r="F97" s="10">
        <v>5</v>
      </c>
      <c r="G97" s="10">
        <v>1</v>
      </c>
      <c r="H97" s="10">
        <v>1</v>
      </c>
      <c r="I97" s="10" t="s">
        <v>322</v>
      </c>
      <c r="J97" s="10">
        <f t="shared" si="14"/>
        <v>43144</v>
      </c>
      <c r="K97" s="10" t="s">
        <v>323</v>
      </c>
      <c r="L97" s="55"/>
      <c r="M97" s="55"/>
      <c r="N97" s="55"/>
    </row>
    <row r="98" spans="2:14" ht="15.6" x14ac:dyDescent="0.3">
      <c r="B98" s="10" t="s">
        <v>3819</v>
      </c>
      <c r="C98" s="72">
        <v>2</v>
      </c>
      <c r="D98" s="10">
        <f t="shared" si="13"/>
        <v>1</v>
      </c>
      <c r="E98" s="10">
        <v>0</v>
      </c>
      <c r="F98" s="10">
        <v>3</v>
      </c>
      <c r="G98" s="10">
        <v>1</v>
      </c>
      <c r="H98" s="10">
        <v>1</v>
      </c>
      <c r="I98" s="10" t="s">
        <v>322</v>
      </c>
      <c r="J98" s="10">
        <f t="shared" si="14"/>
        <v>43145</v>
      </c>
      <c r="K98" s="10" t="s">
        <v>323</v>
      </c>
      <c r="L98" s="55"/>
      <c r="M98" s="55"/>
      <c r="N98" s="55"/>
    </row>
    <row r="99" spans="2:14" ht="15.6" x14ac:dyDescent="0.3">
      <c r="B99" s="10" t="s">
        <v>3820</v>
      </c>
      <c r="C99" s="72">
        <v>2</v>
      </c>
      <c r="D99" s="10">
        <f t="shared" si="13"/>
        <v>1</v>
      </c>
      <c r="E99" s="10">
        <v>0</v>
      </c>
      <c r="F99" s="10">
        <v>65535</v>
      </c>
      <c r="G99" s="10">
        <v>1</v>
      </c>
      <c r="H99" s="10">
        <v>1</v>
      </c>
      <c r="I99" s="10" t="s">
        <v>322</v>
      </c>
      <c r="J99" s="10">
        <f t="shared" si="14"/>
        <v>43146</v>
      </c>
      <c r="K99" s="10" t="s">
        <v>323</v>
      </c>
      <c r="L99" s="55"/>
      <c r="M99" s="55"/>
      <c r="N99" s="55" t="s">
        <v>3821</v>
      </c>
    </row>
    <row r="100" spans="2:14" ht="15.6" x14ac:dyDescent="0.3">
      <c r="B100" s="10" t="s">
        <v>3684</v>
      </c>
      <c r="C100" s="72">
        <v>2</v>
      </c>
      <c r="D100" s="10">
        <f t="shared" si="13"/>
        <v>1</v>
      </c>
      <c r="E100" s="10">
        <v>0</v>
      </c>
      <c r="F100" s="10">
        <v>4294967295</v>
      </c>
      <c r="G100" s="10">
        <v>1</v>
      </c>
      <c r="H100" s="10">
        <v>1</v>
      </c>
      <c r="I100" s="10" t="s">
        <v>322</v>
      </c>
      <c r="J100" s="10">
        <f t="shared" si="14"/>
        <v>43147</v>
      </c>
      <c r="K100" s="10" t="s">
        <v>323</v>
      </c>
      <c r="L100" s="55"/>
      <c r="M100" s="55"/>
      <c r="N100" s="55" t="s">
        <v>3813</v>
      </c>
    </row>
    <row r="101" spans="2:14" ht="15.6" x14ac:dyDescent="0.3">
      <c r="B101" s="10" t="s">
        <v>3814</v>
      </c>
      <c r="C101" s="72">
        <v>4</v>
      </c>
      <c r="D101" s="10">
        <f t="shared" si="13"/>
        <v>2</v>
      </c>
      <c r="E101" s="10">
        <v>0</v>
      </c>
      <c r="F101" s="10">
        <v>4294967295</v>
      </c>
      <c r="G101" s="10">
        <v>1</v>
      </c>
      <c r="H101" s="10">
        <v>1</v>
      </c>
      <c r="I101" s="10" t="s">
        <v>322</v>
      </c>
      <c r="J101" s="10">
        <f t="shared" si="14"/>
        <v>43148</v>
      </c>
      <c r="K101" s="10" t="s">
        <v>323</v>
      </c>
      <c r="L101" s="55"/>
      <c r="M101" s="55"/>
      <c r="N101" s="55"/>
    </row>
    <row r="102" spans="2:14" ht="15.6" x14ac:dyDescent="0.3">
      <c r="B102" s="10" t="s">
        <v>3815</v>
      </c>
      <c r="C102" s="72">
        <v>4</v>
      </c>
      <c r="D102" s="10">
        <f t="shared" si="13"/>
        <v>2</v>
      </c>
      <c r="E102" s="10">
        <v>0</v>
      </c>
      <c r="F102" s="10">
        <v>4294967295</v>
      </c>
      <c r="G102" s="10">
        <v>1</v>
      </c>
      <c r="H102" s="10">
        <v>1</v>
      </c>
      <c r="I102" s="10" t="s">
        <v>322</v>
      </c>
      <c r="J102" s="10">
        <f t="shared" si="14"/>
        <v>43150</v>
      </c>
      <c r="K102" s="10" t="s">
        <v>323</v>
      </c>
      <c r="L102" s="55"/>
      <c r="M102" s="55"/>
      <c r="N102" s="55"/>
    </row>
    <row r="103" spans="2:14" ht="15.6" x14ac:dyDescent="0.3">
      <c r="B103" s="10" t="s">
        <v>3816</v>
      </c>
      <c r="C103" s="72">
        <v>4</v>
      </c>
      <c r="D103" s="10">
        <f t="shared" si="13"/>
        <v>2</v>
      </c>
      <c r="E103" s="10">
        <v>0</v>
      </c>
      <c r="F103" s="10">
        <v>4294967295</v>
      </c>
      <c r="G103" s="10">
        <v>1</v>
      </c>
      <c r="H103" s="10">
        <v>1</v>
      </c>
      <c r="I103" s="10" t="s">
        <v>322</v>
      </c>
      <c r="J103" s="10">
        <f t="shared" si="14"/>
        <v>43152</v>
      </c>
      <c r="K103" s="10" t="s">
        <v>323</v>
      </c>
      <c r="L103" s="55"/>
      <c r="M103" s="55"/>
      <c r="N103" s="55"/>
    </row>
    <row r="104" spans="2:14" ht="15.6" x14ac:dyDescent="0.3">
      <c r="B104" s="10" t="s">
        <v>3817</v>
      </c>
      <c r="C104" s="72">
        <v>4</v>
      </c>
      <c r="D104" s="10">
        <f t="shared" si="13"/>
        <v>2</v>
      </c>
      <c r="E104" s="10">
        <v>0</v>
      </c>
      <c r="F104" s="10">
        <v>4294967295</v>
      </c>
      <c r="G104" s="10">
        <v>1</v>
      </c>
      <c r="H104" s="10">
        <v>1</v>
      </c>
      <c r="I104" s="10" t="s">
        <v>322</v>
      </c>
      <c r="J104" s="10">
        <f t="shared" si="14"/>
        <v>43154</v>
      </c>
      <c r="K104" s="10" t="s">
        <v>323</v>
      </c>
      <c r="L104" s="55"/>
      <c r="M104" s="55"/>
      <c r="N104" s="55"/>
    </row>
    <row r="105" spans="2:14" ht="15.6" x14ac:dyDescent="0.3">
      <c r="B105" s="496" t="s">
        <v>3822</v>
      </c>
      <c r="C105" s="496"/>
      <c r="D105" s="496"/>
      <c r="E105" s="496"/>
      <c r="F105" s="496"/>
      <c r="G105" s="496"/>
      <c r="H105" s="496"/>
      <c r="I105" s="496"/>
      <c r="J105" s="496"/>
      <c r="K105" s="496"/>
      <c r="L105" s="496"/>
      <c r="M105" s="496"/>
      <c r="N105" s="496"/>
    </row>
    <row r="106" spans="2:14" ht="15.6" x14ac:dyDescent="0.3">
      <c r="B106" s="10" t="s">
        <v>3823</v>
      </c>
      <c r="C106" s="72">
        <v>2</v>
      </c>
      <c r="D106" s="10">
        <f t="shared" ref="D106:D108" si="15">C106/2</f>
        <v>1</v>
      </c>
      <c r="E106" s="10">
        <v>0</v>
      </c>
      <c r="F106" s="10">
        <v>3</v>
      </c>
      <c r="G106" s="10">
        <v>1</v>
      </c>
      <c r="H106" s="10">
        <v>1</v>
      </c>
      <c r="I106" s="10" t="s">
        <v>322</v>
      </c>
      <c r="J106" s="10">
        <f>J104+D104</f>
        <v>43156</v>
      </c>
      <c r="K106" s="10" t="s">
        <v>323</v>
      </c>
      <c r="L106" s="55"/>
      <c r="M106" s="55"/>
      <c r="N106" s="55" t="s">
        <v>3824</v>
      </c>
    </row>
    <row r="107" spans="2:14" ht="15.6" x14ac:dyDescent="0.3">
      <c r="B107" s="10" t="s">
        <v>3825</v>
      </c>
      <c r="C107" s="359">
        <v>12</v>
      </c>
      <c r="D107" s="360">
        <f t="shared" si="15"/>
        <v>6</v>
      </c>
      <c r="E107" s="10">
        <v>0</v>
      </c>
      <c r="F107" s="10">
        <v>1</v>
      </c>
      <c r="G107" s="10">
        <v>1</v>
      </c>
      <c r="H107" s="10">
        <v>1</v>
      </c>
      <c r="I107" s="10" t="s">
        <v>322</v>
      </c>
      <c r="J107" s="10">
        <f t="shared" ref="J107:J108" si="16">J106+D106</f>
        <v>43157</v>
      </c>
      <c r="K107" s="10" t="s">
        <v>323</v>
      </c>
      <c r="L107" s="55"/>
      <c r="M107" s="55"/>
      <c r="N107" s="55"/>
    </row>
    <row r="108" spans="2:14" ht="15.6" x14ac:dyDescent="0.3">
      <c r="B108" s="10" t="s">
        <v>3826</v>
      </c>
      <c r="C108" s="72">
        <v>2</v>
      </c>
      <c r="D108" s="10">
        <f t="shared" si="15"/>
        <v>1</v>
      </c>
      <c r="E108" s="10">
        <v>0</v>
      </c>
      <c r="F108" s="10">
        <v>1</v>
      </c>
      <c r="G108" s="10">
        <v>1</v>
      </c>
      <c r="H108" s="10">
        <v>1</v>
      </c>
      <c r="I108" s="10" t="s">
        <v>322</v>
      </c>
      <c r="J108" s="10">
        <f t="shared" si="16"/>
        <v>43163</v>
      </c>
      <c r="K108" s="10" t="s">
        <v>323</v>
      </c>
      <c r="L108" s="55"/>
      <c r="M108" s="55"/>
      <c r="N108" s="55" t="s">
        <v>3827</v>
      </c>
    </row>
  </sheetData>
  <mergeCells count="9">
    <mergeCell ref="B105:N105"/>
    <mergeCell ref="B69:N69"/>
    <mergeCell ref="B76:N76"/>
    <mergeCell ref="B3:N3"/>
    <mergeCell ref="B4:N4"/>
    <mergeCell ref="B9:N9"/>
    <mergeCell ref="B12:N12"/>
    <mergeCell ref="B15:N15"/>
    <mergeCell ref="B20:N20"/>
  </mergeCells>
  <conditionalFormatting sqref="B5:F6">
    <cfRule type="cellIs" dxfId="766" priority="117" stopIfTrue="1" operator="notEqual">
      <formula>INDIRECT("Dummy_for_Comparison2!"&amp;ADDRESS(ROW(),COLUMN()))</formula>
    </cfRule>
  </conditionalFormatting>
  <conditionalFormatting sqref="B2:J2">
    <cfRule type="cellIs" dxfId="765" priority="134" stopIfTrue="1" operator="notEqual">
      <formula>INDIRECT("Dummy_for_Comparison2!"&amp;ADDRESS(ROW(),COLUMN()))</formula>
    </cfRule>
  </conditionalFormatting>
  <conditionalFormatting sqref="B7:J8 N7:N8">
    <cfRule type="cellIs" dxfId="764" priority="127" stopIfTrue="1" operator="notEqual">
      <formula>INDIRECT("Dummy_for_Comparison2!"&amp;ADDRESS(ROW(),COLUMN()))</formula>
    </cfRule>
  </conditionalFormatting>
  <conditionalFormatting sqref="B70:K75">
    <cfRule type="cellIs" dxfId="763" priority="3" stopIfTrue="1" operator="notEqual">
      <formula>INDIRECT("Dummy_for_Comparison2!"&amp;ADDRESS(ROW(),COLUMN()))</formula>
    </cfRule>
  </conditionalFormatting>
  <conditionalFormatting sqref="B77:K104">
    <cfRule type="cellIs" dxfId="762" priority="2" stopIfTrue="1" operator="notEqual">
      <formula>INDIRECT("Dummy_for_Comparison2!"&amp;ADDRESS(ROW(),COLUMN()))</formula>
    </cfRule>
  </conditionalFormatting>
  <conditionalFormatting sqref="B106:K108">
    <cfRule type="cellIs" dxfId="761" priority="1" stopIfTrue="1" operator="notEqual">
      <formula>INDIRECT("Dummy_for_Comparison2!"&amp;ADDRESS(ROW(),COLUMN()))</formula>
    </cfRule>
  </conditionalFormatting>
  <conditionalFormatting sqref="B10:M11">
    <cfRule type="cellIs" dxfId="760" priority="7" stopIfTrue="1" operator="notEqual">
      <formula>INDIRECT("Dummy_for_Comparison2!"&amp;ADDRESS(ROW(),COLUMN()))</formula>
    </cfRule>
  </conditionalFormatting>
  <conditionalFormatting sqref="B13:M14">
    <cfRule type="cellIs" dxfId="759" priority="6" stopIfTrue="1" operator="notEqual">
      <formula>INDIRECT("Dummy_for_Comparison2!"&amp;ADDRESS(ROW(),COLUMN()))</formula>
    </cfRule>
  </conditionalFormatting>
  <conditionalFormatting sqref="B16:M19">
    <cfRule type="cellIs" dxfId="758" priority="5" stopIfTrue="1" operator="notEqual">
      <formula>INDIRECT("Dummy_for_Comparison2!"&amp;ADDRESS(ROW(),COLUMN()))</formula>
    </cfRule>
  </conditionalFormatting>
  <conditionalFormatting sqref="B21:M68">
    <cfRule type="cellIs" dxfId="757" priority="4" stopIfTrue="1" operator="notEqual">
      <formula>INDIRECT("Dummy_for_Comparison2!"&amp;ADDRESS(ROW(),COLUMN()))</formula>
    </cfRule>
  </conditionalFormatting>
  <conditionalFormatting sqref="G6:J6">
    <cfRule type="cellIs" dxfId="756" priority="130" stopIfTrue="1" operator="notEqual">
      <formula>INDIRECT("Dummy_for_Comparison2!"&amp;ADDRESS(ROW(),COLUMN()))</formula>
    </cfRule>
  </conditionalFormatting>
  <conditionalFormatting sqref="G5:L5 N5">
    <cfRule type="cellIs" dxfId="755" priority="133" stopIfTrue="1" operator="notEqual">
      <formula>INDIRECT("Dummy_for_Comparison2!"&amp;ADDRESS(ROW(),COLUMN()))</formula>
    </cfRule>
  </conditionalFormatting>
  <conditionalFormatting sqref="K2">
    <cfRule type="cellIs" dxfId="754" priority="137" stopIfTrue="1" operator="notEqual">
      <formula>INDIRECT("Dummy_for_Comparison6!"&amp;ADDRESS(ROW(),COLUMN()))</formula>
    </cfRule>
  </conditionalFormatting>
  <conditionalFormatting sqref="K6:L8">
    <cfRule type="cellIs" dxfId="753" priority="8" stopIfTrue="1" operator="notEqual">
      <formula>INDIRECT("Dummy_for_Comparison2!"&amp;ADDRESS(ROW(),COLUMN()))</formula>
    </cfRule>
  </conditionalFormatting>
  <conditionalFormatting sqref="L2:N2">
    <cfRule type="cellIs" dxfId="752" priority="138" stopIfTrue="1" operator="notEqual">
      <formula>INDIRECT("Dummy_for_Comparison2!"&amp;ADDRESS(ROW(),COLUMN()))</formula>
    </cfRule>
  </conditionalFormatting>
  <conditionalFormatting sqref="M5:M8">
    <cfRule type="cellIs" dxfId="751" priority="126" stopIfTrue="1" operator="notEqual">
      <formula>INDIRECT("Dummy_for_Comparison2!"&amp;ADDRESS(ROW(),COLUMN()))</formula>
    </cfRule>
  </conditionalFormatting>
  <conditionalFormatting sqref="N10">
    <cfRule type="cellIs" dxfId="750" priority="142" stopIfTrue="1" operator="notEqual">
      <formula>INDIRECT("Dummy_for_Comparison2!"&amp;ADDRESS(ROW(),COLUMN()))</formula>
    </cfRule>
  </conditionalFormatting>
  <conditionalFormatting sqref="N13">
    <cfRule type="cellIs" dxfId="749" priority="9" stopIfTrue="1" operator="notEqual">
      <formula>INDIRECT("Dummy_for_Comparison2!"&amp;ADDRESS(ROW(),COLUMN()))</formula>
    </cfRule>
  </conditionalFormatting>
  <conditionalFormatting sqref="N73">
    <cfRule type="cellIs" dxfId="748" priority="62" stopIfTrue="1" operator="notEqual">
      <formula>INDIRECT("Dummy_for_Comparison2!"&amp;ADDRESS(ROW(),COLUMN()))</formula>
    </cfRule>
  </conditionalFormatting>
  <conditionalFormatting sqref="N72:O72">
    <cfRule type="cellIs" dxfId="747" priority="63" stopIfTrue="1" operator="notEqual">
      <formula>INDIRECT("Dummy_for_Comparison2!"&amp;ADDRESS(ROW(),COLUMN()))</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01500-3ECA-4770-A848-B7821176C00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0e72dfe-7e97-4cfd-9d3d-72b066f82807">
      <Terms xmlns="http://schemas.microsoft.com/office/infopath/2007/PartnerControls"/>
    </lcf76f155ced4ddcb4097134ff3c332f>
    <TaxCatchAll xmlns="7b59a2e7-a17e-4ac1-9de4-86dcd57408c9"/>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2FCD5FE597E21C4D86FA09749103274E" ma:contentTypeVersion="14" ma:contentTypeDescription="Create a new document." ma:contentTypeScope="" ma:versionID="f917e92dd81f84e5264be8249424b83e">
  <xsd:schema xmlns:xsd="http://www.w3.org/2001/XMLSchema" xmlns:xs="http://www.w3.org/2001/XMLSchema" xmlns:p="http://schemas.microsoft.com/office/2006/metadata/properties" xmlns:ns2="80e72dfe-7e97-4cfd-9d3d-72b066f82807" xmlns:ns3="7b59a2e7-a17e-4ac1-9de4-86dcd57408c9" targetNamespace="http://schemas.microsoft.com/office/2006/metadata/properties" ma:root="true" ma:fieldsID="6425461de76b59aee285022c95ae2726" ns2:_="" ns3:_="">
    <xsd:import namespace="80e72dfe-7e97-4cfd-9d3d-72b066f82807"/>
    <xsd:import namespace="7b59a2e7-a17e-4ac1-9de4-86dcd57408c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e72dfe-7e97-4cfd-9d3d-72b066f828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3e82df8-f6af-445d-9b0b-5c4dfc7c59a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59a2e7-a17e-4ac1-9de4-86dcd57408c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dd33adc-0ce0-4e5a-9dfb-f661fcdff393}" ma:internalName="TaxCatchAll" ma:showField="CatchAllData" ma:web="7b59a2e7-a17e-4ac1-9de4-86dcd57408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9E16CA-1BF6-4E76-BDFF-83F25F22C46E}">
  <ds:schemaRefs>
    <ds:schemaRef ds:uri="http://schemas.microsoft.com/office/2006/metadata/properties"/>
    <ds:schemaRef ds:uri="http://schemas.microsoft.com/office/infopath/2007/PartnerControls"/>
    <ds:schemaRef ds:uri="80e72dfe-7e97-4cfd-9d3d-72b066f82807"/>
    <ds:schemaRef ds:uri="7b59a2e7-a17e-4ac1-9de4-86dcd57408c9"/>
  </ds:schemaRefs>
</ds:datastoreItem>
</file>

<file path=customXml/itemProps2.xml><?xml version="1.0" encoding="utf-8"?>
<ds:datastoreItem xmlns:ds="http://schemas.openxmlformats.org/officeDocument/2006/customXml" ds:itemID="{5AC22171-941A-46A5-921A-C1C14DDB5AEC}">
  <ds:schemaRefs>
    <ds:schemaRef ds:uri="http://schemas.microsoft.com/DataMashup"/>
  </ds:schemaRefs>
</ds:datastoreItem>
</file>

<file path=customXml/itemProps3.xml><?xml version="1.0" encoding="utf-8"?>
<ds:datastoreItem xmlns:ds="http://schemas.openxmlformats.org/officeDocument/2006/customXml" ds:itemID="{F47937F6-F517-4475-9F34-1058852921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e72dfe-7e97-4cfd-9d3d-72b066f82807"/>
    <ds:schemaRef ds:uri="7b59a2e7-a17e-4ac1-9de4-86dcd57408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C39DE6B-59FB-4408-B39F-A3873D84CF4F}">
  <ds:schemaRefs>
    <ds:schemaRef ds:uri="http://schemas.microsoft.com/sharepoint/v3/contenttype/forms"/>
  </ds:schemaRefs>
</ds:datastoreItem>
</file>

<file path=docMetadata/LabelInfo.xml><?xml version="1.0" encoding="utf-8"?>
<clbl:labelList xmlns:clbl="http://schemas.microsoft.com/office/2020/mipLabelMetadata">
  <clbl:label id="{57443d00-af18-408c-9335-47b5de3ec9b9}" enabled="1" method="Privileged" siteId="{6e51e1ad-c54b-4b39-b598-0ffe9ae68fe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Cover</vt:lpstr>
      <vt:lpstr>EIP Object Overview</vt:lpstr>
      <vt:lpstr>TeSys T Parameters</vt:lpstr>
      <vt:lpstr>TeSys T Parameters_old</vt:lpstr>
      <vt:lpstr>EIP Cyclic Parameter</vt:lpstr>
      <vt:lpstr>Protection Settings</vt:lpstr>
      <vt:lpstr>General Settings</vt:lpstr>
      <vt:lpstr>CompLogic Settings</vt:lpstr>
      <vt:lpstr>DO_CompLogic_List</vt:lpstr>
      <vt:lpstr>Monitoring Data</vt:lpstr>
      <vt:lpstr>Sheet1</vt:lpstr>
      <vt:lpstr>Commands</vt:lpstr>
      <vt:lpstr>Status</vt:lpstr>
      <vt:lpstr>Data Records</vt:lpstr>
      <vt:lpstr>Product Info</vt:lpstr>
      <vt:lpstr>Product Info - Extended</vt:lpstr>
      <vt:lpstr>Device Identification</vt:lpstr>
      <vt:lpstr>Internal Data</vt:lpstr>
      <vt:lpstr>User defined Map</vt:lpstr>
      <vt:lpstr>Commercial reference</vt:lpstr>
      <vt:lpstr>Settings-Interlocks</vt:lpstr>
      <vt:lpstr>EIP DETAILS</vt:lpstr>
      <vt:lpstr>Ethernet settings</vt:lpstr>
      <vt:lpstr>Ethernet Diagnostic Data</vt:lpstr>
      <vt:lpstr>Sheet2</vt:lpstr>
      <vt:lpstr>'EIP Cyclic Parameter'!TeSys™_T_LTMR_</vt:lpstr>
    </vt:vector>
  </TitlesOfParts>
  <Manager/>
  <Company>lnt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931216</dc:creator>
  <cp:keywords/>
  <dc:description/>
  <cp:lastModifiedBy>Tanishka Urane</cp:lastModifiedBy>
  <cp:revision/>
  <dcterms:created xsi:type="dcterms:W3CDTF">2011-04-28T05:29:09Z</dcterms:created>
  <dcterms:modified xsi:type="dcterms:W3CDTF">2026-06-03T04:52:01Z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0x0101002FCD5FE597E21C4D86FA09749103274E</vt:lpwstr>
  </property>
  <property fmtid="{D5CDD505-2E9C-101B-9397-08002B2CF9AE}" pid="3" name="MSIP_Label_57443d00-af18-408c-9335-47b5de3ec9b9_Enabled">
    <vt:lpwstr>true</vt:lpwstr>
  </property>
  <property fmtid="{D5CDD505-2E9C-101B-9397-08002B2CF9AE}" pid="4" name="MSIP_Label_57443d00-af18-408c-9335-47b5de3ec9b9_SetDate">
    <vt:lpwstr>2024-08-14T05:25:48Z</vt:lpwstr>
  </property>
  <property fmtid="{D5CDD505-2E9C-101B-9397-08002B2CF9AE}" pid="5" name="MSIP_Label_57443d00-af18-408c-9335-47b5de3ec9b9_Method">
    <vt:lpwstr>Privileged</vt:lpwstr>
  </property>
  <property fmtid="{D5CDD505-2E9C-101B-9397-08002B2CF9AE}" pid="6" name="MSIP_Label_57443d00-af18-408c-9335-47b5de3ec9b9_Name">
    <vt:lpwstr>General v2</vt:lpwstr>
  </property>
  <property fmtid="{D5CDD505-2E9C-101B-9397-08002B2CF9AE}" pid="7" name="MSIP_Label_57443d00-af18-408c-9335-47b5de3ec9b9_SiteId">
    <vt:lpwstr>6e51e1ad-c54b-4b39-b598-0ffe9ae68fef</vt:lpwstr>
  </property>
  <property fmtid="{D5CDD505-2E9C-101B-9397-08002B2CF9AE}" pid="8" name="MSIP_Label_57443d00-af18-408c-9335-47b5de3ec9b9_ActionId">
    <vt:lpwstr>eca8135b-3618-47e3-86f3-1b797ec890af</vt:lpwstr>
  </property>
  <property fmtid="{D5CDD505-2E9C-101B-9397-08002B2CF9AE}" pid="9" name="MSIP_Label_57443d00-af18-408c-9335-47b5de3ec9b9_ContentBits">
    <vt:lpwstr>2</vt:lpwstr>
  </property>
</Properties>
</file>